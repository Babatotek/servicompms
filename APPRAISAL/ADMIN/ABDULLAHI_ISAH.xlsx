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servicom_2026\20\ADMIN\"/>
    </mc:Choice>
  </mc:AlternateContent>
  <xr:revisionPtr revIDLastSave="0" documentId="13_ncr:1_{483C3259-1087-4713-83FF-B9A59089D9C8}" xr6:coauthVersionLast="47" xr6:coauthVersionMax="47" xr10:uidLastSave="{00000000-0000-0000-0000-000000000000}"/>
  <bookViews>
    <workbookView xWindow="-120" yWindow="-120" windowWidth="20730" windowHeight="11040" xr2:uid="{08300483-D0B9-4823-BF83-222021C46C79}"/>
  </bookViews>
  <sheets>
    <sheet name="FIRST QUARTER" sheetId="2" r:id="rId1"/>
    <sheet name="SECOND QUARTER" sheetId="3" r:id="rId2"/>
    <sheet name="THIRD QUARTER" sheetId="4" r:id="rId3"/>
    <sheet name="FOURTH QUARTER" sheetId="5" r:id="rId4"/>
  </sheets>
  <definedNames>
    <definedName name="_xlnm.Print_Area" localSheetId="0">'FIRST QUARTER'!$A$1:$R$77</definedName>
    <definedName name="_xlnm.Print_Area" localSheetId="3">'FOURTH QUARTER'!$A$1:$R$77</definedName>
    <definedName name="_xlnm.Print_Area" localSheetId="1">'SECOND QUARTER'!$A$1:$R$77</definedName>
    <definedName name="_xlnm.Print_Area" localSheetId="2">'THIRD QUARTER'!$A$1:$R$77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3" l="1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19" i="3"/>
  <c r="F19" i="4"/>
  <c r="F19" i="5"/>
  <c r="F19" i="2"/>
  <c r="C37" i="3"/>
  <c r="E37" i="3" s="1"/>
  <c r="C36" i="3"/>
  <c r="E36" i="3" s="1"/>
  <c r="E35" i="3"/>
  <c r="C35" i="3"/>
  <c r="C33" i="3"/>
  <c r="E33" i="3" s="1"/>
  <c r="C31" i="3"/>
  <c r="E31" i="3" s="1"/>
  <c r="E29" i="3"/>
  <c r="C26" i="3"/>
  <c r="E30" i="3" s="1"/>
  <c r="C24" i="3"/>
  <c r="E25" i="3" s="1"/>
  <c r="C19" i="3"/>
  <c r="E23" i="3" s="1"/>
  <c r="C37" i="4"/>
  <c r="E37" i="4" s="1"/>
  <c r="C36" i="4"/>
  <c r="E36" i="4" s="1"/>
  <c r="C35" i="4"/>
  <c r="E35" i="4" s="1"/>
  <c r="C33" i="4"/>
  <c r="C31" i="4"/>
  <c r="E32" i="4" s="1"/>
  <c r="C26" i="4"/>
  <c r="C24" i="4"/>
  <c r="E25" i="4" s="1"/>
  <c r="C19" i="4"/>
  <c r="C37" i="5"/>
  <c r="E37" i="5" s="1"/>
  <c r="C36" i="5"/>
  <c r="E36" i="5" s="1"/>
  <c r="C35" i="5"/>
  <c r="E35" i="5" s="1"/>
  <c r="C33" i="5"/>
  <c r="E33" i="5" s="1"/>
  <c r="C31" i="5"/>
  <c r="E31" i="5" s="1"/>
  <c r="E29" i="5"/>
  <c r="E27" i="5"/>
  <c r="C26" i="5"/>
  <c r="E30" i="5" s="1"/>
  <c r="E25" i="5"/>
  <c r="C24" i="5"/>
  <c r="E24" i="5" s="1"/>
  <c r="E22" i="5"/>
  <c r="C19" i="5"/>
  <c r="E23" i="5" s="1"/>
  <c r="C37" i="2"/>
  <c r="E37" i="2" s="1"/>
  <c r="C36" i="2"/>
  <c r="E36" i="2" s="1"/>
  <c r="C35" i="2"/>
  <c r="E35" i="2" s="1"/>
  <c r="C33" i="2"/>
  <c r="E32" i="2"/>
  <c r="C31" i="2"/>
  <c r="E31" i="2" s="1"/>
  <c r="C26" i="2"/>
  <c r="E25" i="2"/>
  <c r="C24" i="2"/>
  <c r="E24" i="2" s="1"/>
  <c r="C19" i="2"/>
  <c r="I58" i="5"/>
  <c r="O62" i="5" s="1"/>
  <c r="H58" i="5"/>
  <c r="I54" i="5"/>
  <c r="O61" i="5" s="1"/>
  <c r="H54" i="5"/>
  <c r="C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R24" i="5" s="1"/>
  <c r="Q23" i="5"/>
  <c r="Q22" i="5"/>
  <c r="Q21" i="5"/>
  <c r="Q20" i="5"/>
  <c r="Q19" i="5"/>
  <c r="I58" i="4"/>
  <c r="O62" i="4" s="1"/>
  <c r="H58" i="4"/>
  <c r="I54" i="4"/>
  <c r="O61" i="4" s="1"/>
  <c r="H54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I58" i="3"/>
  <c r="O62" i="3" s="1"/>
  <c r="H58" i="3"/>
  <c r="I54" i="3"/>
  <c r="O61" i="3" s="1"/>
  <c r="H54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I58" i="2"/>
  <c r="O62" i="2" s="1"/>
  <c r="H58" i="2"/>
  <c r="I54" i="2"/>
  <c r="O61" i="2" s="1"/>
  <c r="H54" i="2"/>
  <c r="Q37" i="2"/>
  <c r="Q36" i="2"/>
  <c r="R36" i="2" s="1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R31" i="3" l="1"/>
  <c r="R24" i="2"/>
  <c r="R32" i="2"/>
  <c r="E34" i="5"/>
  <c r="E24" i="4"/>
  <c r="R24" i="4" s="1"/>
  <c r="E31" i="4"/>
  <c r="R31" i="4" s="1"/>
  <c r="E20" i="3"/>
  <c r="R20" i="3" s="1"/>
  <c r="R37" i="4"/>
  <c r="C38" i="3"/>
  <c r="R22" i="3"/>
  <c r="R30" i="3"/>
  <c r="R36" i="5"/>
  <c r="E22" i="3"/>
  <c r="E34" i="3"/>
  <c r="R34" i="3" s="1"/>
  <c r="R25" i="4"/>
  <c r="R27" i="3"/>
  <c r="E20" i="5"/>
  <c r="R20" i="5" s="1"/>
  <c r="E32" i="5"/>
  <c r="E27" i="3"/>
  <c r="E32" i="3"/>
  <c r="R35" i="3"/>
  <c r="E22" i="4"/>
  <c r="R22" i="4" s="1"/>
  <c r="E20" i="4"/>
  <c r="E23" i="4"/>
  <c r="E21" i="4"/>
  <c r="E19" i="4"/>
  <c r="E34" i="4"/>
  <c r="R34" i="4" s="1"/>
  <c r="E33" i="4"/>
  <c r="R31" i="2"/>
  <c r="R35" i="2"/>
  <c r="R32" i="5"/>
  <c r="E22" i="2"/>
  <c r="R22" i="2" s="1"/>
  <c r="E20" i="2"/>
  <c r="R20" i="2" s="1"/>
  <c r="C38" i="2"/>
  <c r="R23" i="3"/>
  <c r="E19" i="2"/>
  <c r="E23" i="2"/>
  <c r="R23" i="2" s="1"/>
  <c r="E29" i="2"/>
  <c r="R29" i="2" s="1"/>
  <c r="E27" i="2"/>
  <c r="R27" i="2" s="1"/>
  <c r="E30" i="2"/>
  <c r="E28" i="2"/>
  <c r="R28" i="2" s="1"/>
  <c r="E26" i="2"/>
  <c r="R26" i="2" s="1"/>
  <c r="R21" i="4"/>
  <c r="R29" i="4"/>
  <c r="R33" i="4"/>
  <c r="C38" i="4"/>
  <c r="R25" i="5"/>
  <c r="R29" i="5"/>
  <c r="R33" i="5"/>
  <c r="R37" i="5"/>
  <c r="E21" i="2"/>
  <c r="E34" i="2"/>
  <c r="E33" i="2"/>
  <c r="E29" i="4"/>
  <c r="E27" i="4"/>
  <c r="R27" i="4" s="1"/>
  <c r="E30" i="4"/>
  <c r="R30" i="4" s="1"/>
  <c r="E28" i="4"/>
  <c r="E26" i="4"/>
  <c r="R26" i="4" s="1"/>
  <c r="R21" i="2"/>
  <c r="R33" i="2"/>
  <c r="R37" i="2"/>
  <c r="R32" i="3"/>
  <c r="R36" i="3"/>
  <c r="R23" i="4"/>
  <c r="R35" i="4"/>
  <c r="R22" i="5"/>
  <c r="R30" i="5"/>
  <c r="R34" i="5"/>
  <c r="E24" i="3"/>
  <c r="R24" i="3" s="1"/>
  <c r="R25" i="2"/>
  <c r="R30" i="2"/>
  <c r="R34" i="2"/>
  <c r="R25" i="3"/>
  <c r="R29" i="3"/>
  <c r="R33" i="3"/>
  <c r="R37" i="3"/>
  <c r="R20" i="4"/>
  <c r="R28" i="4"/>
  <c r="R32" i="4"/>
  <c r="R36" i="4"/>
  <c r="R23" i="5"/>
  <c r="R27" i="5"/>
  <c r="R31" i="5"/>
  <c r="R35" i="5"/>
  <c r="E19" i="5"/>
  <c r="E21" i="5"/>
  <c r="R21" i="5" s="1"/>
  <c r="E26" i="5"/>
  <c r="R26" i="5" s="1"/>
  <c r="E28" i="5"/>
  <c r="R28" i="5" s="1"/>
  <c r="E19" i="3"/>
  <c r="E21" i="3"/>
  <c r="R21" i="3" s="1"/>
  <c r="E26" i="3"/>
  <c r="R26" i="3" s="1"/>
  <c r="E28" i="3"/>
  <c r="R28" i="3" s="1"/>
  <c r="E38" i="4" l="1"/>
  <c r="E38" i="5"/>
  <c r="E38" i="2"/>
  <c r="E38" i="3"/>
  <c r="F38" i="3" l="1"/>
  <c r="R19" i="3"/>
  <c r="R38" i="3" s="1"/>
  <c r="R39" i="3" s="1"/>
  <c r="O60" i="3" s="1"/>
  <c r="O63" i="3" s="1"/>
  <c r="Q60" i="3" s="1"/>
  <c r="F38" i="5"/>
  <c r="R19" i="5"/>
  <c r="R38" i="5" s="1"/>
  <c r="R39" i="5" s="1"/>
  <c r="O60" i="5" s="1"/>
  <c r="O63" i="5" s="1"/>
  <c r="Q60" i="5" s="1"/>
  <c r="F38" i="2"/>
  <c r="R19" i="2"/>
  <c r="R38" i="2" s="1"/>
  <c r="R39" i="2" s="1"/>
  <c r="O60" i="2" s="1"/>
  <c r="O63" i="2" s="1"/>
  <c r="Q60" i="2" s="1"/>
  <c r="F38" i="4"/>
  <c r="R19" i="4"/>
  <c r="R38" i="4" s="1"/>
  <c r="R39" i="4" s="1"/>
  <c r="O60" i="4" s="1"/>
  <c r="O63" i="4" s="1"/>
  <c r="Q60" i="4" s="1"/>
</calcChain>
</file>

<file path=xl/sharedStrings.xml><?xml version="1.0" encoding="utf-8"?>
<sst xmlns="http://schemas.openxmlformats.org/spreadsheetml/2006/main" count="984" uniqueCount="185">
  <si>
    <t>PERFORMANCE APPRAISAL PERIOD:</t>
  </si>
  <si>
    <t>FROM</t>
  </si>
  <si>
    <t>To</t>
  </si>
  <si>
    <t>SECTION 1: EMPLOYEE INFORMATION</t>
  </si>
  <si>
    <t>Surname:</t>
  </si>
  <si>
    <t>ABDULLAHI</t>
  </si>
  <si>
    <t>Firstname</t>
  </si>
  <si>
    <t>ISAH</t>
  </si>
  <si>
    <t>Othername</t>
  </si>
  <si>
    <t>ALIYU</t>
  </si>
  <si>
    <t>Designation</t>
  </si>
  <si>
    <t>AO II</t>
  </si>
  <si>
    <t>IPPIS No.</t>
  </si>
  <si>
    <t>Email</t>
  </si>
  <si>
    <t>aisah5002@gmail.com</t>
  </si>
  <si>
    <t>Phone No.</t>
  </si>
  <si>
    <t>Department</t>
  </si>
  <si>
    <t>ADMINISTRATION UNIT</t>
  </si>
  <si>
    <t>SECTION 2: SUPERVISOR INFORMATION</t>
  </si>
  <si>
    <t>NWABUA</t>
  </si>
  <si>
    <t>CHINYERE</t>
  </si>
  <si>
    <t>VIRGINIA</t>
  </si>
  <si>
    <t>ASST. CHIEF CONFIDENTIAL SECRETARY</t>
  </si>
  <si>
    <t>nwabuachinyere@gmail.com</t>
  </si>
  <si>
    <t>08033369953</t>
  </si>
  <si>
    <t>SECTION 3: COUNTER-SIGNING OFFICER'S INFORMATION</t>
  </si>
  <si>
    <t>LAWAL</t>
  </si>
  <si>
    <t>HELEN</t>
  </si>
  <si>
    <t>OBEHI</t>
  </si>
  <si>
    <t xml:space="preserve">DEPUTY DIRECTOR </t>
  </si>
  <si>
    <t>helenlawal6a@gmail.com</t>
  </si>
  <si>
    <t>SERVICOM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</si>
  <si>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</si>
  <si>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</si>
  <si>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</si>
  <si>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</si>
  <si>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</si>
  <si>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</si>
  <si>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</si>
  <si>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</si>
  <si>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</si>
  <si>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</si>
  <si>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</si>
  <si>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</si>
  <si>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</si>
  <si>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</si>
  <si>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</si>
  <si>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</si>
  <si>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</si>
  <si>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</si>
  <si>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</si>
  <si>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</si>
  <si>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</si>
  <si>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</si>
  <si>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</si>
  <si>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</si>
  <si>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</si>
  <si>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</si>
  <si>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</si>
  <si>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</si>
  <si>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</si>
  <si>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</si>
  <si>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</si>
  <si>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Records &amp; Workflow Digitization.</t>
  </si>
  <si>
    <t>Scan and digitize physical records into electronic formats</t>
  </si>
  <si>
    <t>Percentage of targeted records digitized</t>
  </si>
  <si>
    <t>&gt;50</t>
  </si>
  <si>
    <t>&lt;25</t>
  </si>
  <si>
    <t>Ensure secure storage and backup of digitized records</t>
  </si>
  <si>
    <t>Percentage of records backed up successfully</t>
  </si>
  <si>
    <t>Records &amp; Administrative Coordination</t>
  </si>
  <si>
    <t>Supervise registry operations and ensure proper filing system</t>
  </si>
  <si>
    <t>Percentage of files accurately classified and stored</t>
  </si>
  <si>
    <t>&gt;80</t>
  </si>
  <si>
    <t>&lt;50</t>
  </si>
  <si>
    <t>Coordinate movement and tracking of files across units</t>
  </si>
  <si>
    <t>Percentage of files delivered within stipulated timelines</t>
  </si>
  <si>
    <t>Maintain updated records database/register</t>
  </si>
  <si>
    <t>Percentage of records updated and retrievable within required time</t>
  </si>
  <si>
    <t>Facilitate staff and nodal officers’ document access</t>
  </si>
  <si>
    <t>Percentage of requests attended to within agreed timeframe</t>
  </si>
  <si>
    <t>Generate periodic registry reports</t>
  </si>
  <si>
    <t>Percentage of reports submitted on schedule</t>
  </si>
  <si>
    <t>&gt;90</t>
  </si>
  <si>
    <t>Service Innovation And Improvement</t>
  </si>
  <si>
    <t>Identify gaps or inefficiencies in existing service delivery processes</t>
  </si>
  <si>
    <t>Percentage of service processes reviewed vs total assigned</t>
  </si>
  <si>
    <t>Identify areas for service improvement within the unit or agency</t>
  </si>
  <si>
    <t>Number of improvement opportunities identified</t>
  </si>
  <si>
    <t>Automated Service Delivery</t>
  </si>
  <si>
    <t>Identify and prioritize routine processes for automation</t>
  </si>
  <si>
    <t>Number of Processes, Forms, and Tasks Identified for Automation</t>
  </si>
  <si>
    <t>Use official email for all formal communication, submission of media content, and correspondence</t>
  </si>
  <si>
    <t>Percentage compliance with official email usage</t>
  </si>
  <si>
    <t>Capacity Development &amp; Professional Growth,</t>
  </si>
  <si>
    <t>Participate actively in trainings, workshops, and seminars to enhance professional skills</t>
  </si>
  <si>
    <t>Percentage of assigned training sessions attended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</si>
  <si>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</si>
  <si>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</si>
  <si>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</si>
  <si>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</si>
  <si>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</si>
  <si>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</si>
  <si>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</si>
  <si>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</si>
  <si>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</si>
  <si>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</si>
  <si>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</si>
  <si>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</si>
  <si>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</si>
  <si>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</si>
  <si>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</si>
  <si>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</si>
  <si>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</si>
  <si>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</si>
  <si>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Excellent</t>
  </si>
  <si>
    <t>ii</t>
  </si>
  <si>
    <t>Very Good</t>
  </si>
  <si>
    <t>iii</t>
  </si>
  <si>
    <t>Effective Communication</t>
  </si>
  <si>
    <t>Good</t>
  </si>
  <si>
    <t>Functional Competencies</t>
  </si>
  <si>
    <t>Fair</t>
  </si>
  <si>
    <t>Poor</t>
  </si>
  <si>
    <t>Aggregrate</t>
  </si>
  <si>
    <t>Q1</t>
  </si>
  <si>
    <t>First Quarter</t>
  </si>
  <si>
    <t>Ethic and value</t>
  </si>
  <si>
    <t>Second Quarter</t>
  </si>
  <si>
    <t>Integrity</t>
  </si>
  <si>
    <t>Third Quarter</t>
  </si>
  <si>
    <t>Q4</t>
  </si>
  <si>
    <t>Fourth Quarter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</si>
  <si>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</si>
  <si>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</si>
  <si>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</si>
  <si>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</si>
  <si>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</si>
  <si>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</si>
  <si>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</si>
  <si>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</si>
  <si>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Signature</t>
  </si>
  <si>
    <t>Date</t>
  </si>
  <si>
    <t xml:space="preserve">PERFORMANCE APPRAISAL </t>
  </si>
  <si>
    <t>JANUARY 2025</t>
  </si>
  <si>
    <t>MARCH 2025</t>
  </si>
  <si>
    <t>ACHIEVEMENT</t>
  </si>
  <si>
    <t>RAW SCORE</t>
  </si>
  <si>
    <t>WEIGHTED RAW SCORE</t>
  </si>
  <si>
    <t>O -100%</t>
  </si>
  <si>
    <t>E -90%</t>
  </si>
  <si>
    <t>VG-80%</t>
  </si>
  <si>
    <t>G -70%</t>
  </si>
  <si>
    <t>F- 60%</t>
  </si>
  <si>
    <t>P - 50%</t>
  </si>
  <si>
    <t>COMPOSITE SCORE (SUM OF WEIGHTED SCORE CONVERTED TO 70%)</t>
  </si>
  <si>
    <t>TARGET</t>
  </si>
  <si>
    <t>SCORE</t>
  </si>
  <si>
    <t>Drive for Results</t>
  </si>
  <si>
    <t>Collaborating &amp; Partnering</t>
  </si>
  <si>
    <t>Policy Management</t>
  </si>
  <si>
    <t>Public Relations Management</t>
  </si>
  <si>
    <t>Information &amp; Records Management</t>
  </si>
  <si>
    <t xml:space="preserve">Inclusiveness </t>
  </si>
  <si>
    <t xml:space="preserve">Transparency &amp; Accountability </t>
  </si>
  <si>
    <t>APPRAISER RATING</t>
  </si>
  <si>
    <t>APPRAISER SCORE</t>
  </si>
  <si>
    <t xml:space="preserve">SUB-TOTAL RATING OF APPRAISEE PERFORMANCE (EXPECTATIONS AND GOALS FROM )SECTION 4 </t>
  </si>
  <si>
    <t>SUB-TOTAL RATING OF APPRAISEE PERFORMANCE (COMPETENCIES) IN SECTION 5</t>
  </si>
  <si>
    <t>SUB-TOTAL RATING OF APPRAISEE PERFORMANCE (OPERATIONS AND PROCESSES) SECTION 6</t>
  </si>
  <si>
    <t>OVERALL RATING (SECTION 4 + 5 + 6)</t>
  </si>
  <si>
    <t>What are the employee’s strengths?</t>
  </si>
  <si>
    <t>AUTOMATED SERVICE DELIVERY</t>
  </si>
  <si>
    <t>What are the employee’s areas for improvement?</t>
  </si>
  <si>
    <t>Appraisee's
 Comments:</t>
  </si>
  <si>
    <t>Supervisor's Comment</t>
  </si>
  <si>
    <t>Counter Supervisor's Comment</t>
  </si>
  <si>
    <t>Signature:</t>
  </si>
  <si>
    <t>Date:</t>
  </si>
  <si>
    <t>APRIL 2025</t>
  </si>
  <si>
    <t>JUNE 2025</t>
  </si>
  <si>
    <t>JULY 2025</t>
  </si>
  <si>
    <t>SEPTEMBER 2025</t>
  </si>
  <si>
    <t>OCTOBER 2025</t>
  </si>
  <si>
    <t>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</si>
</sst>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b/>
      <sz val="26"/>
      <name val="Century Gothic"/>
      <family val="2"/>
    </font>
    <font>
      <sz val="26"/>
      <name val="Century Gothic"/>
      <family val="2"/>
    </font>
    <font>
      <sz val="16"/>
      <color theme="1"/>
      <name val="Century Gothic"/>
      <family val="2"/>
    </font>
    <font>
      <b/>
      <sz val="80"/>
      <color theme="1"/>
      <name val="Century Gothic"/>
      <family val="2"/>
    </font>
    <font>
      <b/>
      <sz val="35"/>
      <name val="Century Gothic"/>
      <family val="2"/>
    </font>
    <font>
      <b/>
      <sz val="18"/>
      <name val="Century Gothic"/>
      <family val="2"/>
    </font>
    <font>
      <sz val="35"/>
      <color theme="1"/>
      <name val="Calibri"/>
      <family val="2"/>
      <scheme val="minor"/>
    </font>
    <font>
      <b/>
      <sz val="24"/>
      <name val="Century Gothic"/>
      <family val="2"/>
    </font>
    <font>
      <sz val="24"/>
      <name val="Century Gothic"/>
      <family val="2"/>
    </font>
    <font>
      <sz val="24"/>
      <color theme="1"/>
      <name val="Calibri"/>
      <family val="2"/>
      <scheme val="minor"/>
    </font>
    <font>
      <b/>
      <sz val="28"/>
      <name val="Century Gothic"/>
      <family val="2"/>
    </font>
    <font>
      <b/>
      <sz val="30"/>
      <name val="Century Gothic"/>
      <family val="2"/>
    </font>
    <font>
      <sz val="30"/>
      <color theme="1"/>
      <name val="Calibri"/>
      <family val="2"/>
      <scheme val="minor"/>
    </font>
    <font>
      <b/>
      <sz val="30"/>
      <color theme="1"/>
      <name val="Century Gothic"/>
      <family val="2"/>
    </font>
    <font>
      <b/>
      <sz val="30"/>
      <color theme="1"/>
      <name val="Calibri"/>
      <family val="2"/>
      <scheme val="minor"/>
    </font>
    <font>
      <sz val="35"/>
      <name val="Calibri"/>
      <family val="2"/>
      <scheme val="minor"/>
    </font>
    <font>
      <sz val="35"/>
      <name val="Century Gothic"/>
      <family val="2"/>
    </font>
    <font>
      <sz val="35"/>
      <color theme="1"/>
      <name val="Century Gothic"/>
      <family val="2"/>
    </font>
    <font>
      <b/>
      <sz val="28"/>
      <name val="Candara"/>
      <family val="2"/>
    </font>
    <font>
      <sz val="18"/>
      <color theme="1"/>
      <name val="Calibri"/>
      <family val="2"/>
      <scheme val="minor"/>
    </font>
    <font>
      <sz val="30"/>
      <color theme="1"/>
      <name val="Century Gothic"/>
      <family val="2"/>
    </font>
    <font>
      <sz val="11"/>
      <color theme="1"/>
      <name val="Calibri"/>
      <family val="2"/>
      <charset val="1"/>
      <scheme val="minor"/>
    </font>
    <font>
      <sz val="25"/>
      <color theme="1"/>
      <name val="Century Gothic"/>
      <family val="2"/>
    </font>
    <font>
      <sz val="16"/>
      <color theme="1"/>
      <name val="Calibri"/>
      <family val="2"/>
      <scheme val="minor"/>
    </font>
    <font>
      <sz val="34"/>
      <color theme="1"/>
      <name val="Century Gothic"/>
      <family val="2"/>
    </font>
    <font>
      <b/>
      <sz val="34"/>
      <color theme="1" tint="4.9989318521683403E-2"/>
      <name val="Century Gothic"/>
      <family val="2"/>
    </font>
    <font>
      <sz val="34"/>
      <color theme="1" tint="4.9989318521683403E-2"/>
      <name val="Century Gothic"/>
      <family val="2"/>
    </font>
    <font>
      <b/>
      <sz val="34"/>
      <color theme="1"/>
      <name val="Calibri"/>
      <family val="2"/>
      <scheme val="minor"/>
    </font>
    <font>
      <sz val="28"/>
      <color theme="1" tint="4.9989318521683403E-2"/>
      <name val="Century Gothic"/>
      <family val="2"/>
    </font>
    <font>
      <b/>
      <sz val="16"/>
      <color theme="1"/>
      <name val="Calibri"/>
      <family val="2"/>
      <scheme val="minor"/>
    </font>
    <font>
      <b/>
      <sz val="28"/>
      <color theme="1" tint="4.9989318521683403E-2"/>
      <name val="Century Gothic"/>
      <family val="2"/>
    </font>
    <font>
      <b/>
      <sz val="35"/>
      <color theme="0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28"/>
      <name val="Century Gothic"/>
      <family val="2"/>
    </font>
    <font>
      <b/>
      <sz val="28"/>
      <color theme="1"/>
      <name val="Calibri"/>
      <family val="2"/>
      <scheme val="minor"/>
    </font>
    <font>
      <sz val="28"/>
      <color theme="1"/>
      <name val="Century Gothic"/>
      <family val="2"/>
    </font>
    <font>
      <b/>
      <sz val="28"/>
      <name val="Bahnschrift"/>
      <family val="2"/>
    </font>
    <font>
      <b/>
      <sz val="28"/>
      <color theme="0"/>
      <name val="Century Gothic"/>
      <family val="2"/>
    </font>
    <font>
      <b/>
      <sz val="35"/>
      <name val="Calibri"/>
      <family val="2"/>
    </font>
    <font>
      <b/>
      <sz val="60"/>
      <name val="Calibri"/>
      <family val="2"/>
    </font>
    <font>
      <sz val="35"/>
      <name val="Calibri"/>
      <family val="2"/>
    </font>
    <font>
      <u/>
      <sz val="30"/>
      <color theme="10"/>
      <name val="Calibri"/>
      <family val="2"/>
      <charset val="1"/>
      <scheme val="minor"/>
    </font>
    <font>
      <u/>
      <sz val="30"/>
      <color theme="1"/>
      <name val="Calibri"/>
      <family val="2"/>
      <charset val="1"/>
      <scheme val="minor"/>
    </font>
    <font>
      <u/>
      <sz val="3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F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9" fontId="1" fillId="0" borderId="0" applyFont="0" applyFill="0" applyBorder="0" applyAlignment="0" applyProtection="0"/>
  </cellStyleXfs>
  <cellXfs count="296">
    <xf numFmtId="0" fontId="0" fillId="0" borderId="0" xfId="0"/>
    <xf numFmtId="0" fontId="8" fillId="0" borderId="16" xfId="8" applyFont="1" applyBorder="1" applyAlignment="1">
      <alignment horizontal="center" vertical="center"/>
    </xf>
    <xf numFmtId="0" fontId="8" fillId="0" borderId="17" xfId="8" applyFont="1" applyBorder="1" applyAlignment="1">
      <alignment horizontal="center" vertical="center"/>
    </xf>
    <xf numFmtId="0" fontId="8" fillId="0" borderId="18" xfId="8" applyFont="1" applyBorder="1" applyAlignment="1">
      <alignment horizontal="center" vertical="center"/>
    </xf>
    <xf numFmtId="0" fontId="1" fillId="0" borderId="0" xfId="8" applyAlignment="1">
      <alignment vertical="top"/>
    </xf>
    <xf numFmtId="0" fontId="8" fillId="0" borderId="19" xfId="8" applyFont="1" applyBorder="1" applyAlignment="1">
      <alignment horizontal="center" vertical="center"/>
    </xf>
    <xf numFmtId="0" fontId="8" fillId="0" borderId="0" xfId="8" applyFont="1" applyAlignment="1">
      <alignment horizontal="center" vertical="center"/>
    </xf>
    <xf numFmtId="0" fontId="8" fillId="0" borderId="20" xfId="8" applyFont="1" applyBorder="1" applyAlignment="1">
      <alignment horizontal="center" vertical="center"/>
    </xf>
    <xf numFmtId="0" fontId="9" fillId="2" borderId="16" xfId="8" applyFont="1" applyFill="1" applyBorder="1" applyAlignment="1">
      <alignment horizontal="left" vertical="top" wrapText="1"/>
    </xf>
    <xf numFmtId="0" fontId="9" fillId="2" borderId="17" xfId="8" applyFont="1" applyFill="1" applyBorder="1" applyAlignment="1">
      <alignment horizontal="left" vertical="top" wrapText="1"/>
    </xf>
    <xf numFmtId="0" fontId="10" fillId="2" borderId="16" xfId="8" applyFont="1" applyFill="1" applyBorder="1" applyAlignment="1">
      <alignment horizontal="center" vertical="top" wrapText="1"/>
    </xf>
    <xf numFmtId="0" fontId="10" fillId="2" borderId="17" xfId="8" applyFont="1" applyFill="1" applyBorder="1" applyAlignment="1">
      <alignment horizontal="center" vertical="top" wrapText="1"/>
    </xf>
    <xf numFmtId="0" fontId="10" fillId="2" borderId="18" xfId="8" applyFont="1" applyFill="1" applyBorder="1" applyAlignment="1">
      <alignment horizontal="center" vertical="top" wrapText="1"/>
    </xf>
    <xf numFmtId="0" fontId="11" fillId="0" borderId="0" xfId="8" applyFont="1" applyAlignment="1">
      <alignment vertical="top"/>
    </xf>
    <xf numFmtId="0" fontId="12" fillId="3" borderId="19" xfId="2" applyFont="1" applyFill="1" applyBorder="1" applyAlignment="1">
      <alignment vertical="center"/>
    </xf>
    <xf numFmtId="49" fontId="12" fillId="4" borderId="0" xfId="2" applyNumberFormat="1" applyFont="1" applyFill="1" applyAlignment="1">
      <alignment vertical="center"/>
    </xf>
    <xf numFmtId="0" fontId="12" fillId="3" borderId="0" xfId="2" applyFont="1" applyFill="1" applyAlignment="1">
      <alignment horizontal="center" vertical="center"/>
    </xf>
    <xf numFmtId="49" fontId="12" fillId="0" borderId="9" xfId="2" applyNumberFormat="1" applyFont="1" applyBorder="1" applyAlignment="1">
      <alignment horizontal="center"/>
    </xf>
    <xf numFmtId="0" fontId="13" fillId="2" borderId="0" xfId="2" applyFont="1" applyFill="1" applyAlignment="1">
      <alignment horizontal="center"/>
    </xf>
    <xf numFmtId="0" fontId="13" fillId="2" borderId="0" xfId="2" applyFont="1" applyFill="1" applyAlignment="1">
      <alignment horizontal="center"/>
    </xf>
    <xf numFmtId="0" fontId="14" fillId="2" borderId="0" xfId="2" applyFont="1" applyFill="1"/>
    <xf numFmtId="0" fontId="10" fillId="2" borderId="19" xfId="8" applyFont="1" applyFill="1" applyBorder="1" applyAlignment="1">
      <alignment horizontal="center" vertical="top" wrapText="1"/>
    </xf>
    <xf numFmtId="0" fontId="10" fillId="2" borderId="0" xfId="8" applyFont="1" applyFill="1" applyAlignment="1">
      <alignment horizontal="center" vertical="top" wrapText="1"/>
    </xf>
    <xf numFmtId="0" fontId="10" fillId="2" borderId="20" xfId="8" applyFont="1" applyFill="1" applyBorder="1" applyAlignment="1">
      <alignment horizontal="center" vertical="top" wrapText="1"/>
    </xf>
    <xf numFmtId="0" fontId="14" fillId="0" borderId="0" xfId="2" applyFont="1"/>
    <xf numFmtId="0" fontId="15" fillId="2" borderId="19" xfId="9" applyFont="1" applyFill="1" applyBorder="1" applyAlignment="1">
      <alignment horizontal="left"/>
    </xf>
    <xf numFmtId="0" fontId="15" fillId="2" borderId="0" xfId="9" applyFont="1" applyFill="1" applyAlignment="1">
      <alignment horizontal="left"/>
    </xf>
    <xf numFmtId="0" fontId="15" fillId="2" borderId="0" xfId="9" applyFont="1" applyFill="1" applyAlignment="1">
      <alignment horizontal="left"/>
    </xf>
    <xf numFmtId="0" fontId="3" fillId="2" borderId="0" xfId="9" applyFont="1" applyFill="1"/>
    <xf numFmtId="0" fontId="3" fillId="0" borderId="0" xfId="9" applyFont="1"/>
    <xf numFmtId="0" fontId="18" fillId="2" borderId="0" xfId="2" applyFont="1" applyFill="1" applyAlignment="1">
      <alignment horizontal="left"/>
    </xf>
    <xf numFmtId="0" fontId="18" fillId="2" borderId="0" xfId="2" applyFont="1" applyFill="1" applyAlignment="1">
      <alignment horizontal="left"/>
    </xf>
    <xf numFmtId="0" fontId="19" fillId="0" borderId="0" xfId="2" applyFont="1" applyAlignment="1">
      <alignment horizontal="left"/>
    </xf>
    <xf numFmtId="0" fontId="18" fillId="3" borderId="0" xfId="5" applyFont="1" applyFill="1" applyAlignment="1">
      <alignment horizontal="left" vertical="center"/>
    </xf>
    <xf numFmtId="0" fontId="18" fillId="3" borderId="5" xfId="5" applyFont="1" applyFill="1" applyBorder="1" applyAlignment="1">
      <alignment horizontal="left" vertical="center"/>
    </xf>
    <xf numFmtId="0" fontId="18" fillId="0" borderId="8" xfId="5" applyFont="1" applyBorder="1" applyAlignment="1">
      <alignment horizontal="left"/>
    </xf>
    <xf numFmtId="0" fontId="18" fillId="3" borderId="10" xfId="5" applyFont="1" applyFill="1" applyBorder="1" applyAlignment="1">
      <alignment horizontal="left"/>
    </xf>
    <xf numFmtId="0" fontId="18" fillId="3" borderId="6" xfId="5" applyFont="1" applyFill="1" applyBorder="1" applyAlignment="1">
      <alignment horizontal="left"/>
    </xf>
    <xf numFmtId="0" fontId="18" fillId="0" borderId="6" xfId="5" applyFont="1" applyBorder="1" applyAlignment="1">
      <alignment horizontal="left"/>
    </xf>
    <xf numFmtId="0" fontId="18" fillId="0" borderId="7" xfId="6" applyFont="1" applyBorder="1" applyAlignment="1">
      <alignment horizontal="left"/>
    </xf>
    <xf numFmtId="0" fontId="18" fillId="0" borderId="8" xfId="6" applyFont="1" applyBorder="1" applyAlignment="1">
      <alignment horizontal="left"/>
    </xf>
    <xf numFmtId="0" fontId="17" fillId="0" borderId="0" xfId="5" applyFont="1"/>
    <xf numFmtId="0" fontId="18" fillId="3" borderId="0" xfId="5" applyFont="1" applyFill="1" applyAlignment="1">
      <alignment horizontal="left"/>
    </xf>
    <xf numFmtId="0" fontId="18" fillId="3" borderId="5" xfId="5" applyFont="1" applyFill="1" applyBorder="1" applyAlignment="1">
      <alignment horizontal="left"/>
    </xf>
    <xf numFmtId="0" fontId="18" fillId="0" borderId="11" xfId="5" applyFont="1" applyBorder="1" applyAlignment="1">
      <alignment horizontal="left"/>
    </xf>
    <xf numFmtId="0" fontId="18" fillId="3" borderId="12" xfId="5" applyFont="1" applyFill="1" applyBorder="1" applyAlignment="1">
      <alignment horizontal="left"/>
    </xf>
    <xf numFmtId="0" fontId="18" fillId="3" borderId="9" xfId="5" applyFont="1" applyFill="1" applyBorder="1" applyAlignment="1">
      <alignment horizontal="left"/>
    </xf>
    <xf numFmtId="0" fontId="18" fillId="0" borderId="9" xfId="6" applyFont="1" applyBorder="1" applyAlignment="1">
      <alignment horizontal="left"/>
    </xf>
    <xf numFmtId="0" fontId="18" fillId="0" borderId="11" xfId="6" applyFont="1" applyBorder="1" applyAlignment="1">
      <alignment horizontal="left"/>
    </xf>
    <xf numFmtId="0" fontId="20" fillId="2" borderId="19" xfId="2" applyFont="1" applyFill="1" applyBorder="1"/>
    <xf numFmtId="0" fontId="20" fillId="2" borderId="0" xfId="2" applyFont="1" applyFill="1"/>
    <xf numFmtId="0" fontId="21" fillId="2" borderId="0" xfId="2" applyFont="1" applyFill="1" applyAlignment="1">
      <alignment horizontal="center"/>
    </xf>
    <xf numFmtId="0" fontId="10" fillId="2" borderId="21" xfId="8" applyFont="1" applyFill="1" applyBorder="1" applyAlignment="1">
      <alignment horizontal="center" vertical="top" wrapText="1"/>
    </xf>
    <xf numFmtId="0" fontId="10" fillId="2" borderId="22" xfId="8" applyFont="1" applyFill="1" applyBorder="1" applyAlignment="1">
      <alignment horizontal="center" vertical="top" wrapText="1"/>
    </xf>
    <xf numFmtId="0" fontId="10" fillId="2" borderId="23" xfId="8" applyFont="1" applyFill="1" applyBorder="1" applyAlignment="1">
      <alignment horizontal="center" vertical="top" wrapText="1"/>
    </xf>
    <xf numFmtId="0" fontId="11" fillId="0" borderId="0" xfId="2" applyFont="1"/>
    <xf numFmtId="0" fontId="9" fillId="3" borderId="24" xfId="2" applyFont="1" applyFill="1" applyBorder="1" applyAlignment="1">
      <alignment horizontal="left"/>
    </xf>
    <xf numFmtId="0" fontId="9" fillId="3" borderId="2" xfId="2" applyFont="1" applyFill="1" applyBorder="1" applyAlignment="1">
      <alignment horizontal="left"/>
    </xf>
    <xf numFmtId="0" fontId="9" fillId="3" borderId="0" xfId="2" applyFont="1" applyFill="1" applyAlignment="1">
      <alignment horizontal="left"/>
    </xf>
    <xf numFmtId="0" fontId="21" fillId="3" borderId="0" xfId="2" applyFont="1" applyFill="1"/>
    <xf numFmtId="0" fontId="22" fillId="3" borderId="0" xfId="2" applyFont="1" applyFill="1"/>
    <xf numFmtId="0" fontId="11" fillId="3" borderId="0" xfId="2" applyFont="1" applyFill="1"/>
    <xf numFmtId="0" fontId="11" fillId="3" borderId="20" xfId="2" applyFont="1" applyFill="1" applyBorder="1"/>
    <xf numFmtId="0" fontId="5" fillId="2" borderId="25" xfId="2" applyFont="1" applyFill="1" applyBorder="1" applyAlignment="1">
      <alignment horizontal="center" vertical="center"/>
    </xf>
    <xf numFmtId="0" fontId="5" fillId="2" borderId="15" xfId="2" applyFont="1" applyFill="1" applyBorder="1" applyAlignment="1">
      <alignment horizontal="center" vertical="center"/>
    </xf>
    <xf numFmtId="0" fontId="5" fillId="2" borderId="14" xfId="2" applyFont="1" applyFill="1" applyBorder="1" applyAlignment="1">
      <alignment horizontal="center" vertical="center"/>
    </xf>
    <xf numFmtId="0" fontId="5" fillId="2" borderId="14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/>
    </xf>
    <xf numFmtId="0" fontId="23" fillId="2" borderId="9" xfId="8" applyFont="1" applyFill="1" applyBorder="1" applyAlignment="1">
      <alignment horizontal="center" vertical="center" wrapText="1"/>
    </xf>
    <xf numFmtId="0" fontId="23" fillId="2" borderId="13" xfId="8" applyFont="1" applyFill="1" applyBorder="1" applyAlignment="1">
      <alignment horizontal="center" vertical="center" wrapText="1"/>
    </xf>
    <xf numFmtId="0" fontId="23" fillId="2" borderId="11" xfId="8" applyFont="1" applyFill="1" applyBorder="1" applyAlignment="1">
      <alignment horizontal="center" vertical="center" wrapText="1"/>
    </xf>
    <xf numFmtId="0" fontId="23" fillId="2" borderId="14" xfId="8" applyFont="1" applyFill="1" applyBorder="1" applyAlignment="1">
      <alignment horizontal="center" vertical="center" wrapText="1"/>
    </xf>
    <xf numFmtId="2" fontId="23" fillId="2" borderId="26" xfId="8" applyNumberFormat="1" applyFont="1" applyFill="1" applyBorder="1" applyAlignment="1">
      <alignment horizontal="center" vertical="center" wrapText="1"/>
    </xf>
    <xf numFmtId="0" fontId="24" fillId="0" borderId="0" xfId="8" applyFont="1" applyAlignment="1">
      <alignment vertical="top"/>
    </xf>
    <xf numFmtId="0" fontId="5" fillId="2" borderId="27" xfId="2" applyFont="1" applyFill="1" applyBorder="1" applyAlignment="1">
      <alignment horizontal="center" vertical="center"/>
    </xf>
    <xf numFmtId="0" fontId="5" fillId="2" borderId="15" xfId="2" applyFont="1" applyFill="1" applyBorder="1" applyAlignment="1">
      <alignment horizontal="center" vertical="center" wrapText="1"/>
    </xf>
    <xf numFmtId="0" fontId="5" fillId="2" borderId="4" xfId="2" applyFont="1" applyFill="1" applyBorder="1" applyAlignment="1">
      <alignment horizontal="center" vertical="center"/>
    </xf>
    <xf numFmtId="0" fontId="23" fillId="2" borderId="14" xfId="8" applyFont="1" applyFill="1" applyBorder="1" applyAlignment="1">
      <alignment horizontal="center" vertical="center"/>
    </xf>
    <xf numFmtId="0" fontId="23" fillId="2" borderId="14" xfId="8" applyFont="1" applyFill="1" applyBorder="1" applyAlignment="1">
      <alignment horizontal="center" vertical="center" wrapText="1"/>
    </xf>
    <xf numFmtId="0" fontId="23" fillId="2" borderId="10" xfId="8" applyFont="1" applyFill="1" applyBorder="1" applyAlignment="1">
      <alignment horizontal="center" vertical="center" wrapText="1"/>
    </xf>
    <xf numFmtId="2" fontId="23" fillId="2" borderId="28" xfId="8" applyNumberFormat="1" applyFont="1" applyFill="1" applyBorder="1" applyAlignment="1">
      <alignment horizontal="center" vertical="center" wrapText="1"/>
    </xf>
    <xf numFmtId="0" fontId="25" fillId="0" borderId="12" xfId="2" applyFont="1" applyBorder="1" applyAlignment="1">
      <alignment vertical="center"/>
    </xf>
    <xf numFmtId="0" fontId="25" fillId="0" borderId="12" xfId="2" applyFont="1" applyBorder="1" applyAlignment="1">
      <alignment vertical="center" wrapText="1"/>
    </xf>
    <xf numFmtId="2" fontId="25" fillId="0" borderId="12" xfId="0" applyNumberFormat="1" applyFont="1" applyBorder="1" applyAlignment="1">
      <alignment horizontal="center" vertical="center"/>
    </xf>
    <xf numFmtId="0" fontId="25" fillId="0" borderId="12" xfId="2" applyFont="1" applyBorder="1" applyAlignment="1">
      <alignment horizontal="left" vertical="center" wrapText="1"/>
    </xf>
    <xf numFmtId="9" fontId="25" fillId="0" borderId="12" xfId="2" applyNumberFormat="1" applyFont="1" applyBorder="1" applyAlignment="1">
      <alignment horizontal="center" vertical="center" wrapText="1"/>
    </xf>
    <xf numFmtId="0" fontId="25" fillId="0" borderId="12" xfId="7" applyFont="1" applyBorder="1" applyAlignment="1">
      <alignment horizontal="center" vertical="center" wrapText="1"/>
    </xf>
    <xf numFmtId="0" fontId="25" fillId="0" borderId="12" xfId="8" applyFont="1" applyBorder="1" applyAlignment="1">
      <alignment horizontal="center" vertical="center" wrapText="1"/>
    </xf>
    <xf numFmtId="0" fontId="17" fillId="0" borderId="12" xfId="8" applyFont="1" applyBorder="1" applyAlignment="1">
      <alignment horizontal="center" vertical="center"/>
    </xf>
    <xf numFmtId="0" fontId="27" fillId="0" borderId="12" xfId="11" applyFont="1" applyBorder="1" applyAlignment="1">
      <alignment horizontal="center" vertical="center"/>
    </xf>
    <xf numFmtId="0" fontId="4" fillId="2" borderId="12" xfId="8" applyFont="1" applyFill="1" applyBorder="1" applyAlignment="1">
      <alignment horizontal="center" vertical="center"/>
    </xf>
    <xf numFmtId="2" fontId="4" fillId="2" borderId="12" xfId="8" applyNumberFormat="1" applyFont="1" applyFill="1" applyBorder="1" applyAlignment="1">
      <alignment horizontal="center" vertical="center"/>
    </xf>
    <xf numFmtId="0" fontId="28" fillId="0" borderId="0" xfId="8" applyFont="1" applyAlignment="1">
      <alignment horizontal="left" vertical="top" wrapText="1"/>
    </xf>
    <xf numFmtId="0" fontId="25" fillId="0" borderId="12" xfId="2" applyFont="1" applyBorder="1" applyAlignment="1">
      <alignment horizontal="center" vertical="center"/>
    </xf>
    <xf numFmtId="9" fontId="25" fillId="0" borderId="12" xfId="2" applyNumberFormat="1" applyFont="1" applyBorder="1" applyAlignment="1">
      <alignment horizontal="center" vertical="center"/>
    </xf>
    <xf numFmtId="2" fontId="25" fillId="0" borderId="12" xfId="2" applyNumberFormat="1" applyFont="1" applyBorder="1" applyAlignment="1">
      <alignment vertical="center" wrapText="1"/>
    </xf>
    <xf numFmtId="2" fontId="25" fillId="0" borderId="12" xfId="2" applyNumberFormat="1" applyFont="1" applyBorder="1" applyAlignment="1">
      <alignment horizontal="center" vertical="center" wrapText="1"/>
    </xf>
    <xf numFmtId="0" fontId="29" fillId="0" borderId="29" xfId="12" applyFont="1" applyBorder="1" applyAlignment="1">
      <alignment horizontal="center" vertical="center"/>
    </xf>
    <xf numFmtId="0" fontId="30" fillId="0" borderId="10" xfId="8" applyFont="1" applyBorder="1" applyAlignment="1">
      <alignment horizontal="center" vertical="center" wrapText="1"/>
    </xf>
    <xf numFmtId="2" fontId="30" fillId="0" borderId="10" xfId="8" applyNumberFormat="1" applyFont="1" applyBorder="1" applyAlignment="1">
      <alignment horizontal="center" vertical="center" wrapText="1"/>
    </xf>
    <xf numFmtId="2" fontId="29" fillId="0" borderId="10" xfId="12" applyNumberFormat="1" applyFont="1" applyBorder="1" applyAlignment="1">
      <alignment horizontal="left" vertical="center" wrapText="1"/>
    </xf>
    <xf numFmtId="9" fontId="29" fillId="0" borderId="10" xfId="12" applyNumberFormat="1" applyFont="1" applyBorder="1" applyAlignment="1">
      <alignment horizontal="center" vertical="center"/>
    </xf>
    <xf numFmtId="0" fontId="31" fillId="0" borderId="6" xfId="9" applyFont="1" applyBorder="1" applyAlignment="1">
      <alignment vertical="center"/>
    </xf>
    <xf numFmtId="49" fontId="31" fillId="0" borderId="7" xfId="9" applyNumberFormat="1" applyFont="1" applyBorder="1" applyAlignment="1">
      <alignment horizontal="center" vertical="center"/>
    </xf>
    <xf numFmtId="0" fontId="30" fillId="0" borderId="13" xfId="8" applyFont="1" applyBorder="1" applyAlignment="1" applyProtection="1">
      <alignment horizontal="center" vertical="center"/>
      <protection locked="0"/>
    </xf>
    <xf numFmtId="2" fontId="32" fillId="2" borderId="12" xfId="8" applyNumberFormat="1" applyFont="1" applyFill="1" applyBorder="1" applyAlignment="1">
      <alignment horizontal="center" vertical="center"/>
    </xf>
    <xf numFmtId="2" fontId="32" fillId="2" borderId="30" xfId="8" applyNumberFormat="1" applyFont="1" applyFill="1" applyBorder="1" applyAlignment="1">
      <alignment horizontal="center" vertical="center"/>
    </xf>
    <xf numFmtId="0" fontId="28" fillId="0" borderId="0" xfId="13" applyFont="1" applyAlignment="1">
      <alignment horizontal="left" vertical="top" wrapText="1"/>
    </xf>
    <xf numFmtId="0" fontId="33" fillId="0" borderId="31" xfId="8" applyFont="1" applyBorder="1" applyAlignment="1">
      <alignment vertical="center" wrapText="1"/>
    </xf>
    <xf numFmtId="0" fontId="34" fillId="0" borderId="0" xfId="8" applyFont="1" applyAlignment="1">
      <alignment vertical="top" wrapText="1"/>
    </xf>
    <xf numFmtId="0" fontId="35" fillId="0" borderId="10" xfId="8" applyFont="1" applyBorder="1" applyAlignment="1">
      <alignment horizontal="center" vertical="center" wrapText="1"/>
    </xf>
    <xf numFmtId="0" fontId="36" fillId="5" borderId="9" xfId="8" applyFont="1" applyFill="1" applyBorder="1" applyAlignment="1">
      <alignment horizontal="center"/>
    </xf>
    <xf numFmtId="0" fontId="36" fillId="5" borderId="13" xfId="8" applyFont="1" applyFill="1" applyBorder="1" applyAlignment="1">
      <alignment horizontal="center"/>
    </xf>
    <xf numFmtId="0" fontId="36" fillId="5" borderId="11" xfId="8" applyFont="1" applyFill="1" applyBorder="1" applyAlignment="1">
      <alignment horizontal="center"/>
    </xf>
    <xf numFmtId="2" fontId="37" fillId="6" borderId="30" xfId="14" applyNumberFormat="1" applyFont="1" applyFill="1" applyBorder="1" applyAlignment="1" applyProtection="1">
      <alignment horizontal="center"/>
    </xf>
    <xf numFmtId="0" fontId="15" fillId="2" borderId="24" xfId="8" applyFont="1" applyFill="1" applyBorder="1" applyAlignment="1">
      <alignment horizontal="right" vertical="top" wrapText="1"/>
    </xf>
    <xf numFmtId="0" fontId="15" fillId="2" borderId="2" xfId="8" applyFont="1" applyFill="1" applyBorder="1" applyAlignment="1">
      <alignment horizontal="right" vertical="top" wrapText="1"/>
    </xf>
    <xf numFmtId="0" fontId="15" fillId="2" borderId="3" xfId="8" applyFont="1" applyFill="1" applyBorder="1" applyAlignment="1">
      <alignment horizontal="right" vertical="top" wrapText="1"/>
    </xf>
    <xf numFmtId="0" fontId="15" fillId="2" borderId="12" xfId="8" applyFont="1" applyFill="1" applyBorder="1" applyAlignment="1">
      <alignment horizontal="center" vertical="top" wrapText="1"/>
    </xf>
    <xf numFmtId="0" fontId="23" fillId="2" borderId="2" xfId="8" applyFont="1" applyFill="1" applyBorder="1" applyAlignment="1">
      <alignment horizontal="center" vertical="top" wrapText="1"/>
    </xf>
    <xf numFmtId="0" fontId="23" fillId="2" borderId="8" xfId="8" applyFont="1" applyFill="1" applyBorder="1" applyAlignment="1">
      <alignment horizontal="center" vertical="top" wrapText="1"/>
    </xf>
    <xf numFmtId="0" fontId="3" fillId="3" borderId="0" xfId="8" applyFont="1" applyFill="1" applyAlignment="1">
      <alignment horizontal="center"/>
    </xf>
    <xf numFmtId="2" fontId="3" fillId="3" borderId="20" xfId="8" applyNumberFormat="1" applyFont="1" applyFill="1" applyBorder="1" applyAlignment="1">
      <alignment horizontal="center"/>
    </xf>
    <xf numFmtId="0" fontId="28" fillId="0" borderId="0" xfId="8" applyFont="1" applyAlignment="1">
      <alignment vertical="top" wrapText="1"/>
    </xf>
    <xf numFmtId="0" fontId="3" fillId="2" borderId="19" xfId="8" applyFont="1" applyFill="1" applyBorder="1" applyAlignment="1">
      <alignment horizontal="right" vertical="top" wrapText="1"/>
    </xf>
    <xf numFmtId="0" fontId="38" fillId="2" borderId="0" xfId="8" applyFont="1" applyFill="1" applyAlignment="1">
      <alignment horizontal="right" vertical="top" wrapText="1"/>
    </xf>
    <xf numFmtId="0" fontId="15" fillId="3" borderId="0" xfId="8" applyFont="1" applyFill="1" applyAlignment="1">
      <alignment horizontal="right" vertical="top" wrapText="1"/>
    </xf>
    <xf numFmtId="0" fontId="15" fillId="2" borderId="0" xfId="8" applyFont="1" applyFill="1" applyAlignment="1">
      <alignment horizontal="center" vertical="top" wrapText="1"/>
    </xf>
    <xf numFmtId="0" fontId="15" fillId="2" borderId="5" xfId="8" applyFont="1" applyFill="1" applyBorder="1" applyAlignment="1">
      <alignment horizontal="center" vertical="top" wrapText="1"/>
    </xf>
    <xf numFmtId="0" fontId="23" fillId="2" borderId="7" xfId="8" applyFont="1" applyFill="1" applyBorder="1" applyAlignment="1">
      <alignment horizontal="center" vertical="top" wrapText="1"/>
    </xf>
    <xf numFmtId="0" fontId="39" fillId="2" borderId="12" xfId="8" applyFont="1" applyFill="1" applyBorder="1" applyAlignment="1">
      <alignment horizontal="center" vertical="top" wrapText="1"/>
    </xf>
    <xf numFmtId="0" fontId="5" fillId="0" borderId="29" xfId="2" applyFont="1" applyBorder="1" applyAlignment="1">
      <alignment horizontal="center" vertical="center"/>
    </xf>
    <xf numFmtId="0" fontId="5" fillId="0" borderId="12" xfId="2" applyFont="1" applyBorder="1" applyAlignment="1">
      <alignment horizontal="left" vertical="center"/>
    </xf>
    <xf numFmtId="0" fontId="6" fillId="0" borderId="6" xfId="2" applyFont="1" applyBorder="1" applyAlignment="1">
      <alignment vertical="center"/>
    </xf>
    <xf numFmtId="0" fontId="6" fillId="0" borderId="7" xfId="2" applyFont="1" applyBorder="1" applyAlignment="1">
      <alignment vertical="center"/>
    </xf>
    <xf numFmtId="0" fontId="6" fillId="0" borderId="8" xfId="2" applyFont="1" applyBorder="1" applyAlignment="1">
      <alignment vertical="center"/>
    </xf>
    <xf numFmtId="0" fontId="40" fillId="0" borderId="10" xfId="8" applyFont="1" applyBorder="1" applyAlignment="1">
      <alignment horizontal="center" vertical="top" wrapText="1"/>
    </xf>
    <xf numFmtId="0" fontId="3" fillId="3" borderId="0" xfId="8" applyFont="1" applyFill="1" applyAlignment="1">
      <alignment horizontal="center" vertical="top" wrapText="1"/>
    </xf>
    <xf numFmtId="0" fontId="41" fillId="2" borderId="12" xfId="8" applyFont="1" applyFill="1" applyBorder="1" applyAlignment="1">
      <alignment horizontal="center" vertical="top" wrapText="1"/>
    </xf>
    <xf numFmtId="0" fontId="39" fillId="2" borderId="9" xfId="8" applyFont="1" applyFill="1" applyBorder="1" applyAlignment="1">
      <alignment horizontal="left" vertical="top" wrapText="1"/>
    </xf>
    <xf numFmtId="0" fontId="39" fillId="2" borderId="11" xfId="8" applyFont="1" applyFill="1" applyBorder="1" applyAlignment="1">
      <alignment horizontal="left" vertical="top" wrapText="1"/>
    </xf>
    <xf numFmtId="0" fontId="6" fillId="0" borderId="31" xfId="2" applyFont="1" applyBorder="1" applyAlignment="1">
      <alignment horizontal="center" vertical="center"/>
    </xf>
    <xf numFmtId="0" fontId="6" fillId="0" borderId="12" xfId="2" applyFont="1" applyBorder="1" applyAlignment="1">
      <alignment vertical="center" wrapText="1"/>
    </xf>
    <xf numFmtId="0" fontId="38" fillId="0" borderId="9" xfId="11" applyFont="1" applyBorder="1" applyAlignment="1">
      <alignment horizontal="left" vertical="center" wrapText="1"/>
    </xf>
    <xf numFmtId="0" fontId="38" fillId="0" borderId="13" xfId="11" applyFont="1" applyBorder="1" applyAlignment="1">
      <alignment horizontal="left" vertical="center" wrapText="1"/>
    </xf>
    <xf numFmtId="0" fontId="38" fillId="0" borderId="11" xfId="11" applyFont="1" applyBorder="1" applyAlignment="1">
      <alignment horizontal="left" vertical="center" wrapText="1"/>
    </xf>
    <xf numFmtId="0" fontId="40" fillId="0" borderId="12" xfId="8" applyFont="1" applyBorder="1" applyAlignment="1">
      <alignment horizontal="center" vertical="top" wrapText="1"/>
    </xf>
    <xf numFmtId="0" fontId="40" fillId="0" borderId="12" xfId="8" applyFont="1" applyBorder="1" applyAlignment="1" applyProtection="1">
      <alignment horizontal="center" vertical="top" wrapText="1"/>
      <protection locked="0"/>
    </xf>
    <xf numFmtId="0" fontId="5" fillId="0" borderId="31" xfId="2" applyFont="1" applyBorder="1" applyAlignment="1">
      <alignment horizontal="center" vertical="center"/>
    </xf>
    <xf numFmtId="0" fontId="5" fillId="0" borderId="12" xfId="2" applyFont="1" applyBorder="1" applyAlignment="1">
      <alignment horizontal="left" vertical="center" wrapText="1"/>
    </xf>
    <xf numFmtId="0" fontId="6" fillId="0" borderId="9" xfId="2" applyFont="1" applyBorder="1" applyAlignment="1">
      <alignment vertical="center"/>
    </xf>
    <xf numFmtId="0" fontId="6" fillId="0" borderId="13" xfId="2" applyFont="1" applyBorder="1" applyAlignment="1">
      <alignment vertical="center"/>
    </xf>
    <xf numFmtId="0" fontId="6" fillId="0" borderId="11" xfId="2" applyFont="1" applyBorder="1" applyAlignment="1">
      <alignment vertical="center"/>
    </xf>
    <xf numFmtId="0" fontId="6" fillId="0" borderId="12" xfId="2" applyFont="1" applyBorder="1" applyAlignment="1">
      <alignment horizontal="left" vertical="center" wrapText="1"/>
    </xf>
    <xf numFmtId="0" fontId="38" fillId="0" borderId="9" xfId="11" applyFont="1" applyBorder="1" applyAlignment="1">
      <alignment vertical="center" wrapText="1"/>
    </xf>
    <xf numFmtId="0" fontId="38" fillId="0" borderId="13" xfId="11" applyFont="1" applyBorder="1" applyAlignment="1">
      <alignment vertical="center" wrapText="1"/>
    </xf>
    <xf numFmtId="0" fontId="38" fillId="0" borderId="11" xfId="11" applyFont="1" applyBorder="1" applyAlignment="1">
      <alignment vertical="center" wrapText="1"/>
    </xf>
    <xf numFmtId="0" fontId="39" fillId="2" borderId="11" xfId="8" applyFont="1" applyFill="1" applyBorder="1" applyAlignment="1">
      <alignment horizontal="center" vertical="top" wrapText="1"/>
    </xf>
    <xf numFmtId="0" fontId="39" fillId="2" borderId="9" xfId="8" applyFont="1" applyFill="1" applyBorder="1" applyAlignment="1">
      <alignment horizontal="left" vertical="top" wrapText="1"/>
    </xf>
    <xf numFmtId="0" fontId="39" fillId="2" borderId="11" xfId="8" applyFont="1" applyFill="1" applyBorder="1" applyAlignment="1">
      <alignment horizontal="left" vertical="top" wrapText="1"/>
    </xf>
    <xf numFmtId="0" fontId="6" fillId="0" borderId="9" xfId="2" applyFont="1" applyBorder="1" applyAlignment="1">
      <alignment horizontal="left" vertical="center" wrapText="1"/>
    </xf>
    <xf numFmtId="0" fontId="6" fillId="0" borderId="13" xfId="2" applyFont="1" applyBorder="1" applyAlignment="1">
      <alignment horizontal="left" vertical="center" wrapText="1"/>
    </xf>
    <xf numFmtId="0" fontId="6" fillId="0" borderId="11" xfId="2" applyFont="1" applyBorder="1" applyAlignment="1">
      <alignment horizontal="left" vertical="center" wrapText="1"/>
    </xf>
    <xf numFmtId="0" fontId="3" fillId="2" borderId="0" xfId="8" applyFont="1" applyFill="1" applyAlignment="1">
      <alignment horizontal="center" vertical="top" wrapText="1"/>
    </xf>
    <xf numFmtId="0" fontId="15" fillId="2" borderId="5" xfId="8" applyFont="1" applyFill="1" applyBorder="1" applyAlignment="1">
      <alignment horizontal="center" vertical="center" wrapText="1"/>
    </xf>
    <xf numFmtId="0" fontId="5" fillId="2" borderId="32" xfId="2" applyFont="1" applyFill="1" applyBorder="1" applyAlignment="1">
      <alignment horizontal="left" vertical="center"/>
    </xf>
    <xf numFmtId="0" fontId="5" fillId="2" borderId="13" xfId="2" applyFont="1" applyFill="1" applyBorder="1" applyAlignment="1">
      <alignment horizontal="left" vertical="center"/>
    </xf>
    <xf numFmtId="0" fontId="15" fillId="2" borderId="13" xfId="8" applyFont="1" applyFill="1" applyBorder="1" applyAlignment="1">
      <alignment horizontal="center" vertical="top" wrapText="1"/>
    </xf>
    <xf numFmtId="0" fontId="15" fillId="2" borderId="11" xfId="8" applyFont="1" applyFill="1" applyBorder="1" applyAlignment="1">
      <alignment horizontal="center" vertical="top" wrapText="1"/>
    </xf>
    <xf numFmtId="0" fontId="6" fillId="0" borderId="31" xfId="2" applyFont="1" applyBorder="1" applyAlignment="1">
      <alignment vertical="center"/>
    </xf>
    <xf numFmtId="0" fontId="5" fillId="0" borderId="9" xfId="2" applyFont="1" applyBorder="1" applyAlignment="1">
      <alignment vertical="center"/>
    </xf>
    <xf numFmtId="0" fontId="38" fillId="0" borderId="12" xfId="8" applyFont="1" applyBorder="1" applyAlignment="1">
      <alignment horizontal="center" vertical="top" wrapText="1"/>
    </xf>
    <xf numFmtId="0" fontId="15" fillId="0" borderId="12" xfId="8" applyFont="1" applyBorder="1" applyAlignment="1" applyProtection="1">
      <alignment horizontal="center" vertical="top" wrapText="1"/>
      <protection locked="0"/>
    </xf>
    <xf numFmtId="0" fontId="15" fillId="0" borderId="12" xfId="8" applyFont="1" applyBorder="1" applyAlignment="1">
      <alignment horizontal="center" vertical="top" wrapText="1"/>
    </xf>
    <xf numFmtId="0" fontId="15" fillId="2" borderId="32" xfId="8" applyFont="1" applyFill="1" applyBorder="1" applyAlignment="1">
      <alignment vertical="top" wrapText="1"/>
    </xf>
    <xf numFmtId="0" fontId="15" fillId="2" borderId="13" xfId="8" applyFont="1" applyFill="1" applyBorder="1" applyAlignment="1">
      <alignment horizontal="left" vertical="top" wrapText="1"/>
    </xf>
    <xf numFmtId="0" fontId="15" fillId="2" borderId="13" xfId="8" applyFont="1" applyFill="1" applyBorder="1" applyAlignment="1">
      <alignment vertical="top" wrapText="1"/>
    </xf>
    <xf numFmtId="0" fontId="42" fillId="2" borderId="0" xfId="8" applyFont="1" applyFill="1" applyAlignment="1">
      <alignment horizontal="center" vertical="top" wrapText="1"/>
    </xf>
    <xf numFmtId="0" fontId="11" fillId="7" borderId="19" xfId="8" applyFont="1" applyFill="1" applyBorder="1"/>
    <xf numFmtId="0" fontId="11" fillId="7" borderId="2" xfId="8" applyFont="1" applyFill="1" applyBorder="1" applyAlignment="1">
      <alignment horizontal="center"/>
    </xf>
    <xf numFmtId="0" fontId="43" fillId="2" borderId="2" xfId="8" applyFont="1" applyFill="1" applyBorder="1" applyAlignment="1">
      <alignment vertical="center" wrapText="1"/>
    </xf>
    <xf numFmtId="0" fontId="43" fillId="2" borderId="13" xfId="8" applyFont="1" applyFill="1" applyBorder="1" applyAlignment="1">
      <alignment horizontal="center" vertical="center" wrapText="1"/>
    </xf>
    <xf numFmtId="0" fontId="43" fillId="8" borderId="9" xfId="8" applyFont="1" applyFill="1" applyBorder="1" applyAlignment="1">
      <alignment horizontal="center" vertical="center" wrapText="1"/>
    </xf>
    <xf numFmtId="0" fontId="43" fillId="8" borderId="11" xfId="8" applyFont="1" applyFill="1" applyBorder="1" applyAlignment="1">
      <alignment horizontal="center" vertical="center" wrapText="1"/>
    </xf>
    <xf numFmtId="0" fontId="43" fillId="8" borderId="33" xfId="8" applyFont="1" applyFill="1" applyBorder="1" applyAlignment="1">
      <alignment horizontal="center" vertical="center" wrapText="1"/>
    </xf>
    <xf numFmtId="0" fontId="11" fillId="0" borderId="0" xfId="8" applyFont="1"/>
    <xf numFmtId="0" fontId="11" fillId="7" borderId="0" xfId="8" applyFont="1" applyFill="1" applyAlignment="1">
      <alignment horizontal="center"/>
    </xf>
    <xf numFmtId="0" fontId="43" fillId="0" borderId="9" xfId="8" applyFont="1" applyBorder="1" applyAlignment="1">
      <alignment horizontal="left" vertical="center" wrapText="1"/>
    </xf>
    <xf numFmtId="0" fontId="43" fillId="0" borderId="13" xfId="8" applyFont="1" applyBorder="1" applyAlignment="1">
      <alignment horizontal="left" vertical="center" wrapText="1"/>
    </xf>
    <xf numFmtId="0" fontId="43" fillId="0" borderId="11" xfId="8" applyFont="1" applyBorder="1" applyAlignment="1">
      <alignment horizontal="left" vertical="center" wrapText="1"/>
    </xf>
    <xf numFmtId="0" fontId="43" fillId="0" borderId="9" xfId="8" applyFont="1" applyBorder="1" applyAlignment="1">
      <alignment horizontal="center" vertical="center" wrapText="1"/>
    </xf>
    <xf numFmtId="0" fontId="43" fillId="0" borderId="13" xfId="8" applyFont="1" applyBorder="1" applyAlignment="1">
      <alignment horizontal="center" vertical="center" wrapText="1"/>
    </xf>
    <xf numFmtId="0" fontId="43" fillId="0" borderId="11" xfId="8" applyFont="1" applyBorder="1" applyAlignment="1">
      <alignment horizontal="center" vertical="center" wrapText="1"/>
    </xf>
    <xf numFmtId="2" fontId="43" fillId="8" borderId="9" xfId="8" applyNumberFormat="1" applyFont="1" applyFill="1" applyBorder="1" applyAlignment="1">
      <alignment horizontal="center" vertical="center" wrapText="1"/>
    </xf>
    <xf numFmtId="2" fontId="43" fillId="8" borderId="11" xfId="8" applyNumberFormat="1" applyFont="1" applyFill="1" applyBorder="1" applyAlignment="1">
      <alignment horizontal="center" vertical="center" wrapText="1"/>
    </xf>
    <xf numFmtId="2" fontId="44" fillId="2" borderId="1" xfId="14" applyNumberFormat="1" applyFont="1" applyFill="1" applyBorder="1" applyAlignment="1" applyProtection="1">
      <alignment horizontal="center" vertical="center" wrapText="1"/>
    </xf>
    <xf numFmtId="2" fontId="44" fillId="2" borderId="34" xfId="14" applyNumberFormat="1" applyFont="1" applyFill="1" applyBorder="1" applyAlignment="1" applyProtection="1">
      <alignment horizontal="center" vertical="center" wrapText="1"/>
    </xf>
    <xf numFmtId="2" fontId="44" fillId="2" borderId="4" xfId="14" applyNumberFormat="1" applyFont="1" applyFill="1" applyBorder="1" applyAlignment="1" applyProtection="1">
      <alignment horizontal="center" vertical="center" wrapText="1"/>
    </xf>
    <xf numFmtId="2" fontId="44" fillId="2" borderId="20" xfId="14" applyNumberFormat="1" applyFont="1" applyFill="1" applyBorder="1" applyAlignment="1" applyProtection="1">
      <alignment horizontal="center" vertical="center" wrapText="1"/>
    </xf>
    <xf numFmtId="0" fontId="11" fillId="7" borderId="7" xfId="8" applyFont="1" applyFill="1" applyBorder="1" applyAlignment="1">
      <alignment horizontal="center"/>
    </xf>
    <xf numFmtId="2" fontId="44" fillId="2" borderId="6" xfId="14" applyNumberFormat="1" applyFont="1" applyFill="1" applyBorder="1" applyAlignment="1" applyProtection="1">
      <alignment horizontal="center" vertical="center" wrapText="1"/>
    </xf>
    <xf numFmtId="2" fontId="44" fillId="2" borderId="35" xfId="14" applyNumberFormat="1" applyFont="1" applyFill="1" applyBorder="1" applyAlignment="1" applyProtection="1">
      <alignment horizontal="center" vertical="center" wrapText="1"/>
    </xf>
    <xf numFmtId="0" fontId="43" fillId="2" borderId="12" xfId="8" applyFont="1" applyFill="1" applyBorder="1" applyAlignment="1">
      <alignment horizontal="center" vertical="center" wrapText="1"/>
    </xf>
    <xf numFmtId="0" fontId="43" fillId="4" borderId="12" xfId="8" applyFont="1" applyFill="1" applyBorder="1" applyAlignment="1">
      <alignment vertical="center" wrapText="1"/>
    </xf>
    <xf numFmtId="0" fontId="43" fillId="4" borderId="30" xfId="8" applyFont="1" applyFill="1" applyBorder="1" applyAlignment="1">
      <alignment vertical="center" wrapText="1"/>
    </xf>
    <xf numFmtId="0" fontId="45" fillId="4" borderId="12" xfId="8" applyFont="1" applyFill="1" applyBorder="1" applyAlignment="1">
      <alignment horizontal="center" vertical="center" wrapText="1"/>
    </xf>
    <xf numFmtId="0" fontId="45" fillId="4" borderId="30" xfId="8" applyFont="1" applyFill="1" applyBorder="1" applyAlignment="1">
      <alignment horizontal="center" vertical="center" wrapText="1"/>
    </xf>
    <xf numFmtId="0" fontId="43" fillId="2" borderId="12" xfId="8" applyFont="1" applyFill="1" applyBorder="1" applyAlignment="1">
      <alignment horizontal="left" vertical="center" wrapText="1"/>
    </xf>
    <xf numFmtId="0" fontId="43" fillId="0" borderId="12" xfId="8" applyFont="1" applyBorder="1" applyAlignment="1">
      <alignment vertical="center" wrapText="1"/>
    </xf>
    <xf numFmtId="0" fontId="43" fillId="0" borderId="30" xfId="8" applyFont="1" applyBorder="1" applyAlignment="1">
      <alignment vertical="center" wrapText="1"/>
    </xf>
    <xf numFmtId="0" fontId="15" fillId="2" borderId="24" xfId="8" applyFont="1" applyFill="1" applyBorder="1" applyAlignment="1">
      <alignment vertical="center" wrapText="1"/>
    </xf>
    <xf numFmtId="0" fontId="15" fillId="2" borderId="3" xfId="8" applyFont="1" applyFill="1" applyBorder="1" applyAlignment="1">
      <alignment vertical="center" wrapText="1"/>
    </xf>
    <xf numFmtId="0" fontId="38" fillId="0" borderId="2" xfId="8" applyFont="1" applyBorder="1" applyAlignment="1">
      <alignment vertical="center" wrapText="1"/>
    </xf>
    <xf numFmtId="0" fontId="38" fillId="0" borderId="3" xfId="8" applyFont="1" applyBorder="1" applyAlignment="1">
      <alignment vertical="center" wrapText="1"/>
    </xf>
    <xf numFmtId="0" fontId="15" fillId="2" borderId="1" xfId="8" applyFont="1" applyFill="1" applyBorder="1" applyAlignment="1">
      <alignment vertical="center" wrapText="1"/>
    </xf>
    <xf numFmtId="0" fontId="38" fillId="0" borderId="2" xfId="8" applyFont="1" applyBorder="1" applyAlignment="1">
      <alignment horizontal="center" vertical="center" wrapText="1"/>
    </xf>
    <xf numFmtId="0" fontId="40" fillId="3" borderId="0" xfId="8" applyFont="1" applyFill="1" applyAlignment="1">
      <alignment horizontal="center" vertical="top" wrapText="1"/>
    </xf>
    <xf numFmtId="0" fontId="3" fillId="3" borderId="2" xfId="8" applyFont="1" applyFill="1" applyBorder="1" applyAlignment="1">
      <alignment horizontal="center" vertical="top" wrapText="1"/>
    </xf>
    <xf numFmtId="0" fontId="15" fillId="2" borderId="19" xfId="8" applyFont="1" applyFill="1" applyBorder="1" applyAlignment="1">
      <alignment vertical="center" wrapText="1"/>
    </xf>
    <xf numFmtId="0" fontId="15" fillId="2" borderId="5" xfId="8" applyFont="1" applyFill="1" applyBorder="1" applyAlignment="1">
      <alignment vertical="center" wrapText="1"/>
    </xf>
    <xf numFmtId="0" fontId="38" fillId="0" borderId="0" xfId="8" applyFont="1" applyAlignment="1">
      <alignment vertical="center" wrapText="1"/>
    </xf>
    <xf numFmtId="0" fontId="38" fillId="0" borderId="5" xfId="8" applyFont="1" applyBorder="1" applyAlignment="1">
      <alignment vertical="center" wrapText="1"/>
    </xf>
    <xf numFmtId="0" fontId="15" fillId="2" borderId="4" xfId="8" applyFont="1" applyFill="1" applyBorder="1" applyAlignment="1">
      <alignment vertical="center" wrapText="1"/>
    </xf>
    <xf numFmtId="0" fontId="38" fillId="0" borderId="0" xfId="8" applyFont="1" applyAlignment="1">
      <alignment horizontal="center" vertical="center" wrapText="1"/>
    </xf>
    <xf numFmtId="0" fontId="3" fillId="3" borderId="0" xfId="8" applyFont="1" applyFill="1" applyAlignment="1">
      <alignment horizontal="center" vertical="top" wrapText="1"/>
    </xf>
    <xf numFmtId="0" fontId="15" fillId="2" borderId="36" xfId="8" applyFont="1" applyFill="1" applyBorder="1" applyAlignment="1">
      <alignment vertical="center" wrapText="1"/>
    </xf>
    <xf numFmtId="0" fontId="15" fillId="2" borderId="8" xfId="8" applyFont="1" applyFill="1" applyBorder="1" applyAlignment="1">
      <alignment vertical="center" wrapText="1"/>
    </xf>
    <xf numFmtId="0" fontId="38" fillId="0" borderId="7" xfId="8" applyFont="1" applyBorder="1" applyAlignment="1">
      <alignment vertical="center" wrapText="1"/>
    </xf>
    <xf numFmtId="0" fontId="38" fillId="0" borderId="8" xfId="8" applyFont="1" applyBorder="1" applyAlignment="1">
      <alignment vertical="center" wrapText="1"/>
    </xf>
    <xf numFmtId="0" fontId="15" fillId="2" borderId="6" xfId="8" applyFont="1" applyFill="1" applyBorder="1" applyAlignment="1">
      <alignment vertical="center" wrapText="1"/>
    </xf>
    <xf numFmtId="0" fontId="38" fillId="0" borderId="7" xfId="8" applyFont="1" applyBorder="1" applyAlignment="1">
      <alignment horizontal="center" vertical="center" wrapText="1"/>
    </xf>
    <xf numFmtId="0" fontId="15" fillId="3" borderId="24" xfId="8" applyFont="1" applyFill="1" applyBorder="1" applyAlignment="1">
      <alignment vertical="center" wrapText="1"/>
    </xf>
    <xf numFmtId="0" fontId="15" fillId="3" borderId="3" xfId="8" applyFont="1" applyFill="1" applyBorder="1" applyAlignment="1">
      <alignment vertical="center" wrapText="1"/>
    </xf>
    <xf numFmtId="0" fontId="15" fillId="3" borderId="1" xfId="8" applyFont="1" applyFill="1" applyBorder="1" applyAlignment="1">
      <alignment vertical="center" wrapText="1"/>
    </xf>
    <xf numFmtId="0" fontId="15" fillId="3" borderId="19" xfId="8" applyFont="1" applyFill="1" applyBorder="1" applyAlignment="1">
      <alignment vertical="center" wrapText="1"/>
    </xf>
    <xf numFmtId="0" fontId="15" fillId="3" borderId="5" xfId="8" applyFont="1" applyFill="1" applyBorder="1" applyAlignment="1">
      <alignment vertical="center" wrapText="1"/>
    </xf>
    <xf numFmtId="0" fontId="15" fillId="3" borderId="4" xfId="8" applyFont="1" applyFill="1" applyBorder="1" applyAlignment="1">
      <alignment vertical="center" wrapText="1"/>
    </xf>
    <xf numFmtId="0" fontId="15" fillId="3" borderId="6" xfId="8" applyFont="1" applyFill="1" applyBorder="1" applyAlignment="1">
      <alignment vertical="center" wrapText="1"/>
    </xf>
    <xf numFmtId="0" fontId="15" fillId="3" borderId="8" xfId="8" applyFont="1" applyFill="1" applyBorder="1" applyAlignment="1">
      <alignment vertical="center" wrapText="1"/>
    </xf>
    <xf numFmtId="0" fontId="28" fillId="3" borderId="21" xfId="8" applyFont="1" applyFill="1" applyBorder="1" applyAlignment="1">
      <alignment vertical="center" wrapText="1"/>
    </xf>
    <xf numFmtId="0" fontId="28" fillId="3" borderId="22" xfId="8" applyFont="1" applyFill="1" applyBorder="1" applyAlignment="1">
      <alignment vertical="center" wrapText="1"/>
    </xf>
    <xf numFmtId="0" fontId="7" fillId="3" borderId="22" xfId="8" applyFont="1" applyFill="1" applyBorder="1" applyAlignment="1">
      <alignment horizontal="center" vertical="top" wrapText="1"/>
    </xf>
    <xf numFmtId="0" fontId="28" fillId="3" borderId="22" xfId="8" applyFont="1" applyFill="1" applyBorder="1" applyAlignment="1">
      <alignment horizontal="center" vertical="top" wrapText="1"/>
    </xf>
    <xf numFmtId="0" fontId="3" fillId="3" borderId="22" xfId="8" applyFont="1" applyFill="1" applyBorder="1" applyAlignment="1">
      <alignment horizontal="center" vertical="top" wrapText="1"/>
    </xf>
    <xf numFmtId="2" fontId="3" fillId="3" borderId="23" xfId="8" applyNumberFormat="1" applyFont="1" applyFill="1" applyBorder="1" applyAlignment="1">
      <alignment horizontal="center"/>
    </xf>
    <xf numFmtId="0" fontId="1" fillId="0" borderId="0" xfId="8" applyAlignment="1">
      <alignment horizontal="center" vertical="top"/>
    </xf>
    <xf numFmtId="0" fontId="3" fillId="0" borderId="0" xfId="8" applyFont="1" applyAlignment="1">
      <alignment horizontal="center"/>
    </xf>
    <xf numFmtId="2" fontId="3" fillId="0" borderId="0" xfId="8" applyNumberFormat="1" applyFont="1" applyAlignment="1">
      <alignment horizontal="center"/>
    </xf>
    <xf numFmtId="0" fontId="16" fillId="3" borderId="0" xfId="3" applyFont="1" applyFill="1" applyAlignment="1">
      <alignment horizontal="left" vertical="center"/>
    </xf>
    <xf numFmtId="0" fontId="16" fillId="3" borderId="5" xfId="3" applyFont="1" applyFill="1" applyBorder="1" applyAlignment="1">
      <alignment horizontal="left" vertical="center"/>
    </xf>
    <xf numFmtId="0" fontId="16" fillId="0" borderId="8" xfId="3" applyFont="1" applyBorder="1" applyAlignment="1">
      <alignment horizontal="left"/>
    </xf>
    <xf numFmtId="0" fontId="16" fillId="3" borderId="10" xfId="3" applyFont="1" applyFill="1" applyBorder="1" applyAlignment="1">
      <alignment horizontal="left"/>
    </xf>
    <xf numFmtId="0" fontId="16" fillId="0" borderId="6" xfId="3" applyFont="1" applyBorder="1" applyAlignment="1">
      <alignment horizontal="left"/>
    </xf>
    <xf numFmtId="0" fontId="16" fillId="0" borderId="7" xfId="3" applyFont="1" applyBorder="1" applyAlignment="1">
      <alignment horizontal="left"/>
    </xf>
    <xf numFmtId="0" fontId="16" fillId="0" borderId="8" xfId="3" applyFont="1" applyBorder="1" applyAlignment="1">
      <alignment horizontal="left"/>
    </xf>
    <xf numFmtId="0" fontId="19" fillId="0" borderId="0" xfId="3" applyFont="1" applyAlignment="1">
      <alignment horizontal="left"/>
    </xf>
    <xf numFmtId="0" fontId="16" fillId="3" borderId="0" xfId="3" applyFont="1" applyFill="1" applyAlignment="1">
      <alignment horizontal="left"/>
    </xf>
    <xf numFmtId="0" fontId="16" fillId="3" borderId="5" xfId="3" applyFont="1" applyFill="1" applyBorder="1" applyAlignment="1">
      <alignment horizontal="left"/>
    </xf>
    <xf numFmtId="0" fontId="16" fillId="0" borderId="11" xfId="3" applyFont="1" applyBorder="1" applyAlignment="1">
      <alignment horizontal="left"/>
    </xf>
    <xf numFmtId="0" fontId="16" fillId="3" borderId="12" xfId="3" applyFont="1" applyFill="1" applyBorder="1" applyAlignment="1">
      <alignment horizontal="left"/>
    </xf>
    <xf numFmtId="0" fontId="46" fillId="0" borderId="11" xfId="1" applyFont="1" applyBorder="1" applyAlignment="1">
      <alignment horizontal="left"/>
    </xf>
    <xf numFmtId="0" fontId="16" fillId="0" borderId="9" xfId="3" applyFont="1" applyBorder="1" applyAlignment="1">
      <alignment horizontal="left"/>
    </xf>
    <xf numFmtId="0" fontId="16" fillId="0" borderId="13" xfId="3" applyFont="1" applyBorder="1" applyAlignment="1">
      <alignment horizontal="left"/>
    </xf>
    <xf numFmtId="0" fontId="16" fillId="0" borderId="11" xfId="3" applyFont="1" applyBorder="1" applyAlignment="1">
      <alignment horizontal="left"/>
    </xf>
    <xf numFmtId="0" fontId="18" fillId="3" borderId="0" xfId="4" applyFont="1" applyFill="1" applyAlignment="1">
      <alignment horizontal="left" vertical="center"/>
    </xf>
    <xf numFmtId="0" fontId="18" fillId="3" borderId="5" xfId="4" applyFont="1" applyFill="1" applyBorder="1" applyAlignment="1">
      <alignment horizontal="left" vertical="center"/>
    </xf>
    <xf numFmtId="0" fontId="18" fillId="0" borderId="8" xfId="4" applyFont="1" applyBorder="1" applyAlignment="1">
      <alignment horizontal="left"/>
    </xf>
    <xf numFmtId="0" fontId="18" fillId="3" borderId="10" xfId="4" applyFont="1" applyFill="1" applyBorder="1" applyAlignment="1">
      <alignment horizontal="left"/>
    </xf>
    <xf numFmtId="0" fontId="18" fillId="0" borderId="6" xfId="4" applyFont="1" applyBorder="1" applyAlignment="1">
      <alignment horizontal="left"/>
    </xf>
    <xf numFmtId="0" fontId="18" fillId="0" borderId="7" xfId="4" applyFont="1" applyBorder="1" applyAlignment="1">
      <alignment horizontal="left"/>
    </xf>
    <xf numFmtId="0" fontId="18" fillId="0" borderId="8" xfId="4" applyFont="1" applyBorder="1" applyAlignment="1">
      <alignment horizontal="left"/>
    </xf>
    <xf numFmtId="0" fontId="19" fillId="0" borderId="0" xfId="4" applyFont="1" applyAlignment="1">
      <alignment horizontal="left"/>
    </xf>
    <xf numFmtId="0" fontId="18" fillId="3" borderId="0" xfId="4" applyFont="1" applyFill="1" applyAlignment="1">
      <alignment horizontal="left"/>
    </xf>
    <xf numFmtId="0" fontId="18" fillId="3" borderId="5" xfId="4" applyFont="1" applyFill="1" applyBorder="1" applyAlignment="1">
      <alignment horizontal="left"/>
    </xf>
    <xf numFmtId="0" fontId="18" fillId="0" borderId="11" xfId="4" applyFont="1" applyBorder="1" applyAlignment="1">
      <alignment horizontal="left"/>
    </xf>
    <xf numFmtId="0" fontId="18" fillId="3" borderId="12" xfId="4" applyFont="1" applyFill="1" applyBorder="1" applyAlignment="1">
      <alignment horizontal="left"/>
    </xf>
    <xf numFmtId="0" fontId="47" fillId="0" borderId="11" xfId="1" applyFont="1" applyBorder="1" applyAlignment="1">
      <alignment horizontal="left"/>
    </xf>
    <xf numFmtId="49" fontId="18" fillId="0" borderId="9" xfId="4" applyNumberFormat="1" applyFont="1" applyBorder="1" applyAlignment="1">
      <alignment horizontal="left"/>
    </xf>
    <xf numFmtId="0" fontId="18" fillId="0" borderId="13" xfId="4" applyFont="1" applyBorder="1" applyAlignment="1">
      <alignment horizontal="left"/>
    </xf>
    <xf numFmtId="0" fontId="18" fillId="0" borderId="11" xfId="4" applyFont="1" applyBorder="1" applyAlignment="1">
      <alignment horizontal="left"/>
    </xf>
    <xf numFmtId="0" fontId="48" fillId="0" borderId="11" xfId="1" quotePrefix="1" applyFont="1" applyBorder="1" applyAlignment="1">
      <alignment horizontal="left"/>
    </xf>
    <xf numFmtId="0" fontId="25" fillId="0" borderId="9" xfId="5" applyFont="1" applyBorder="1" applyAlignment="1">
      <alignment horizontal="left"/>
    </xf>
    <xf numFmtId="0" fontId="25" fillId="0" borderId="14" xfId="2" applyFont="1" applyBorder="1" applyAlignment="1">
      <alignment horizontal="center" vertical="center"/>
    </xf>
    <xf numFmtId="0" fontId="25" fillId="0" borderId="14" xfId="2" applyFont="1" applyBorder="1" applyAlignment="1">
      <alignment horizontal="left" vertical="center" wrapText="1"/>
    </xf>
    <xf numFmtId="2" fontId="25" fillId="0" borderId="14" xfId="2" applyNumberFormat="1" applyFont="1" applyBorder="1" applyAlignment="1">
      <alignment horizontal="center" vertical="center"/>
    </xf>
    <xf numFmtId="0" fontId="25" fillId="0" borderId="15" xfId="2" applyFont="1" applyBorder="1" applyAlignment="1">
      <alignment horizontal="center" vertical="center"/>
    </xf>
    <xf numFmtId="0" fontId="25" fillId="0" borderId="15" xfId="2" applyFont="1" applyBorder="1" applyAlignment="1">
      <alignment horizontal="left" vertical="center" wrapText="1"/>
    </xf>
    <xf numFmtId="2" fontId="25" fillId="0" borderId="15" xfId="2" applyNumberFormat="1" applyFont="1" applyBorder="1" applyAlignment="1">
      <alignment horizontal="center" vertical="center"/>
    </xf>
    <xf numFmtId="0" fontId="25" fillId="0" borderId="10" xfId="2" applyFont="1" applyBorder="1" applyAlignment="1">
      <alignment horizontal="center" vertical="center"/>
    </xf>
    <xf numFmtId="0" fontId="25" fillId="0" borderId="10" xfId="2" applyFont="1" applyBorder="1" applyAlignment="1">
      <alignment horizontal="left" vertical="center" wrapText="1"/>
    </xf>
    <xf numFmtId="2" fontId="25" fillId="0" borderId="10" xfId="2" applyNumberFormat="1" applyFont="1" applyBorder="1" applyAlignment="1">
      <alignment horizontal="center" vertical="center"/>
    </xf>
    <xf numFmtId="2" fontId="25" fillId="0" borderId="14" xfId="2" applyNumberFormat="1" applyFont="1" applyBorder="1" applyAlignment="1">
      <alignment horizontal="center" vertical="center" wrapText="1"/>
    </xf>
    <xf numFmtId="2" fontId="25" fillId="0" borderId="10" xfId="2" applyNumberFormat="1" applyFont="1" applyBorder="1" applyAlignment="1">
      <alignment horizontal="center" vertical="center" wrapText="1"/>
    </xf>
    <xf numFmtId="0" fontId="25" fillId="0" borderId="14" xfId="2" applyFont="1" applyBorder="1" applyAlignment="1">
      <alignment horizontal="center" vertical="center"/>
    </xf>
    <xf numFmtId="0" fontId="25" fillId="0" borderId="14" xfId="2" applyFont="1" applyBorder="1" applyAlignment="1">
      <alignment horizontal="left" vertical="center" wrapText="1"/>
    </xf>
    <xf numFmtId="2" fontId="25" fillId="0" borderId="14" xfId="2" applyNumberFormat="1" applyFont="1" applyBorder="1" applyAlignment="1">
      <alignment horizontal="center" vertical="center" wrapText="1"/>
    </xf>
  </cellXfs>
  <cellStyles count="15">
    <cellStyle name="Hyperlink" xfId="1" builtinId="8"/>
    <cellStyle name="Normal" xfId="0" builtinId="0"/>
    <cellStyle name="Normal 2 2" xfId="11" xr:uid="{029269A4-91D7-4EAB-BB19-FCDB1F6F016C}"/>
    <cellStyle name="Normal 2 2 3 2" xfId="13" xr:uid="{C12A0D72-9B4C-46C1-8130-C66C121B7E59}"/>
    <cellStyle name="Normal 2 3" xfId="2" xr:uid="{7C91B39A-C4AA-4B5B-846E-98E2426A0A40}"/>
    <cellStyle name="Normal 2 3 2" xfId="6" xr:uid="{DEB09CA8-9D65-40AB-8A53-71FE16EDB7F8}"/>
    <cellStyle name="Normal 2 3 3" xfId="4" xr:uid="{7593A01E-F864-4DC1-991B-75823C5A8BAA}"/>
    <cellStyle name="Normal 2 3 5" xfId="10" xr:uid="{3899DB97-4833-424A-89DB-EA315A0C24E5}"/>
    <cellStyle name="Normal 2 4 2" xfId="5" xr:uid="{7D0B3C26-03B8-4DDC-AA23-6DB74CD90FCC}"/>
    <cellStyle name="Normal 2 5" xfId="3" xr:uid="{075A4583-0B81-4E11-9371-3102E2309D2D}"/>
    <cellStyle name="Normal 2 5 2 2" xfId="9" xr:uid="{5D218320-DDD8-47AD-8D19-D95742CC256A}"/>
    <cellStyle name="Normal 2 7" xfId="12" xr:uid="{68AEE642-9FDC-4CA1-936A-5D60B5B4CD24}"/>
    <cellStyle name="Normal 4 2 2 2 2" xfId="8" xr:uid="{E2ADD85B-8F2F-4481-AC97-3F1CF74C81D7}"/>
    <cellStyle name="Normal 5 2 2" xfId="7" xr:uid="{C518692E-5F89-42F1-98C0-EB2507194509}"/>
    <cellStyle name="Percent 2 2" xfId="14" xr:uid="{6741022F-47E3-4768-879B-BFA83DE7F5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D141C708-A6C0-4F39-8387-5F1BD1A9A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005B499A-6ADD-4204-B92B-5C0499CF0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35ED44FF-52DF-4C10-BB55-DD32CBEA7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4A80BFF9-FAB9-4492-85C8-F28CE4032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isah5002@gmail.com" TargetMode="External"/><Relationship Id="rId1" Type="http://schemas.openxmlformats.org/officeDocument/2006/relationships/hyperlink" Target="mailto:nwabuachinyere@gmail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aisah5002@gmail.com" TargetMode="External"/><Relationship Id="rId1" Type="http://schemas.openxmlformats.org/officeDocument/2006/relationships/hyperlink" Target="mailto:nwabuachinyere@gmail.com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aisah5002@gmail.com" TargetMode="External"/><Relationship Id="rId1" Type="http://schemas.openxmlformats.org/officeDocument/2006/relationships/hyperlink" Target="mailto:nwabuachinyere@gmail.com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aisah5002@gmail.com" TargetMode="External"/><Relationship Id="rId1" Type="http://schemas.openxmlformats.org/officeDocument/2006/relationships/hyperlink" Target="mailto:nwabuachinyere@gmail.com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20C15-D039-4CBF-A3B6-6E5F5DEBC442}">
  <sheetPr>
    <pageSetUpPr fitToPage="1"/>
  </sheetPr>
  <dimension ref="A1:R77"/>
  <sheetViews>
    <sheetView tabSelected="1" zoomScale="30" zoomScaleNormal="30" workbookViewId="0">
      <selection activeCell="C19" sqref="C19:C23"/>
    </sheetView>
  </sheetViews>
  <sheetFormatPr defaultRowHeight="31.5" customHeight="1" x14ac:dyDescent="0.55000000000000004"/>
  <cols>
    <col min="1" max="1" width="15.5703125" style="245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5" bestFit="1" customWidth="1"/>
    <col min="6" max="6" width="42" style="245" customWidth="1"/>
    <col min="7" max="7" width="255.7109375" style="4" bestFit="1" customWidth="1"/>
    <col min="8" max="8" width="33" style="245" customWidth="1"/>
    <col min="9" max="9" width="62.42578125" style="245" customWidth="1"/>
    <col min="10" max="10" width="45.140625" style="245" customWidth="1"/>
    <col min="11" max="13" width="35.28515625" style="245" bestFit="1" customWidth="1"/>
    <col min="14" max="14" width="40.7109375" style="245" bestFit="1" customWidth="1"/>
    <col min="15" max="15" width="36.85546875" style="245" bestFit="1" customWidth="1"/>
    <col min="16" max="17" width="36.85546875" style="246" customWidth="1"/>
    <col min="18" max="18" width="36.85546875" style="247" customWidth="1"/>
    <col min="19" max="16384" width="9.140625" style="4"/>
  </cols>
  <sheetData>
    <row r="1" spans="1:18" ht="31.5" customHeight="1" x14ac:dyDescent="0.25">
      <c r="A1" s="1" t="s">
        <v>143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144</v>
      </c>
      <c r="C5" s="16" t="s">
        <v>2</v>
      </c>
      <c r="D5" s="17" t="s">
        <v>145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5" customFormat="1" ht="39" x14ac:dyDescent="0.6">
      <c r="A7" s="248" t="s">
        <v>4</v>
      </c>
      <c r="B7" s="249"/>
      <c r="C7" s="250" t="s">
        <v>5</v>
      </c>
      <c r="D7" s="251" t="s">
        <v>6</v>
      </c>
      <c r="E7" s="250" t="s">
        <v>7</v>
      </c>
      <c r="F7" s="251" t="s">
        <v>8</v>
      </c>
      <c r="G7" s="252" t="s">
        <v>9</v>
      </c>
      <c r="H7" s="251" t="s">
        <v>10</v>
      </c>
      <c r="I7" s="253" t="s">
        <v>11</v>
      </c>
      <c r="J7" s="254"/>
      <c r="K7" s="21"/>
      <c r="L7" s="22"/>
      <c r="M7" s="22"/>
      <c r="N7" s="22"/>
      <c r="O7" s="22"/>
      <c r="P7" s="22"/>
      <c r="Q7" s="22"/>
      <c r="R7" s="23"/>
    </row>
    <row r="8" spans="1:18" s="255" customFormat="1" ht="39" x14ac:dyDescent="0.6">
      <c r="A8" s="256" t="s">
        <v>12</v>
      </c>
      <c r="B8" s="257"/>
      <c r="C8" s="258">
        <v>88717</v>
      </c>
      <c r="D8" s="259" t="s">
        <v>13</v>
      </c>
      <c r="E8" s="260" t="s">
        <v>14</v>
      </c>
      <c r="F8" s="259" t="s">
        <v>15</v>
      </c>
      <c r="G8" s="261"/>
      <c r="H8" s="259" t="s">
        <v>16</v>
      </c>
      <c r="I8" s="262" t="s">
        <v>17</v>
      </c>
      <c r="J8" s="263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18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71" customFormat="1" ht="39" x14ac:dyDescent="0.6">
      <c r="A10" s="264" t="s">
        <v>4</v>
      </c>
      <c r="B10" s="265"/>
      <c r="C10" s="266" t="s">
        <v>19</v>
      </c>
      <c r="D10" s="267" t="s">
        <v>6</v>
      </c>
      <c r="E10" s="266" t="s">
        <v>20</v>
      </c>
      <c r="F10" s="267" t="s">
        <v>8</v>
      </c>
      <c r="G10" s="268" t="s">
        <v>21</v>
      </c>
      <c r="H10" s="267" t="s">
        <v>10</v>
      </c>
      <c r="I10" s="269" t="s">
        <v>22</v>
      </c>
      <c r="J10" s="270"/>
      <c r="K10" s="21"/>
      <c r="L10" s="22"/>
      <c r="M10" s="22"/>
      <c r="N10" s="22"/>
      <c r="O10" s="22"/>
      <c r="P10" s="22"/>
      <c r="Q10" s="22"/>
      <c r="R10" s="23"/>
    </row>
    <row r="11" spans="1:18" s="271" customFormat="1" ht="39" x14ac:dyDescent="0.6">
      <c r="A11" s="272" t="s">
        <v>12</v>
      </c>
      <c r="B11" s="273"/>
      <c r="C11" s="274">
        <v>64218</v>
      </c>
      <c r="D11" s="275" t="s">
        <v>13</v>
      </c>
      <c r="E11" s="276" t="s">
        <v>23</v>
      </c>
      <c r="F11" s="275" t="s">
        <v>15</v>
      </c>
      <c r="G11" s="277" t="s">
        <v>24</v>
      </c>
      <c r="H11" s="275" t="s">
        <v>16</v>
      </c>
      <c r="I11" s="278" t="s">
        <v>17</v>
      </c>
      <c r="J11" s="279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25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39" x14ac:dyDescent="0.6">
      <c r="A13" s="33" t="s">
        <v>4</v>
      </c>
      <c r="B13" s="34"/>
      <c r="C13" s="35" t="s">
        <v>26</v>
      </c>
      <c r="D13" s="36" t="s">
        <v>6</v>
      </c>
      <c r="E13" s="35" t="s">
        <v>27</v>
      </c>
      <c r="F13" s="37" t="s">
        <v>8</v>
      </c>
      <c r="G13" s="38" t="s">
        <v>28</v>
      </c>
      <c r="H13" s="36" t="s">
        <v>10</v>
      </c>
      <c r="I13" s="39" t="s">
        <v>29</v>
      </c>
      <c r="J13" s="40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39.75" x14ac:dyDescent="0.6">
      <c r="A14" s="42" t="s">
        <v>12</v>
      </c>
      <c r="B14" s="43"/>
      <c r="C14" s="44">
        <v>60529</v>
      </c>
      <c r="D14" s="45" t="s">
        <v>13</v>
      </c>
      <c r="E14" s="280" t="s">
        <v>30</v>
      </c>
      <c r="F14" s="46" t="s">
        <v>15</v>
      </c>
      <c r="G14" s="281"/>
      <c r="H14" s="45" t="s">
        <v>16</v>
      </c>
      <c r="I14" s="47" t="s">
        <v>31</v>
      </c>
      <c r="J14" s="48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32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33</v>
      </c>
      <c r="B17" s="64" t="s">
        <v>34</v>
      </c>
      <c r="C17" s="65" t="s">
        <v>35</v>
      </c>
      <c r="D17" s="65" t="s">
        <v>36</v>
      </c>
      <c r="E17" s="65" t="s">
        <v>35</v>
      </c>
      <c r="F17" s="66" t="s">
        <v>37</v>
      </c>
      <c r="G17" s="66" t="s">
        <v>38</v>
      </c>
      <c r="H17" s="67" t="s">
        <v>39</v>
      </c>
      <c r="I17" s="66" t="s">
        <v>40</v>
      </c>
      <c r="J17" s="68" t="s">
        <v>41</v>
      </c>
      <c r="K17" s="69"/>
      <c r="L17" s="69"/>
      <c r="M17" s="69"/>
      <c r="N17" s="69"/>
      <c r="O17" s="70"/>
      <c r="P17" s="71" t="s">
        <v>146</v>
      </c>
      <c r="Q17" s="71" t="s">
        <v>147</v>
      </c>
      <c r="R17" s="72" t="s">
        <v>148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149</v>
      </c>
      <c r="K18" s="78" t="s">
        <v>150</v>
      </c>
      <c r="L18" s="78" t="s">
        <v>151</v>
      </c>
      <c r="M18" s="77" t="s">
        <v>152</v>
      </c>
      <c r="N18" s="77" t="s">
        <v>153</v>
      </c>
      <c r="O18" s="77" t="s">
        <v>154</v>
      </c>
      <c r="P18" s="79"/>
      <c r="Q18" s="79"/>
      <c r="R18" s="80"/>
    </row>
    <row r="19" spans="1:18" s="92" customFormat="1" ht="147" customHeight="1" x14ac:dyDescent="0.25">
      <c r="A19" s="282">
        <v>1</v>
      </c>
      <c r="B19" s="283" t="s">
        <v>48</v>
      </c>
      <c r="C19" s="284">
        <f>0.25 *8.59335038363171</f>
        <v>2.1483375959079276</v>
      </c>
      <c r="D19" s="82" t="s">
        <v>49</v>
      </c>
      <c r="E19" s="83">
        <f>C19/5</f>
        <v>0.42966751918158552</v>
      </c>
      <c r="F19" s="83">
        <f>E19/$E$38 * 100</f>
        <v>1.6200578592092558</v>
      </c>
      <c r="G19" s="84" t="s">
        <v>50</v>
      </c>
      <c r="H19" s="85">
        <v>1</v>
      </c>
      <c r="I19" s="86" t="s">
        <v>51</v>
      </c>
      <c r="J19" s="87">
        <v>100</v>
      </c>
      <c r="K19" s="88">
        <v>95</v>
      </c>
      <c r="L19" s="88">
        <v>90</v>
      </c>
      <c r="M19" s="88">
        <v>85</v>
      </c>
      <c r="N19" s="88">
        <v>80</v>
      </c>
      <c r="O19" s="88" t="s">
        <v>52</v>
      </c>
      <c r="P19" s="89"/>
      <c r="Q19" s="90">
        <f t="shared" ref="Q19:Q37" si="0">IF(OR(TRIM(P19)="",P19=0),0,
IF(P19&lt;N19,50,
IF(P19&lt;M19,60,
IF(P19&lt;L19,70,
IF(P19&lt;K19,80,
IF(ISNUMBER(J19),
    IF(P19&lt;J19,IF(P19&gt;=K19,90,80),100),
    IF(P19=K19,90,100)
))))))</f>
        <v>0</v>
      </c>
      <c r="R19" s="91">
        <f t="shared" ref="R19:R37" si="1">F19*Q19/100</f>
        <v>0</v>
      </c>
    </row>
    <row r="20" spans="1:18" s="92" customFormat="1" ht="147" customHeight="1" x14ac:dyDescent="0.25">
      <c r="A20" s="285"/>
      <c r="B20" s="286"/>
      <c r="C20" s="287"/>
      <c r="D20" s="82" t="s">
        <v>53</v>
      </c>
      <c r="E20" s="83">
        <f>C19/5</f>
        <v>0.42966751918158552</v>
      </c>
      <c r="F20" s="83">
        <f t="shared" ref="F20:F37" si="2">E20/$E$38 * 100</f>
        <v>1.6200578592092558</v>
      </c>
      <c r="G20" s="84" t="s">
        <v>54</v>
      </c>
      <c r="H20" s="85">
        <v>1</v>
      </c>
      <c r="I20" s="86" t="s">
        <v>51</v>
      </c>
      <c r="J20" s="87">
        <v>100</v>
      </c>
      <c r="K20" s="88">
        <v>95</v>
      </c>
      <c r="L20" s="88">
        <v>90</v>
      </c>
      <c r="M20" s="88">
        <v>85</v>
      </c>
      <c r="N20" s="88">
        <v>80</v>
      </c>
      <c r="O20" s="88" t="s">
        <v>52</v>
      </c>
      <c r="P20" s="89"/>
      <c r="Q20" s="90">
        <f t="shared" si="0"/>
        <v>0</v>
      </c>
      <c r="R20" s="91">
        <f t="shared" si="1"/>
        <v>0</v>
      </c>
    </row>
    <row r="21" spans="1:18" s="92" customFormat="1" ht="147" customHeight="1" x14ac:dyDescent="0.25">
      <c r="A21" s="285"/>
      <c r="B21" s="286"/>
      <c r="C21" s="287"/>
      <c r="D21" s="82" t="s">
        <v>55</v>
      </c>
      <c r="E21" s="83">
        <f>C19/5</f>
        <v>0.42966751918158552</v>
      </c>
      <c r="F21" s="83">
        <f t="shared" si="2"/>
        <v>1.6200578592092558</v>
      </c>
      <c r="G21" s="84" t="s">
        <v>56</v>
      </c>
      <c r="H21" s="85">
        <v>1</v>
      </c>
      <c r="I21" s="86" t="s">
        <v>51</v>
      </c>
      <c r="J21" s="87">
        <v>100</v>
      </c>
      <c r="K21" s="88">
        <v>95</v>
      </c>
      <c r="L21" s="88">
        <v>90</v>
      </c>
      <c r="M21" s="88">
        <v>85</v>
      </c>
      <c r="N21" s="88">
        <v>80</v>
      </c>
      <c r="O21" s="88" t="s">
        <v>52</v>
      </c>
      <c r="P21" s="89"/>
      <c r="Q21" s="90">
        <f t="shared" si="0"/>
        <v>0</v>
      </c>
      <c r="R21" s="91">
        <f t="shared" si="1"/>
        <v>0</v>
      </c>
    </row>
    <row r="22" spans="1:18" s="92" customFormat="1" ht="147" customHeight="1" x14ac:dyDescent="0.25">
      <c r="A22" s="285"/>
      <c r="B22" s="286"/>
      <c r="C22" s="287"/>
      <c r="D22" s="82" t="s">
        <v>57</v>
      </c>
      <c r="E22" s="83">
        <f>C19/5</f>
        <v>0.42966751918158552</v>
      </c>
      <c r="F22" s="83">
        <f t="shared" si="2"/>
        <v>1.6200578592092558</v>
      </c>
      <c r="G22" s="84" t="s">
        <v>58</v>
      </c>
      <c r="H22" s="93">
        <v>5</v>
      </c>
      <c r="I22" s="86" t="s">
        <v>59</v>
      </c>
      <c r="J22" s="87" t="s">
        <v>60</v>
      </c>
      <c r="K22" s="88">
        <v>5</v>
      </c>
      <c r="L22" s="88">
        <v>4</v>
      </c>
      <c r="M22" s="88">
        <v>3</v>
      </c>
      <c r="N22" s="88">
        <v>2</v>
      </c>
      <c r="O22" s="88">
        <v>1</v>
      </c>
      <c r="P22" s="89"/>
      <c r="Q22" s="90">
        <f t="shared" si="0"/>
        <v>0</v>
      </c>
      <c r="R22" s="91">
        <f t="shared" si="1"/>
        <v>0</v>
      </c>
    </row>
    <row r="23" spans="1:18" s="92" customFormat="1" ht="147" customHeight="1" x14ac:dyDescent="0.25">
      <c r="A23" s="288"/>
      <c r="B23" s="289"/>
      <c r="C23" s="290"/>
      <c r="D23" s="82" t="s">
        <v>61</v>
      </c>
      <c r="E23" s="83">
        <f>C19/5</f>
        <v>0.42966751918158552</v>
      </c>
      <c r="F23" s="83">
        <f t="shared" si="2"/>
        <v>1.6200578592092558</v>
      </c>
      <c r="G23" s="84" t="s">
        <v>62</v>
      </c>
      <c r="H23" s="85">
        <v>1</v>
      </c>
      <c r="I23" s="86" t="s">
        <v>51</v>
      </c>
      <c r="J23" s="87">
        <v>100</v>
      </c>
      <c r="K23" s="88">
        <v>95</v>
      </c>
      <c r="L23" s="88">
        <v>90</v>
      </c>
      <c r="M23" s="88">
        <v>85</v>
      </c>
      <c r="N23" s="88">
        <v>80</v>
      </c>
      <c r="O23" s="88" t="s">
        <v>52</v>
      </c>
      <c r="P23" s="89"/>
      <c r="Q23" s="90">
        <f t="shared" si="0"/>
        <v>0</v>
      </c>
      <c r="R23" s="91">
        <f t="shared" si="1"/>
        <v>0</v>
      </c>
    </row>
    <row r="24" spans="1:18" s="92" customFormat="1" ht="147" customHeight="1" x14ac:dyDescent="0.25">
      <c r="A24" s="282">
        <v>2</v>
      </c>
      <c r="B24" s="283" t="s">
        <v>63</v>
      </c>
      <c r="C24" s="284">
        <f>0.5*4.29667519181586</f>
        <v>2.1483375959079298</v>
      </c>
      <c r="D24" s="82" t="s">
        <v>64</v>
      </c>
      <c r="E24" s="83">
        <f>C24/2</f>
        <v>1.0741687979539649</v>
      </c>
      <c r="F24" s="83">
        <f t="shared" si="2"/>
        <v>4.050144648023144</v>
      </c>
      <c r="G24" s="84" t="s">
        <v>65</v>
      </c>
      <c r="H24" s="85">
        <v>0.5</v>
      </c>
      <c r="I24" s="86" t="s">
        <v>51</v>
      </c>
      <c r="J24" s="87" t="s">
        <v>66</v>
      </c>
      <c r="K24" s="88">
        <v>50</v>
      </c>
      <c r="L24" s="88">
        <v>45</v>
      </c>
      <c r="M24" s="88">
        <v>40</v>
      </c>
      <c r="N24" s="88">
        <v>25</v>
      </c>
      <c r="O24" s="88" t="s">
        <v>67</v>
      </c>
      <c r="P24" s="89"/>
      <c r="Q24" s="90">
        <f t="shared" si="0"/>
        <v>0</v>
      </c>
      <c r="R24" s="91">
        <f t="shared" si="1"/>
        <v>0</v>
      </c>
    </row>
    <row r="25" spans="1:18" s="92" customFormat="1" ht="147" customHeight="1" x14ac:dyDescent="0.25">
      <c r="A25" s="288"/>
      <c r="B25" s="289"/>
      <c r="C25" s="290"/>
      <c r="D25" s="82" t="s">
        <v>68</v>
      </c>
      <c r="E25" s="83">
        <f>C24/2</f>
        <v>1.0741687979539649</v>
      </c>
      <c r="F25" s="83">
        <f t="shared" si="2"/>
        <v>4.050144648023144</v>
      </c>
      <c r="G25" s="84" t="s">
        <v>69</v>
      </c>
      <c r="H25" s="85">
        <v>0.5</v>
      </c>
      <c r="I25" s="86" t="s">
        <v>51</v>
      </c>
      <c r="J25" s="87" t="s">
        <v>66</v>
      </c>
      <c r="K25" s="88">
        <v>50</v>
      </c>
      <c r="L25" s="88">
        <v>45</v>
      </c>
      <c r="M25" s="88">
        <v>40</v>
      </c>
      <c r="N25" s="88">
        <v>25</v>
      </c>
      <c r="O25" s="88" t="s">
        <v>67</v>
      </c>
      <c r="P25" s="89"/>
      <c r="Q25" s="90">
        <f t="shared" si="0"/>
        <v>0</v>
      </c>
      <c r="R25" s="91">
        <f t="shared" si="1"/>
        <v>0</v>
      </c>
    </row>
    <row r="26" spans="1:18" s="92" customFormat="1" ht="147" customHeight="1" x14ac:dyDescent="0.25">
      <c r="A26" s="282">
        <v>3</v>
      </c>
      <c r="B26" s="283" t="s">
        <v>70</v>
      </c>
      <c r="C26" s="284">
        <f>0.25*57.2122762148338</f>
        <v>14.30306905370845</v>
      </c>
      <c r="D26" s="95" t="s">
        <v>71</v>
      </c>
      <c r="E26" s="83">
        <f>C26/5</f>
        <v>2.8606138107416901</v>
      </c>
      <c r="F26" s="83">
        <f t="shared" si="2"/>
        <v>10.785920925747352</v>
      </c>
      <c r="G26" s="84" t="s">
        <v>72</v>
      </c>
      <c r="H26" s="94">
        <v>0.8</v>
      </c>
      <c r="I26" s="93" t="s">
        <v>51</v>
      </c>
      <c r="J26" s="87" t="s">
        <v>73</v>
      </c>
      <c r="K26" s="88">
        <v>80</v>
      </c>
      <c r="L26" s="88">
        <v>75</v>
      </c>
      <c r="M26" s="88">
        <v>70</v>
      </c>
      <c r="N26" s="88">
        <v>50</v>
      </c>
      <c r="O26" s="88" t="s">
        <v>74</v>
      </c>
      <c r="P26" s="89"/>
      <c r="Q26" s="90">
        <f t="shared" si="0"/>
        <v>0</v>
      </c>
      <c r="R26" s="91">
        <f t="shared" si="1"/>
        <v>0</v>
      </c>
    </row>
    <row r="27" spans="1:18" s="92" customFormat="1" ht="147" customHeight="1" x14ac:dyDescent="0.25">
      <c r="A27" s="285"/>
      <c r="B27" s="286"/>
      <c r="C27" s="287"/>
      <c r="D27" s="82" t="s">
        <v>75</v>
      </c>
      <c r="E27" s="83">
        <f>C26/5</f>
        <v>2.8606138107416901</v>
      </c>
      <c r="F27" s="83">
        <f t="shared" si="2"/>
        <v>10.785920925747352</v>
      </c>
      <c r="G27" s="84" t="s">
        <v>76</v>
      </c>
      <c r="H27" s="94">
        <v>0.8</v>
      </c>
      <c r="I27" s="93" t="s">
        <v>51</v>
      </c>
      <c r="J27" s="87" t="s">
        <v>73</v>
      </c>
      <c r="K27" s="88">
        <v>80</v>
      </c>
      <c r="L27" s="88">
        <v>75</v>
      </c>
      <c r="M27" s="88">
        <v>70</v>
      </c>
      <c r="N27" s="88">
        <v>50</v>
      </c>
      <c r="O27" s="88" t="s">
        <v>74</v>
      </c>
      <c r="P27" s="89"/>
      <c r="Q27" s="90">
        <f t="shared" si="0"/>
        <v>0</v>
      </c>
      <c r="R27" s="91">
        <f t="shared" si="1"/>
        <v>0</v>
      </c>
    </row>
    <row r="28" spans="1:18" s="92" customFormat="1" ht="147" customHeight="1" x14ac:dyDescent="0.25">
      <c r="A28" s="285"/>
      <c r="B28" s="286"/>
      <c r="C28" s="287"/>
      <c r="D28" s="82" t="s">
        <v>77</v>
      </c>
      <c r="E28" s="83">
        <f>C26/5</f>
        <v>2.8606138107416901</v>
      </c>
      <c r="F28" s="83">
        <f t="shared" si="2"/>
        <v>10.785920925747352</v>
      </c>
      <c r="G28" s="84" t="s">
        <v>78</v>
      </c>
      <c r="H28" s="94">
        <v>0.8</v>
      </c>
      <c r="I28" s="93" t="s">
        <v>51</v>
      </c>
      <c r="J28" s="87" t="s">
        <v>73</v>
      </c>
      <c r="K28" s="88">
        <v>80</v>
      </c>
      <c r="L28" s="88">
        <v>75</v>
      </c>
      <c r="M28" s="88">
        <v>70</v>
      </c>
      <c r="N28" s="88">
        <v>50</v>
      </c>
      <c r="O28" s="88" t="s">
        <v>74</v>
      </c>
      <c r="P28" s="89"/>
      <c r="Q28" s="90">
        <f t="shared" si="0"/>
        <v>0</v>
      </c>
      <c r="R28" s="91">
        <f t="shared" si="1"/>
        <v>0</v>
      </c>
    </row>
    <row r="29" spans="1:18" s="92" customFormat="1" ht="147" customHeight="1" x14ac:dyDescent="0.25">
      <c r="A29" s="285"/>
      <c r="B29" s="286"/>
      <c r="C29" s="287"/>
      <c r="D29" s="82" t="s">
        <v>79</v>
      </c>
      <c r="E29" s="83">
        <f>C26/5</f>
        <v>2.8606138107416901</v>
      </c>
      <c r="F29" s="83">
        <f t="shared" si="2"/>
        <v>10.785920925747352</v>
      </c>
      <c r="G29" s="84" t="s">
        <v>80</v>
      </c>
      <c r="H29" s="94">
        <v>1</v>
      </c>
      <c r="I29" s="86" t="s">
        <v>51</v>
      </c>
      <c r="J29" s="87">
        <v>100</v>
      </c>
      <c r="K29" s="88">
        <v>95</v>
      </c>
      <c r="L29" s="88">
        <v>90</v>
      </c>
      <c r="M29" s="88">
        <v>85</v>
      </c>
      <c r="N29" s="88">
        <v>80</v>
      </c>
      <c r="O29" s="88" t="s">
        <v>52</v>
      </c>
      <c r="P29" s="89"/>
      <c r="Q29" s="90">
        <f t="shared" si="0"/>
        <v>0</v>
      </c>
      <c r="R29" s="91">
        <f t="shared" si="1"/>
        <v>0</v>
      </c>
    </row>
    <row r="30" spans="1:18" s="92" customFormat="1" ht="147" customHeight="1" x14ac:dyDescent="0.25">
      <c r="A30" s="288"/>
      <c r="B30" s="289"/>
      <c r="C30" s="290"/>
      <c r="D30" s="82" t="s">
        <v>81</v>
      </c>
      <c r="E30" s="83">
        <f>C26/5</f>
        <v>2.8606138107416901</v>
      </c>
      <c r="F30" s="83">
        <f t="shared" si="2"/>
        <v>10.785920925747352</v>
      </c>
      <c r="G30" s="84" t="s">
        <v>82</v>
      </c>
      <c r="H30" s="94">
        <v>0.9</v>
      </c>
      <c r="I30" s="93" t="s">
        <v>51</v>
      </c>
      <c r="J30" s="87" t="s">
        <v>83</v>
      </c>
      <c r="K30" s="88">
        <v>90</v>
      </c>
      <c r="L30" s="88">
        <v>80</v>
      </c>
      <c r="M30" s="88">
        <v>70</v>
      </c>
      <c r="N30" s="88">
        <v>50</v>
      </c>
      <c r="O30" s="88" t="s">
        <v>74</v>
      </c>
      <c r="P30" s="89"/>
      <c r="Q30" s="90">
        <f t="shared" si="0"/>
        <v>0</v>
      </c>
      <c r="R30" s="91">
        <f t="shared" si="1"/>
        <v>0</v>
      </c>
    </row>
    <row r="31" spans="1:18" s="92" customFormat="1" ht="147" customHeight="1" x14ac:dyDescent="0.25">
      <c r="A31" s="282">
        <v>4</v>
      </c>
      <c r="B31" s="283" t="s">
        <v>84</v>
      </c>
      <c r="C31" s="291">
        <f>0.25*0.895140664961637</f>
        <v>0.22378516624040926</v>
      </c>
      <c r="D31" s="82" t="s">
        <v>85</v>
      </c>
      <c r="E31" s="83">
        <f>C31/2</f>
        <v>0.11189258312020463</v>
      </c>
      <c r="F31" s="83">
        <f t="shared" si="2"/>
        <v>0.4218900675024107</v>
      </c>
      <c r="G31" s="84" t="s">
        <v>86</v>
      </c>
      <c r="H31" s="94">
        <v>1</v>
      </c>
      <c r="I31" s="86" t="s">
        <v>51</v>
      </c>
      <c r="J31" s="87">
        <v>100</v>
      </c>
      <c r="K31" s="88">
        <v>95</v>
      </c>
      <c r="L31" s="88">
        <v>90</v>
      </c>
      <c r="M31" s="88">
        <v>85</v>
      </c>
      <c r="N31" s="88">
        <v>80</v>
      </c>
      <c r="O31" s="88" t="s">
        <v>52</v>
      </c>
      <c r="P31" s="89"/>
      <c r="Q31" s="90">
        <f t="shared" si="0"/>
        <v>0</v>
      </c>
      <c r="R31" s="91">
        <f t="shared" si="1"/>
        <v>0</v>
      </c>
    </row>
    <row r="32" spans="1:18" s="92" customFormat="1" ht="147" customHeight="1" x14ac:dyDescent="0.25">
      <c r="A32" s="288"/>
      <c r="B32" s="289"/>
      <c r="C32" s="292"/>
      <c r="D32" s="82" t="s">
        <v>87</v>
      </c>
      <c r="E32" s="83">
        <f>C31/2</f>
        <v>0.11189258312020463</v>
      </c>
      <c r="F32" s="83">
        <f t="shared" si="2"/>
        <v>0.4218900675024107</v>
      </c>
      <c r="G32" s="84" t="s">
        <v>88</v>
      </c>
      <c r="H32" s="93">
        <v>5</v>
      </c>
      <c r="I32" s="86" t="s">
        <v>59</v>
      </c>
      <c r="J32" s="87" t="s">
        <v>60</v>
      </c>
      <c r="K32" s="88">
        <v>5</v>
      </c>
      <c r="L32" s="88">
        <v>4</v>
      </c>
      <c r="M32" s="88">
        <v>3</v>
      </c>
      <c r="N32" s="88">
        <v>2</v>
      </c>
      <c r="O32" s="88">
        <v>1</v>
      </c>
      <c r="P32" s="89"/>
      <c r="Q32" s="90">
        <f t="shared" si="0"/>
        <v>0</v>
      </c>
      <c r="R32" s="91">
        <f t="shared" si="1"/>
        <v>0</v>
      </c>
    </row>
    <row r="33" spans="1:18" s="92" customFormat="1" ht="147" customHeight="1" x14ac:dyDescent="0.25">
      <c r="A33" s="282">
        <v>5</v>
      </c>
      <c r="B33" s="283" t="s">
        <v>89</v>
      </c>
      <c r="C33" s="291">
        <f>0.5*1.79028132992327</f>
        <v>0.89514066496163502</v>
      </c>
      <c r="D33" s="82" t="s">
        <v>90</v>
      </c>
      <c r="E33" s="83">
        <f>C33/2</f>
        <v>0.44757033248081751</v>
      </c>
      <c r="F33" s="83">
        <f t="shared" si="2"/>
        <v>1.687560270009639</v>
      </c>
      <c r="G33" s="84" t="s">
        <v>91</v>
      </c>
      <c r="H33" s="93">
        <v>5</v>
      </c>
      <c r="I33" s="93" t="s">
        <v>59</v>
      </c>
      <c r="J33" s="87" t="s">
        <v>60</v>
      </c>
      <c r="K33" s="88">
        <v>5</v>
      </c>
      <c r="L33" s="88">
        <v>4</v>
      </c>
      <c r="M33" s="88">
        <v>3</v>
      </c>
      <c r="N33" s="88">
        <v>2</v>
      </c>
      <c r="O33" s="88">
        <v>1</v>
      </c>
      <c r="P33" s="89"/>
      <c r="Q33" s="90">
        <f t="shared" si="0"/>
        <v>0</v>
      </c>
      <c r="R33" s="91">
        <f t="shared" si="1"/>
        <v>0</v>
      </c>
    </row>
    <row r="34" spans="1:18" s="92" customFormat="1" ht="147" customHeight="1" x14ac:dyDescent="0.25">
      <c r="A34" s="288"/>
      <c r="B34" s="289"/>
      <c r="C34" s="292"/>
      <c r="D34" s="82" t="s">
        <v>92</v>
      </c>
      <c r="E34" s="83">
        <f>C33/2</f>
        <v>0.44757033248081751</v>
      </c>
      <c r="F34" s="83">
        <f t="shared" si="2"/>
        <v>1.687560270009639</v>
      </c>
      <c r="G34" s="84" t="s">
        <v>93</v>
      </c>
      <c r="H34" s="85">
        <v>0.5</v>
      </c>
      <c r="I34" s="86" t="s">
        <v>51</v>
      </c>
      <c r="J34" s="87" t="s">
        <v>66</v>
      </c>
      <c r="K34" s="88">
        <v>50</v>
      </c>
      <c r="L34" s="88">
        <v>45</v>
      </c>
      <c r="M34" s="88">
        <v>40</v>
      </c>
      <c r="N34" s="88">
        <v>25</v>
      </c>
      <c r="O34" s="88" t="s">
        <v>67</v>
      </c>
      <c r="P34" s="89"/>
      <c r="Q34" s="90">
        <f t="shared" si="0"/>
        <v>0</v>
      </c>
      <c r="R34" s="91">
        <f t="shared" si="1"/>
        <v>0</v>
      </c>
    </row>
    <row r="35" spans="1:18" s="92" customFormat="1" ht="147" customHeight="1" x14ac:dyDescent="0.25">
      <c r="A35" s="293">
        <v>6</v>
      </c>
      <c r="B35" s="294" t="s">
        <v>94</v>
      </c>
      <c r="C35" s="295">
        <f>0.25*14.3222506393862</f>
        <v>3.5805626598465499</v>
      </c>
      <c r="D35" s="82" t="s">
        <v>95</v>
      </c>
      <c r="E35" s="83">
        <f>C35</f>
        <v>3.5805626598465499</v>
      </c>
      <c r="F35" s="83">
        <f t="shared" si="2"/>
        <v>13.500482160077148</v>
      </c>
      <c r="G35" s="84" t="s">
        <v>96</v>
      </c>
      <c r="H35" s="94">
        <v>0.8</v>
      </c>
      <c r="I35" s="93" t="s">
        <v>51</v>
      </c>
      <c r="J35" s="87" t="s">
        <v>73</v>
      </c>
      <c r="K35" s="88">
        <v>80</v>
      </c>
      <c r="L35" s="88">
        <v>75</v>
      </c>
      <c r="M35" s="88">
        <v>70</v>
      </c>
      <c r="N35" s="88">
        <v>50</v>
      </c>
      <c r="O35" s="88" t="s">
        <v>74</v>
      </c>
      <c r="P35" s="89"/>
      <c r="Q35" s="90">
        <f t="shared" si="0"/>
        <v>0</v>
      </c>
      <c r="R35" s="91">
        <f t="shared" si="1"/>
        <v>0</v>
      </c>
    </row>
    <row r="36" spans="1:18" s="92" customFormat="1" ht="147" customHeight="1" x14ac:dyDescent="0.25">
      <c r="A36" s="81">
        <v>7</v>
      </c>
      <c r="B36" s="82" t="s">
        <v>97</v>
      </c>
      <c r="C36" s="96">
        <f>0.25*5.72890025575448</f>
        <v>1.43222506393862</v>
      </c>
      <c r="D36" s="294" t="s">
        <v>98</v>
      </c>
      <c r="E36" s="83">
        <f>C36</f>
        <v>1.43222506393862</v>
      </c>
      <c r="F36" s="83">
        <f t="shared" si="2"/>
        <v>5.4001928640308599</v>
      </c>
      <c r="G36" s="84" t="s">
        <v>99</v>
      </c>
      <c r="H36" s="85">
        <v>0.7</v>
      </c>
      <c r="I36" s="93" t="s">
        <v>51</v>
      </c>
      <c r="J36" s="87" t="s">
        <v>100</v>
      </c>
      <c r="K36" s="88">
        <v>70</v>
      </c>
      <c r="L36" s="88">
        <v>60</v>
      </c>
      <c r="M36" s="88">
        <v>50</v>
      </c>
      <c r="N36" s="88">
        <v>40</v>
      </c>
      <c r="O36" s="88" t="s">
        <v>101</v>
      </c>
      <c r="P36" s="89"/>
      <c r="Q36" s="90">
        <f t="shared" si="0"/>
        <v>0</v>
      </c>
      <c r="R36" s="91">
        <f t="shared" si="1"/>
        <v>0</v>
      </c>
    </row>
    <row r="37" spans="1:18" s="92" customFormat="1" ht="147" customHeight="1" x14ac:dyDescent="0.25">
      <c r="A37" s="81">
        <v>8</v>
      </c>
      <c r="B37" s="82" t="s">
        <v>102</v>
      </c>
      <c r="C37" s="96">
        <f>0.25*7.16112531969309</f>
        <v>1.7902813299232725</v>
      </c>
      <c r="D37" s="84" t="s">
        <v>103</v>
      </c>
      <c r="E37" s="83">
        <f>C37</f>
        <v>1.7902813299232725</v>
      </c>
      <c r="F37" s="83">
        <f t="shared" si="2"/>
        <v>6.7502410800385642</v>
      </c>
      <c r="G37" s="84" t="s">
        <v>104</v>
      </c>
      <c r="H37" s="85">
        <v>0.5</v>
      </c>
      <c r="I37" s="86" t="s">
        <v>51</v>
      </c>
      <c r="J37" s="87" t="s">
        <v>66</v>
      </c>
      <c r="K37" s="88">
        <v>50</v>
      </c>
      <c r="L37" s="88">
        <v>45</v>
      </c>
      <c r="M37" s="88">
        <v>40</v>
      </c>
      <c r="N37" s="88">
        <v>25</v>
      </c>
      <c r="O37" s="88" t="s">
        <v>67</v>
      </c>
      <c r="P37" s="89"/>
      <c r="Q37" s="90">
        <f t="shared" si="0"/>
        <v>0</v>
      </c>
      <c r="R37" s="91">
        <f t="shared" si="1"/>
        <v>0</v>
      </c>
    </row>
    <row r="38" spans="1:18" s="107" customFormat="1" ht="44.25" x14ac:dyDescent="0.25">
      <c r="A38" s="97"/>
      <c r="B38" s="98" t="s">
        <v>105</v>
      </c>
      <c r="C38" s="99">
        <f>SUM(C19:C37)</f>
        <v>26.521739130434788</v>
      </c>
      <c r="D38" s="98"/>
      <c r="E38" s="99">
        <f>SUM(E19:E37)</f>
        <v>26.521739130434796</v>
      </c>
      <c r="F38" s="99">
        <f>SUM(F19:F37)</f>
        <v>100</v>
      </c>
      <c r="G38" s="100"/>
      <c r="H38" s="101"/>
      <c r="I38" s="102"/>
      <c r="J38" s="103"/>
      <c r="K38" s="103"/>
      <c r="L38" s="103"/>
      <c r="M38" s="103"/>
      <c r="N38" s="103"/>
      <c r="O38" s="103"/>
      <c r="P38" s="104"/>
      <c r="Q38" s="105"/>
      <c r="R38" s="106">
        <f>SUM(R19:R37)</f>
        <v>0</v>
      </c>
    </row>
    <row r="39" spans="1:18" s="109" customFormat="1" ht="66" customHeight="1" x14ac:dyDescent="0.7">
      <c r="A39" s="108"/>
      <c r="G39" s="110"/>
      <c r="H39" s="110"/>
      <c r="I39" s="111" t="s">
        <v>155</v>
      </c>
      <c r="J39" s="112"/>
      <c r="K39" s="112"/>
      <c r="L39" s="112"/>
      <c r="M39" s="112"/>
      <c r="N39" s="112"/>
      <c r="O39" s="112"/>
      <c r="P39" s="112"/>
      <c r="Q39" s="113"/>
      <c r="R39" s="114">
        <f>R38/100 * 70</f>
        <v>0</v>
      </c>
    </row>
    <row r="40" spans="1:18" s="123" customFormat="1" ht="36" x14ac:dyDescent="0.55000000000000004">
      <c r="A40" s="115" t="s">
        <v>106</v>
      </c>
      <c r="B40" s="116"/>
      <c r="C40" s="116"/>
      <c r="D40" s="116"/>
      <c r="E40" s="116"/>
      <c r="F40" s="116"/>
      <c r="G40" s="117"/>
      <c r="H40" s="118"/>
      <c r="I40" s="118"/>
      <c r="J40" s="118"/>
      <c r="K40" s="118"/>
      <c r="L40" s="71" t="s">
        <v>111</v>
      </c>
      <c r="M40" s="119" t="s">
        <v>107</v>
      </c>
      <c r="N40" s="119"/>
      <c r="O40" s="119"/>
      <c r="P40" s="120"/>
      <c r="Q40" s="121"/>
      <c r="R40" s="122"/>
    </row>
    <row r="41" spans="1:18" s="123" customFormat="1" ht="31.5" customHeight="1" x14ac:dyDescent="0.55000000000000004">
      <c r="A41" s="124"/>
      <c r="B41" s="125"/>
      <c r="C41" s="126" t="s">
        <v>108</v>
      </c>
      <c r="D41" s="126"/>
      <c r="E41" s="126"/>
      <c r="F41" s="126"/>
      <c r="G41" s="126"/>
      <c r="H41" s="127" t="s">
        <v>156</v>
      </c>
      <c r="I41" s="127" t="s">
        <v>157</v>
      </c>
      <c r="J41" s="127"/>
      <c r="K41" s="128"/>
      <c r="L41" s="79"/>
      <c r="M41" s="129"/>
      <c r="N41" s="129"/>
      <c r="O41" s="129"/>
      <c r="P41" s="130"/>
      <c r="Q41" s="121"/>
      <c r="R41" s="122"/>
    </row>
    <row r="42" spans="1:18" s="123" customFormat="1" ht="36" customHeight="1" x14ac:dyDescent="0.55000000000000004">
      <c r="A42" s="131">
        <v>1</v>
      </c>
      <c r="B42" s="132" t="s">
        <v>112</v>
      </c>
      <c r="C42" s="133"/>
      <c r="D42" s="134"/>
      <c r="E42" s="134"/>
      <c r="F42" s="134"/>
      <c r="G42" s="135"/>
      <c r="H42" s="136"/>
      <c r="I42" s="136"/>
      <c r="J42" s="136"/>
      <c r="K42" s="136"/>
      <c r="L42" s="137"/>
      <c r="M42" s="138" t="s">
        <v>42</v>
      </c>
      <c r="N42" s="139" t="s">
        <v>113</v>
      </c>
      <c r="O42" s="140"/>
      <c r="P42" s="130"/>
      <c r="Q42" s="121"/>
      <c r="R42" s="122"/>
    </row>
    <row r="43" spans="1:18" s="123" customFormat="1" ht="84.75" customHeight="1" x14ac:dyDescent="0.55000000000000004">
      <c r="A43" s="141" t="s">
        <v>114</v>
      </c>
      <c r="B43" s="142" t="s">
        <v>158</v>
      </c>
      <c r="C43" s="143"/>
      <c r="D43" s="144"/>
      <c r="E43" s="144"/>
      <c r="F43" s="144"/>
      <c r="G43" s="145"/>
      <c r="H43" s="146">
        <v>4</v>
      </c>
      <c r="I43" s="147"/>
      <c r="J43" s="146"/>
      <c r="K43" s="146"/>
      <c r="L43" s="137"/>
      <c r="M43" s="138" t="s">
        <v>43</v>
      </c>
      <c r="N43" s="139" t="s">
        <v>115</v>
      </c>
      <c r="O43" s="140"/>
      <c r="P43" s="130"/>
      <c r="Q43" s="121"/>
      <c r="R43" s="122"/>
    </row>
    <row r="44" spans="1:18" s="123" customFormat="1" ht="82.5" customHeight="1" x14ac:dyDescent="0.55000000000000004">
      <c r="A44" s="141" t="s">
        <v>116</v>
      </c>
      <c r="B44" s="142" t="s">
        <v>159</v>
      </c>
      <c r="C44" s="143"/>
      <c r="D44" s="144"/>
      <c r="E44" s="144"/>
      <c r="F44" s="144"/>
      <c r="G44" s="145"/>
      <c r="H44" s="146">
        <v>2</v>
      </c>
      <c r="I44" s="147"/>
      <c r="J44" s="146"/>
      <c r="K44" s="146"/>
      <c r="L44" s="137"/>
      <c r="M44" s="138" t="s">
        <v>44</v>
      </c>
      <c r="N44" s="139" t="s">
        <v>117</v>
      </c>
      <c r="O44" s="140"/>
      <c r="P44" s="130"/>
      <c r="Q44" s="121"/>
      <c r="R44" s="122"/>
    </row>
    <row r="45" spans="1:18" s="123" customFormat="1" ht="78.75" customHeight="1" x14ac:dyDescent="0.55000000000000004">
      <c r="A45" s="141" t="s">
        <v>118</v>
      </c>
      <c r="B45" s="142" t="s">
        <v>119</v>
      </c>
      <c r="C45" s="143"/>
      <c r="D45" s="144"/>
      <c r="E45" s="144"/>
      <c r="F45" s="144"/>
      <c r="G45" s="145"/>
      <c r="H45" s="146">
        <v>2</v>
      </c>
      <c r="I45" s="147"/>
      <c r="J45" s="146"/>
      <c r="K45" s="146"/>
      <c r="L45" s="137"/>
      <c r="M45" s="138" t="s">
        <v>45</v>
      </c>
      <c r="N45" s="139" t="s">
        <v>120</v>
      </c>
      <c r="O45" s="140"/>
      <c r="P45" s="130"/>
      <c r="Q45" s="121"/>
      <c r="R45" s="122"/>
    </row>
    <row r="46" spans="1:18" s="123" customFormat="1" ht="36" x14ac:dyDescent="0.55000000000000004">
      <c r="A46" s="148">
        <v>2</v>
      </c>
      <c r="B46" s="149" t="s">
        <v>121</v>
      </c>
      <c r="C46" s="150"/>
      <c r="D46" s="151"/>
      <c r="E46" s="151"/>
      <c r="F46" s="151"/>
      <c r="G46" s="152"/>
      <c r="H46" s="146"/>
      <c r="I46" s="147"/>
      <c r="J46" s="146"/>
      <c r="K46" s="146"/>
      <c r="L46" s="137"/>
      <c r="M46" s="138" t="s">
        <v>46</v>
      </c>
      <c r="N46" s="139" t="s">
        <v>122</v>
      </c>
      <c r="O46" s="140"/>
      <c r="P46" s="130"/>
      <c r="Q46" s="121"/>
      <c r="R46" s="122"/>
    </row>
    <row r="47" spans="1:18" s="123" customFormat="1" ht="82.5" customHeight="1" x14ac:dyDescent="0.55000000000000004">
      <c r="A47" s="141" t="s">
        <v>114</v>
      </c>
      <c r="B47" s="153" t="s">
        <v>160</v>
      </c>
      <c r="C47" s="154"/>
      <c r="D47" s="155"/>
      <c r="E47" s="155"/>
      <c r="F47" s="155"/>
      <c r="G47" s="156"/>
      <c r="H47" s="146">
        <v>2</v>
      </c>
      <c r="I47" s="147"/>
      <c r="J47" s="146"/>
      <c r="K47" s="146"/>
      <c r="L47" s="137"/>
      <c r="M47" s="138" t="s">
        <v>47</v>
      </c>
      <c r="N47" s="139" t="s">
        <v>123</v>
      </c>
      <c r="O47" s="140"/>
      <c r="P47" s="157"/>
      <c r="Q47" s="121"/>
      <c r="R47" s="122"/>
    </row>
    <row r="48" spans="1:18" s="123" customFormat="1" ht="114.75" customHeight="1" x14ac:dyDescent="0.55000000000000004">
      <c r="A48" s="141" t="s">
        <v>116</v>
      </c>
      <c r="B48" s="153" t="s">
        <v>161</v>
      </c>
      <c r="C48" s="154"/>
      <c r="D48" s="155"/>
      <c r="E48" s="155"/>
      <c r="F48" s="155"/>
      <c r="G48" s="156"/>
      <c r="H48" s="146">
        <v>2</v>
      </c>
      <c r="I48" s="147"/>
      <c r="J48" s="146"/>
      <c r="K48" s="146"/>
      <c r="L48" s="137"/>
      <c r="M48" s="130" t="s">
        <v>111</v>
      </c>
      <c r="N48" s="158" t="s">
        <v>124</v>
      </c>
      <c r="O48" s="159"/>
      <c r="P48" s="157"/>
      <c r="Q48" s="121"/>
      <c r="R48" s="122"/>
    </row>
    <row r="49" spans="1:18" s="123" customFormat="1" ht="72" customHeight="1" x14ac:dyDescent="0.55000000000000004">
      <c r="A49" s="141" t="s">
        <v>118</v>
      </c>
      <c r="B49" s="153" t="s">
        <v>162</v>
      </c>
      <c r="C49" s="154"/>
      <c r="D49" s="155"/>
      <c r="E49" s="155"/>
      <c r="F49" s="155"/>
      <c r="G49" s="156"/>
      <c r="H49" s="146">
        <v>2</v>
      </c>
      <c r="I49" s="147"/>
      <c r="J49" s="146"/>
      <c r="K49" s="146"/>
      <c r="L49" s="137"/>
      <c r="M49" s="130" t="s">
        <v>125</v>
      </c>
      <c r="N49" s="158" t="s">
        <v>126</v>
      </c>
      <c r="O49" s="159"/>
      <c r="P49" s="157"/>
      <c r="Q49" s="121"/>
      <c r="R49" s="122"/>
    </row>
    <row r="50" spans="1:18" s="123" customFormat="1" ht="66" customHeight="1" x14ac:dyDescent="0.55000000000000004">
      <c r="A50" s="148">
        <v>3</v>
      </c>
      <c r="B50" s="149" t="s">
        <v>127</v>
      </c>
      <c r="C50" s="150"/>
      <c r="D50" s="151"/>
      <c r="E50" s="151"/>
      <c r="F50" s="151"/>
      <c r="G50" s="152"/>
      <c r="H50" s="146"/>
      <c r="I50" s="147"/>
      <c r="J50" s="146"/>
      <c r="K50" s="146"/>
      <c r="L50" s="137"/>
      <c r="M50" s="130" t="s">
        <v>109</v>
      </c>
      <c r="N50" s="158" t="s">
        <v>128</v>
      </c>
      <c r="O50" s="159"/>
      <c r="P50" s="157"/>
      <c r="Q50" s="121"/>
      <c r="R50" s="122"/>
    </row>
    <row r="51" spans="1:18" s="123" customFormat="1" ht="72" customHeight="1" x14ac:dyDescent="0.55000000000000004">
      <c r="A51" s="141" t="s">
        <v>114</v>
      </c>
      <c r="B51" s="153" t="s">
        <v>129</v>
      </c>
      <c r="C51" s="160"/>
      <c r="D51" s="161"/>
      <c r="E51" s="161"/>
      <c r="F51" s="161"/>
      <c r="G51" s="162"/>
      <c r="H51" s="146">
        <v>2</v>
      </c>
      <c r="I51" s="147"/>
      <c r="J51" s="146"/>
      <c r="K51" s="146"/>
      <c r="L51" s="137"/>
      <c r="M51" s="130" t="s">
        <v>110</v>
      </c>
      <c r="N51" s="158" t="s">
        <v>130</v>
      </c>
      <c r="O51" s="159"/>
      <c r="P51" s="157"/>
      <c r="Q51" s="121"/>
      <c r="R51" s="122"/>
    </row>
    <row r="52" spans="1:18" s="123" customFormat="1" ht="72" customHeight="1" x14ac:dyDescent="0.55000000000000004">
      <c r="A52" s="141" t="s">
        <v>116</v>
      </c>
      <c r="B52" s="153" t="s">
        <v>163</v>
      </c>
      <c r="C52" s="160"/>
      <c r="D52" s="161"/>
      <c r="E52" s="161"/>
      <c r="F52" s="161"/>
      <c r="G52" s="162"/>
      <c r="H52" s="146">
        <v>2</v>
      </c>
      <c r="I52" s="147"/>
      <c r="J52" s="146"/>
      <c r="K52" s="146"/>
      <c r="L52" s="137"/>
      <c r="M52" s="130" t="s">
        <v>131</v>
      </c>
      <c r="N52" s="158" t="s">
        <v>132</v>
      </c>
      <c r="O52" s="159"/>
      <c r="P52" s="157"/>
      <c r="Q52" s="121"/>
      <c r="R52" s="122"/>
    </row>
    <row r="53" spans="1:18" s="123" customFormat="1" ht="44.25" customHeight="1" x14ac:dyDescent="0.55000000000000004">
      <c r="A53" s="141" t="s">
        <v>118</v>
      </c>
      <c r="B53" s="153" t="s">
        <v>164</v>
      </c>
      <c r="C53" s="160"/>
      <c r="D53" s="161"/>
      <c r="E53" s="161"/>
      <c r="F53" s="161"/>
      <c r="G53" s="162"/>
      <c r="H53" s="146">
        <v>2</v>
      </c>
      <c r="I53" s="147"/>
      <c r="J53" s="146"/>
      <c r="K53" s="146"/>
      <c r="L53" s="137"/>
      <c r="M53" s="163"/>
      <c r="N53" s="163"/>
      <c r="O53" s="163"/>
      <c r="P53" s="164"/>
      <c r="Q53" s="121"/>
      <c r="R53" s="122"/>
    </row>
    <row r="54" spans="1:18" s="123" customFormat="1" ht="31.5" customHeight="1" x14ac:dyDescent="0.55000000000000004">
      <c r="A54" s="165" t="s">
        <v>133</v>
      </c>
      <c r="B54" s="166"/>
      <c r="C54" s="166"/>
      <c r="D54" s="166"/>
      <c r="E54" s="166"/>
      <c r="F54" s="166"/>
      <c r="G54" s="166"/>
      <c r="H54" s="167">
        <f>SUM(H43:H53)</f>
        <v>20</v>
      </c>
      <c r="I54" s="167">
        <f>SUM(I43:I53)</f>
        <v>0</v>
      </c>
      <c r="J54" s="167"/>
      <c r="K54" s="168"/>
      <c r="L54" s="137"/>
      <c r="M54" s="163"/>
      <c r="N54" s="163"/>
      <c r="O54" s="163"/>
      <c r="P54" s="164"/>
      <c r="Q54" s="121"/>
      <c r="R54" s="122"/>
    </row>
    <row r="55" spans="1:18" s="123" customFormat="1" ht="36" customHeight="1" x14ac:dyDescent="0.55000000000000004">
      <c r="A55" s="169" t="s">
        <v>114</v>
      </c>
      <c r="B55" s="170" t="s">
        <v>134</v>
      </c>
      <c r="C55" s="154" t="s">
        <v>135</v>
      </c>
      <c r="D55" s="155"/>
      <c r="E55" s="155"/>
      <c r="F55" s="155"/>
      <c r="G55" s="156"/>
      <c r="H55" s="171">
        <v>4</v>
      </c>
      <c r="I55" s="172"/>
      <c r="J55" s="171"/>
      <c r="K55" s="173"/>
      <c r="L55" s="137"/>
      <c r="M55" s="163"/>
      <c r="N55" s="163"/>
      <c r="O55" s="163"/>
      <c r="P55" s="164"/>
      <c r="Q55" s="121"/>
      <c r="R55" s="122"/>
    </row>
    <row r="56" spans="1:18" s="123" customFormat="1" ht="129" customHeight="1" x14ac:dyDescent="0.55000000000000004">
      <c r="A56" s="169" t="s">
        <v>116</v>
      </c>
      <c r="B56" s="170" t="s">
        <v>136</v>
      </c>
      <c r="C56" s="154" t="s">
        <v>137</v>
      </c>
      <c r="D56" s="155"/>
      <c r="E56" s="155"/>
      <c r="F56" s="155"/>
      <c r="G56" s="156"/>
      <c r="H56" s="171">
        <v>3</v>
      </c>
      <c r="I56" s="172"/>
      <c r="J56" s="171"/>
      <c r="K56" s="173"/>
      <c r="L56" s="137"/>
      <c r="M56" s="163"/>
      <c r="N56" s="163"/>
      <c r="O56" s="163"/>
      <c r="P56" s="164"/>
      <c r="Q56" s="121"/>
      <c r="R56" s="122"/>
    </row>
    <row r="57" spans="1:18" s="123" customFormat="1" ht="69" customHeight="1" x14ac:dyDescent="0.55000000000000004">
      <c r="A57" s="169" t="s">
        <v>116</v>
      </c>
      <c r="B57" s="170" t="s">
        <v>138</v>
      </c>
      <c r="C57" s="154" t="s">
        <v>139</v>
      </c>
      <c r="D57" s="155"/>
      <c r="E57" s="155"/>
      <c r="F57" s="155"/>
      <c r="G57" s="156"/>
      <c r="H57" s="171">
        <v>3</v>
      </c>
      <c r="I57" s="172"/>
      <c r="J57" s="171"/>
      <c r="K57" s="173"/>
      <c r="L57" s="137"/>
      <c r="M57" s="163"/>
      <c r="N57" s="163"/>
      <c r="O57" s="163"/>
      <c r="P57" s="164"/>
      <c r="Q57" s="121"/>
      <c r="R57" s="122"/>
    </row>
    <row r="58" spans="1:18" s="123" customFormat="1" ht="46.5" customHeight="1" x14ac:dyDescent="0.55000000000000004">
      <c r="A58" s="174"/>
      <c r="B58" s="175" t="s">
        <v>140</v>
      </c>
      <c r="C58" s="175"/>
      <c r="D58" s="175"/>
      <c r="E58" s="176"/>
      <c r="F58" s="176"/>
      <c r="G58" s="176"/>
      <c r="H58" s="167">
        <f>SUM(H55:H57)</f>
        <v>10</v>
      </c>
      <c r="I58" s="167">
        <f>SUM(I55:I57)</f>
        <v>0</v>
      </c>
      <c r="J58" s="176"/>
      <c r="K58" s="177"/>
      <c r="L58" s="163"/>
      <c r="M58" s="163"/>
      <c r="N58" s="163"/>
      <c r="O58" s="163"/>
      <c r="P58" s="164"/>
      <c r="Q58" s="121"/>
      <c r="R58" s="122"/>
    </row>
    <row r="59" spans="1:18" s="185" customFormat="1" ht="45" customHeight="1" x14ac:dyDescent="0.7">
      <c r="A59" s="178"/>
      <c r="B59" s="179"/>
      <c r="C59" s="180"/>
      <c r="D59" s="180"/>
      <c r="E59" s="180"/>
      <c r="F59" s="181"/>
      <c r="G59" s="181"/>
      <c r="H59" s="181"/>
      <c r="I59" s="181"/>
      <c r="J59" s="181"/>
      <c r="K59" s="180"/>
      <c r="L59" s="180"/>
      <c r="M59" s="180"/>
      <c r="N59" s="180"/>
      <c r="O59" s="182" t="s">
        <v>165</v>
      </c>
      <c r="P59" s="183"/>
      <c r="Q59" s="182" t="s">
        <v>166</v>
      </c>
      <c r="R59" s="184"/>
    </row>
    <row r="60" spans="1:18" s="185" customFormat="1" ht="45" customHeight="1" x14ac:dyDescent="0.7">
      <c r="A60" s="178"/>
      <c r="B60" s="186"/>
      <c r="C60" s="187" t="s">
        <v>167</v>
      </c>
      <c r="D60" s="188"/>
      <c r="E60" s="188"/>
      <c r="F60" s="188"/>
      <c r="G60" s="188"/>
      <c r="H60" s="188"/>
      <c r="I60" s="188"/>
      <c r="J60" s="188"/>
      <c r="K60" s="189"/>
      <c r="L60" s="190"/>
      <c r="M60" s="191"/>
      <c r="N60" s="192"/>
      <c r="O60" s="193">
        <f>R39</f>
        <v>0</v>
      </c>
      <c r="P60" s="194"/>
      <c r="Q60" s="195">
        <f>O63/100 * 20</f>
        <v>0</v>
      </c>
      <c r="R60" s="196"/>
    </row>
    <row r="61" spans="1:18" s="185" customFormat="1" ht="45" customHeight="1" x14ac:dyDescent="0.7">
      <c r="A61" s="178"/>
      <c r="B61" s="186"/>
      <c r="C61" s="188" t="s">
        <v>168</v>
      </c>
      <c r="D61" s="188"/>
      <c r="E61" s="188"/>
      <c r="F61" s="188"/>
      <c r="G61" s="188"/>
      <c r="H61" s="188"/>
      <c r="I61" s="188"/>
      <c r="J61" s="188"/>
      <c r="K61" s="188"/>
      <c r="L61" s="191"/>
      <c r="M61" s="191"/>
      <c r="N61" s="192"/>
      <c r="O61" s="193">
        <f>I54</f>
        <v>0</v>
      </c>
      <c r="P61" s="194"/>
      <c r="Q61" s="197"/>
      <c r="R61" s="198"/>
    </row>
    <row r="62" spans="1:18" s="185" customFormat="1" ht="45" customHeight="1" x14ac:dyDescent="0.7">
      <c r="A62" s="178"/>
      <c r="B62" s="186"/>
      <c r="C62" s="187" t="s">
        <v>169</v>
      </c>
      <c r="D62" s="188"/>
      <c r="E62" s="188"/>
      <c r="F62" s="188"/>
      <c r="G62" s="188"/>
      <c r="H62" s="188"/>
      <c r="I62" s="188"/>
      <c r="J62" s="188"/>
      <c r="K62" s="189"/>
      <c r="L62" s="190"/>
      <c r="M62" s="191"/>
      <c r="N62" s="192"/>
      <c r="O62" s="193">
        <f>I58</f>
        <v>0</v>
      </c>
      <c r="P62" s="194"/>
      <c r="Q62" s="197"/>
      <c r="R62" s="198"/>
    </row>
    <row r="63" spans="1:18" s="185" customFormat="1" ht="45" customHeight="1" x14ac:dyDescent="0.7">
      <c r="A63" s="178"/>
      <c r="B63" s="199"/>
      <c r="C63" s="187" t="s">
        <v>170</v>
      </c>
      <c r="D63" s="188"/>
      <c r="E63" s="188"/>
      <c r="F63" s="188"/>
      <c r="G63" s="188"/>
      <c r="H63" s="188"/>
      <c r="I63" s="188"/>
      <c r="J63" s="188"/>
      <c r="K63" s="189"/>
      <c r="L63" s="190"/>
      <c r="M63" s="191"/>
      <c r="N63" s="192"/>
      <c r="O63" s="193">
        <f>SUM(O60:P62)</f>
        <v>0</v>
      </c>
      <c r="P63" s="194"/>
      <c r="Q63" s="200"/>
      <c r="R63" s="201"/>
    </row>
    <row r="64" spans="1:18" s="185" customFormat="1" ht="64.900000000000006" customHeight="1" x14ac:dyDescent="0.7">
      <c r="A64" s="178"/>
      <c r="B64" s="202" t="s">
        <v>171</v>
      </c>
      <c r="C64" s="202"/>
      <c r="D64" s="202"/>
      <c r="E64" s="202"/>
      <c r="F64" s="202"/>
      <c r="G64" s="202"/>
      <c r="H64" s="203"/>
      <c r="I64" s="203"/>
      <c r="J64" s="203"/>
      <c r="K64" s="203"/>
      <c r="L64" s="203"/>
      <c r="M64" s="203"/>
      <c r="N64" s="203"/>
      <c r="O64" s="203"/>
      <c r="P64" s="203"/>
      <c r="Q64" s="203"/>
      <c r="R64" s="204"/>
    </row>
    <row r="65" spans="1:18" s="185" customFormat="1" ht="64.900000000000006" customHeight="1" x14ac:dyDescent="0.7">
      <c r="A65" s="178"/>
      <c r="B65" s="205" t="s">
        <v>172</v>
      </c>
      <c r="C65" s="205"/>
      <c r="D65" s="205"/>
      <c r="E65" s="205"/>
      <c r="F65" s="205"/>
      <c r="G65" s="205"/>
      <c r="H65" s="205"/>
      <c r="I65" s="205"/>
      <c r="J65" s="205"/>
      <c r="K65" s="205"/>
      <c r="L65" s="205"/>
      <c r="M65" s="205"/>
      <c r="N65" s="205"/>
      <c r="O65" s="205"/>
      <c r="P65" s="205"/>
      <c r="Q65" s="205"/>
      <c r="R65" s="206"/>
    </row>
    <row r="66" spans="1:18" s="185" customFormat="1" ht="48.75" customHeight="1" x14ac:dyDescent="0.7">
      <c r="A66" s="178"/>
      <c r="B66" s="207" t="s">
        <v>173</v>
      </c>
      <c r="C66" s="207"/>
      <c r="D66" s="207"/>
      <c r="E66" s="207"/>
      <c r="F66" s="207"/>
      <c r="G66" s="207"/>
      <c r="H66" s="208"/>
      <c r="I66" s="208"/>
      <c r="J66" s="208"/>
      <c r="K66" s="208"/>
      <c r="L66" s="208"/>
      <c r="M66" s="208"/>
      <c r="N66" s="208"/>
      <c r="O66" s="208"/>
      <c r="P66" s="208"/>
      <c r="Q66" s="208"/>
      <c r="R66" s="209"/>
    </row>
    <row r="67" spans="1:18" s="185" customFormat="1" ht="45.75" x14ac:dyDescent="0.7">
      <c r="A67" s="178"/>
      <c r="B67" s="205"/>
      <c r="C67" s="205"/>
      <c r="D67" s="205"/>
      <c r="E67" s="205"/>
      <c r="F67" s="205"/>
      <c r="G67" s="205"/>
      <c r="H67" s="205"/>
      <c r="I67" s="205"/>
      <c r="J67" s="205"/>
      <c r="K67" s="205"/>
      <c r="L67" s="205"/>
      <c r="M67" s="205"/>
      <c r="N67" s="205"/>
      <c r="O67" s="205"/>
      <c r="P67" s="205"/>
      <c r="Q67" s="205"/>
      <c r="R67" s="206"/>
    </row>
    <row r="68" spans="1:18" s="123" customFormat="1" ht="31.5" customHeight="1" x14ac:dyDescent="0.55000000000000004">
      <c r="A68" s="210" t="s">
        <v>174</v>
      </c>
      <c r="B68" s="211"/>
      <c r="C68" s="212"/>
      <c r="D68" s="213"/>
      <c r="E68" s="214" t="s">
        <v>175</v>
      </c>
      <c r="F68" s="215"/>
      <c r="G68" s="211" t="s">
        <v>176</v>
      </c>
      <c r="H68" s="212"/>
      <c r="I68" s="212"/>
      <c r="J68" s="212"/>
      <c r="K68" s="216"/>
      <c r="L68" s="137"/>
      <c r="M68" s="217"/>
      <c r="N68" s="217"/>
      <c r="O68" s="217"/>
      <c r="P68" s="217"/>
      <c r="Q68" s="217"/>
      <c r="R68" s="122"/>
    </row>
    <row r="69" spans="1:18" s="123" customFormat="1" ht="31.5" customHeight="1" x14ac:dyDescent="0.55000000000000004">
      <c r="A69" s="218"/>
      <c r="B69" s="219"/>
      <c r="C69" s="220"/>
      <c r="D69" s="221"/>
      <c r="E69" s="222"/>
      <c r="F69" s="223"/>
      <c r="G69" s="219"/>
      <c r="H69" s="220"/>
      <c r="I69" s="220"/>
      <c r="J69" s="220"/>
      <c r="K69" s="216"/>
      <c r="L69" s="137"/>
      <c r="M69" s="224"/>
      <c r="N69" s="224"/>
      <c r="O69" s="224"/>
      <c r="P69" s="224"/>
      <c r="Q69" s="224"/>
      <c r="R69" s="122"/>
    </row>
    <row r="70" spans="1:18" s="123" customFormat="1" ht="31.5" customHeight="1" x14ac:dyDescent="0.55000000000000004">
      <c r="A70" s="218"/>
      <c r="B70" s="219"/>
      <c r="C70" s="220"/>
      <c r="D70" s="221"/>
      <c r="E70" s="222"/>
      <c r="F70" s="223"/>
      <c r="G70" s="219"/>
      <c r="H70" s="220"/>
      <c r="I70" s="220"/>
      <c r="J70" s="220"/>
      <c r="K70" s="216"/>
      <c r="L70" s="137"/>
      <c r="M70" s="224"/>
      <c r="N70" s="224"/>
      <c r="O70" s="224"/>
      <c r="P70" s="224"/>
      <c r="Q70" s="224"/>
      <c r="R70" s="122"/>
    </row>
    <row r="71" spans="1:18" s="123" customFormat="1" ht="31.5" customHeight="1" x14ac:dyDescent="0.55000000000000004">
      <c r="A71" s="225"/>
      <c r="B71" s="226"/>
      <c r="C71" s="227"/>
      <c r="D71" s="228"/>
      <c r="E71" s="229"/>
      <c r="F71" s="230"/>
      <c r="G71" s="226"/>
      <c r="H71" s="227"/>
      <c r="I71" s="227"/>
      <c r="J71" s="227"/>
      <c r="K71" s="216"/>
      <c r="L71" s="137"/>
      <c r="M71" s="224"/>
      <c r="N71" s="224"/>
      <c r="O71" s="224"/>
      <c r="P71" s="224"/>
      <c r="Q71" s="224"/>
      <c r="R71" s="122"/>
    </row>
    <row r="72" spans="1:18" s="123" customFormat="1" ht="31.5" customHeight="1" x14ac:dyDescent="0.55000000000000004">
      <c r="A72" s="231" t="s">
        <v>141</v>
      </c>
      <c r="B72" s="232"/>
      <c r="C72" s="212"/>
      <c r="D72" s="213"/>
      <c r="E72" s="233" t="s">
        <v>177</v>
      </c>
      <c r="F72" s="215"/>
      <c r="G72" s="232" t="s">
        <v>177</v>
      </c>
      <c r="H72" s="212"/>
      <c r="I72" s="212"/>
      <c r="J72" s="212"/>
      <c r="K72" s="216"/>
      <c r="L72" s="137"/>
      <c r="M72" s="224"/>
      <c r="N72" s="224"/>
      <c r="O72" s="224"/>
      <c r="P72" s="224"/>
      <c r="Q72" s="224"/>
      <c r="R72" s="122"/>
    </row>
    <row r="73" spans="1:18" s="123" customFormat="1" ht="31.5" customHeight="1" x14ac:dyDescent="0.55000000000000004">
      <c r="A73" s="234"/>
      <c r="B73" s="235"/>
      <c r="C73" s="220"/>
      <c r="D73" s="221"/>
      <c r="E73" s="236"/>
      <c r="F73" s="223"/>
      <c r="G73" s="235"/>
      <c r="H73" s="220"/>
      <c r="I73" s="220"/>
      <c r="J73" s="220"/>
      <c r="K73" s="216"/>
      <c r="L73" s="137"/>
      <c r="M73" s="224"/>
      <c r="N73" s="224"/>
      <c r="O73" s="224"/>
      <c r="P73" s="224"/>
      <c r="Q73" s="224"/>
      <c r="R73" s="122"/>
    </row>
    <row r="74" spans="1:18" s="123" customFormat="1" ht="31.5" customHeight="1" x14ac:dyDescent="0.55000000000000004">
      <c r="A74" s="234"/>
      <c r="B74" s="235"/>
      <c r="C74" s="227"/>
      <c r="D74" s="228"/>
      <c r="E74" s="237"/>
      <c r="F74" s="230"/>
      <c r="G74" s="238"/>
      <c r="H74" s="227"/>
      <c r="I74" s="227"/>
      <c r="J74" s="227"/>
      <c r="K74" s="216"/>
      <c r="L74" s="137"/>
      <c r="M74" s="224"/>
      <c r="N74" s="224"/>
      <c r="O74" s="224"/>
      <c r="P74" s="224"/>
      <c r="Q74" s="224"/>
      <c r="R74" s="122"/>
    </row>
    <row r="75" spans="1:18" s="123" customFormat="1" ht="31.5" customHeight="1" x14ac:dyDescent="0.55000000000000004">
      <c r="A75" s="218" t="s">
        <v>142</v>
      </c>
      <c r="B75" s="219"/>
      <c r="C75" s="212"/>
      <c r="D75" s="213"/>
      <c r="E75" s="214" t="s">
        <v>178</v>
      </c>
      <c r="F75" s="215"/>
      <c r="G75" s="211" t="s">
        <v>178</v>
      </c>
      <c r="H75" s="212"/>
      <c r="I75" s="212"/>
      <c r="J75" s="212"/>
      <c r="K75" s="216"/>
      <c r="L75" s="137"/>
      <c r="M75" s="224"/>
      <c r="N75" s="224"/>
      <c r="O75" s="224"/>
      <c r="P75" s="224"/>
      <c r="Q75" s="224"/>
      <c r="R75" s="122"/>
    </row>
    <row r="76" spans="1:18" s="123" customFormat="1" ht="31.5" customHeight="1" x14ac:dyDescent="0.55000000000000004">
      <c r="A76" s="218"/>
      <c r="B76" s="219"/>
      <c r="C76" s="227"/>
      <c r="D76" s="228"/>
      <c r="E76" s="229"/>
      <c r="F76" s="230"/>
      <c r="G76" s="226"/>
      <c r="H76" s="227"/>
      <c r="I76" s="227"/>
      <c r="J76" s="227"/>
      <c r="K76" s="216"/>
      <c r="L76" s="137"/>
      <c r="M76" s="224"/>
      <c r="N76" s="224"/>
      <c r="O76" s="224"/>
      <c r="P76" s="224"/>
      <c r="Q76" s="224"/>
      <c r="R76" s="122"/>
    </row>
    <row r="77" spans="1:18" s="123" customFormat="1" ht="31.5" customHeight="1" thickBot="1" x14ac:dyDescent="0.6">
      <c r="A77" s="239"/>
      <c r="B77" s="240"/>
      <c r="C77" s="240"/>
      <c r="D77" s="240"/>
      <c r="E77" s="240"/>
      <c r="F77" s="240"/>
      <c r="G77" s="240"/>
      <c r="H77" s="240"/>
      <c r="I77" s="240"/>
      <c r="J77" s="240"/>
      <c r="K77" s="241"/>
      <c r="L77" s="242"/>
      <c r="M77" s="243"/>
      <c r="N77" s="243"/>
      <c r="O77" s="243"/>
      <c r="P77" s="243"/>
      <c r="Q77" s="243"/>
      <c r="R77" s="244"/>
    </row>
  </sheetData>
  <mergeCells count="118">
    <mergeCell ref="B33:B34"/>
    <mergeCell ref="C33:C34"/>
    <mergeCell ref="A77:J77"/>
    <mergeCell ref="A19:A23"/>
    <mergeCell ref="B19:B23"/>
    <mergeCell ref="C19:C23"/>
    <mergeCell ref="A24:A25"/>
    <mergeCell ref="B24:B25"/>
    <mergeCell ref="C24:C25"/>
    <mergeCell ref="A26:A30"/>
    <mergeCell ref="B26:B30"/>
    <mergeCell ref="C26:C30"/>
    <mergeCell ref="A75:B76"/>
    <mergeCell ref="C75:D76"/>
    <mergeCell ref="E75:E76"/>
    <mergeCell ref="F75:F76"/>
    <mergeCell ref="G75:G76"/>
    <mergeCell ref="H75:J76"/>
    <mergeCell ref="A72:B74"/>
    <mergeCell ref="C72:D74"/>
    <mergeCell ref="E72:E74"/>
    <mergeCell ref="F72:F74"/>
    <mergeCell ref="G72:G74"/>
    <mergeCell ref="H72:J74"/>
    <mergeCell ref="B65:R65"/>
    <mergeCell ref="B66:G66"/>
    <mergeCell ref="B67:R67"/>
    <mergeCell ref="A68:B71"/>
    <mergeCell ref="C68:D71"/>
    <mergeCell ref="E68:E71"/>
    <mergeCell ref="F68:F71"/>
    <mergeCell ref="G68:G71"/>
    <mergeCell ref="H68:J71"/>
    <mergeCell ref="M68:Q77"/>
    <mergeCell ref="L62:N62"/>
    <mergeCell ref="O62:P62"/>
    <mergeCell ref="C63:K63"/>
    <mergeCell ref="L63:N63"/>
    <mergeCell ref="O63:P63"/>
    <mergeCell ref="B64:G64"/>
    <mergeCell ref="O59:P59"/>
    <mergeCell ref="Q59:R59"/>
    <mergeCell ref="C60:K60"/>
    <mergeCell ref="L60:N60"/>
    <mergeCell ref="O60:P60"/>
    <mergeCell ref="Q60:R63"/>
    <mergeCell ref="C61:K61"/>
    <mergeCell ref="L61:N61"/>
    <mergeCell ref="O61:P61"/>
    <mergeCell ref="C62:K62"/>
    <mergeCell ref="A54:G54"/>
    <mergeCell ref="C55:G55"/>
    <mergeCell ref="C56:G56"/>
    <mergeCell ref="C57:G57"/>
    <mergeCell ref="B58:D58"/>
    <mergeCell ref="B59:B63"/>
    <mergeCell ref="F59:J59"/>
    <mergeCell ref="C48:G48"/>
    <mergeCell ref="C49:G49"/>
    <mergeCell ref="C50:G50"/>
    <mergeCell ref="C51:G51"/>
    <mergeCell ref="C52:G52"/>
    <mergeCell ref="C53:G53"/>
    <mergeCell ref="C45:G45"/>
    <mergeCell ref="N45:O45"/>
    <mergeCell ref="C46:G46"/>
    <mergeCell ref="N46:O46"/>
    <mergeCell ref="C47:G47"/>
    <mergeCell ref="N47:O47"/>
    <mergeCell ref="C42:G42"/>
    <mergeCell ref="N42:O42"/>
    <mergeCell ref="C43:G43"/>
    <mergeCell ref="N43:O43"/>
    <mergeCell ref="C44:G44"/>
    <mergeCell ref="N44:O44"/>
    <mergeCell ref="R17:R18"/>
    <mergeCell ref="I39:Q39"/>
    <mergeCell ref="A40:G40"/>
    <mergeCell ref="H40:K40"/>
    <mergeCell ref="L40:L41"/>
    <mergeCell ref="C41:G41"/>
    <mergeCell ref="A31:A32"/>
    <mergeCell ref="B31:B32"/>
    <mergeCell ref="C31:C32"/>
    <mergeCell ref="A33:A34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1" r:id="rId1" xr:uid="{9FF5032D-1BE8-4A1B-B1A2-1EA982E50EFB}"/>
    <hyperlink ref="E8" r:id="rId2" xr:uid="{ABEF9D56-3ACF-4941-9AEE-054659392B73}"/>
  </hyperlinks>
  <pageMargins left="0.7" right="0.7" top="0.75" bottom="0.75" header="0.3" footer="0.3"/>
  <pageSetup scale="14" fitToHeight="0" orientation="landscape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96700-56AE-43AD-834F-48BEA1B63036}">
  <sheetPr>
    <pageSetUpPr fitToPage="1"/>
  </sheetPr>
  <dimension ref="A1:R77"/>
  <sheetViews>
    <sheetView zoomScale="30" zoomScaleNormal="30" workbookViewId="0">
      <selection activeCell="F19" sqref="F19:F37"/>
    </sheetView>
  </sheetViews>
  <sheetFormatPr defaultRowHeight="31.5" customHeight="1" x14ac:dyDescent="0.55000000000000004"/>
  <cols>
    <col min="1" max="1" width="15.5703125" style="245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5" bestFit="1" customWidth="1"/>
    <col min="6" max="6" width="42" style="245" customWidth="1"/>
    <col min="7" max="7" width="255.7109375" style="4" bestFit="1" customWidth="1"/>
    <col min="8" max="8" width="33" style="245" customWidth="1"/>
    <col min="9" max="9" width="62.42578125" style="245" customWidth="1"/>
    <col min="10" max="10" width="45.140625" style="245" customWidth="1"/>
    <col min="11" max="13" width="35.28515625" style="245" bestFit="1" customWidth="1"/>
    <col min="14" max="14" width="40.7109375" style="245" bestFit="1" customWidth="1"/>
    <col min="15" max="15" width="36.85546875" style="245" bestFit="1" customWidth="1"/>
    <col min="16" max="17" width="36.85546875" style="246" customWidth="1"/>
    <col min="18" max="18" width="36.85546875" style="247" customWidth="1"/>
    <col min="19" max="16384" width="9.140625" style="4"/>
  </cols>
  <sheetData>
    <row r="1" spans="1:18" ht="31.5" customHeight="1" x14ac:dyDescent="0.25">
      <c r="A1" s="1" t="s">
        <v>143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179</v>
      </c>
      <c r="C5" s="16" t="s">
        <v>2</v>
      </c>
      <c r="D5" s="17" t="s">
        <v>180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5" customFormat="1" ht="39" x14ac:dyDescent="0.6">
      <c r="A7" s="248" t="s">
        <v>4</v>
      </c>
      <c r="B7" s="249"/>
      <c r="C7" s="250" t="s">
        <v>5</v>
      </c>
      <c r="D7" s="251" t="s">
        <v>6</v>
      </c>
      <c r="E7" s="250" t="s">
        <v>7</v>
      </c>
      <c r="F7" s="251" t="s">
        <v>8</v>
      </c>
      <c r="G7" s="252" t="s">
        <v>9</v>
      </c>
      <c r="H7" s="251" t="s">
        <v>10</v>
      </c>
      <c r="I7" s="253" t="s">
        <v>11</v>
      </c>
      <c r="J7" s="254"/>
      <c r="K7" s="21"/>
      <c r="L7" s="22"/>
      <c r="M7" s="22"/>
      <c r="N7" s="22"/>
      <c r="O7" s="22"/>
      <c r="P7" s="22"/>
      <c r="Q7" s="22"/>
      <c r="R7" s="23"/>
    </row>
    <row r="8" spans="1:18" s="255" customFormat="1" ht="39" x14ac:dyDescent="0.6">
      <c r="A8" s="256" t="s">
        <v>12</v>
      </c>
      <c r="B8" s="257"/>
      <c r="C8" s="258">
        <v>88717</v>
      </c>
      <c r="D8" s="259" t="s">
        <v>13</v>
      </c>
      <c r="E8" s="260" t="s">
        <v>14</v>
      </c>
      <c r="F8" s="259" t="s">
        <v>15</v>
      </c>
      <c r="G8" s="261"/>
      <c r="H8" s="259" t="s">
        <v>16</v>
      </c>
      <c r="I8" s="262" t="s">
        <v>17</v>
      </c>
      <c r="J8" s="263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18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71" customFormat="1" ht="39" x14ac:dyDescent="0.6">
      <c r="A10" s="264" t="s">
        <v>4</v>
      </c>
      <c r="B10" s="265"/>
      <c r="C10" s="266" t="s">
        <v>19</v>
      </c>
      <c r="D10" s="267" t="s">
        <v>6</v>
      </c>
      <c r="E10" s="266" t="s">
        <v>20</v>
      </c>
      <c r="F10" s="267" t="s">
        <v>8</v>
      </c>
      <c r="G10" s="268" t="s">
        <v>21</v>
      </c>
      <c r="H10" s="267" t="s">
        <v>10</v>
      </c>
      <c r="I10" s="269" t="s">
        <v>22</v>
      </c>
      <c r="J10" s="270"/>
      <c r="K10" s="21"/>
      <c r="L10" s="22"/>
      <c r="M10" s="22"/>
      <c r="N10" s="22"/>
      <c r="O10" s="22"/>
      <c r="P10" s="22"/>
      <c r="Q10" s="22"/>
      <c r="R10" s="23"/>
    </row>
    <row r="11" spans="1:18" s="271" customFormat="1" ht="39" x14ac:dyDescent="0.6">
      <c r="A11" s="272" t="s">
        <v>12</v>
      </c>
      <c r="B11" s="273"/>
      <c r="C11" s="274">
        <v>64218</v>
      </c>
      <c r="D11" s="275" t="s">
        <v>13</v>
      </c>
      <c r="E11" s="276" t="s">
        <v>23</v>
      </c>
      <c r="F11" s="275" t="s">
        <v>15</v>
      </c>
      <c r="G11" s="277" t="s">
        <v>24</v>
      </c>
      <c r="H11" s="275" t="s">
        <v>16</v>
      </c>
      <c r="I11" s="278" t="s">
        <v>17</v>
      </c>
      <c r="J11" s="279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25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39" x14ac:dyDescent="0.6">
      <c r="A13" s="33" t="s">
        <v>4</v>
      </c>
      <c r="B13" s="34"/>
      <c r="C13" s="35" t="s">
        <v>26</v>
      </c>
      <c r="D13" s="36" t="s">
        <v>6</v>
      </c>
      <c r="E13" s="35" t="s">
        <v>27</v>
      </c>
      <c r="F13" s="37" t="s">
        <v>8</v>
      </c>
      <c r="G13" s="38" t="s">
        <v>28</v>
      </c>
      <c r="H13" s="36" t="s">
        <v>10</v>
      </c>
      <c r="I13" s="39" t="s">
        <v>29</v>
      </c>
      <c r="J13" s="40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39.75" x14ac:dyDescent="0.6">
      <c r="A14" s="42" t="s">
        <v>12</v>
      </c>
      <c r="B14" s="43"/>
      <c r="C14" s="44">
        <v>60529</v>
      </c>
      <c r="D14" s="45" t="s">
        <v>13</v>
      </c>
      <c r="E14" s="280" t="s">
        <v>30</v>
      </c>
      <c r="F14" s="46" t="s">
        <v>15</v>
      </c>
      <c r="G14" s="281"/>
      <c r="H14" s="45" t="s">
        <v>16</v>
      </c>
      <c r="I14" s="47" t="s">
        <v>31</v>
      </c>
      <c r="J14" s="48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32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33</v>
      </c>
      <c r="B17" s="64" t="s">
        <v>34</v>
      </c>
      <c r="C17" s="65" t="s">
        <v>35</v>
      </c>
      <c r="D17" s="65" t="s">
        <v>36</v>
      </c>
      <c r="E17" s="65" t="s">
        <v>35</v>
      </c>
      <c r="F17" s="66" t="s">
        <v>37</v>
      </c>
      <c r="G17" s="66" t="s">
        <v>38</v>
      </c>
      <c r="H17" s="67" t="s">
        <v>39</v>
      </c>
      <c r="I17" s="66" t="s">
        <v>40</v>
      </c>
      <c r="J17" s="68" t="s">
        <v>41</v>
      </c>
      <c r="K17" s="69"/>
      <c r="L17" s="69"/>
      <c r="M17" s="69"/>
      <c r="N17" s="69"/>
      <c r="O17" s="70"/>
      <c r="P17" s="71" t="s">
        <v>146</v>
      </c>
      <c r="Q17" s="71" t="s">
        <v>147</v>
      </c>
      <c r="R17" s="72" t="s">
        <v>148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149</v>
      </c>
      <c r="K18" s="78" t="s">
        <v>150</v>
      </c>
      <c r="L18" s="78" t="s">
        <v>151</v>
      </c>
      <c r="M18" s="77" t="s">
        <v>152</v>
      </c>
      <c r="N18" s="77" t="s">
        <v>153</v>
      </c>
      <c r="O18" s="77" t="s">
        <v>154</v>
      </c>
      <c r="P18" s="79"/>
      <c r="Q18" s="79"/>
      <c r="R18" s="80"/>
    </row>
    <row r="19" spans="1:18" s="92" customFormat="1" ht="147" customHeight="1" x14ac:dyDescent="0.25">
      <c r="A19" s="282">
        <v>1</v>
      </c>
      <c r="B19" s="283" t="s">
        <v>48</v>
      </c>
      <c r="C19" s="284">
        <f>0.25 *8.59335038363171</f>
        <v>2.1483375959079276</v>
      </c>
      <c r="D19" s="82" t="s">
        <v>49</v>
      </c>
      <c r="E19" s="83">
        <f>C19/5</f>
        <v>0.42966751918158552</v>
      </c>
      <c r="F19" s="83">
        <f>E19/$E$38 * 100</f>
        <v>1.6200578592092558</v>
      </c>
      <c r="G19" s="84" t="s">
        <v>50</v>
      </c>
      <c r="H19" s="85">
        <v>1</v>
      </c>
      <c r="I19" s="86" t="s">
        <v>51</v>
      </c>
      <c r="J19" s="87">
        <v>100</v>
      </c>
      <c r="K19" s="88">
        <v>95</v>
      </c>
      <c r="L19" s="88">
        <v>90</v>
      </c>
      <c r="M19" s="88">
        <v>85</v>
      </c>
      <c r="N19" s="88">
        <v>80</v>
      </c>
      <c r="O19" s="88" t="s">
        <v>52</v>
      </c>
      <c r="P19" s="89"/>
      <c r="Q19" s="90">
        <f t="shared" ref="Q19:Q37" si="0">IF(OR(TRIM(P19)="",P19=0),0,
IF(P19&lt;N19,50,
IF(P19&lt;M19,60,
IF(P19&lt;L19,70,
IF(P19&lt;K19,80,
IF(ISNUMBER(J19),
    IF(P19&lt;J19,IF(P19&gt;=K19,90,80),100),
    IF(P19=K19,90,100)
))))))</f>
        <v>0</v>
      </c>
      <c r="R19" s="91">
        <f t="shared" ref="R19:R37" si="1">F19*Q19/100</f>
        <v>0</v>
      </c>
    </row>
    <row r="20" spans="1:18" s="92" customFormat="1" ht="147" customHeight="1" x14ac:dyDescent="0.25">
      <c r="A20" s="285"/>
      <c r="B20" s="286"/>
      <c r="C20" s="287"/>
      <c r="D20" s="82" t="s">
        <v>53</v>
      </c>
      <c r="E20" s="83">
        <f>C19/5</f>
        <v>0.42966751918158552</v>
      </c>
      <c r="F20" s="83">
        <f t="shared" ref="F20:F37" si="2">E20/$E$38 * 100</f>
        <v>1.6200578592092558</v>
      </c>
      <c r="G20" s="84" t="s">
        <v>54</v>
      </c>
      <c r="H20" s="85">
        <v>1</v>
      </c>
      <c r="I20" s="86" t="s">
        <v>51</v>
      </c>
      <c r="J20" s="87">
        <v>100</v>
      </c>
      <c r="K20" s="88">
        <v>95</v>
      </c>
      <c r="L20" s="88">
        <v>90</v>
      </c>
      <c r="M20" s="88">
        <v>85</v>
      </c>
      <c r="N20" s="88">
        <v>80</v>
      </c>
      <c r="O20" s="88" t="s">
        <v>52</v>
      </c>
      <c r="P20" s="89"/>
      <c r="Q20" s="90">
        <f t="shared" si="0"/>
        <v>0</v>
      </c>
      <c r="R20" s="91">
        <f t="shared" si="1"/>
        <v>0</v>
      </c>
    </row>
    <row r="21" spans="1:18" s="92" customFormat="1" ht="147" customHeight="1" x14ac:dyDescent="0.25">
      <c r="A21" s="285"/>
      <c r="B21" s="286"/>
      <c r="C21" s="287"/>
      <c r="D21" s="82" t="s">
        <v>55</v>
      </c>
      <c r="E21" s="83">
        <f>C19/5</f>
        <v>0.42966751918158552</v>
      </c>
      <c r="F21" s="83">
        <f t="shared" si="2"/>
        <v>1.6200578592092558</v>
      </c>
      <c r="G21" s="84" t="s">
        <v>56</v>
      </c>
      <c r="H21" s="85">
        <v>1</v>
      </c>
      <c r="I21" s="86" t="s">
        <v>51</v>
      </c>
      <c r="J21" s="87">
        <v>100</v>
      </c>
      <c r="K21" s="88">
        <v>95</v>
      </c>
      <c r="L21" s="88">
        <v>90</v>
      </c>
      <c r="M21" s="88">
        <v>85</v>
      </c>
      <c r="N21" s="88">
        <v>80</v>
      </c>
      <c r="O21" s="88" t="s">
        <v>52</v>
      </c>
      <c r="P21" s="89"/>
      <c r="Q21" s="90">
        <f t="shared" si="0"/>
        <v>0</v>
      </c>
      <c r="R21" s="91">
        <f t="shared" si="1"/>
        <v>0</v>
      </c>
    </row>
    <row r="22" spans="1:18" s="92" customFormat="1" ht="147" customHeight="1" x14ac:dyDescent="0.25">
      <c r="A22" s="285"/>
      <c r="B22" s="286"/>
      <c r="C22" s="287"/>
      <c r="D22" s="82" t="s">
        <v>57</v>
      </c>
      <c r="E22" s="83">
        <f>C19/5</f>
        <v>0.42966751918158552</v>
      </c>
      <c r="F22" s="83">
        <f t="shared" si="2"/>
        <v>1.6200578592092558</v>
      </c>
      <c r="G22" s="84" t="s">
        <v>58</v>
      </c>
      <c r="H22" s="93">
        <v>5</v>
      </c>
      <c r="I22" s="86" t="s">
        <v>59</v>
      </c>
      <c r="J22" s="87" t="s">
        <v>60</v>
      </c>
      <c r="K22" s="88">
        <v>5</v>
      </c>
      <c r="L22" s="88">
        <v>4</v>
      </c>
      <c r="M22" s="88">
        <v>3</v>
      </c>
      <c r="N22" s="88">
        <v>2</v>
      </c>
      <c r="O22" s="88">
        <v>1</v>
      </c>
      <c r="P22" s="89"/>
      <c r="Q22" s="90">
        <f t="shared" si="0"/>
        <v>0</v>
      </c>
      <c r="R22" s="91">
        <f t="shared" si="1"/>
        <v>0</v>
      </c>
    </row>
    <row r="23" spans="1:18" s="92" customFormat="1" ht="147" customHeight="1" x14ac:dyDescent="0.25">
      <c r="A23" s="288"/>
      <c r="B23" s="289"/>
      <c r="C23" s="290"/>
      <c r="D23" s="82" t="s">
        <v>61</v>
      </c>
      <c r="E23" s="83">
        <f>C19/5</f>
        <v>0.42966751918158552</v>
      </c>
      <c r="F23" s="83">
        <f t="shared" si="2"/>
        <v>1.6200578592092558</v>
      </c>
      <c r="G23" s="84" t="s">
        <v>62</v>
      </c>
      <c r="H23" s="85">
        <v>1</v>
      </c>
      <c r="I23" s="86" t="s">
        <v>51</v>
      </c>
      <c r="J23" s="87">
        <v>100</v>
      </c>
      <c r="K23" s="88">
        <v>95</v>
      </c>
      <c r="L23" s="88">
        <v>90</v>
      </c>
      <c r="M23" s="88">
        <v>85</v>
      </c>
      <c r="N23" s="88">
        <v>80</v>
      </c>
      <c r="O23" s="88" t="s">
        <v>52</v>
      </c>
      <c r="P23" s="89"/>
      <c r="Q23" s="90">
        <f t="shared" si="0"/>
        <v>0</v>
      </c>
      <c r="R23" s="91">
        <f t="shared" si="1"/>
        <v>0</v>
      </c>
    </row>
    <row r="24" spans="1:18" s="92" customFormat="1" ht="147" customHeight="1" x14ac:dyDescent="0.25">
      <c r="A24" s="282">
        <v>2</v>
      </c>
      <c r="B24" s="283" t="s">
        <v>63</v>
      </c>
      <c r="C24" s="284">
        <f>0.5*4.29667519181586</f>
        <v>2.1483375959079298</v>
      </c>
      <c r="D24" s="82" t="s">
        <v>64</v>
      </c>
      <c r="E24" s="83">
        <f>C24/2</f>
        <v>1.0741687979539649</v>
      </c>
      <c r="F24" s="83">
        <f t="shared" si="2"/>
        <v>4.050144648023144</v>
      </c>
      <c r="G24" s="84" t="s">
        <v>65</v>
      </c>
      <c r="H24" s="85">
        <v>0.5</v>
      </c>
      <c r="I24" s="86" t="s">
        <v>51</v>
      </c>
      <c r="J24" s="87" t="s">
        <v>66</v>
      </c>
      <c r="K24" s="88">
        <v>50</v>
      </c>
      <c r="L24" s="88">
        <v>45</v>
      </c>
      <c r="M24" s="88">
        <v>40</v>
      </c>
      <c r="N24" s="88">
        <v>25</v>
      </c>
      <c r="O24" s="88" t="s">
        <v>67</v>
      </c>
      <c r="P24" s="89"/>
      <c r="Q24" s="90">
        <f t="shared" si="0"/>
        <v>0</v>
      </c>
      <c r="R24" s="91">
        <f t="shared" si="1"/>
        <v>0</v>
      </c>
    </row>
    <row r="25" spans="1:18" s="92" customFormat="1" ht="147" customHeight="1" x14ac:dyDescent="0.25">
      <c r="A25" s="288"/>
      <c r="B25" s="289"/>
      <c r="C25" s="290"/>
      <c r="D25" s="82" t="s">
        <v>68</v>
      </c>
      <c r="E25" s="83">
        <f>C24/2</f>
        <v>1.0741687979539649</v>
      </c>
      <c r="F25" s="83">
        <f t="shared" si="2"/>
        <v>4.050144648023144</v>
      </c>
      <c r="G25" s="84" t="s">
        <v>69</v>
      </c>
      <c r="H25" s="85">
        <v>0.5</v>
      </c>
      <c r="I25" s="86" t="s">
        <v>51</v>
      </c>
      <c r="J25" s="87" t="s">
        <v>66</v>
      </c>
      <c r="K25" s="88">
        <v>50</v>
      </c>
      <c r="L25" s="88">
        <v>45</v>
      </c>
      <c r="M25" s="88">
        <v>40</v>
      </c>
      <c r="N25" s="88">
        <v>25</v>
      </c>
      <c r="O25" s="88" t="s">
        <v>67</v>
      </c>
      <c r="P25" s="89"/>
      <c r="Q25" s="90">
        <f t="shared" si="0"/>
        <v>0</v>
      </c>
      <c r="R25" s="91">
        <f t="shared" si="1"/>
        <v>0</v>
      </c>
    </row>
    <row r="26" spans="1:18" s="92" customFormat="1" ht="147" customHeight="1" x14ac:dyDescent="0.25">
      <c r="A26" s="282">
        <v>3</v>
      </c>
      <c r="B26" s="283" t="s">
        <v>70</v>
      </c>
      <c r="C26" s="284">
        <f>0.25*57.2122762148338</f>
        <v>14.30306905370845</v>
      </c>
      <c r="D26" s="95" t="s">
        <v>71</v>
      </c>
      <c r="E26" s="83">
        <f>C26/5</f>
        <v>2.8606138107416901</v>
      </c>
      <c r="F26" s="83">
        <f t="shared" si="2"/>
        <v>10.785920925747352</v>
      </c>
      <c r="G26" s="84" t="s">
        <v>72</v>
      </c>
      <c r="H26" s="94">
        <v>0.8</v>
      </c>
      <c r="I26" s="93" t="s">
        <v>51</v>
      </c>
      <c r="J26" s="87" t="s">
        <v>73</v>
      </c>
      <c r="K26" s="88">
        <v>80</v>
      </c>
      <c r="L26" s="88">
        <v>75</v>
      </c>
      <c r="M26" s="88">
        <v>70</v>
      </c>
      <c r="N26" s="88">
        <v>50</v>
      </c>
      <c r="O26" s="88" t="s">
        <v>74</v>
      </c>
      <c r="P26" s="89"/>
      <c r="Q26" s="90">
        <f t="shared" si="0"/>
        <v>0</v>
      </c>
      <c r="R26" s="91">
        <f t="shared" si="1"/>
        <v>0</v>
      </c>
    </row>
    <row r="27" spans="1:18" s="92" customFormat="1" ht="147" customHeight="1" x14ac:dyDescent="0.25">
      <c r="A27" s="285"/>
      <c r="B27" s="286"/>
      <c r="C27" s="287"/>
      <c r="D27" s="82" t="s">
        <v>75</v>
      </c>
      <c r="E27" s="83">
        <f>C26/5</f>
        <v>2.8606138107416901</v>
      </c>
      <c r="F27" s="83">
        <f t="shared" si="2"/>
        <v>10.785920925747352</v>
      </c>
      <c r="G27" s="84" t="s">
        <v>76</v>
      </c>
      <c r="H27" s="94">
        <v>0.8</v>
      </c>
      <c r="I27" s="93" t="s">
        <v>51</v>
      </c>
      <c r="J27" s="87" t="s">
        <v>73</v>
      </c>
      <c r="K27" s="88">
        <v>80</v>
      </c>
      <c r="L27" s="88">
        <v>75</v>
      </c>
      <c r="M27" s="88">
        <v>70</v>
      </c>
      <c r="N27" s="88">
        <v>50</v>
      </c>
      <c r="O27" s="88" t="s">
        <v>74</v>
      </c>
      <c r="P27" s="89"/>
      <c r="Q27" s="90">
        <f t="shared" si="0"/>
        <v>0</v>
      </c>
      <c r="R27" s="91">
        <f t="shared" si="1"/>
        <v>0</v>
      </c>
    </row>
    <row r="28" spans="1:18" s="92" customFormat="1" ht="147" customHeight="1" x14ac:dyDescent="0.25">
      <c r="A28" s="285"/>
      <c r="B28" s="286"/>
      <c r="C28" s="287"/>
      <c r="D28" s="82" t="s">
        <v>77</v>
      </c>
      <c r="E28" s="83">
        <f>C26/5</f>
        <v>2.8606138107416901</v>
      </c>
      <c r="F28" s="83">
        <f t="shared" si="2"/>
        <v>10.785920925747352</v>
      </c>
      <c r="G28" s="84" t="s">
        <v>78</v>
      </c>
      <c r="H28" s="94">
        <v>0.8</v>
      </c>
      <c r="I28" s="93" t="s">
        <v>51</v>
      </c>
      <c r="J28" s="87" t="s">
        <v>73</v>
      </c>
      <c r="K28" s="88">
        <v>80</v>
      </c>
      <c r="L28" s="88">
        <v>75</v>
      </c>
      <c r="M28" s="88">
        <v>70</v>
      </c>
      <c r="N28" s="88">
        <v>50</v>
      </c>
      <c r="O28" s="88" t="s">
        <v>74</v>
      </c>
      <c r="P28" s="89"/>
      <c r="Q28" s="90">
        <f t="shared" si="0"/>
        <v>0</v>
      </c>
      <c r="R28" s="91">
        <f t="shared" si="1"/>
        <v>0</v>
      </c>
    </row>
    <row r="29" spans="1:18" s="92" customFormat="1" ht="147" customHeight="1" x14ac:dyDescent="0.25">
      <c r="A29" s="285"/>
      <c r="B29" s="286"/>
      <c r="C29" s="287"/>
      <c r="D29" s="82" t="s">
        <v>79</v>
      </c>
      <c r="E29" s="83">
        <f>C26/5</f>
        <v>2.8606138107416901</v>
      </c>
      <c r="F29" s="83">
        <f t="shared" si="2"/>
        <v>10.785920925747352</v>
      </c>
      <c r="G29" s="84" t="s">
        <v>80</v>
      </c>
      <c r="H29" s="94">
        <v>1</v>
      </c>
      <c r="I29" s="86" t="s">
        <v>51</v>
      </c>
      <c r="J29" s="87">
        <v>100</v>
      </c>
      <c r="K29" s="88">
        <v>95</v>
      </c>
      <c r="L29" s="88">
        <v>90</v>
      </c>
      <c r="M29" s="88">
        <v>85</v>
      </c>
      <c r="N29" s="88">
        <v>80</v>
      </c>
      <c r="O29" s="88" t="s">
        <v>52</v>
      </c>
      <c r="P29" s="89"/>
      <c r="Q29" s="90">
        <f t="shared" si="0"/>
        <v>0</v>
      </c>
      <c r="R29" s="91">
        <f t="shared" si="1"/>
        <v>0</v>
      </c>
    </row>
    <row r="30" spans="1:18" s="92" customFormat="1" ht="147" customHeight="1" x14ac:dyDescent="0.25">
      <c r="A30" s="288"/>
      <c r="B30" s="289"/>
      <c r="C30" s="290"/>
      <c r="D30" s="82" t="s">
        <v>81</v>
      </c>
      <c r="E30" s="83">
        <f>C26/5</f>
        <v>2.8606138107416901</v>
      </c>
      <c r="F30" s="83">
        <f t="shared" si="2"/>
        <v>10.785920925747352</v>
      </c>
      <c r="G30" s="84" t="s">
        <v>82</v>
      </c>
      <c r="H30" s="94">
        <v>0.9</v>
      </c>
      <c r="I30" s="93" t="s">
        <v>51</v>
      </c>
      <c r="J30" s="87" t="s">
        <v>83</v>
      </c>
      <c r="K30" s="88">
        <v>90</v>
      </c>
      <c r="L30" s="88">
        <v>80</v>
      </c>
      <c r="M30" s="88">
        <v>70</v>
      </c>
      <c r="N30" s="88">
        <v>50</v>
      </c>
      <c r="O30" s="88" t="s">
        <v>74</v>
      </c>
      <c r="P30" s="89"/>
      <c r="Q30" s="90">
        <f t="shared" si="0"/>
        <v>0</v>
      </c>
      <c r="R30" s="91">
        <f t="shared" si="1"/>
        <v>0</v>
      </c>
    </row>
    <row r="31" spans="1:18" s="92" customFormat="1" ht="147" customHeight="1" x14ac:dyDescent="0.25">
      <c r="A31" s="282">
        <v>4</v>
      </c>
      <c r="B31" s="283" t="s">
        <v>84</v>
      </c>
      <c r="C31" s="291">
        <f>0.25*0.895140664961637</f>
        <v>0.22378516624040926</v>
      </c>
      <c r="D31" s="82" t="s">
        <v>85</v>
      </c>
      <c r="E31" s="83">
        <f>C31/2</f>
        <v>0.11189258312020463</v>
      </c>
      <c r="F31" s="83">
        <f t="shared" si="2"/>
        <v>0.4218900675024107</v>
      </c>
      <c r="G31" s="84" t="s">
        <v>86</v>
      </c>
      <c r="H31" s="94">
        <v>1</v>
      </c>
      <c r="I31" s="86" t="s">
        <v>51</v>
      </c>
      <c r="J31" s="87">
        <v>100</v>
      </c>
      <c r="K31" s="88">
        <v>95</v>
      </c>
      <c r="L31" s="88">
        <v>90</v>
      </c>
      <c r="M31" s="88">
        <v>85</v>
      </c>
      <c r="N31" s="88">
        <v>80</v>
      </c>
      <c r="O31" s="88" t="s">
        <v>52</v>
      </c>
      <c r="P31" s="89"/>
      <c r="Q31" s="90">
        <f t="shared" si="0"/>
        <v>0</v>
      </c>
      <c r="R31" s="91">
        <f t="shared" si="1"/>
        <v>0</v>
      </c>
    </row>
    <row r="32" spans="1:18" s="92" customFormat="1" ht="147" customHeight="1" x14ac:dyDescent="0.25">
      <c r="A32" s="288"/>
      <c r="B32" s="289"/>
      <c r="C32" s="292"/>
      <c r="D32" s="82" t="s">
        <v>87</v>
      </c>
      <c r="E32" s="83">
        <f>C31/2</f>
        <v>0.11189258312020463</v>
      </c>
      <c r="F32" s="83">
        <f t="shared" si="2"/>
        <v>0.4218900675024107</v>
      </c>
      <c r="G32" s="84" t="s">
        <v>88</v>
      </c>
      <c r="H32" s="93">
        <v>5</v>
      </c>
      <c r="I32" s="86" t="s">
        <v>59</v>
      </c>
      <c r="J32" s="87" t="s">
        <v>60</v>
      </c>
      <c r="K32" s="88">
        <v>5</v>
      </c>
      <c r="L32" s="88">
        <v>4</v>
      </c>
      <c r="M32" s="88">
        <v>3</v>
      </c>
      <c r="N32" s="88">
        <v>2</v>
      </c>
      <c r="O32" s="88">
        <v>1</v>
      </c>
      <c r="P32" s="89"/>
      <c r="Q32" s="90">
        <f t="shared" si="0"/>
        <v>0</v>
      </c>
      <c r="R32" s="91">
        <f t="shared" si="1"/>
        <v>0</v>
      </c>
    </row>
    <row r="33" spans="1:18" s="92" customFormat="1" ht="147" customHeight="1" x14ac:dyDescent="0.25">
      <c r="A33" s="282">
        <v>5</v>
      </c>
      <c r="B33" s="283" t="s">
        <v>89</v>
      </c>
      <c r="C33" s="291">
        <f>0.5*1.79028132992327</f>
        <v>0.89514066496163502</v>
      </c>
      <c r="D33" s="82" t="s">
        <v>90</v>
      </c>
      <c r="E33" s="83">
        <f>C33/2</f>
        <v>0.44757033248081751</v>
      </c>
      <c r="F33" s="83">
        <f t="shared" si="2"/>
        <v>1.687560270009639</v>
      </c>
      <c r="G33" s="84" t="s">
        <v>91</v>
      </c>
      <c r="H33" s="93">
        <v>5</v>
      </c>
      <c r="I33" s="93" t="s">
        <v>59</v>
      </c>
      <c r="J33" s="87" t="s">
        <v>60</v>
      </c>
      <c r="K33" s="88">
        <v>5</v>
      </c>
      <c r="L33" s="88">
        <v>4</v>
      </c>
      <c r="M33" s="88">
        <v>3</v>
      </c>
      <c r="N33" s="88">
        <v>2</v>
      </c>
      <c r="O33" s="88">
        <v>1</v>
      </c>
      <c r="P33" s="89"/>
      <c r="Q33" s="90">
        <f t="shared" si="0"/>
        <v>0</v>
      </c>
      <c r="R33" s="91">
        <f t="shared" si="1"/>
        <v>0</v>
      </c>
    </row>
    <row r="34" spans="1:18" s="92" customFormat="1" ht="147" customHeight="1" x14ac:dyDescent="0.25">
      <c r="A34" s="288"/>
      <c r="B34" s="289"/>
      <c r="C34" s="292"/>
      <c r="D34" s="82" t="s">
        <v>92</v>
      </c>
      <c r="E34" s="83">
        <f>C33/2</f>
        <v>0.44757033248081751</v>
      </c>
      <c r="F34" s="83">
        <f t="shared" si="2"/>
        <v>1.687560270009639</v>
      </c>
      <c r="G34" s="84" t="s">
        <v>93</v>
      </c>
      <c r="H34" s="85">
        <v>0.5</v>
      </c>
      <c r="I34" s="86" t="s">
        <v>51</v>
      </c>
      <c r="J34" s="87" t="s">
        <v>66</v>
      </c>
      <c r="K34" s="88">
        <v>50</v>
      </c>
      <c r="L34" s="88">
        <v>45</v>
      </c>
      <c r="M34" s="88">
        <v>40</v>
      </c>
      <c r="N34" s="88">
        <v>25</v>
      </c>
      <c r="O34" s="88" t="s">
        <v>67</v>
      </c>
      <c r="P34" s="89"/>
      <c r="Q34" s="90">
        <f t="shared" si="0"/>
        <v>0</v>
      </c>
      <c r="R34" s="91">
        <f t="shared" si="1"/>
        <v>0</v>
      </c>
    </row>
    <row r="35" spans="1:18" s="92" customFormat="1" ht="147" customHeight="1" x14ac:dyDescent="0.25">
      <c r="A35" s="293">
        <v>6</v>
      </c>
      <c r="B35" s="294" t="s">
        <v>94</v>
      </c>
      <c r="C35" s="295">
        <f>0.25*14.3222506393862</f>
        <v>3.5805626598465499</v>
      </c>
      <c r="D35" s="82" t="s">
        <v>95</v>
      </c>
      <c r="E35" s="83">
        <f>C35</f>
        <v>3.5805626598465499</v>
      </c>
      <c r="F35" s="83">
        <f t="shared" si="2"/>
        <v>13.500482160077148</v>
      </c>
      <c r="G35" s="84" t="s">
        <v>96</v>
      </c>
      <c r="H35" s="94">
        <v>0.8</v>
      </c>
      <c r="I35" s="93" t="s">
        <v>51</v>
      </c>
      <c r="J35" s="87" t="s">
        <v>73</v>
      </c>
      <c r="K35" s="88">
        <v>80</v>
      </c>
      <c r="L35" s="88">
        <v>75</v>
      </c>
      <c r="M35" s="88">
        <v>70</v>
      </c>
      <c r="N35" s="88">
        <v>50</v>
      </c>
      <c r="O35" s="88" t="s">
        <v>74</v>
      </c>
      <c r="P35" s="89"/>
      <c r="Q35" s="90">
        <f t="shared" si="0"/>
        <v>0</v>
      </c>
      <c r="R35" s="91">
        <f t="shared" si="1"/>
        <v>0</v>
      </c>
    </row>
    <row r="36" spans="1:18" s="92" customFormat="1" ht="147" customHeight="1" x14ac:dyDescent="0.25">
      <c r="A36" s="81">
        <v>7</v>
      </c>
      <c r="B36" s="82" t="s">
        <v>97</v>
      </c>
      <c r="C36" s="96">
        <f>0.25*5.72890025575448</f>
        <v>1.43222506393862</v>
      </c>
      <c r="D36" s="294" t="s">
        <v>98</v>
      </c>
      <c r="E36" s="83">
        <f>C36</f>
        <v>1.43222506393862</v>
      </c>
      <c r="F36" s="83">
        <f t="shared" si="2"/>
        <v>5.4001928640308599</v>
      </c>
      <c r="G36" s="84" t="s">
        <v>99</v>
      </c>
      <c r="H36" s="85">
        <v>0.7</v>
      </c>
      <c r="I36" s="93" t="s">
        <v>51</v>
      </c>
      <c r="J36" s="87" t="s">
        <v>100</v>
      </c>
      <c r="K36" s="88">
        <v>70</v>
      </c>
      <c r="L36" s="88">
        <v>60</v>
      </c>
      <c r="M36" s="88">
        <v>50</v>
      </c>
      <c r="N36" s="88">
        <v>40</v>
      </c>
      <c r="O36" s="88" t="s">
        <v>101</v>
      </c>
      <c r="P36" s="89"/>
      <c r="Q36" s="90">
        <f t="shared" si="0"/>
        <v>0</v>
      </c>
      <c r="R36" s="91">
        <f t="shared" si="1"/>
        <v>0</v>
      </c>
    </row>
    <row r="37" spans="1:18" s="92" customFormat="1" ht="147" customHeight="1" x14ac:dyDescent="0.25">
      <c r="A37" s="81">
        <v>8</v>
      </c>
      <c r="B37" s="82" t="s">
        <v>102</v>
      </c>
      <c r="C37" s="96">
        <f>0.25*7.16112531969309</f>
        <v>1.7902813299232725</v>
      </c>
      <c r="D37" s="84" t="s">
        <v>103</v>
      </c>
      <c r="E37" s="83">
        <f>C37</f>
        <v>1.7902813299232725</v>
      </c>
      <c r="F37" s="83">
        <f t="shared" si="2"/>
        <v>6.7502410800385642</v>
      </c>
      <c r="G37" s="84" t="s">
        <v>104</v>
      </c>
      <c r="H37" s="85">
        <v>0.5</v>
      </c>
      <c r="I37" s="86" t="s">
        <v>51</v>
      </c>
      <c r="J37" s="87" t="s">
        <v>66</v>
      </c>
      <c r="K37" s="88">
        <v>50</v>
      </c>
      <c r="L37" s="88">
        <v>45</v>
      </c>
      <c r="M37" s="88">
        <v>40</v>
      </c>
      <c r="N37" s="88">
        <v>25</v>
      </c>
      <c r="O37" s="88" t="s">
        <v>67</v>
      </c>
      <c r="P37" s="89"/>
      <c r="Q37" s="90">
        <f t="shared" si="0"/>
        <v>0</v>
      </c>
      <c r="R37" s="91">
        <f t="shared" si="1"/>
        <v>0</v>
      </c>
    </row>
    <row r="38" spans="1:18" s="107" customFormat="1" ht="44.25" x14ac:dyDescent="0.25">
      <c r="A38" s="97"/>
      <c r="B38" s="98" t="s">
        <v>105</v>
      </c>
      <c r="C38" s="99">
        <f>SUM(C19:C37)</f>
        <v>26.521739130434788</v>
      </c>
      <c r="D38" s="98"/>
      <c r="E38" s="99">
        <f>SUM(E19:E37)</f>
        <v>26.521739130434796</v>
      </c>
      <c r="F38" s="99">
        <f>SUM(F19:F37)</f>
        <v>100</v>
      </c>
      <c r="G38" s="100"/>
      <c r="H38" s="101"/>
      <c r="I38" s="102"/>
      <c r="J38" s="103"/>
      <c r="K38" s="103"/>
      <c r="L38" s="103"/>
      <c r="M38" s="103"/>
      <c r="N38" s="103"/>
      <c r="O38" s="103"/>
      <c r="P38" s="104"/>
      <c r="Q38" s="105"/>
      <c r="R38" s="106">
        <f>SUM(R19:R37)</f>
        <v>0</v>
      </c>
    </row>
    <row r="39" spans="1:18" s="109" customFormat="1" ht="66" customHeight="1" x14ac:dyDescent="0.7">
      <c r="A39" s="108"/>
      <c r="G39" s="110"/>
      <c r="H39" s="110"/>
      <c r="I39" s="111" t="s">
        <v>155</v>
      </c>
      <c r="J39" s="112"/>
      <c r="K39" s="112"/>
      <c r="L39" s="112"/>
      <c r="M39" s="112"/>
      <c r="N39" s="112"/>
      <c r="O39" s="112"/>
      <c r="P39" s="112"/>
      <c r="Q39" s="113"/>
      <c r="R39" s="114">
        <f>R38/100 * 70</f>
        <v>0</v>
      </c>
    </row>
    <row r="40" spans="1:18" s="123" customFormat="1" ht="36" x14ac:dyDescent="0.55000000000000004">
      <c r="A40" s="115" t="s">
        <v>106</v>
      </c>
      <c r="B40" s="116"/>
      <c r="C40" s="116"/>
      <c r="D40" s="116"/>
      <c r="E40" s="116"/>
      <c r="F40" s="116"/>
      <c r="G40" s="117"/>
      <c r="H40" s="118"/>
      <c r="I40" s="118"/>
      <c r="J40" s="118"/>
      <c r="K40" s="118"/>
      <c r="L40" s="71" t="s">
        <v>111</v>
      </c>
      <c r="M40" s="119" t="s">
        <v>107</v>
      </c>
      <c r="N40" s="119"/>
      <c r="O40" s="119"/>
      <c r="P40" s="120"/>
      <c r="Q40" s="121"/>
      <c r="R40" s="122"/>
    </row>
    <row r="41" spans="1:18" s="123" customFormat="1" ht="31.5" customHeight="1" x14ac:dyDescent="0.55000000000000004">
      <c r="A41" s="124"/>
      <c r="B41" s="125"/>
      <c r="C41" s="126" t="s">
        <v>108</v>
      </c>
      <c r="D41" s="126"/>
      <c r="E41" s="126"/>
      <c r="F41" s="126"/>
      <c r="G41" s="126"/>
      <c r="H41" s="127" t="s">
        <v>156</v>
      </c>
      <c r="I41" s="127" t="s">
        <v>157</v>
      </c>
      <c r="J41" s="127"/>
      <c r="K41" s="128"/>
      <c r="L41" s="79"/>
      <c r="M41" s="129"/>
      <c r="N41" s="129"/>
      <c r="O41" s="129"/>
      <c r="P41" s="130"/>
      <c r="Q41" s="121"/>
      <c r="R41" s="122"/>
    </row>
    <row r="42" spans="1:18" s="123" customFormat="1" ht="36" customHeight="1" x14ac:dyDescent="0.55000000000000004">
      <c r="A42" s="131">
        <v>1</v>
      </c>
      <c r="B42" s="132" t="s">
        <v>112</v>
      </c>
      <c r="C42" s="133"/>
      <c r="D42" s="134"/>
      <c r="E42" s="134"/>
      <c r="F42" s="134"/>
      <c r="G42" s="135"/>
      <c r="H42" s="136"/>
      <c r="I42" s="136"/>
      <c r="J42" s="136"/>
      <c r="K42" s="136"/>
      <c r="L42" s="137"/>
      <c r="M42" s="138" t="s">
        <v>42</v>
      </c>
      <c r="N42" s="139" t="s">
        <v>113</v>
      </c>
      <c r="O42" s="140"/>
      <c r="P42" s="130"/>
      <c r="Q42" s="121"/>
      <c r="R42" s="122"/>
    </row>
    <row r="43" spans="1:18" s="123" customFormat="1" ht="84.75" customHeight="1" x14ac:dyDescent="0.55000000000000004">
      <c r="A43" s="141" t="s">
        <v>114</v>
      </c>
      <c r="B43" s="142" t="s">
        <v>158</v>
      </c>
      <c r="C43" s="143"/>
      <c r="D43" s="144"/>
      <c r="E43" s="144"/>
      <c r="F43" s="144"/>
      <c r="G43" s="145"/>
      <c r="H43" s="146">
        <v>4</v>
      </c>
      <c r="I43" s="147"/>
      <c r="J43" s="146"/>
      <c r="K43" s="146"/>
      <c r="L43" s="137"/>
      <c r="M43" s="138" t="s">
        <v>43</v>
      </c>
      <c r="N43" s="139" t="s">
        <v>115</v>
      </c>
      <c r="O43" s="140"/>
      <c r="P43" s="130"/>
      <c r="Q43" s="121"/>
      <c r="R43" s="122"/>
    </row>
    <row r="44" spans="1:18" s="123" customFormat="1" ht="82.5" customHeight="1" x14ac:dyDescent="0.55000000000000004">
      <c r="A44" s="141" t="s">
        <v>116</v>
      </c>
      <c r="B44" s="142" t="s">
        <v>159</v>
      </c>
      <c r="C44" s="143"/>
      <c r="D44" s="144"/>
      <c r="E44" s="144"/>
      <c r="F44" s="144"/>
      <c r="G44" s="145"/>
      <c r="H44" s="146">
        <v>2</v>
      </c>
      <c r="I44" s="147"/>
      <c r="J44" s="146"/>
      <c r="K44" s="146"/>
      <c r="L44" s="137"/>
      <c r="M44" s="138" t="s">
        <v>44</v>
      </c>
      <c r="N44" s="139" t="s">
        <v>117</v>
      </c>
      <c r="O44" s="140"/>
      <c r="P44" s="130"/>
      <c r="Q44" s="121"/>
      <c r="R44" s="122"/>
    </row>
    <row r="45" spans="1:18" s="123" customFormat="1" ht="78.75" customHeight="1" x14ac:dyDescent="0.55000000000000004">
      <c r="A45" s="141" t="s">
        <v>118</v>
      </c>
      <c r="B45" s="142" t="s">
        <v>119</v>
      </c>
      <c r="C45" s="143"/>
      <c r="D45" s="144"/>
      <c r="E45" s="144"/>
      <c r="F45" s="144"/>
      <c r="G45" s="145"/>
      <c r="H45" s="146">
        <v>2</v>
      </c>
      <c r="I45" s="147"/>
      <c r="J45" s="146"/>
      <c r="K45" s="146"/>
      <c r="L45" s="137"/>
      <c r="M45" s="138" t="s">
        <v>45</v>
      </c>
      <c r="N45" s="139" t="s">
        <v>120</v>
      </c>
      <c r="O45" s="140"/>
      <c r="P45" s="130"/>
      <c r="Q45" s="121"/>
      <c r="R45" s="122"/>
    </row>
    <row r="46" spans="1:18" s="123" customFormat="1" ht="36" x14ac:dyDescent="0.55000000000000004">
      <c r="A46" s="148">
        <v>2</v>
      </c>
      <c r="B46" s="149" t="s">
        <v>121</v>
      </c>
      <c r="C46" s="150"/>
      <c r="D46" s="151"/>
      <c r="E46" s="151"/>
      <c r="F46" s="151"/>
      <c r="G46" s="152"/>
      <c r="H46" s="146"/>
      <c r="I46" s="147"/>
      <c r="J46" s="146"/>
      <c r="K46" s="146"/>
      <c r="L46" s="137"/>
      <c r="M46" s="138" t="s">
        <v>46</v>
      </c>
      <c r="N46" s="139" t="s">
        <v>122</v>
      </c>
      <c r="O46" s="140"/>
      <c r="P46" s="130"/>
      <c r="Q46" s="121"/>
      <c r="R46" s="122"/>
    </row>
    <row r="47" spans="1:18" s="123" customFormat="1" ht="82.5" customHeight="1" x14ac:dyDescent="0.55000000000000004">
      <c r="A47" s="141" t="s">
        <v>114</v>
      </c>
      <c r="B47" s="153" t="s">
        <v>160</v>
      </c>
      <c r="C47" s="154"/>
      <c r="D47" s="155"/>
      <c r="E47" s="155"/>
      <c r="F47" s="155"/>
      <c r="G47" s="156"/>
      <c r="H47" s="146">
        <v>2</v>
      </c>
      <c r="I47" s="147"/>
      <c r="J47" s="146"/>
      <c r="K47" s="146"/>
      <c r="L47" s="137"/>
      <c r="M47" s="138" t="s">
        <v>47</v>
      </c>
      <c r="N47" s="139" t="s">
        <v>123</v>
      </c>
      <c r="O47" s="140"/>
      <c r="P47" s="157"/>
      <c r="Q47" s="121"/>
      <c r="R47" s="122"/>
    </row>
    <row r="48" spans="1:18" s="123" customFormat="1" ht="114.75" customHeight="1" x14ac:dyDescent="0.55000000000000004">
      <c r="A48" s="141" t="s">
        <v>116</v>
      </c>
      <c r="B48" s="153" t="s">
        <v>161</v>
      </c>
      <c r="C48" s="154"/>
      <c r="D48" s="155"/>
      <c r="E48" s="155"/>
      <c r="F48" s="155"/>
      <c r="G48" s="156"/>
      <c r="H48" s="146">
        <v>2</v>
      </c>
      <c r="I48" s="147"/>
      <c r="J48" s="146"/>
      <c r="K48" s="146"/>
      <c r="L48" s="137"/>
      <c r="M48" s="130" t="s">
        <v>111</v>
      </c>
      <c r="N48" s="158" t="s">
        <v>124</v>
      </c>
      <c r="O48" s="159"/>
      <c r="P48" s="157"/>
      <c r="Q48" s="121"/>
      <c r="R48" s="122"/>
    </row>
    <row r="49" spans="1:18" s="123" customFormat="1" ht="72" customHeight="1" x14ac:dyDescent="0.55000000000000004">
      <c r="A49" s="141" t="s">
        <v>118</v>
      </c>
      <c r="B49" s="153" t="s">
        <v>162</v>
      </c>
      <c r="C49" s="154"/>
      <c r="D49" s="155"/>
      <c r="E49" s="155"/>
      <c r="F49" s="155"/>
      <c r="G49" s="156"/>
      <c r="H49" s="146">
        <v>2</v>
      </c>
      <c r="I49" s="147"/>
      <c r="J49" s="146"/>
      <c r="K49" s="146"/>
      <c r="L49" s="137"/>
      <c r="M49" s="130" t="s">
        <v>125</v>
      </c>
      <c r="N49" s="158" t="s">
        <v>126</v>
      </c>
      <c r="O49" s="159"/>
      <c r="P49" s="157"/>
      <c r="Q49" s="121"/>
      <c r="R49" s="122"/>
    </row>
    <row r="50" spans="1:18" s="123" customFormat="1" ht="66" customHeight="1" x14ac:dyDescent="0.55000000000000004">
      <c r="A50" s="148">
        <v>3</v>
      </c>
      <c r="B50" s="149" t="s">
        <v>127</v>
      </c>
      <c r="C50" s="150"/>
      <c r="D50" s="151"/>
      <c r="E50" s="151"/>
      <c r="F50" s="151"/>
      <c r="G50" s="152"/>
      <c r="H50" s="146"/>
      <c r="I50" s="147"/>
      <c r="J50" s="146"/>
      <c r="K50" s="146"/>
      <c r="L50" s="137"/>
      <c r="M50" s="130" t="s">
        <v>109</v>
      </c>
      <c r="N50" s="158" t="s">
        <v>128</v>
      </c>
      <c r="O50" s="159"/>
      <c r="P50" s="157"/>
      <c r="Q50" s="121"/>
      <c r="R50" s="122"/>
    </row>
    <row r="51" spans="1:18" s="123" customFormat="1" ht="72" customHeight="1" x14ac:dyDescent="0.55000000000000004">
      <c r="A51" s="141" t="s">
        <v>114</v>
      </c>
      <c r="B51" s="153" t="s">
        <v>129</v>
      </c>
      <c r="C51" s="160"/>
      <c r="D51" s="161"/>
      <c r="E51" s="161"/>
      <c r="F51" s="161"/>
      <c r="G51" s="162"/>
      <c r="H51" s="146">
        <v>2</v>
      </c>
      <c r="I51" s="147"/>
      <c r="J51" s="146"/>
      <c r="K51" s="146"/>
      <c r="L51" s="137"/>
      <c r="M51" s="130" t="s">
        <v>110</v>
      </c>
      <c r="N51" s="158" t="s">
        <v>130</v>
      </c>
      <c r="O51" s="159"/>
      <c r="P51" s="157"/>
      <c r="Q51" s="121"/>
      <c r="R51" s="122"/>
    </row>
    <row r="52" spans="1:18" s="123" customFormat="1" ht="72" customHeight="1" x14ac:dyDescent="0.55000000000000004">
      <c r="A52" s="141" t="s">
        <v>116</v>
      </c>
      <c r="B52" s="153" t="s">
        <v>163</v>
      </c>
      <c r="C52" s="160"/>
      <c r="D52" s="161"/>
      <c r="E52" s="161"/>
      <c r="F52" s="161"/>
      <c r="G52" s="162"/>
      <c r="H52" s="146">
        <v>2</v>
      </c>
      <c r="I52" s="147"/>
      <c r="J52" s="146"/>
      <c r="K52" s="146"/>
      <c r="L52" s="137"/>
      <c r="M52" s="130" t="s">
        <v>131</v>
      </c>
      <c r="N52" s="158" t="s">
        <v>132</v>
      </c>
      <c r="O52" s="159"/>
      <c r="P52" s="157"/>
      <c r="Q52" s="121"/>
      <c r="R52" s="122"/>
    </row>
    <row r="53" spans="1:18" s="123" customFormat="1" ht="44.25" customHeight="1" x14ac:dyDescent="0.55000000000000004">
      <c r="A53" s="141" t="s">
        <v>118</v>
      </c>
      <c r="B53" s="153" t="s">
        <v>164</v>
      </c>
      <c r="C53" s="160"/>
      <c r="D53" s="161"/>
      <c r="E53" s="161"/>
      <c r="F53" s="161"/>
      <c r="G53" s="162"/>
      <c r="H53" s="146">
        <v>2</v>
      </c>
      <c r="I53" s="147"/>
      <c r="J53" s="146"/>
      <c r="K53" s="146"/>
      <c r="L53" s="137"/>
      <c r="M53" s="163"/>
      <c r="N53" s="163"/>
      <c r="O53" s="163"/>
      <c r="P53" s="164"/>
      <c r="Q53" s="121"/>
      <c r="R53" s="122"/>
    </row>
    <row r="54" spans="1:18" s="123" customFormat="1" ht="31.5" customHeight="1" x14ac:dyDescent="0.55000000000000004">
      <c r="A54" s="165" t="s">
        <v>133</v>
      </c>
      <c r="B54" s="166"/>
      <c r="C54" s="166"/>
      <c r="D54" s="166"/>
      <c r="E54" s="166"/>
      <c r="F54" s="166"/>
      <c r="G54" s="166"/>
      <c r="H54" s="167">
        <f>SUM(H43:H53)</f>
        <v>20</v>
      </c>
      <c r="I54" s="167">
        <f>SUM(I43:I53)</f>
        <v>0</v>
      </c>
      <c r="J54" s="167"/>
      <c r="K54" s="168"/>
      <c r="L54" s="137"/>
      <c r="M54" s="163"/>
      <c r="N54" s="163"/>
      <c r="O54" s="163"/>
      <c r="P54" s="164"/>
      <c r="Q54" s="121"/>
      <c r="R54" s="122"/>
    </row>
    <row r="55" spans="1:18" s="123" customFormat="1" ht="36" customHeight="1" x14ac:dyDescent="0.55000000000000004">
      <c r="A55" s="169" t="s">
        <v>114</v>
      </c>
      <c r="B55" s="170" t="s">
        <v>134</v>
      </c>
      <c r="C55" s="154" t="s">
        <v>135</v>
      </c>
      <c r="D55" s="155"/>
      <c r="E55" s="155"/>
      <c r="F55" s="155"/>
      <c r="G55" s="156"/>
      <c r="H55" s="171">
        <v>4</v>
      </c>
      <c r="I55" s="172"/>
      <c r="J55" s="171"/>
      <c r="K55" s="173"/>
      <c r="L55" s="137"/>
      <c r="M55" s="163"/>
      <c r="N55" s="163"/>
      <c r="O55" s="163"/>
      <c r="P55" s="164"/>
      <c r="Q55" s="121"/>
      <c r="R55" s="122"/>
    </row>
    <row r="56" spans="1:18" s="123" customFormat="1" ht="129" customHeight="1" x14ac:dyDescent="0.55000000000000004">
      <c r="A56" s="169" t="s">
        <v>116</v>
      </c>
      <c r="B56" s="170" t="s">
        <v>136</v>
      </c>
      <c r="C56" s="154" t="s">
        <v>137</v>
      </c>
      <c r="D56" s="155"/>
      <c r="E56" s="155"/>
      <c r="F56" s="155"/>
      <c r="G56" s="156"/>
      <c r="H56" s="171">
        <v>3</v>
      </c>
      <c r="I56" s="172"/>
      <c r="J56" s="171"/>
      <c r="K56" s="173"/>
      <c r="L56" s="137"/>
      <c r="M56" s="163"/>
      <c r="N56" s="163"/>
      <c r="O56" s="163"/>
      <c r="P56" s="164"/>
      <c r="Q56" s="121"/>
      <c r="R56" s="122"/>
    </row>
    <row r="57" spans="1:18" s="123" customFormat="1" ht="69" customHeight="1" x14ac:dyDescent="0.55000000000000004">
      <c r="A57" s="169" t="s">
        <v>116</v>
      </c>
      <c r="B57" s="170" t="s">
        <v>138</v>
      </c>
      <c r="C57" s="154" t="s">
        <v>139</v>
      </c>
      <c r="D57" s="155"/>
      <c r="E57" s="155"/>
      <c r="F57" s="155"/>
      <c r="G57" s="156"/>
      <c r="H57" s="171">
        <v>3</v>
      </c>
      <c r="I57" s="172"/>
      <c r="J57" s="171"/>
      <c r="K57" s="173"/>
      <c r="L57" s="137"/>
      <c r="M57" s="163"/>
      <c r="N57" s="163"/>
      <c r="O57" s="163"/>
      <c r="P57" s="164"/>
      <c r="Q57" s="121"/>
      <c r="R57" s="122"/>
    </row>
    <row r="58" spans="1:18" s="123" customFormat="1" ht="46.5" customHeight="1" x14ac:dyDescent="0.55000000000000004">
      <c r="A58" s="174"/>
      <c r="B58" s="175" t="s">
        <v>140</v>
      </c>
      <c r="C58" s="175"/>
      <c r="D58" s="175"/>
      <c r="E58" s="176"/>
      <c r="F58" s="176"/>
      <c r="G58" s="176"/>
      <c r="H58" s="167">
        <f>SUM(H55:H57)</f>
        <v>10</v>
      </c>
      <c r="I58" s="167">
        <f>SUM(I55:I57)</f>
        <v>0</v>
      </c>
      <c r="J58" s="176"/>
      <c r="K58" s="177"/>
      <c r="L58" s="163"/>
      <c r="M58" s="163"/>
      <c r="N58" s="163"/>
      <c r="O58" s="163"/>
      <c r="P58" s="164"/>
      <c r="Q58" s="121"/>
      <c r="R58" s="122"/>
    </row>
    <row r="59" spans="1:18" s="185" customFormat="1" ht="45" customHeight="1" x14ac:dyDescent="0.7">
      <c r="A59" s="178"/>
      <c r="B59" s="179"/>
      <c r="C59" s="180"/>
      <c r="D59" s="180"/>
      <c r="E59" s="180"/>
      <c r="F59" s="181"/>
      <c r="G59" s="181"/>
      <c r="H59" s="181"/>
      <c r="I59" s="181"/>
      <c r="J59" s="181"/>
      <c r="K59" s="180"/>
      <c r="L59" s="180"/>
      <c r="M59" s="180"/>
      <c r="N59" s="180"/>
      <c r="O59" s="182" t="s">
        <v>165</v>
      </c>
      <c r="P59" s="183"/>
      <c r="Q59" s="182" t="s">
        <v>166</v>
      </c>
      <c r="R59" s="184"/>
    </row>
    <row r="60" spans="1:18" s="185" customFormat="1" ht="45" customHeight="1" x14ac:dyDescent="0.7">
      <c r="A60" s="178"/>
      <c r="B60" s="186"/>
      <c r="C60" s="187" t="s">
        <v>167</v>
      </c>
      <c r="D60" s="188"/>
      <c r="E60" s="188"/>
      <c r="F60" s="188"/>
      <c r="G60" s="188"/>
      <c r="H60" s="188"/>
      <c r="I60" s="188"/>
      <c r="J60" s="188"/>
      <c r="K60" s="189"/>
      <c r="L60" s="190"/>
      <c r="M60" s="191"/>
      <c r="N60" s="192"/>
      <c r="O60" s="193">
        <f>R39</f>
        <v>0</v>
      </c>
      <c r="P60" s="194"/>
      <c r="Q60" s="195">
        <f>O63/100 * 20</f>
        <v>0</v>
      </c>
      <c r="R60" s="196"/>
    </row>
    <row r="61" spans="1:18" s="185" customFormat="1" ht="45" customHeight="1" x14ac:dyDescent="0.7">
      <c r="A61" s="178"/>
      <c r="B61" s="186"/>
      <c r="C61" s="188" t="s">
        <v>168</v>
      </c>
      <c r="D61" s="188"/>
      <c r="E61" s="188"/>
      <c r="F61" s="188"/>
      <c r="G61" s="188"/>
      <c r="H61" s="188"/>
      <c r="I61" s="188"/>
      <c r="J61" s="188"/>
      <c r="K61" s="188"/>
      <c r="L61" s="191"/>
      <c r="M61" s="191"/>
      <c r="N61" s="192"/>
      <c r="O61" s="193">
        <f>I54</f>
        <v>0</v>
      </c>
      <c r="P61" s="194"/>
      <c r="Q61" s="197"/>
      <c r="R61" s="198"/>
    </row>
    <row r="62" spans="1:18" s="185" customFormat="1" ht="45" customHeight="1" x14ac:dyDescent="0.7">
      <c r="A62" s="178"/>
      <c r="B62" s="186"/>
      <c r="C62" s="187" t="s">
        <v>169</v>
      </c>
      <c r="D62" s="188"/>
      <c r="E62" s="188"/>
      <c r="F62" s="188"/>
      <c r="G62" s="188"/>
      <c r="H62" s="188"/>
      <c r="I62" s="188"/>
      <c r="J62" s="188"/>
      <c r="K62" s="189"/>
      <c r="L62" s="190"/>
      <c r="M62" s="191"/>
      <c r="N62" s="192"/>
      <c r="O62" s="193">
        <f>I58</f>
        <v>0</v>
      </c>
      <c r="P62" s="194"/>
      <c r="Q62" s="197"/>
      <c r="R62" s="198"/>
    </row>
    <row r="63" spans="1:18" s="185" customFormat="1" ht="45" customHeight="1" x14ac:dyDescent="0.7">
      <c r="A63" s="178"/>
      <c r="B63" s="199"/>
      <c r="C63" s="187" t="s">
        <v>170</v>
      </c>
      <c r="D63" s="188"/>
      <c r="E63" s="188"/>
      <c r="F63" s="188"/>
      <c r="G63" s="188"/>
      <c r="H63" s="188"/>
      <c r="I63" s="188"/>
      <c r="J63" s="188"/>
      <c r="K63" s="189"/>
      <c r="L63" s="190"/>
      <c r="M63" s="191"/>
      <c r="N63" s="192"/>
      <c r="O63" s="193">
        <f>SUM(O60:P62)</f>
        <v>0</v>
      </c>
      <c r="P63" s="194"/>
      <c r="Q63" s="200"/>
      <c r="R63" s="201"/>
    </row>
    <row r="64" spans="1:18" s="185" customFormat="1" ht="64.900000000000006" customHeight="1" x14ac:dyDescent="0.7">
      <c r="A64" s="178"/>
      <c r="B64" s="202" t="s">
        <v>171</v>
      </c>
      <c r="C64" s="202"/>
      <c r="D64" s="202"/>
      <c r="E64" s="202"/>
      <c r="F64" s="202"/>
      <c r="G64" s="202"/>
      <c r="H64" s="203"/>
      <c r="I64" s="203"/>
      <c r="J64" s="203"/>
      <c r="K64" s="203"/>
      <c r="L64" s="203"/>
      <c r="M64" s="203"/>
      <c r="N64" s="203"/>
      <c r="O64" s="203"/>
      <c r="P64" s="203"/>
      <c r="Q64" s="203"/>
      <c r="R64" s="204"/>
    </row>
    <row r="65" spans="1:18" s="185" customFormat="1" ht="64.900000000000006" customHeight="1" x14ac:dyDescent="0.7">
      <c r="A65" s="178"/>
      <c r="B65" s="205" t="s">
        <v>172</v>
      </c>
      <c r="C65" s="205"/>
      <c r="D65" s="205"/>
      <c r="E65" s="205"/>
      <c r="F65" s="205"/>
      <c r="G65" s="205"/>
      <c r="H65" s="205"/>
      <c r="I65" s="205"/>
      <c r="J65" s="205"/>
      <c r="K65" s="205"/>
      <c r="L65" s="205"/>
      <c r="M65" s="205"/>
      <c r="N65" s="205"/>
      <c r="O65" s="205"/>
      <c r="P65" s="205"/>
      <c r="Q65" s="205"/>
      <c r="R65" s="206"/>
    </row>
    <row r="66" spans="1:18" s="185" customFormat="1" ht="48.75" customHeight="1" x14ac:dyDescent="0.7">
      <c r="A66" s="178"/>
      <c r="B66" s="207" t="s">
        <v>173</v>
      </c>
      <c r="C66" s="207"/>
      <c r="D66" s="207"/>
      <c r="E66" s="207"/>
      <c r="F66" s="207"/>
      <c r="G66" s="207"/>
      <c r="H66" s="208"/>
      <c r="I66" s="208"/>
      <c r="J66" s="208"/>
      <c r="K66" s="208"/>
      <c r="L66" s="208"/>
      <c r="M66" s="208"/>
      <c r="N66" s="208"/>
      <c r="O66" s="208"/>
      <c r="P66" s="208"/>
      <c r="Q66" s="208"/>
      <c r="R66" s="209"/>
    </row>
    <row r="67" spans="1:18" s="185" customFormat="1" ht="45.75" x14ac:dyDescent="0.7">
      <c r="A67" s="178"/>
      <c r="B67" s="205"/>
      <c r="C67" s="205"/>
      <c r="D67" s="205"/>
      <c r="E67" s="205"/>
      <c r="F67" s="205"/>
      <c r="G67" s="205"/>
      <c r="H67" s="205"/>
      <c r="I67" s="205"/>
      <c r="J67" s="205"/>
      <c r="K67" s="205"/>
      <c r="L67" s="205"/>
      <c r="M67" s="205"/>
      <c r="N67" s="205"/>
      <c r="O67" s="205"/>
      <c r="P67" s="205"/>
      <c r="Q67" s="205"/>
      <c r="R67" s="206"/>
    </row>
    <row r="68" spans="1:18" s="123" customFormat="1" ht="31.5" customHeight="1" x14ac:dyDescent="0.55000000000000004">
      <c r="A68" s="210" t="s">
        <v>174</v>
      </c>
      <c r="B68" s="211"/>
      <c r="C68" s="212"/>
      <c r="D68" s="213"/>
      <c r="E68" s="214" t="s">
        <v>175</v>
      </c>
      <c r="F68" s="215"/>
      <c r="G68" s="211" t="s">
        <v>176</v>
      </c>
      <c r="H68" s="212"/>
      <c r="I68" s="212"/>
      <c r="J68" s="212"/>
      <c r="K68" s="216"/>
      <c r="L68" s="137"/>
      <c r="M68" s="217"/>
      <c r="N68" s="217"/>
      <c r="O68" s="217"/>
      <c r="P68" s="217"/>
      <c r="Q68" s="217"/>
      <c r="R68" s="122"/>
    </row>
    <row r="69" spans="1:18" s="123" customFormat="1" ht="31.5" customHeight="1" x14ac:dyDescent="0.55000000000000004">
      <c r="A69" s="218"/>
      <c r="B69" s="219"/>
      <c r="C69" s="220"/>
      <c r="D69" s="221"/>
      <c r="E69" s="222"/>
      <c r="F69" s="223"/>
      <c r="G69" s="219"/>
      <c r="H69" s="220"/>
      <c r="I69" s="220"/>
      <c r="J69" s="220"/>
      <c r="K69" s="216"/>
      <c r="L69" s="137"/>
      <c r="M69" s="224"/>
      <c r="N69" s="224"/>
      <c r="O69" s="224"/>
      <c r="P69" s="224"/>
      <c r="Q69" s="224"/>
      <c r="R69" s="122"/>
    </row>
    <row r="70" spans="1:18" s="123" customFormat="1" ht="31.5" customHeight="1" x14ac:dyDescent="0.55000000000000004">
      <c r="A70" s="218"/>
      <c r="B70" s="219"/>
      <c r="C70" s="220"/>
      <c r="D70" s="221"/>
      <c r="E70" s="222"/>
      <c r="F70" s="223"/>
      <c r="G70" s="219"/>
      <c r="H70" s="220"/>
      <c r="I70" s="220"/>
      <c r="J70" s="220"/>
      <c r="K70" s="216"/>
      <c r="L70" s="137"/>
      <c r="M70" s="224"/>
      <c r="N70" s="224"/>
      <c r="O70" s="224"/>
      <c r="P70" s="224"/>
      <c r="Q70" s="224"/>
      <c r="R70" s="122"/>
    </row>
    <row r="71" spans="1:18" s="123" customFormat="1" ht="31.5" customHeight="1" x14ac:dyDescent="0.55000000000000004">
      <c r="A71" s="225"/>
      <c r="B71" s="226"/>
      <c r="C71" s="227"/>
      <c r="D71" s="228"/>
      <c r="E71" s="229"/>
      <c r="F71" s="230"/>
      <c r="G71" s="226"/>
      <c r="H71" s="227"/>
      <c r="I71" s="227"/>
      <c r="J71" s="227"/>
      <c r="K71" s="216"/>
      <c r="L71" s="137"/>
      <c r="M71" s="224"/>
      <c r="N71" s="224"/>
      <c r="O71" s="224"/>
      <c r="P71" s="224"/>
      <c r="Q71" s="224"/>
      <c r="R71" s="122"/>
    </row>
    <row r="72" spans="1:18" s="123" customFormat="1" ht="31.5" customHeight="1" x14ac:dyDescent="0.55000000000000004">
      <c r="A72" s="231" t="s">
        <v>141</v>
      </c>
      <c r="B72" s="232"/>
      <c r="C72" s="212"/>
      <c r="D72" s="213"/>
      <c r="E72" s="233" t="s">
        <v>177</v>
      </c>
      <c r="F72" s="215"/>
      <c r="G72" s="232" t="s">
        <v>177</v>
      </c>
      <c r="H72" s="212"/>
      <c r="I72" s="212"/>
      <c r="J72" s="212"/>
      <c r="K72" s="216"/>
      <c r="L72" s="137"/>
      <c r="M72" s="224"/>
      <c r="N72" s="224"/>
      <c r="O72" s="224"/>
      <c r="P72" s="224"/>
      <c r="Q72" s="224"/>
      <c r="R72" s="122"/>
    </row>
    <row r="73" spans="1:18" s="123" customFormat="1" ht="31.5" customHeight="1" x14ac:dyDescent="0.55000000000000004">
      <c r="A73" s="234"/>
      <c r="B73" s="235"/>
      <c r="C73" s="220"/>
      <c r="D73" s="221"/>
      <c r="E73" s="236"/>
      <c r="F73" s="223"/>
      <c r="G73" s="235"/>
      <c r="H73" s="220"/>
      <c r="I73" s="220"/>
      <c r="J73" s="220"/>
      <c r="K73" s="216"/>
      <c r="L73" s="137"/>
      <c r="M73" s="224"/>
      <c r="N73" s="224"/>
      <c r="O73" s="224"/>
      <c r="P73" s="224"/>
      <c r="Q73" s="224"/>
      <c r="R73" s="122"/>
    </row>
    <row r="74" spans="1:18" s="123" customFormat="1" ht="31.5" customHeight="1" x14ac:dyDescent="0.55000000000000004">
      <c r="A74" s="234"/>
      <c r="B74" s="235"/>
      <c r="C74" s="227"/>
      <c r="D74" s="228"/>
      <c r="E74" s="237"/>
      <c r="F74" s="230"/>
      <c r="G74" s="238"/>
      <c r="H74" s="227"/>
      <c r="I74" s="227"/>
      <c r="J74" s="227"/>
      <c r="K74" s="216"/>
      <c r="L74" s="137"/>
      <c r="M74" s="224"/>
      <c r="N74" s="224"/>
      <c r="O74" s="224"/>
      <c r="P74" s="224"/>
      <c r="Q74" s="224"/>
      <c r="R74" s="122"/>
    </row>
    <row r="75" spans="1:18" s="123" customFormat="1" ht="31.5" customHeight="1" x14ac:dyDescent="0.55000000000000004">
      <c r="A75" s="218" t="s">
        <v>142</v>
      </c>
      <c r="B75" s="219"/>
      <c r="C75" s="212"/>
      <c r="D75" s="213"/>
      <c r="E75" s="214" t="s">
        <v>178</v>
      </c>
      <c r="F75" s="215"/>
      <c r="G75" s="211" t="s">
        <v>178</v>
      </c>
      <c r="H75" s="212"/>
      <c r="I75" s="212"/>
      <c r="J75" s="212"/>
      <c r="K75" s="216"/>
      <c r="L75" s="137"/>
      <c r="M75" s="224"/>
      <c r="N75" s="224"/>
      <c r="O75" s="224"/>
      <c r="P75" s="224"/>
      <c r="Q75" s="224"/>
      <c r="R75" s="122"/>
    </row>
    <row r="76" spans="1:18" s="123" customFormat="1" ht="31.5" customHeight="1" x14ac:dyDescent="0.55000000000000004">
      <c r="A76" s="218"/>
      <c r="B76" s="219"/>
      <c r="C76" s="227"/>
      <c r="D76" s="228"/>
      <c r="E76" s="229"/>
      <c r="F76" s="230"/>
      <c r="G76" s="226"/>
      <c r="H76" s="227"/>
      <c r="I76" s="227"/>
      <c r="J76" s="227"/>
      <c r="K76" s="216"/>
      <c r="L76" s="137"/>
      <c r="M76" s="224"/>
      <c r="N76" s="224"/>
      <c r="O76" s="224"/>
      <c r="P76" s="224"/>
      <c r="Q76" s="224"/>
      <c r="R76" s="122"/>
    </row>
    <row r="77" spans="1:18" s="123" customFormat="1" ht="31.5" customHeight="1" thickBot="1" x14ac:dyDescent="0.6">
      <c r="A77" s="239"/>
      <c r="B77" s="240"/>
      <c r="C77" s="240"/>
      <c r="D77" s="240"/>
      <c r="E77" s="240"/>
      <c r="F77" s="240"/>
      <c r="G77" s="240"/>
      <c r="H77" s="240"/>
      <c r="I77" s="240"/>
      <c r="J77" s="240"/>
      <c r="K77" s="241"/>
      <c r="L77" s="242"/>
      <c r="M77" s="243"/>
      <c r="N77" s="243"/>
      <c r="O77" s="243"/>
      <c r="P77" s="243"/>
      <c r="Q77" s="243"/>
      <c r="R77" s="244"/>
    </row>
  </sheetData>
  <mergeCells count="118">
    <mergeCell ref="B33:B34"/>
    <mergeCell ref="C33:C34"/>
    <mergeCell ref="A77:J77"/>
    <mergeCell ref="A19:A23"/>
    <mergeCell ref="B19:B23"/>
    <mergeCell ref="C19:C23"/>
    <mergeCell ref="A24:A25"/>
    <mergeCell ref="B24:B25"/>
    <mergeCell ref="C24:C25"/>
    <mergeCell ref="A26:A30"/>
    <mergeCell ref="B26:B30"/>
    <mergeCell ref="C26:C30"/>
    <mergeCell ref="A75:B76"/>
    <mergeCell ref="C75:D76"/>
    <mergeCell ref="E75:E76"/>
    <mergeCell ref="F75:F76"/>
    <mergeCell ref="G75:G76"/>
    <mergeCell ref="H75:J76"/>
    <mergeCell ref="A72:B74"/>
    <mergeCell ref="C72:D74"/>
    <mergeCell ref="E72:E74"/>
    <mergeCell ref="F72:F74"/>
    <mergeCell ref="G72:G74"/>
    <mergeCell ref="H72:J74"/>
    <mergeCell ref="B65:R65"/>
    <mergeCell ref="B66:G66"/>
    <mergeCell ref="B67:R67"/>
    <mergeCell ref="A68:B71"/>
    <mergeCell ref="C68:D71"/>
    <mergeCell ref="E68:E71"/>
    <mergeCell ref="F68:F71"/>
    <mergeCell ref="G68:G71"/>
    <mergeCell ref="H68:J71"/>
    <mergeCell ref="M68:Q77"/>
    <mergeCell ref="L62:N62"/>
    <mergeCell ref="O62:P62"/>
    <mergeCell ref="C63:K63"/>
    <mergeCell ref="L63:N63"/>
    <mergeCell ref="O63:P63"/>
    <mergeCell ref="B64:G64"/>
    <mergeCell ref="O59:P59"/>
    <mergeCell ref="Q59:R59"/>
    <mergeCell ref="C60:K60"/>
    <mergeCell ref="L60:N60"/>
    <mergeCell ref="O60:P60"/>
    <mergeCell ref="Q60:R63"/>
    <mergeCell ref="C61:K61"/>
    <mergeCell ref="L61:N61"/>
    <mergeCell ref="O61:P61"/>
    <mergeCell ref="C62:K62"/>
    <mergeCell ref="A54:G54"/>
    <mergeCell ref="C55:G55"/>
    <mergeCell ref="C56:G56"/>
    <mergeCell ref="C57:G57"/>
    <mergeCell ref="B58:D58"/>
    <mergeCell ref="B59:B63"/>
    <mergeCell ref="F59:J59"/>
    <mergeCell ref="C48:G48"/>
    <mergeCell ref="C49:G49"/>
    <mergeCell ref="C50:G50"/>
    <mergeCell ref="C51:G51"/>
    <mergeCell ref="C52:G52"/>
    <mergeCell ref="C53:G53"/>
    <mergeCell ref="C45:G45"/>
    <mergeCell ref="N45:O45"/>
    <mergeCell ref="C46:G46"/>
    <mergeCell ref="N46:O46"/>
    <mergeCell ref="C47:G47"/>
    <mergeCell ref="N47:O47"/>
    <mergeCell ref="C42:G42"/>
    <mergeCell ref="N42:O42"/>
    <mergeCell ref="C43:G43"/>
    <mergeCell ref="N43:O43"/>
    <mergeCell ref="C44:G44"/>
    <mergeCell ref="N44:O44"/>
    <mergeCell ref="R17:R18"/>
    <mergeCell ref="I39:Q39"/>
    <mergeCell ref="A40:G40"/>
    <mergeCell ref="H40:K40"/>
    <mergeCell ref="L40:L41"/>
    <mergeCell ref="C41:G41"/>
    <mergeCell ref="A31:A32"/>
    <mergeCell ref="B31:B32"/>
    <mergeCell ref="C31:C32"/>
    <mergeCell ref="A33:A34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1" r:id="rId1" xr:uid="{CC8A1A8A-206B-43E0-AF60-D94EFA8B072D}"/>
    <hyperlink ref="E8" r:id="rId2" xr:uid="{C80237B4-EEFB-43ED-B78C-D50EDBCE7072}"/>
  </hyperlinks>
  <pageMargins left="0.7" right="0.7" top="0.75" bottom="0.75" header="0.3" footer="0.3"/>
  <pageSetup scale="14" fitToHeight="0" orientation="landscape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A5D20-A588-4696-894F-C9D375D55F2B}">
  <sheetPr>
    <pageSetUpPr fitToPage="1"/>
  </sheetPr>
  <dimension ref="A1:R77"/>
  <sheetViews>
    <sheetView zoomScale="30" zoomScaleNormal="30" workbookViewId="0">
      <selection activeCell="F19" sqref="F19:F37"/>
    </sheetView>
  </sheetViews>
  <sheetFormatPr defaultRowHeight="31.5" customHeight="1" x14ac:dyDescent="0.55000000000000004"/>
  <cols>
    <col min="1" max="1" width="15.5703125" style="245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5" bestFit="1" customWidth="1"/>
    <col min="6" max="6" width="42" style="245" customWidth="1"/>
    <col min="7" max="7" width="255.7109375" style="4" bestFit="1" customWidth="1"/>
    <col min="8" max="8" width="33" style="245" customWidth="1"/>
    <col min="9" max="9" width="62.42578125" style="245" customWidth="1"/>
    <col min="10" max="10" width="45.140625" style="245" customWidth="1"/>
    <col min="11" max="13" width="35.28515625" style="245" bestFit="1" customWidth="1"/>
    <col min="14" max="14" width="40.7109375" style="245" bestFit="1" customWidth="1"/>
    <col min="15" max="15" width="36.85546875" style="245" bestFit="1" customWidth="1"/>
    <col min="16" max="17" width="36.85546875" style="246" customWidth="1"/>
    <col min="18" max="18" width="36.85546875" style="247" customWidth="1"/>
    <col min="19" max="16384" width="9.140625" style="4"/>
  </cols>
  <sheetData>
    <row r="1" spans="1:18" ht="31.5" customHeight="1" x14ac:dyDescent="0.25">
      <c r="A1" s="1" t="s">
        <v>143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181</v>
      </c>
      <c r="C5" s="16" t="s">
        <v>2</v>
      </c>
      <c r="D5" s="17" t="s">
        <v>182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5" customFormat="1" ht="39" x14ac:dyDescent="0.6">
      <c r="A7" s="248" t="s">
        <v>4</v>
      </c>
      <c r="B7" s="249"/>
      <c r="C7" s="250" t="s">
        <v>5</v>
      </c>
      <c r="D7" s="251" t="s">
        <v>6</v>
      </c>
      <c r="E7" s="250" t="s">
        <v>7</v>
      </c>
      <c r="F7" s="251" t="s">
        <v>8</v>
      </c>
      <c r="G7" s="252" t="s">
        <v>9</v>
      </c>
      <c r="H7" s="251" t="s">
        <v>10</v>
      </c>
      <c r="I7" s="253" t="s">
        <v>11</v>
      </c>
      <c r="J7" s="254"/>
      <c r="K7" s="21"/>
      <c r="L7" s="22"/>
      <c r="M7" s="22"/>
      <c r="N7" s="22"/>
      <c r="O7" s="22"/>
      <c r="P7" s="22"/>
      <c r="Q7" s="22"/>
      <c r="R7" s="23"/>
    </row>
    <row r="8" spans="1:18" s="255" customFormat="1" ht="39" x14ac:dyDescent="0.6">
      <c r="A8" s="256" t="s">
        <v>12</v>
      </c>
      <c r="B8" s="257"/>
      <c r="C8" s="258">
        <v>88717</v>
      </c>
      <c r="D8" s="259" t="s">
        <v>13</v>
      </c>
      <c r="E8" s="260" t="s">
        <v>14</v>
      </c>
      <c r="F8" s="259" t="s">
        <v>15</v>
      </c>
      <c r="G8" s="261"/>
      <c r="H8" s="259" t="s">
        <v>16</v>
      </c>
      <c r="I8" s="262" t="s">
        <v>17</v>
      </c>
      <c r="J8" s="263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18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71" customFormat="1" ht="39" x14ac:dyDescent="0.6">
      <c r="A10" s="264" t="s">
        <v>4</v>
      </c>
      <c r="B10" s="265"/>
      <c r="C10" s="266" t="s">
        <v>19</v>
      </c>
      <c r="D10" s="267" t="s">
        <v>6</v>
      </c>
      <c r="E10" s="266" t="s">
        <v>20</v>
      </c>
      <c r="F10" s="267" t="s">
        <v>8</v>
      </c>
      <c r="G10" s="268" t="s">
        <v>21</v>
      </c>
      <c r="H10" s="267" t="s">
        <v>10</v>
      </c>
      <c r="I10" s="269" t="s">
        <v>22</v>
      </c>
      <c r="J10" s="270"/>
      <c r="K10" s="21"/>
      <c r="L10" s="22"/>
      <c r="M10" s="22"/>
      <c r="N10" s="22"/>
      <c r="O10" s="22"/>
      <c r="P10" s="22"/>
      <c r="Q10" s="22"/>
      <c r="R10" s="23"/>
    </row>
    <row r="11" spans="1:18" s="271" customFormat="1" ht="39" x14ac:dyDescent="0.6">
      <c r="A11" s="272" t="s">
        <v>12</v>
      </c>
      <c r="B11" s="273"/>
      <c r="C11" s="274">
        <v>64218</v>
      </c>
      <c r="D11" s="275" t="s">
        <v>13</v>
      </c>
      <c r="E11" s="276" t="s">
        <v>23</v>
      </c>
      <c r="F11" s="275" t="s">
        <v>15</v>
      </c>
      <c r="G11" s="277" t="s">
        <v>24</v>
      </c>
      <c r="H11" s="275" t="s">
        <v>16</v>
      </c>
      <c r="I11" s="278" t="s">
        <v>17</v>
      </c>
      <c r="J11" s="279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25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39" x14ac:dyDescent="0.6">
      <c r="A13" s="33" t="s">
        <v>4</v>
      </c>
      <c r="B13" s="34"/>
      <c r="C13" s="35" t="s">
        <v>26</v>
      </c>
      <c r="D13" s="36" t="s">
        <v>6</v>
      </c>
      <c r="E13" s="35" t="s">
        <v>27</v>
      </c>
      <c r="F13" s="37" t="s">
        <v>8</v>
      </c>
      <c r="G13" s="38" t="s">
        <v>28</v>
      </c>
      <c r="H13" s="36" t="s">
        <v>10</v>
      </c>
      <c r="I13" s="39" t="s">
        <v>29</v>
      </c>
      <c r="J13" s="40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39.75" x14ac:dyDescent="0.6">
      <c r="A14" s="42" t="s">
        <v>12</v>
      </c>
      <c r="B14" s="43"/>
      <c r="C14" s="44">
        <v>60529</v>
      </c>
      <c r="D14" s="45" t="s">
        <v>13</v>
      </c>
      <c r="E14" s="280" t="s">
        <v>30</v>
      </c>
      <c r="F14" s="46" t="s">
        <v>15</v>
      </c>
      <c r="G14" s="281"/>
      <c r="H14" s="45" t="s">
        <v>16</v>
      </c>
      <c r="I14" s="47" t="s">
        <v>31</v>
      </c>
      <c r="J14" s="48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32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33</v>
      </c>
      <c r="B17" s="64" t="s">
        <v>34</v>
      </c>
      <c r="C17" s="65" t="s">
        <v>35</v>
      </c>
      <c r="D17" s="65" t="s">
        <v>36</v>
      </c>
      <c r="E17" s="65" t="s">
        <v>35</v>
      </c>
      <c r="F17" s="66" t="s">
        <v>37</v>
      </c>
      <c r="G17" s="66" t="s">
        <v>38</v>
      </c>
      <c r="H17" s="67" t="s">
        <v>39</v>
      </c>
      <c r="I17" s="66" t="s">
        <v>40</v>
      </c>
      <c r="J17" s="68" t="s">
        <v>41</v>
      </c>
      <c r="K17" s="69"/>
      <c r="L17" s="69"/>
      <c r="M17" s="69"/>
      <c r="N17" s="69"/>
      <c r="O17" s="70"/>
      <c r="P17" s="71" t="s">
        <v>146</v>
      </c>
      <c r="Q17" s="71" t="s">
        <v>147</v>
      </c>
      <c r="R17" s="72" t="s">
        <v>148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149</v>
      </c>
      <c r="K18" s="78" t="s">
        <v>150</v>
      </c>
      <c r="L18" s="78" t="s">
        <v>151</v>
      </c>
      <c r="M18" s="77" t="s">
        <v>152</v>
      </c>
      <c r="N18" s="77" t="s">
        <v>153</v>
      </c>
      <c r="O18" s="77" t="s">
        <v>154</v>
      </c>
      <c r="P18" s="79"/>
      <c r="Q18" s="79"/>
      <c r="R18" s="80"/>
    </row>
    <row r="19" spans="1:18" s="92" customFormat="1" ht="147" customHeight="1" x14ac:dyDescent="0.25">
      <c r="A19" s="282">
        <v>1</v>
      </c>
      <c r="B19" s="283" t="s">
        <v>48</v>
      </c>
      <c r="C19" s="284">
        <f>0.25 *8.59335038363171</f>
        <v>2.1483375959079276</v>
      </c>
      <c r="D19" s="82" t="s">
        <v>49</v>
      </c>
      <c r="E19" s="83">
        <f>C19/5</f>
        <v>0.42966751918158552</v>
      </c>
      <c r="F19" s="83">
        <f>E19/$E$38 * 100</f>
        <v>1.6200578592092558</v>
      </c>
      <c r="G19" s="84" t="s">
        <v>50</v>
      </c>
      <c r="H19" s="85">
        <v>1</v>
      </c>
      <c r="I19" s="86" t="s">
        <v>51</v>
      </c>
      <c r="J19" s="87">
        <v>100</v>
      </c>
      <c r="K19" s="88">
        <v>95</v>
      </c>
      <c r="L19" s="88">
        <v>90</v>
      </c>
      <c r="M19" s="88">
        <v>85</v>
      </c>
      <c r="N19" s="88">
        <v>80</v>
      </c>
      <c r="O19" s="88" t="s">
        <v>52</v>
      </c>
      <c r="P19" s="89"/>
      <c r="Q19" s="90">
        <f t="shared" ref="Q19:Q37" si="0">IF(OR(TRIM(P19)="",P19=0),0,
IF(P19&lt;N19,50,
IF(P19&lt;M19,60,
IF(P19&lt;L19,70,
IF(P19&lt;K19,80,
IF(ISNUMBER(J19),
    IF(P19&lt;J19,IF(P19&gt;=K19,90,80),100),
    IF(P19=K19,90,100)
))))))</f>
        <v>0</v>
      </c>
      <c r="R19" s="91">
        <f t="shared" ref="R19:R37" si="1">F19*Q19/100</f>
        <v>0</v>
      </c>
    </row>
    <row r="20" spans="1:18" s="92" customFormat="1" ht="147" customHeight="1" x14ac:dyDescent="0.25">
      <c r="A20" s="285"/>
      <c r="B20" s="286"/>
      <c r="C20" s="287"/>
      <c r="D20" s="82" t="s">
        <v>53</v>
      </c>
      <c r="E20" s="83">
        <f>C19/5</f>
        <v>0.42966751918158552</v>
      </c>
      <c r="F20" s="83">
        <f t="shared" ref="F20:F37" si="2">E20/$E$38 * 100</f>
        <v>1.6200578592092558</v>
      </c>
      <c r="G20" s="84" t="s">
        <v>54</v>
      </c>
      <c r="H20" s="85">
        <v>1</v>
      </c>
      <c r="I20" s="86" t="s">
        <v>51</v>
      </c>
      <c r="J20" s="87">
        <v>100</v>
      </c>
      <c r="K20" s="88">
        <v>95</v>
      </c>
      <c r="L20" s="88">
        <v>90</v>
      </c>
      <c r="M20" s="88">
        <v>85</v>
      </c>
      <c r="N20" s="88">
        <v>80</v>
      </c>
      <c r="O20" s="88" t="s">
        <v>52</v>
      </c>
      <c r="P20" s="89"/>
      <c r="Q20" s="90">
        <f t="shared" si="0"/>
        <v>0</v>
      </c>
      <c r="R20" s="91">
        <f t="shared" si="1"/>
        <v>0</v>
      </c>
    </row>
    <row r="21" spans="1:18" s="92" customFormat="1" ht="147" customHeight="1" x14ac:dyDescent="0.25">
      <c r="A21" s="285"/>
      <c r="B21" s="286"/>
      <c r="C21" s="287"/>
      <c r="D21" s="82" t="s">
        <v>55</v>
      </c>
      <c r="E21" s="83">
        <f>C19/5</f>
        <v>0.42966751918158552</v>
      </c>
      <c r="F21" s="83">
        <f t="shared" si="2"/>
        <v>1.6200578592092558</v>
      </c>
      <c r="G21" s="84" t="s">
        <v>56</v>
      </c>
      <c r="H21" s="85">
        <v>1</v>
      </c>
      <c r="I21" s="86" t="s">
        <v>51</v>
      </c>
      <c r="J21" s="87">
        <v>100</v>
      </c>
      <c r="K21" s="88">
        <v>95</v>
      </c>
      <c r="L21" s="88">
        <v>90</v>
      </c>
      <c r="M21" s="88">
        <v>85</v>
      </c>
      <c r="N21" s="88">
        <v>80</v>
      </c>
      <c r="O21" s="88" t="s">
        <v>52</v>
      </c>
      <c r="P21" s="89"/>
      <c r="Q21" s="90">
        <f t="shared" si="0"/>
        <v>0</v>
      </c>
      <c r="R21" s="91">
        <f t="shared" si="1"/>
        <v>0</v>
      </c>
    </row>
    <row r="22" spans="1:18" s="92" customFormat="1" ht="147" customHeight="1" x14ac:dyDescent="0.25">
      <c r="A22" s="285"/>
      <c r="B22" s="286"/>
      <c r="C22" s="287"/>
      <c r="D22" s="82" t="s">
        <v>57</v>
      </c>
      <c r="E22" s="83">
        <f>C19/5</f>
        <v>0.42966751918158552</v>
      </c>
      <c r="F22" s="83">
        <f t="shared" si="2"/>
        <v>1.6200578592092558</v>
      </c>
      <c r="G22" s="84" t="s">
        <v>58</v>
      </c>
      <c r="H22" s="93">
        <v>5</v>
      </c>
      <c r="I22" s="86" t="s">
        <v>59</v>
      </c>
      <c r="J22" s="87" t="s">
        <v>60</v>
      </c>
      <c r="K22" s="88">
        <v>5</v>
      </c>
      <c r="L22" s="88">
        <v>4</v>
      </c>
      <c r="M22" s="88">
        <v>3</v>
      </c>
      <c r="N22" s="88">
        <v>2</v>
      </c>
      <c r="O22" s="88">
        <v>1</v>
      </c>
      <c r="P22" s="89"/>
      <c r="Q22" s="90">
        <f t="shared" si="0"/>
        <v>0</v>
      </c>
      <c r="R22" s="91">
        <f t="shared" si="1"/>
        <v>0</v>
      </c>
    </row>
    <row r="23" spans="1:18" s="92" customFormat="1" ht="147" customHeight="1" x14ac:dyDescent="0.25">
      <c r="A23" s="288"/>
      <c r="B23" s="289"/>
      <c r="C23" s="290"/>
      <c r="D23" s="82" t="s">
        <v>61</v>
      </c>
      <c r="E23" s="83">
        <f>C19/5</f>
        <v>0.42966751918158552</v>
      </c>
      <c r="F23" s="83">
        <f t="shared" si="2"/>
        <v>1.6200578592092558</v>
      </c>
      <c r="G23" s="84" t="s">
        <v>62</v>
      </c>
      <c r="H23" s="85">
        <v>1</v>
      </c>
      <c r="I23" s="86" t="s">
        <v>51</v>
      </c>
      <c r="J23" s="87">
        <v>100</v>
      </c>
      <c r="K23" s="88">
        <v>95</v>
      </c>
      <c r="L23" s="88">
        <v>90</v>
      </c>
      <c r="M23" s="88">
        <v>85</v>
      </c>
      <c r="N23" s="88">
        <v>80</v>
      </c>
      <c r="O23" s="88" t="s">
        <v>52</v>
      </c>
      <c r="P23" s="89"/>
      <c r="Q23" s="90">
        <f t="shared" si="0"/>
        <v>0</v>
      </c>
      <c r="R23" s="91">
        <f t="shared" si="1"/>
        <v>0</v>
      </c>
    </row>
    <row r="24" spans="1:18" s="92" customFormat="1" ht="147" customHeight="1" x14ac:dyDescent="0.25">
      <c r="A24" s="282">
        <v>2</v>
      </c>
      <c r="B24" s="283" t="s">
        <v>63</v>
      </c>
      <c r="C24" s="284">
        <f>0.5*4.29667519181586</f>
        <v>2.1483375959079298</v>
      </c>
      <c r="D24" s="82" t="s">
        <v>64</v>
      </c>
      <c r="E24" s="83">
        <f>C24/2</f>
        <v>1.0741687979539649</v>
      </c>
      <c r="F24" s="83">
        <f t="shared" si="2"/>
        <v>4.050144648023144</v>
      </c>
      <c r="G24" s="84" t="s">
        <v>65</v>
      </c>
      <c r="H24" s="85">
        <v>0.5</v>
      </c>
      <c r="I24" s="86" t="s">
        <v>51</v>
      </c>
      <c r="J24" s="87" t="s">
        <v>66</v>
      </c>
      <c r="K24" s="88">
        <v>50</v>
      </c>
      <c r="L24" s="88">
        <v>45</v>
      </c>
      <c r="M24" s="88">
        <v>40</v>
      </c>
      <c r="N24" s="88">
        <v>25</v>
      </c>
      <c r="O24" s="88" t="s">
        <v>67</v>
      </c>
      <c r="P24" s="89"/>
      <c r="Q24" s="90">
        <f t="shared" si="0"/>
        <v>0</v>
      </c>
      <c r="R24" s="91">
        <f t="shared" si="1"/>
        <v>0</v>
      </c>
    </row>
    <row r="25" spans="1:18" s="92" customFormat="1" ht="147" customHeight="1" x14ac:dyDescent="0.25">
      <c r="A25" s="288"/>
      <c r="B25" s="289"/>
      <c r="C25" s="290"/>
      <c r="D25" s="82" t="s">
        <v>68</v>
      </c>
      <c r="E25" s="83">
        <f>C24/2</f>
        <v>1.0741687979539649</v>
      </c>
      <c r="F25" s="83">
        <f t="shared" si="2"/>
        <v>4.050144648023144</v>
      </c>
      <c r="G25" s="84" t="s">
        <v>69</v>
      </c>
      <c r="H25" s="85">
        <v>0.5</v>
      </c>
      <c r="I25" s="86" t="s">
        <v>51</v>
      </c>
      <c r="J25" s="87" t="s">
        <v>66</v>
      </c>
      <c r="K25" s="88">
        <v>50</v>
      </c>
      <c r="L25" s="88">
        <v>45</v>
      </c>
      <c r="M25" s="88">
        <v>40</v>
      </c>
      <c r="N25" s="88">
        <v>25</v>
      </c>
      <c r="O25" s="88" t="s">
        <v>67</v>
      </c>
      <c r="P25" s="89"/>
      <c r="Q25" s="90">
        <f t="shared" si="0"/>
        <v>0</v>
      </c>
      <c r="R25" s="91">
        <f t="shared" si="1"/>
        <v>0</v>
      </c>
    </row>
    <row r="26" spans="1:18" s="92" customFormat="1" ht="147" customHeight="1" x14ac:dyDescent="0.25">
      <c r="A26" s="282">
        <v>3</v>
      </c>
      <c r="B26" s="283" t="s">
        <v>70</v>
      </c>
      <c r="C26" s="284">
        <f>0.25*57.2122762148338</f>
        <v>14.30306905370845</v>
      </c>
      <c r="D26" s="95" t="s">
        <v>71</v>
      </c>
      <c r="E26" s="83">
        <f>C26/5</f>
        <v>2.8606138107416901</v>
      </c>
      <c r="F26" s="83">
        <f t="shared" si="2"/>
        <v>10.785920925747352</v>
      </c>
      <c r="G26" s="84" t="s">
        <v>72</v>
      </c>
      <c r="H26" s="94">
        <v>0.8</v>
      </c>
      <c r="I26" s="93" t="s">
        <v>51</v>
      </c>
      <c r="J26" s="87" t="s">
        <v>73</v>
      </c>
      <c r="K26" s="88">
        <v>80</v>
      </c>
      <c r="L26" s="88">
        <v>75</v>
      </c>
      <c r="M26" s="88">
        <v>70</v>
      </c>
      <c r="N26" s="88">
        <v>50</v>
      </c>
      <c r="O26" s="88" t="s">
        <v>74</v>
      </c>
      <c r="P26" s="89"/>
      <c r="Q26" s="90">
        <f t="shared" si="0"/>
        <v>0</v>
      </c>
      <c r="R26" s="91">
        <f t="shared" si="1"/>
        <v>0</v>
      </c>
    </row>
    <row r="27" spans="1:18" s="92" customFormat="1" ht="147" customHeight="1" x14ac:dyDescent="0.25">
      <c r="A27" s="285"/>
      <c r="B27" s="286"/>
      <c r="C27" s="287"/>
      <c r="D27" s="82" t="s">
        <v>75</v>
      </c>
      <c r="E27" s="83">
        <f>C26/5</f>
        <v>2.8606138107416901</v>
      </c>
      <c r="F27" s="83">
        <f t="shared" si="2"/>
        <v>10.785920925747352</v>
      </c>
      <c r="G27" s="84" t="s">
        <v>76</v>
      </c>
      <c r="H27" s="94">
        <v>0.8</v>
      </c>
      <c r="I27" s="93" t="s">
        <v>51</v>
      </c>
      <c r="J27" s="87" t="s">
        <v>73</v>
      </c>
      <c r="K27" s="88">
        <v>80</v>
      </c>
      <c r="L27" s="88">
        <v>75</v>
      </c>
      <c r="M27" s="88">
        <v>70</v>
      </c>
      <c r="N27" s="88">
        <v>50</v>
      </c>
      <c r="O27" s="88" t="s">
        <v>74</v>
      </c>
      <c r="P27" s="89"/>
      <c r="Q27" s="90">
        <f t="shared" si="0"/>
        <v>0</v>
      </c>
      <c r="R27" s="91">
        <f t="shared" si="1"/>
        <v>0</v>
      </c>
    </row>
    <row r="28" spans="1:18" s="92" customFormat="1" ht="147" customHeight="1" x14ac:dyDescent="0.25">
      <c r="A28" s="285"/>
      <c r="B28" s="286"/>
      <c r="C28" s="287"/>
      <c r="D28" s="82" t="s">
        <v>77</v>
      </c>
      <c r="E28" s="83">
        <f>C26/5</f>
        <v>2.8606138107416901</v>
      </c>
      <c r="F28" s="83">
        <f t="shared" si="2"/>
        <v>10.785920925747352</v>
      </c>
      <c r="G28" s="84" t="s">
        <v>78</v>
      </c>
      <c r="H28" s="94">
        <v>0.8</v>
      </c>
      <c r="I28" s="93" t="s">
        <v>51</v>
      </c>
      <c r="J28" s="87" t="s">
        <v>73</v>
      </c>
      <c r="K28" s="88">
        <v>80</v>
      </c>
      <c r="L28" s="88">
        <v>75</v>
      </c>
      <c r="M28" s="88">
        <v>70</v>
      </c>
      <c r="N28" s="88">
        <v>50</v>
      </c>
      <c r="O28" s="88" t="s">
        <v>74</v>
      </c>
      <c r="P28" s="89"/>
      <c r="Q28" s="90">
        <f t="shared" si="0"/>
        <v>0</v>
      </c>
      <c r="R28" s="91">
        <f t="shared" si="1"/>
        <v>0</v>
      </c>
    </row>
    <row r="29" spans="1:18" s="92" customFormat="1" ht="147" customHeight="1" x14ac:dyDescent="0.25">
      <c r="A29" s="285"/>
      <c r="B29" s="286"/>
      <c r="C29" s="287"/>
      <c r="D29" s="82" t="s">
        <v>79</v>
      </c>
      <c r="E29" s="83">
        <f>C26/5</f>
        <v>2.8606138107416901</v>
      </c>
      <c r="F29" s="83">
        <f t="shared" si="2"/>
        <v>10.785920925747352</v>
      </c>
      <c r="G29" s="84" t="s">
        <v>80</v>
      </c>
      <c r="H29" s="94">
        <v>1</v>
      </c>
      <c r="I29" s="86" t="s">
        <v>51</v>
      </c>
      <c r="J29" s="87">
        <v>100</v>
      </c>
      <c r="K29" s="88">
        <v>95</v>
      </c>
      <c r="L29" s="88">
        <v>90</v>
      </c>
      <c r="M29" s="88">
        <v>85</v>
      </c>
      <c r="N29" s="88">
        <v>80</v>
      </c>
      <c r="O29" s="88" t="s">
        <v>52</v>
      </c>
      <c r="P29" s="89"/>
      <c r="Q29" s="90">
        <f t="shared" si="0"/>
        <v>0</v>
      </c>
      <c r="R29" s="91">
        <f t="shared" si="1"/>
        <v>0</v>
      </c>
    </row>
    <row r="30" spans="1:18" s="92" customFormat="1" ht="147" customHeight="1" x14ac:dyDescent="0.25">
      <c r="A30" s="288"/>
      <c r="B30" s="289"/>
      <c r="C30" s="290"/>
      <c r="D30" s="82" t="s">
        <v>81</v>
      </c>
      <c r="E30" s="83">
        <f>C26/5</f>
        <v>2.8606138107416901</v>
      </c>
      <c r="F30" s="83">
        <f t="shared" si="2"/>
        <v>10.785920925747352</v>
      </c>
      <c r="G30" s="84" t="s">
        <v>82</v>
      </c>
      <c r="H30" s="94">
        <v>0.9</v>
      </c>
      <c r="I30" s="93" t="s">
        <v>51</v>
      </c>
      <c r="J30" s="87" t="s">
        <v>83</v>
      </c>
      <c r="K30" s="88">
        <v>90</v>
      </c>
      <c r="L30" s="88">
        <v>80</v>
      </c>
      <c r="M30" s="88">
        <v>70</v>
      </c>
      <c r="N30" s="88">
        <v>50</v>
      </c>
      <c r="O30" s="88" t="s">
        <v>74</v>
      </c>
      <c r="P30" s="89"/>
      <c r="Q30" s="90">
        <f t="shared" si="0"/>
        <v>0</v>
      </c>
      <c r="R30" s="91">
        <f t="shared" si="1"/>
        <v>0</v>
      </c>
    </row>
    <row r="31" spans="1:18" s="92" customFormat="1" ht="147" customHeight="1" x14ac:dyDescent="0.25">
      <c r="A31" s="282">
        <v>4</v>
      </c>
      <c r="B31" s="283" t="s">
        <v>84</v>
      </c>
      <c r="C31" s="291">
        <f>0.25*0.895140664961637</f>
        <v>0.22378516624040926</v>
      </c>
      <c r="D31" s="82" t="s">
        <v>85</v>
      </c>
      <c r="E31" s="83">
        <f>C31/2</f>
        <v>0.11189258312020463</v>
      </c>
      <c r="F31" s="83">
        <f t="shared" si="2"/>
        <v>0.4218900675024107</v>
      </c>
      <c r="G31" s="84" t="s">
        <v>86</v>
      </c>
      <c r="H31" s="94">
        <v>1</v>
      </c>
      <c r="I31" s="86" t="s">
        <v>51</v>
      </c>
      <c r="J31" s="87">
        <v>100</v>
      </c>
      <c r="K31" s="88">
        <v>95</v>
      </c>
      <c r="L31" s="88">
        <v>90</v>
      </c>
      <c r="M31" s="88">
        <v>85</v>
      </c>
      <c r="N31" s="88">
        <v>80</v>
      </c>
      <c r="O31" s="88" t="s">
        <v>52</v>
      </c>
      <c r="P31" s="89"/>
      <c r="Q31" s="90">
        <f t="shared" si="0"/>
        <v>0</v>
      </c>
      <c r="R31" s="91">
        <f t="shared" si="1"/>
        <v>0</v>
      </c>
    </row>
    <row r="32" spans="1:18" s="92" customFormat="1" ht="147" customHeight="1" x14ac:dyDescent="0.25">
      <c r="A32" s="288"/>
      <c r="B32" s="289"/>
      <c r="C32" s="292"/>
      <c r="D32" s="82" t="s">
        <v>87</v>
      </c>
      <c r="E32" s="83">
        <f>C31/2</f>
        <v>0.11189258312020463</v>
      </c>
      <c r="F32" s="83">
        <f t="shared" si="2"/>
        <v>0.4218900675024107</v>
      </c>
      <c r="G32" s="84" t="s">
        <v>88</v>
      </c>
      <c r="H32" s="93">
        <v>5</v>
      </c>
      <c r="I32" s="86" t="s">
        <v>59</v>
      </c>
      <c r="J32" s="87" t="s">
        <v>60</v>
      </c>
      <c r="K32" s="88">
        <v>5</v>
      </c>
      <c r="L32" s="88">
        <v>4</v>
      </c>
      <c r="M32" s="88">
        <v>3</v>
      </c>
      <c r="N32" s="88">
        <v>2</v>
      </c>
      <c r="O32" s="88">
        <v>1</v>
      </c>
      <c r="P32" s="89"/>
      <c r="Q32" s="90">
        <f t="shared" si="0"/>
        <v>0</v>
      </c>
      <c r="R32" s="91">
        <f t="shared" si="1"/>
        <v>0</v>
      </c>
    </row>
    <row r="33" spans="1:18" s="92" customFormat="1" ht="147" customHeight="1" x14ac:dyDescent="0.25">
      <c r="A33" s="282">
        <v>5</v>
      </c>
      <c r="B33" s="283" t="s">
        <v>89</v>
      </c>
      <c r="C33" s="291">
        <f>0.5*1.79028132992327</f>
        <v>0.89514066496163502</v>
      </c>
      <c r="D33" s="82" t="s">
        <v>90</v>
      </c>
      <c r="E33" s="83">
        <f>C33/2</f>
        <v>0.44757033248081751</v>
      </c>
      <c r="F33" s="83">
        <f t="shared" si="2"/>
        <v>1.687560270009639</v>
      </c>
      <c r="G33" s="84" t="s">
        <v>91</v>
      </c>
      <c r="H33" s="93">
        <v>5</v>
      </c>
      <c r="I33" s="93" t="s">
        <v>59</v>
      </c>
      <c r="J33" s="87" t="s">
        <v>60</v>
      </c>
      <c r="K33" s="88">
        <v>5</v>
      </c>
      <c r="L33" s="88">
        <v>4</v>
      </c>
      <c r="M33" s="88">
        <v>3</v>
      </c>
      <c r="N33" s="88">
        <v>2</v>
      </c>
      <c r="O33" s="88">
        <v>1</v>
      </c>
      <c r="P33" s="89"/>
      <c r="Q33" s="90">
        <f t="shared" si="0"/>
        <v>0</v>
      </c>
      <c r="R33" s="91">
        <f t="shared" si="1"/>
        <v>0</v>
      </c>
    </row>
    <row r="34" spans="1:18" s="92" customFormat="1" ht="147" customHeight="1" x14ac:dyDescent="0.25">
      <c r="A34" s="288"/>
      <c r="B34" s="289"/>
      <c r="C34" s="292"/>
      <c r="D34" s="82" t="s">
        <v>92</v>
      </c>
      <c r="E34" s="83">
        <f>C33/2</f>
        <v>0.44757033248081751</v>
      </c>
      <c r="F34" s="83">
        <f t="shared" si="2"/>
        <v>1.687560270009639</v>
      </c>
      <c r="G34" s="84" t="s">
        <v>93</v>
      </c>
      <c r="H34" s="85">
        <v>0.5</v>
      </c>
      <c r="I34" s="86" t="s">
        <v>51</v>
      </c>
      <c r="J34" s="87" t="s">
        <v>66</v>
      </c>
      <c r="K34" s="88">
        <v>50</v>
      </c>
      <c r="L34" s="88">
        <v>45</v>
      </c>
      <c r="M34" s="88">
        <v>40</v>
      </c>
      <c r="N34" s="88">
        <v>25</v>
      </c>
      <c r="O34" s="88" t="s">
        <v>67</v>
      </c>
      <c r="P34" s="89"/>
      <c r="Q34" s="90">
        <f t="shared" si="0"/>
        <v>0</v>
      </c>
      <c r="R34" s="91">
        <f t="shared" si="1"/>
        <v>0</v>
      </c>
    </row>
    <row r="35" spans="1:18" s="92" customFormat="1" ht="147" customHeight="1" x14ac:dyDescent="0.25">
      <c r="A35" s="293">
        <v>6</v>
      </c>
      <c r="B35" s="294" t="s">
        <v>94</v>
      </c>
      <c r="C35" s="295">
        <f>0.25*14.3222506393862</f>
        <v>3.5805626598465499</v>
      </c>
      <c r="D35" s="82" t="s">
        <v>95</v>
      </c>
      <c r="E35" s="83">
        <f>C35</f>
        <v>3.5805626598465499</v>
      </c>
      <c r="F35" s="83">
        <f t="shared" si="2"/>
        <v>13.500482160077148</v>
      </c>
      <c r="G35" s="84" t="s">
        <v>96</v>
      </c>
      <c r="H35" s="94">
        <v>0.8</v>
      </c>
      <c r="I35" s="93" t="s">
        <v>51</v>
      </c>
      <c r="J35" s="87" t="s">
        <v>73</v>
      </c>
      <c r="K35" s="88">
        <v>80</v>
      </c>
      <c r="L35" s="88">
        <v>75</v>
      </c>
      <c r="M35" s="88">
        <v>70</v>
      </c>
      <c r="N35" s="88">
        <v>50</v>
      </c>
      <c r="O35" s="88" t="s">
        <v>74</v>
      </c>
      <c r="P35" s="89"/>
      <c r="Q35" s="90">
        <f t="shared" si="0"/>
        <v>0</v>
      </c>
      <c r="R35" s="91">
        <f t="shared" si="1"/>
        <v>0</v>
      </c>
    </row>
    <row r="36" spans="1:18" s="92" customFormat="1" ht="147" customHeight="1" x14ac:dyDescent="0.25">
      <c r="A36" s="81">
        <v>7</v>
      </c>
      <c r="B36" s="82" t="s">
        <v>97</v>
      </c>
      <c r="C36" s="96">
        <f>0.25*5.72890025575448</f>
        <v>1.43222506393862</v>
      </c>
      <c r="D36" s="294" t="s">
        <v>98</v>
      </c>
      <c r="E36" s="83">
        <f>C36</f>
        <v>1.43222506393862</v>
      </c>
      <c r="F36" s="83">
        <f t="shared" si="2"/>
        <v>5.4001928640308599</v>
      </c>
      <c r="G36" s="84" t="s">
        <v>99</v>
      </c>
      <c r="H36" s="85">
        <v>0.7</v>
      </c>
      <c r="I36" s="93" t="s">
        <v>51</v>
      </c>
      <c r="J36" s="87" t="s">
        <v>100</v>
      </c>
      <c r="K36" s="88">
        <v>70</v>
      </c>
      <c r="L36" s="88">
        <v>60</v>
      </c>
      <c r="M36" s="88">
        <v>50</v>
      </c>
      <c r="N36" s="88">
        <v>40</v>
      </c>
      <c r="O36" s="88" t="s">
        <v>101</v>
      </c>
      <c r="P36" s="89"/>
      <c r="Q36" s="90">
        <f t="shared" si="0"/>
        <v>0</v>
      </c>
      <c r="R36" s="91">
        <f t="shared" si="1"/>
        <v>0</v>
      </c>
    </row>
    <row r="37" spans="1:18" s="92" customFormat="1" ht="147" customHeight="1" x14ac:dyDescent="0.25">
      <c r="A37" s="81">
        <v>8</v>
      </c>
      <c r="B37" s="82" t="s">
        <v>102</v>
      </c>
      <c r="C37" s="96">
        <f>0.25*7.16112531969309</f>
        <v>1.7902813299232725</v>
      </c>
      <c r="D37" s="84" t="s">
        <v>103</v>
      </c>
      <c r="E37" s="83">
        <f>C37</f>
        <v>1.7902813299232725</v>
      </c>
      <c r="F37" s="83">
        <f t="shared" si="2"/>
        <v>6.7502410800385642</v>
      </c>
      <c r="G37" s="84" t="s">
        <v>104</v>
      </c>
      <c r="H37" s="85">
        <v>0.5</v>
      </c>
      <c r="I37" s="86" t="s">
        <v>51</v>
      </c>
      <c r="J37" s="87" t="s">
        <v>66</v>
      </c>
      <c r="K37" s="88">
        <v>50</v>
      </c>
      <c r="L37" s="88">
        <v>45</v>
      </c>
      <c r="M37" s="88">
        <v>40</v>
      </c>
      <c r="N37" s="88">
        <v>25</v>
      </c>
      <c r="O37" s="88" t="s">
        <v>67</v>
      </c>
      <c r="P37" s="89"/>
      <c r="Q37" s="90">
        <f t="shared" si="0"/>
        <v>0</v>
      </c>
      <c r="R37" s="91">
        <f t="shared" si="1"/>
        <v>0</v>
      </c>
    </row>
    <row r="38" spans="1:18" s="107" customFormat="1" ht="44.25" x14ac:dyDescent="0.25">
      <c r="A38" s="97"/>
      <c r="B38" s="98" t="s">
        <v>105</v>
      </c>
      <c r="C38" s="99">
        <f>SUM(C19:C37)</f>
        <v>26.521739130434788</v>
      </c>
      <c r="D38" s="98"/>
      <c r="E38" s="99">
        <f>SUM(E19:E37)</f>
        <v>26.521739130434796</v>
      </c>
      <c r="F38" s="99">
        <f>SUM(F19:F37)</f>
        <v>100</v>
      </c>
      <c r="G38" s="100"/>
      <c r="H38" s="101"/>
      <c r="I38" s="102"/>
      <c r="J38" s="103"/>
      <c r="K38" s="103"/>
      <c r="L38" s="103"/>
      <c r="M38" s="103"/>
      <c r="N38" s="103"/>
      <c r="O38" s="103"/>
      <c r="P38" s="104"/>
      <c r="Q38" s="105"/>
      <c r="R38" s="106">
        <f>SUM(R19:R37)</f>
        <v>0</v>
      </c>
    </row>
    <row r="39" spans="1:18" s="109" customFormat="1" ht="66" customHeight="1" x14ac:dyDescent="0.7">
      <c r="A39" s="108"/>
      <c r="G39" s="110"/>
      <c r="H39" s="110"/>
      <c r="I39" s="111" t="s">
        <v>155</v>
      </c>
      <c r="J39" s="112"/>
      <c r="K39" s="112"/>
      <c r="L39" s="112"/>
      <c r="M39" s="112"/>
      <c r="N39" s="112"/>
      <c r="O39" s="112"/>
      <c r="P39" s="112"/>
      <c r="Q39" s="113"/>
      <c r="R39" s="114">
        <f>R38/100 * 70</f>
        <v>0</v>
      </c>
    </row>
    <row r="40" spans="1:18" s="123" customFormat="1" ht="36" x14ac:dyDescent="0.55000000000000004">
      <c r="A40" s="115" t="s">
        <v>106</v>
      </c>
      <c r="B40" s="116"/>
      <c r="C40" s="116"/>
      <c r="D40" s="116"/>
      <c r="E40" s="116"/>
      <c r="F40" s="116"/>
      <c r="G40" s="117"/>
      <c r="H40" s="118"/>
      <c r="I40" s="118"/>
      <c r="J40" s="118"/>
      <c r="K40" s="118"/>
      <c r="L40" s="71" t="s">
        <v>111</v>
      </c>
      <c r="M40" s="119" t="s">
        <v>107</v>
      </c>
      <c r="N40" s="119"/>
      <c r="O40" s="119"/>
      <c r="P40" s="120"/>
      <c r="Q40" s="121"/>
      <c r="R40" s="122"/>
    </row>
    <row r="41" spans="1:18" s="123" customFormat="1" ht="31.5" customHeight="1" x14ac:dyDescent="0.55000000000000004">
      <c r="A41" s="124"/>
      <c r="B41" s="125"/>
      <c r="C41" s="126" t="s">
        <v>108</v>
      </c>
      <c r="D41" s="126"/>
      <c r="E41" s="126"/>
      <c r="F41" s="126"/>
      <c r="G41" s="126"/>
      <c r="H41" s="127" t="s">
        <v>156</v>
      </c>
      <c r="I41" s="127" t="s">
        <v>157</v>
      </c>
      <c r="J41" s="127"/>
      <c r="K41" s="128"/>
      <c r="L41" s="79"/>
      <c r="M41" s="129"/>
      <c r="N41" s="129"/>
      <c r="O41" s="129"/>
      <c r="P41" s="130"/>
      <c r="Q41" s="121"/>
      <c r="R41" s="122"/>
    </row>
    <row r="42" spans="1:18" s="123" customFormat="1" ht="36" customHeight="1" x14ac:dyDescent="0.55000000000000004">
      <c r="A42" s="131">
        <v>1</v>
      </c>
      <c r="B42" s="132" t="s">
        <v>112</v>
      </c>
      <c r="C42" s="133"/>
      <c r="D42" s="134"/>
      <c r="E42" s="134"/>
      <c r="F42" s="134"/>
      <c r="G42" s="135"/>
      <c r="H42" s="136"/>
      <c r="I42" s="136"/>
      <c r="J42" s="136"/>
      <c r="K42" s="136"/>
      <c r="L42" s="137"/>
      <c r="M42" s="138" t="s">
        <v>42</v>
      </c>
      <c r="N42" s="139" t="s">
        <v>113</v>
      </c>
      <c r="O42" s="140"/>
      <c r="P42" s="130"/>
      <c r="Q42" s="121"/>
      <c r="R42" s="122"/>
    </row>
    <row r="43" spans="1:18" s="123" customFormat="1" ht="84.75" customHeight="1" x14ac:dyDescent="0.55000000000000004">
      <c r="A43" s="141" t="s">
        <v>114</v>
      </c>
      <c r="B43" s="142" t="s">
        <v>158</v>
      </c>
      <c r="C43" s="143"/>
      <c r="D43" s="144"/>
      <c r="E43" s="144"/>
      <c r="F43" s="144"/>
      <c r="G43" s="145"/>
      <c r="H43" s="146">
        <v>4</v>
      </c>
      <c r="I43" s="147"/>
      <c r="J43" s="146"/>
      <c r="K43" s="146"/>
      <c r="L43" s="137"/>
      <c r="M43" s="138" t="s">
        <v>43</v>
      </c>
      <c r="N43" s="139" t="s">
        <v>115</v>
      </c>
      <c r="O43" s="140"/>
      <c r="P43" s="130"/>
      <c r="Q43" s="121"/>
      <c r="R43" s="122"/>
    </row>
    <row r="44" spans="1:18" s="123" customFormat="1" ht="82.5" customHeight="1" x14ac:dyDescent="0.55000000000000004">
      <c r="A44" s="141" t="s">
        <v>116</v>
      </c>
      <c r="B44" s="142" t="s">
        <v>159</v>
      </c>
      <c r="C44" s="143"/>
      <c r="D44" s="144"/>
      <c r="E44" s="144"/>
      <c r="F44" s="144"/>
      <c r="G44" s="145"/>
      <c r="H44" s="146">
        <v>2</v>
      </c>
      <c r="I44" s="147"/>
      <c r="J44" s="146"/>
      <c r="K44" s="146"/>
      <c r="L44" s="137"/>
      <c r="M44" s="138" t="s">
        <v>44</v>
      </c>
      <c r="N44" s="139" t="s">
        <v>117</v>
      </c>
      <c r="O44" s="140"/>
      <c r="P44" s="130"/>
      <c r="Q44" s="121"/>
      <c r="R44" s="122"/>
    </row>
    <row r="45" spans="1:18" s="123" customFormat="1" ht="78.75" customHeight="1" x14ac:dyDescent="0.55000000000000004">
      <c r="A45" s="141" t="s">
        <v>118</v>
      </c>
      <c r="B45" s="142" t="s">
        <v>119</v>
      </c>
      <c r="C45" s="143"/>
      <c r="D45" s="144"/>
      <c r="E45" s="144"/>
      <c r="F45" s="144"/>
      <c r="G45" s="145"/>
      <c r="H45" s="146">
        <v>2</v>
      </c>
      <c r="I45" s="147"/>
      <c r="J45" s="146"/>
      <c r="K45" s="146"/>
      <c r="L45" s="137"/>
      <c r="M45" s="138" t="s">
        <v>45</v>
      </c>
      <c r="N45" s="139" t="s">
        <v>120</v>
      </c>
      <c r="O45" s="140"/>
      <c r="P45" s="130"/>
      <c r="Q45" s="121"/>
      <c r="R45" s="122"/>
    </row>
    <row r="46" spans="1:18" s="123" customFormat="1" ht="36" x14ac:dyDescent="0.55000000000000004">
      <c r="A46" s="148">
        <v>2</v>
      </c>
      <c r="B46" s="149" t="s">
        <v>121</v>
      </c>
      <c r="C46" s="150"/>
      <c r="D46" s="151"/>
      <c r="E46" s="151"/>
      <c r="F46" s="151"/>
      <c r="G46" s="152"/>
      <c r="H46" s="146"/>
      <c r="I46" s="147"/>
      <c r="J46" s="146"/>
      <c r="K46" s="146"/>
      <c r="L46" s="137"/>
      <c r="M46" s="138" t="s">
        <v>46</v>
      </c>
      <c r="N46" s="139" t="s">
        <v>122</v>
      </c>
      <c r="O46" s="140"/>
      <c r="P46" s="130"/>
      <c r="Q46" s="121"/>
      <c r="R46" s="122"/>
    </row>
    <row r="47" spans="1:18" s="123" customFormat="1" ht="82.5" customHeight="1" x14ac:dyDescent="0.55000000000000004">
      <c r="A47" s="141" t="s">
        <v>114</v>
      </c>
      <c r="B47" s="153" t="s">
        <v>160</v>
      </c>
      <c r="C47" s="154"/>
      <c r="D47" s="155"/>
      <c r="E47" s="155"/>
      <c r="F47" s="155"/>
      <c r="G47" s="156"/>
      <c r="H47" s="146">
        <v>2</v>
      </c>
      <c r="I47" s="147"/>
      <c r="J47" s="146"/>
      <c r="K47" s="146"/>
      <c r="L47" s="137"/>
      <c r="M47" s="138" t="s">
        <v>47</v>
      </c>
      <c r="N47" s="139" t="s">
        <v>123</v>
      </c>
      <c r="O47" s="140"/>
      <c r="P47" s="157"/>
      <c r="Q47" s="121"/>
      <c r="R47" s="122"/>
    </row>
    <row r="48" spans="1:18" s="123" customFormat="1" ht="114.75" customHeight="1" x14ac:dyDescent="0.55000000000000004">
      <c r="A48" s="141" t="s">
        <v>116</v>
      </c>
      <c r="B48" s="153" t="s">
        <v>161</v>
      </c>
      <c r="C48" s="154"/>
      <c r="D48" s="155"/>
      <c r="E48" s="155"/>
      <c r="F48" s="155"/>
      <c r="G48" s="156"/>
      <c r="H48" s="146">
        <v>2</v>
      </c>
      <c r="I48" s="147"/>
      <c r="J48" s="146"/>
      <c r="K48" s="146"/>
      <c r="L48" s="137"/>
      <c r="M48" s="130" t="s">
        <v>111</v>
      </c>
      <c r="N48" s="158" t="s">
        <v>124</v>
      </c>
      <c r="O48" s="159"/>
      <c r="P48" s="157"/>
      <c r="Q48" s="121"/>
      <c r="R48" s="122"/>
    </row>
    <row r="49" spans="1:18" s="123" customFormat="1" ht="72" customHeight="1" x14ac:dyDescent="0.55000000000000004">
      <c r="A49" s="141" t="s">
        <v>118</v>
      </c>
      <c r="B49" s="153" t="s">
        <v>162</v>
      </c>
      <c r="C49" s="154"/>
      <c r="D49" s="155"/>
      <c r="E49" s="155"/>
      <c r="F49" s="155"/>
      <c r="G49" s="156"/>
      <c r="H49" s="146">
        <v>2</v>
      </c>
      <c r="I49" s="147"/>
      <c r="J49" s="146"/>
      <c r="K49" s="146"/>
      <c r="L49" s="137"/>
      <c r="M49" s="130" t="s">
        <v>125</v>
      </c>
      <c r="N49" s="158" t="s">
        <v>126</v>
      </c>
      <c r="O49" s="159"/>
      <c r="P49" s="157"/>
      <c r="Q49" s="121"/>
      <c r="R49" s="122"/>
    </row>
    <row r="50" spans="1:18" s="123" customFormat="1" ht="66" customHeight="1" x14ac:dyDescent="0.55000000000000004">
      <c r="A50" s="148">
        <v>3</v>
      </c>
      <c r="B50" s="149" t="s">
        <v>127</v>
      </c>
      <c r="C50" s="150"/>
      <c r="D50" s="151"/>
      <c r="E50" s="151"/>
      <c r="F50" s="151"/>
      <c r="G50" s="152"/>
      <c r="H50" s="146"/>
      <c r="I50" s="147"/>
      <c r="J50" s="146"/>
      <c r="K50" s="146"/>
      <c r="L50" s="137"/>
      <c r="M50" s="130" t="s">
        <v>109</v>
      </c>
      <c r="N50" s="158" t="s">
        <v>128</v>
      </c>
      <c r="O50" s="159"/>
      <c r="P50" s="157"/>
      <c r="Q50" s="121"/>
      <c r="R50" s="122"/>
    </row>
    <row r="51" spans="1:18" s="123" customFormat="1" ht="72" customHeight="1" x14ac:dyDescent="0.55000000000000004">
      <c r="A51" s="141" t="s">
        <v>114</v>
      </c>
      <c r="B51" s="153" t="s">
        <v>129</v>
      </c>
      <c r="C51" s="160"/>
      <c r="D51" s="161"/>
      <c r="E51" s="161"/>
      <c r="F51" s="161"/>
      <c r="G51" s="162"/>
      <c r="H51" s="146">
        <v>2</v>
      </c>
      <c r="I51" s="147"/>
      <c r="J51" s="146"/>
      <c r="K51" s="146"/>
      <c r="L51" s="137"/>
      <c r="M51" s="130" t="s">
        <v>110</v>
      </c>
      <c r="N51" s="158" t="s">
        <v>130</v>
      </c>
      <c r="O51" s="159"/>
      <c r="P51" s="157"/>
      <c r="Q51" s="121"/>
      <c r="R51" s="122"/>
    </row>
    <row r="52" spans="1:18" s="123" customFormat="1" ht="72" customHeight="1" x14ac:dyDescent="0.55000000000000004">
      <c r="A52" s="141" t="s">
        <v>116</v>
      </c>
      <c r="B52" s="153" t="s">
        <v>163</v>
      </c>
      <c r="C52" s="160"/>
      <c r="D52" s="161"/>
      <c r="E52" s="161"/>
      <c r="F52" s="161"/>
      <c r="G52" s="162"/>
      <c r="H52" s="146">
        <v>2</v>
      </c>
      <c r="I52" s="147"/>
      <c r="J52" s="146"/>
      <c r="K52" s="146"/>
      <c r="L52" s="137"/>
      <c r="M52" s="130" t="s">
        <v>131</v>
      </c>
      <c r="N52" s="158" t="s">
        <v>132</v>
      </c>
      <c r="O52" s="159"/>
      <c r="P52" s="157"/>
      <c r="Q52" s="121"/>
      <c r="R52" s="122"/>
    </row>
    <row r="53" spans="1:18" s="123" customFormat="1" ht="44.25" customHeight="1" x14ac:dyDescent="0.55000000000000004">
      <c r="A53" s="141" t="s">
        <v>118</v>
      </c>
      <c r="B53" s="153" t="s">
        <v>164</v>
      </c>
      <c r="C53" s="160"/>
      <c r="D53" s="161"/>
      <c r="E53" s="161"/>
      <c r="F53" s="161"/>
      <c r="G53" s="162"/>
      <c r="H53" s="146">
        <v>2</v>
      </c>
      <c r="I53" s="147"/>
      <c r="J53" s="146"/>
      <c r="K53" s="146"/>
      <c r="L53" s="137"/>
      <c r="M53" s="163"/>
      <c r="N53" s="163"/>
      <c r="O53" s="163"/>
      <c r="P53" s="164"/>
      <c r="Q53" s="121"/>
      <c r="R53" s="122"/>
    </row>
    <row r="54" spans="1:18" s="123" customFormat="1" ht="31.5" customHeight="1" x14ac:dyDescent="0.55000000000000004">
      <c r="A54" s="165" t="s">
        <v>133</v>
      </c>
      <c r="B54" s="166"/>
      <c r="C54" s="166"/>
      <c r="D54" s="166"/>
      <c r="E54" s="166"/>
      <c r="F54" s="166"/>
      <c r="G54" s="166"/>
      <c r="H54" s="167">
        <f>SUM(H43:H53)</f>
        <v>20</v>
      </c>
      <c r="I54" s="167">
        <f>SUM(I43:I53)</f>
        <v>0</v>
      </c>
      <c r="J54" s="167"/>
      <c r="K54" s="168"/>
      <c r="L54" s="137"/>
      <c r="M54" s="163"/>
      <c r="N54" s="163"/>
      <c r="O54" s="163"/>
      <c r="P54" s="164"/>
      <c r="Q54" s="121"/>
      <c r="R54" s="122"/>
    </row>
    <row r="55" spans="1:18" s="123" customFormat="1" ht="36" customHeight="1" x14ac:dyDescent="0.55000000000000004">
      <c r="A55" s="169" t="s">
        <v>114</v>
      </c>
      <c r="B55" s="170" t="s">
        <v>134</v>
      </c>
      <c r="C55" s="154" t="s">
        <v>135</v>
      </c>
      <c r="D55" s="155"/>
      <c r="E55" s="155"/>
      <c r="F55" s="155"/>
      <c r="G55" s="156"/>
      <c r="H55" s="171">
        <v>4</v>
      </c>
      <c r="I55" s="172"/>
      <c r="J55" s="171"/>
      <c r="K55" s="173"/>
      <c r="L55" s="137"/>
      <c r="M55" s="163"/>
      <c r="N55" s="163"/>
      <c r="O55" s="163"/>
      <c r="P55" s="164"/>
      <c r="Q55" s="121"/>
      <c r="R55" s="122"/>
    </row>
    <row r="56" spans="1:18" s="123" customFormat="1" ht="129" customHeight="1" x14ac:dyDescent="0.55000000000000004">
      <c r="A56" s="169" t="s">
        <v>116</v>
      </c>
      <c r="B56" s="170" t="s">
        <v>136</v>
      </c>
      <c r="C56" s="154" t="s">
        <v>137</v>
      </c>
      <c r="D56" s="155"/>
      <c r="E56" s="155"/>
      <c r="F56" s="155"/>
      <c r="G56" s="156"/>
      <c r="H56" s="171">
        <v>3</v>
      </c>
      <c r="I56" s="172"/>
      <c r="J56" s="171"/>
      <c r="K56" s="173"/>
      <c r="L56" s="137"/>
      <c r="M56" s="163"/>
      <c r="N56" s="163"/>
      <c r="O56" s="163"/>
      <c r="P56" s="164"/>
      <c r="Q56" s="121"/>
      <c r="R56" s="122"/>
    </row>
    <row r="57" spans="1:18" s="123" customFormat="1" ht="69" customHeight="1" x14ac:dyDescent="0.55000000000000004">
      <c r="A57" s="169" t="s">
        <v>116</v>
      </c>
      <c r="B57" s="170" t="s">
        <v>138</v>
      </c>
      <c r="C57" s="154" t="s">
        <v>139</v>
      </c>
      <c r="D57" s="155"/>
      <c r="E57" s="155"/>
      <c r="F57" s="155"/>
      <c r="G57" s="156"/>
      <c r="H57" s="171">
        <v>3</v>
      </c>
      <c r="I57" s="172"/>
      <c r="J57" s="171"/>
      <c r="K57" s="173"/>
      <c r="L57" s="137"/>
      <c r="M57" s="163"/>
      <c r="N57" s="163"/>
      <c r="O57" s="163"/>
      <c r="P57" s="164"/>
      <c r="Q57" s="121"/>
      <c r="R57" s="122"/>
    </row>
    <row r="58" spans="1:18" s="123" customFormat="1" ht="46.5" customHeight="1" x14ac:dyDescent="0.55000000000000004">
      <c r="A58" s="174"/>
      <c r="B58" s="175" t="s">
        <v>140</v>
      </c>
      <c r="C58" s="175"/>
      <c r="D58" s="175"/>
      <c r="E58" s="176"/>
      <c r="F58" s="176"/>
      <c r="G58" s="176"/>
      <c r="H58" s="167">
        <f>SUM(H55:H57)</f>
        <v>10</v>
      </c>
      <c r="I58" s="167">
        <f>SUM(I55:I57)</f>
        <v>0</v>
      </c>
      <c r="J58" s="176"/>
      <c r="K58" s="177"/>
      <c r="L58" s="163"/>
      <c r="M58" s="163"/>
      <c r="N58" s="163"/>
      <c r="O58" s="163"/>
      <c r="P58" s="164"/>
      <c r="Q58" s="121"/>
      <c r="R58" s="122"/>
    </row>
    <row r="59" spans="1:18" s="185" customFormat="1" ht="45" customHeight="1" x14ac:dyDescent="0.7">
      <c r="A59" s="178"/>
      <c r="B59" s="179"/>
      <c r="C59" s="180"/>
      <c r="D59" s="180"/>
      <c r="E59" s="180"/>
      <c r="F59" s="181"/>
      <c r="G59" s="181"/>
      <c r="H59" s="181"/>
      <c r="I59" s="181"/>
      <c r="J59" s="181"/>
      <c r="K59" s="180"/>
      <c r="L59" s="180"/>
      <c r="M59" s="180"/>
      <c r="N59" s="180"/>
      <c r="O59" s="182" t="s">
        <v>165</v>
      </c>
      <c r="P59" s="183"/>
      <c r="Q59" s="182" t="s">
        <v>166</v>
      </c>
      <c r="R59" s="184"/>
    </row>
    <row r="60" spans="1:18" s="185" customFormat="1" ht="45" customHeight="1" x14ac:dyDescent="0.7">
      <c r="A60" s="178"/>
      <c r="B60" s="186"/>
      <c r="C60" s="187" t="s">
        <v>167</v>
      </c>
      <c r="D60" s="188"/>
      <c r="E60" s="188"/>
      <c r="F60" s="188"/>
      <c r="G60" s="188"/>
      <c r="H60" s="188"/>
      <c r="I60" s="188"/>
      <c r="J60" s="188"/>
      <c r="K60" s="189"/>
      <c r="L60" s="190"/>
      <c r="M60" s="191"/>
      <c r="N60" s="192"/>
      <c r="O60" s="193">
        <f>R39</f>
        <v>0</v>
      </c>
      <c r="P60" s="194"/>
      <c r="Q60" s="195">
        <f>O63/100 * 20</f>
        <v>0</v>
      </c>
      <c r="R60" s="196"/>
    </row>
    <row r="61" spans="1:18" s="185" customFormat="1" ht="45" customHeight="1" x14ac:dyDescent="0.7">
      <c r="A61" s="178"/>
      <c r="B61" s="186"/>
      <c r="C61" s="188" t="s">
        <v>168</v>
      </c>
      <c r="D61" s="188"/>
      <c r="E61" s="188"/>
      <c r="F61" s="188"/>
      <c r="G61" s="188"/>
      <c r="H61" s="188"/>
      <c r="I61" s="188"/>
      <c r="J61" s="188"/>
      <c r="K61" s="188"/>
      <c r="L61" s="191"/>
      <c r="M61" s="191"/>
      <c r="N61" s="192"/>
      <c r="O61" s="193">
        <f>I54</f>
        <v>0</v>
      </c>
      <c r="P61" s="194"/>
      <c r="Q61" s="197"/>
      <c r="R61" s="198"/>
    </row>
    <row r="62" spans="1:18" s="185" customFormat="1" ht="45" customHeight="1" x14ac:dyDescent="0.7">
      <c r="A62" s="178"/>
      <c r="B62" s="186"/>
      <c r="C62" s="187" t="s">
        <v>169</v>
      </c>
      <c r="D62" s="188"/>
      <c r="E62" s="188"/>
      <c r="F62" s="188"/>
      <c r="G62" s="188"/>
      <c r="H62" s="188"/>
      <c r="I62" s="188"/>
      <c r="J62" s="188"/>
      <c r="K62" s="189"/>
      <c r="L62" s="190"/>
      <c r="M62" s="191"/>
      <c r="N62" s="192"/>
      <c r="O62" s="193">
        <f>I58</f>
        <v>0</v>
      </c>
      <c r="P62" s="194"/>
      <c r="Q62" s="197"/>
      <c r="R62" s="198"/>
    </row>
    <row r="63" spans="1:18" s="185" customFormat="1" ht="45" customHeight="1" x14ac:dyDescent="0.7">
      <c r="A63" s="178"/>
      <c r="B63" s="199"/>
      <c r="C63" s="187" t="s">
        <v>170</v>
      </c>
      <c r="D63" s="188"/>
      <c r="E63" s="188"/>
      <c r="F63" s="188"/>
      <c r="G63" s="188"/>
      <c r="H63" s="188"/>
      <c r="I63" s="188"/>
      <c r="J63" s="188"/>
      <c r="K63" s="189"/>
      <c r="L63" s="190"/>
      <c r="M63" s="191"/>
      <c r="N63" s="192"/>
      <c r="O63" s="193">
        <f>SUM(O60:P62)</f>
        <v>0</v>
      </c>
      <c r="P63" s="194"/>
      <c r="Q63" s="200"/>
      <c r="R63" s="201"/>
    </row>
    <row r="64" spans="1:18" s="185" customFormat="1" ht="64.900000000000006" customHeight="1" x14ac:dyDescent="0.7">
      <c r="A64" s="178"/>
      <c r="B64" s="202" t="s">
        <v>171</v>
      </c>
      <c r="C64" s="202"/>
      <c r="D64" s="202"/>
      <c r="E64" s="202"/>
      <c r="F64" s="202"/>
      <c r="G64" s="202"/>
      <c r="H64" s="203"/>
      <c r="I64" s="203"/>
      <c r="J64" s="203"/>
      <c r="K64" s="203"/>
      <c r="L64" s="203"/>
      <c r="M64" s="203"/>
      <c r="N64" s="203"/>
      <c r="O64" s="203"/>
      <c r="P64" s="203"/>
      <c r="Q64" s="203"/>
      <c r="R64" s="204"/>
    </row>
    <row r="65" spans="1:18" s="185" customFormat="1" ht="64.900000000000006" customHeight="1" x14ac:dyDescent="0.7">
      <c r="A65" s="178"/>
      <c r="B65" s="205" t="s">
        <v>172</v>
      </c>
      <c r="C65" s="205"/>
      <c r="D65" s="205"/>
      <c r="E65" s="205"/>
      <c r="F65" s="205"/>
      <c r="G65" s="205"/>
      <c r="H65" s="205"/>
      <c r="I65" s="205"/>
      <c r="J65" s="205"/>
      <c r="K65" s="205"/>
      <c r="L65" s="205"/>
      <c r="M65" s="205"/>
      <c r="N65" s="205"/>
      <c r="O65" s="205"/>
      <c r="P65" s="205"/>
      <c r="Q65" s="205"/>
      <c r="R65" s="206"/>
    </row>
    <row r="66" spans="1:18" s="185" customFormat="1" ht="48.75" customHeight="1" x14ac:dyDescent="0.7">
      <c r="A66" s="178"/>
      <c r="B66" s="207" t="s">
        <v>173</v>
      </c>
      <c r="C66" s="207"/>
      <c r="D66" s="207"/>
      <c r="E66" s="207"/>
      <c r="F66" s="207"/>
      <c r="G66" s="207"/>
      <c r="H66" s="208"/>
      <c r="I66" s="208"/>
      <c r="J66" s="208"/>
      <c r="K66" s="208"/>
      <c r="L66" s="208"/>
      <c r="M66" s="208"/>
      <c r="N66" s="208"/>
      <c r="O66" s="208"/>
      <c r="P66" s="208"/>
      <c r="Q66" s="208"/>
      <c r="R66" s="209"/>
    </row>
    <row r="67" spans="1:18" s="185" customFormat="1" ht="45.75" x14ac:dyDescent="0.7">
      <c r="A67" s="178"/>
      <c r="B67" s="205"/>
      <c r="C67" s="205"/>
      <c r="D67" s="205"/>
      <c r="E67" s="205"/>
      <c r="F67" s="205"/>
      <c r="G67" s="205"/>
      <c r="H67" s="205"/>
      <c r="I67" s="205"/>
      <c r="J67" s="205"/>
      <c r="K67" s="205"/>
      <c r="L67" s="205"/>
      <c r="M67" s="205"/>
      <c r="N67" s="205"/>
      <c r="O67" s="205"/>
      <c r="P67" s="205"/>
      <c r="Q67" s="205"/>
      <c r="R67" s="206"/>
    </row>
    <row r="68" spans="1:18" s="123" customFormat="1" ht="31.5" customHeight="1" x14ac:dyDescent="0.55000000000000004">
      <c r="A68" s="210" t="s">
        <v>174</v>
      </c>
      <c r="B68" s="211"/>
      <c r="C68" s="212"/>
      <c r="D68" s="213"/>
      <c r="E68" s="214" t="s">
        <v>175</v>
      </c>
      <c r="F68" s="215"/>
      <c r="G68" s="211" t="s">
        <v>176</v>
      </c>
      <c r="H68" s="212"/>
      <c r="I68" s="212"/>
      <c r="J68" s="212"/>
      <c r="K68" s="216"/>
      <c r="L68" s="137"/>
      <c r="M68" s="217"/>
      <c r="N68" s="217"/>
      <c r="O68" s="217"/>
      <c r="P68" s="217"/>
      <c r="Q68" s="217"/>
      <c r="R68" s="122"/>
    </row>
    <row r="69" spans="1:18" s="123" customFormat="1" ht="31.5" customHeight="1" x14ac:dyDescent="0.55000000000000004">
      <c r="A69" s="218"/>
      <c r="B69" s="219"/>
      <c r="C69" s="220"/>
      <c r="D69" s="221"/>
      <c r="E69" s="222"/>
      <c r="F69" s="223"/>
      <c r="G69" s="219"/>
      <c r="H69" s="220"/>
      <c r="I69" s="220"/>
      <c r="J69" s="220"/>
      <c r="K69" s="216"/>
      <c r="L69" s="137"/>
      <c r="M69" s="224"/>
      <c r="N69" s="224"/>
      <c r="O69" s="224"/>
      <c r="P69" s="224"/>
      <c r="Q69" s="224"/>
      <c r="R69" s="122"/>
    </row>
    <row r="70" spans="1:18" s="123" customFormat="1" ht="31.5" customHeight="1" x14ac:dyDescent="0.55000000000000004">
      <c r="A70" s="218"/>
      <c r="B70" s="219"/>
      <c r="C70" s="220"/>
      <c r="D70" s="221"/>
      <c r="E70" s="222"/>
      <c r="F70" s="223"/>
      <c r="G70" s="219"/>
      <c r="H70" s="220"/>
      <c r="I70" s="220"/>
      <c r="J70" s="220"/>
      <c r="K70" s="216"/>
      <c r="L70" s="137"/>
      <c r="M70" s="224"/>
      <c r="N70" s="224"/>
      <c r="O70" s="224"/>
      <c r="P70" s="224"/>
      <c r="Q70" s="224"/>
      <c r="R70" s="122"/>
    </row>
    <row r="71" spans="1:18" s="123" customFormat="1" ht="31.5" customHeight="1" x14ac:dyDescent="0.55000000000000004">
      <c r="A71" s="225"/>
      <c r="B71" s="226"/>
      <c r="C71" s="227"/>
      <c r="D71" s="228"/>
      <c r="E71" s="229"/>
      <c r="F71" s="230"/>
      <c r="G71" s="226"/>
      <c r="H71" s="227"/>
      <c r="I71" s="227"/>
      <c r="J71" s="227"/>
      <c r="K71" s="216"/>
      <c r="L71" s="137"/>
      <c r="M71" s="224"/>
      <c r="N71" s="224"/>
      <c r="O71" s="224"/>
      <c r="P71" s="224"/>
      <c r="Q71" s="224"/>
      <c r="R71" s="122"/>
    </row>
    <row r="72" spans="1:18" s="123" customFormat="1" ht="31.5" customHeight="1" x14ac:dyDescent="0.55000000000000004">
      <c r="A72" s="231" t="s">
        <v>141</v>
      </c>
      <c r="B72" s="232"/>
      <c r="C72" s="212"/>
      <c r="D72" s="213"/>
      <c r="E72" s="233" t="s">
        <v>177</v>
      </c>
      <c r="F72" s="215"/>
      <c r="G72" s="232" t="s">
        <v>177</v>
      </c>
      <c r="H72" s="212"/>
      <c r="I72" s="212"/>
      <c r="J72" s="212"/>
      <c r="K72" s="216"/>
      <c r="L72" s="137"/>
      <c r="M72" s="224"/>
      <c r="N72" s="224"/>
      <c r="O72" s="224"/>
      <c r="P72" s="224"/>
      <c r="Q72" s="224"/>
      <c r="R72" s="122"/>
    </row>
    <row r="73" spans="1:18" s="123" customFormat="1" ht="31.5" customHeight="1" x14ac:dyDescent="0.55000000000000004">
      <c r="A73" s="234"/>
      <c r="B73" s="235"/>
      <c r="C73" s="220"/>
      <c r="D73" s="221"/>
      <c r="E73" s="236"/>
      <c r="F73" s="223"/>
      <c r="G73" s="235"/>
      <c r="H73" s="220"/>
      <c r="I73" s="220"/>
      <c r="J73" s="220"/>
      <c r="K73" s="216"/>
      <c r="L73" s="137"/>
      <c r="M73" s="224"/>
      <c r="N73" s="224"/>
      <c r="O73" s="224"/>
      <c r="P73" s="224"/>
      <c r="Q73" s="224"/>
      <c r="R73" s="122"/>
    </row>
    <row r="74" spans="1:18" s="123" customFormat="1" ht="31.5" customHeight="1" x14ac:dyDescent="0.55000000000000004">
      <c r="A74" s="234"/>
      <c r="B74" s="235"/>
      <c r="C74" s="227"/>
      <c r="D74" s="228"/>
      <c r="E74" s="237"/>
      <c r="F74" s="230"/>
      <c r="G74" s="238"/>
      <c r="H74" s="227"/>
      <c r="I74" s="227"/>
      <c r="J74" s="227"/>
      <c r="K74" s="216"/>
      <c r="L74" s="137"/>
      <c r="M74" s="224"/>
      <c r="N74" s="224"/>
      <c r="O74" s="224"/>
      <c r="P74" s="224"/>
      <c r="Q74" s="224"/>
      <c r="R74" s="122"/>
    </row>
    <row r="75" spans="1:18" s="123" customFormat="1" ht="31.5" customHeight="1" x14ac:dyDescent="0.55000000000000004">
      <c r="A75" s="218" t="s">
        <v>142</v>
      </c>
      <c r="B75" s="219"/>
      <c r="C75" s="212"/>
      <c r="D75" s="213"/>
      <c r="E75" s="214" t="s">
        <v>178</v>
      </c>
      <c r="F75" s="215"/>
      <c r="G75" s="211" t="s">
        <v>178</v>
      </c>
      <c r="H75" s="212"/>
      <c r="I75" s="212"/>
      <c r="J75" s="212"/>
      <c r="K75" s="216"/>
      <c r="L75" s="137"/>
      <c r="M75" s="224"/>
      <c r="N75" s="224"/>
      <c r="O75" s="224"/>
      <c r="P75" s="224"/>
      <c r="Q75" s="224"/>
      <c r="R75" s="122"/>
    </row>
    <row r="76" spans="1:18" s="123" customFormat="1" ht="31.5" customHeight="1" x14ac:dyDescent="0.55000000000000004">
      <c r="A76" s="218"/>
      <c r="B76" s="219"/>
      <c r="C76" s="227"/>
      <c r="D76" s="228"/>
      <c r="E76" s="229"/>
      <c r="F76" s="230"/>
      <c r="G76" s="226"/>
      <c r="H76" s="227"/>
      <c r="I76" s="227"/>
      <c r="J76" s="227"/>
      <c r="K76" s="216"/>
      <c r="L76" s="137"/>
      <c r="M76" s="224"/>
      <c r="N76" s="224"/>
      <c r="O76" s="224"/>
      <c r="P76" s="224"/>
      <c r="Q76" s="224"/>
      <c r="R76" s="122"/>
    </row>
    <row r="77" spans="1:18" s="123" customFormat="1" ht="31.5" customHeight="1" thickBot="1" x14ac:dyDescent="0.6">
      <c r="A77" s="239"/>
      <c r="B77" s="240"/>
      <c r="C77" s="240"/>
      <c r="D77" s="240"/>
      <c r="E77" s="240"/>
      <c r="F77" s="240"/>
      <c r="G77" s="240"/>
      <c r="H77" s="240"/>
      <c r="I77" s="240"/>
      <c r="J77" s="240"/>
      <c r="K77" s="241"/>
      <c r="L77" s="242"/>
      <c r="M77" s="243"/>
      <c r="N77" s="243"/>
      <c r="O77" s="243"/>
      <c r="P77" s="243"/>
      <c r="Q77" s="243"/>
      <c r="R77" s="244"/>
    </row>
  </sheetData>
  <mergeCells count="118">
    <mergeCell ref="B33:B34"/>
    <mergeCell ref="C33:C34"/>
    <mergeCell ref="A77:J77"/>
    <mergeCell ref="A19:A23"/>
    <mergeCell ref="B19:B23"/>
    <mergeCell ref="C19:C23"/>
    <mergeCell ref="A24:A25"/>
    <mergeCell ref="B24:B25"/>
    <mergeCell ref="C24:C25"/>
    <mergeCell ref="A26:A30"/>
    <mergeCell ref="B26:B30"/>
    <mergeCell ref="C26:C30"/>
    <mergeCell ref="A75:B76"/>
    <mergeCell ref="C75:D76"/>
    <mergeCell ref="E75:E76"/>
    <mergeCell ref="F75:F76"/>
    <mergeCell ref="G75:G76"/>
    <mergeCell ref="H75:J76"/>
    <mergeCell ref="A72:B74"/>
    <mergeCell ref="C72:D74"/>
    <mergeCell ref="E72:E74"/>
    <mergeCell ref="F72:F74"/>
    <mergeCell ref="G72:G74"/>
    <mergeCell ref="H72:J74"/>
    <mergeCell ref="B65:R65"/>
    <mergeCell ref="B66:G66"/>
    <mergeCell ref="B67:R67"/>
    <mergeCell ref="A68:B71"/>
    <mergeCell ref="C68:D71"/>
    <mergeCell ref="E68:E71"/>
    <mergeCell ref="F68:F71"/>
    <mergeCell ref="G68:G71"/>
    <mergeCell ref="H68:J71"/>
    <mergeCell ref="M68:Q77"/>
    <mergeCell ref="L62:N62"/>
    <mergeCell ref="O62:P62"/>
    <mergeCell ref="C63:K63"/>
    <mergeCell ref="L63:N63"/>
    <mergeCell ref="O63:P63"/>
    <mergeCell ref="B64:G64"/>
    <mergeCell ref="O59:P59"/>
    <mergeCell ref="Q59:R59"/>
    <mergeCell ref="C60:K60"/>
    <mergeCell ref="L60:N60"/>
    <mergeCell ref="O60:P60"/>
    <mergeCell ref="Q60:R63"/>
    <mergeCell ref="C61:K61"/>
    <mergeCell ref="L61:N61"/>
    <mergeCell ref="O61:P61"/>
    <mergeCell ref="C62:K62"/>
    <mergeCell ref="A54:G54"/>
    <mergeCell ref="C55:G55"/>
    <mergeCell ref="C56:G56"/>
    <mergeCell ref="C57:G57"/>
    <mergeCell ref="B58:D58"/>
    <mergeCell ref="B59:B63"/>
    <mergeCell ref="F59:J59"/>
    <mergeCell ref="C48:G48"/>
    <mergeCell ref="C49:G49"/>
    <mergeCell ref="C50:G50"/>
    <mergeCell ref="C51:G51"/>
    <mergeCell ref="C52:G52"/>
    <mergeCell ref="C53:G53"/>
    <mergeCell ref="C45:G45"/>
    <mergeCell ref="N45:O45"/>
    <mergeCell ref="C46:G46"/>
    <mergeCell ref="N46:O46"/>
    <mergeCell ref="C47:G47"/>
    <mergeCell ref="N47:O47"/>
    <mergeCell ref="C42:G42"/>
    <mergeCell ref="N42:O42"/>
    <mergeCell ref="C43:G43"/>
    <mergeCell ref="N43:O43"/>
    <mergeCell ref="C44:G44"/>
    <mergeCell ref="N44:O44"/>
    <mergeCell ref="R17:R18"/>
    <mergeCell ref="I39:Q39"/>
    <mergeCell ref="A40:G40"/>
    <mergeCell ref="H40:K40"/>
    <mergeCell ref="L40:L41"/>
    <mergeCell ref="C41:G41"/>
    <mergeCell ref="A31:A32"/>
    <mergeCell ref="B31:B32"/>
    <mergeCell ref="C31:C32"/>
    <mergeCell ref="A33:A34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1" r:id="rId1" xr:uid="{00DD9F6E-4677-4A23-B445-14512FA384C5}"/>
    <hyperlink ref="E8" r:id="rId2" xr:uid="{BE66F113-BDCC-49EE-A393-0A5F928981B4}"/>
  </hyperlinks>
  <pageMargins left="0.7" right="0.7" top="0.75" bottom="0.75" header="0.3" footer="0.3"/>
  <pageSetup scale="14" fitToHeight="0" orientation="landscape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321A9-29C4-4307-B322-3046ED6934FE}">
  <sheetPr>
    <pageSetUpPr fitToPage="1"/>
  </sheetPr>
  <dimension ref="A1:R77"/>
  <sheetViews>
    <sheetView zoomScale="30" zoomScaleNormal="30" workbookViewId="0">
      <selection activeCell="F19" sqref="F19:F37"/>
    </sheetView>
  </sheetViews>
  <sheetFormatPr defaultRowHeight="31.5" customHeight="1" x14ac:dyDescent="0.55000000000000004"/>
  <cols>
    <col min="1" max="1" width="15.5703125" style="245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5" bestFit="1" customWidth="1"/>
    <col min="6" max="6" width="42" style="245" customWidth="1"/>
    <col min="7" max="7" width="255.7109375" style="4" bestFit="1" customWidth="1"/>
    <col min="8" max="8" width="33" style="245" customWidth="1"/>
    <col min="9" max="9" width="62.42578125" style="245" customWidth="1"/>
    <col min="10" max="10" width="45.140625" style="245" customWidth="1"/>
    <col min="11" max="13" width="35.28515625" style="245" bestFit="1" customWidth="1"/>
    <col min="14" max="14" width="40.7109375" style="245" bestFit="1" customWidth="1"/>
    <col min="15" max="15" width="36.85546875" style="245" bestFit="1" customWidth="1"/>
    <col min="16" max="17" width="36.85546875" style="246" customWidth="1"/>
    <col min="18" max="18" width="36.85546875" style="247" customWidth="1"/>
    <col min="19" max="16384" width="9.140625" style="4"/>
  </cols>
  <sheetData>
    <row r="1" spans="1:18" ht="31.5" customHeight="1" x14ac:dyDescent="0.25">
      <c r="A1" s="1" t="s">
        <v>143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183</v>
      </c>
      <c r="C5" s="16" t="s">
        <v>2</v>
      </c>
      <c r="D5" s="17" t="s">
        <v>184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5" customFormat="1" ht="39" x14ac:dyDescent="0.6">
      <c r="A7" s="248" t="s">
        <v>4</v>
      </c>
      <c r="B7" s="249"/>
      <c r="C7" s="250" t="s">
        <v>5</v>
      </c>
      <c r="D7" s="251" t="s">
        <v>6</v>
      </c>
      <c r="E7" s="250" t="s">
        <v>7</v>
      </c>
      <c r="F7" s="251" t="s">
        <v>8</v>
      </c>
      <c r="G7" s="252" t="s">
        <v>9</v>
      </c>
      <c r="H7" s="251" t="s">
        <v>10</v>
      </c>
      <c r="I7" s="253" t="s">
        <v>11</v>
      </c>
      <c r="J7" s="254"/>
      <c r="K7" s="21"/>
      <c r="L7" s="22"/>
      <c r="M7" s="22"/>
      <c r="N7" s="22"/>
      <c r="O7" s="22"/>
      <c r="P7" s="22"/>
      <c r="Q7" s="22"/>
      <c r="R7" s="23"/>
    </row>
    <row r="8" spans="1:18" s="255" customFormat="1" ht="39" x14ac:dyDescent="0.6">
      <c r="A8" s="256" t="s">
        <v>12</v>
      </c>
      <c r="B8" s="257"/>
      <c r="C8" s="258">
        <v>88717</v>
      </c>
      <c r="D8" s="259" t="s">
        <v>13</v>
      </c>
      <c r="E8" s="260" t="s">
        <v>14</v>
      </c>
      <c r="F8" s="259" t="s">
        <v>15</v>
      </c>
      <c r="G8" s="261"/>
      <c r="H8" s="259" t="s">
        <v>16</v>
      </c>
      <c r="I8" s="262" t="s">
        <v>17</v>
      </c>
      <c r="J8" s="263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18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71" customFormat="1" ht="39" x14ac:dyDescent="0.6">
      <c r="A10" s="264" t="s">
        <v>4</v>
      </c>
      <c r="B10" s="265"/>
      <c r="C10" s="266" t="s">
        <v>19</v>
      </c>
      <c r="D10" s="267" t="s">
        <v>6</v>
      </c>
      <c r="E10" s="266" t="s">
        <v>20</v>
      </c>
      <c r="F10" s="267" t="s">
        <v>8</v>
      </c>
      <c r="G10" s="268" t="s">
        <v>21</v>
      </c>
      <c r="H10" s="267" t="s">
        <v>10</v>
      </c>
      <c r="I10" s="269" t="s">
        <v>22</v>
      </c>
      <c r="J10" s="270"/>
      <c r="K10" s="21"/>
      <c r="L10" s="22"/>
      <c r="M10" s="22"/>
      <c r="N10" s="22"/>
      <c r="O10" s="22"/>
      <c r="P10" s="22"/>
      <c r="Q10" s="22"/>
      <c r="R10" s="23"/>
    </row>
    <row r="11" spans="1:18" s="271" customFormat="1" ht="39" x14ac:dyDescent="0.6">
      <c r="A11" s="272" t="s">
        <v>12</v>
      </c>
      <c r="B11" s="273"/>
      <c r="C11" s="274">
        <v>64218</v>
      </c>
      <c r="D11" s="275" t="s">
        <v>13</v>
      </c>
      <c r="E11" s="276" t="s">
        <v>23</v>
      </c>
      <c r="F11" s="275" t="s">
        <v>15</v>
      </c>
      <c r="G11" s="277" t="s">
        <v>24</v>
      </c>
      <c r="H11" s="275" t="s">
        <v>16</v>
      </c>
      <c r="I11" s="278" t="s">
        <v>17</v>
      </c>
      <c r="J11" s="279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25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39" x14ac:dyDescent="0.6">
      <c r="A13" s="33" t="s">
        <v>4</v>
      </c>
      <c r="B13" s="34"/>
      <c r="C13" s="35" t="s">
        <v>26</v>
      </c>
      <c r="D13" s="36" t="s">
        <v>6</v>
      </c>
      <c r="E13" s="35" t="s">
        <v>27</v>
      </c>
      <c r="F13" s="37" t="s">
        <v>8</v>
      </c>
      <c r="G13" s="38" t="s">
        <v>28</v>
      </c>
      <c r="H13" s="36" t="s">
        <v>10</v>
      </c>
      <c r="I13" s="39" t="s">
        <v>29</v>
      </c>
      <c r="J13" s="40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39.75" x14ac:dyDescent="0.6">
      <c r="A14" s="42" t="s">
        <v>12</v>
      </c>
      <c r="B14" s="43"/>
      <c r="C14" s="44">
        <v>60529</v>
      </c>
      <c r="D14" s="45" t="s">
        <v>13</v>
      </c>
      <c r="E14" s="280" t="s">
        <v>30</v>
      </c>
      <c r="F14" s="46" t="s">
        <v>15</v>
      </c>
      <c r="G14" s="281"/>
      <c r="H14" s="45" t="s">
        <v>16</v>
      </c>
      <c r="I14" s="47" t="s">
        <v>31</v>
      </c>
      <c r="J14" s="48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32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33</v>
      </c>
      <c r="B17" s="64" t="s">
        <v>34</v>
      </c>
      <c r="C17" s="65" t="s">
        <v>35</v>
      </c>
      <c r="D17" s="65" t="s">
        <v>36</v>
      </c>
      <c r="E17" s="65" t="s">
        <v>35</v>
      </c>
      <c r="F17" s="66" t="s">
        <v>37</v>
      </c>
      <c r="G17" s="66" t="s">
        <v>38</v>
      </c>
      <c r="H17" s="67" t="s">
        <v>39</v>
      </c>
      <c r="I17" s="66" t="s">
        <v>40</v>
      </c>
      <c r="J17" s="68" t="s">
        <v>41</v>
      </c>
      <c r="K17" s="69"/>
      <c r="L17" s="69"/>
      <c r="M17" s="69"/>
      <c r="N17" s="69"/>
      <c r="O17" s="70"/>
      <c r="P17" s="71" t="s">
        <v>146</v>
      </c>
      <c r="Q17" s="71" t="s">
        <v>147</v>
      </c>
      <c r="R17" s="72" t="s">
        <v>148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149</v>
      </c>
      <c r="K18" s="78" t="s">
        <v>150</v>
      </c>
      <c r="L18" s="78" t="s">
        <v>151</v>
      </c>
      <c r="M18" s="77" t="s">
        <v>152</v>
      </c>
      <c r="N18" s="77" t="s">
        <v>153</v>
      </c>
      <c r="O18" s="77" t="s">
        <v>154</v>
      </c>
      <c r="P18" s="79"/>
      <c r="Q18" s="79"/>
      <c r="R18" s="80"/>
    </row>
    <row r="19" spans="1:18" s="92" customFormat="1" ht="147" customHeight="1" x14ac:dyDescent="0.25">
      <c r="A19" s="282">
        <v>1</v>
      </c>
      <c r="B19" s="283" t="s">
        <v>48</v>
      </c>
      <c r="C19" s="284">
        <f>0.25 *8.59335038363171</f>
        <v>2.1483375959079276</v>
      </c>
      <c r="D19" s="82" t="s">
        <v>49</v>
      </c>
      <c r="E19" s="83">
        <f>C19/5</f>
        <v>0.42966751918158552</v>
      </c>
      <c r="F19" s="83">
        <f>E19/$E$38 * 100</f>
        <v>1.6200578592092558</v>
      </c>
      <c r="G19" s="84" t="s">
        <v>50</v>
      </c>
      <c r="H19" s="85">
        <v>1</v>
      </c>
      <c r="I19" s="86" t="s">
        <v>51</v>
      </c>
      <c r="J19" s="87">
        <v>100</v>
      </c>
      <c r="K19" s="88">
        <v>95</v>
      </c>
      <c r="L19" s="88">
        <v>90</v>
      </c>
      <c r="M19" s="88">
        <v>85</v>
      </c>
      <c r="N19" s="88">
        <v>80</v>
      </c>
      <c r="O19" s="88" t="s">
        <v>52</v>
      </c>
      <c r="P19" s="89"/>
      <c r="Q19" s="90">
        <f t="shared" ref="Q19:Q37" si="0">IF(OR(TRIM(P19)="",P19=0),0,
IF(P19&lt;N19,50,
IF(P19&lt;M19,60,
IF(P19&lt;L19,70,
IF(P19&lt;K19,80,
IF(ISNUMBER(J19),
    IF(P19&lt;J19,IF(P19&gt;=K19,90,80),100),
    IF(P19=K19,90,100)
))))))</f>
        <v>0</v>
      </c>
      <c r="R19" s="91">
        <f t="shared" ref="R19:R37" si="1">F19*Q19/100</f>
        <v>0</v>
      </c>
    </row>
    <row r="20" spans="1:18" s="92" customFormat="1" ht="147" customHeight="1" x14ac:dyDescent="0.25">
      <c r="A20" s="285"/>
      <c r="B20" s="286"/>
      <c r="C20" s="287"/>
      <c r="D20" s="82" t="s">
        <v>53</v>
      </c>
      <c r="E20" s="83">
        <f>C19/5</f>
        <v>0.42966751918158552</v>
      </c>
      <c r="F20" s="83">
        <f t="shared" ref="F20:F37" si="2">E20/$E$38 * 100</f>
        <v>1.6200578592092558</v>
      </c>
      <c r="G20" s="84" t="s">
        <v>54</v>
      </c>
      <c r="H20" s="85">
        <v>1</v>
      </c>
      <c r="I20" s="86" t="s">
        <v>51</v>
      </c>
      <c r="J20" s="87">
        <v>100</v>
      </c>
      <c r="K20" s="88">
        <v>95</v>
      </c>
      <c r="L20" s="88">
        <v>90</v>
      </c>
      <c r="M20" s="88">
        <v>85</v>
      </c>
      <c r="N20" s="88">
        <v>80</v>
      </c>
      <c r="O20" s="88" t="s">
        <v>52</v>
      </c>
      <c r="P20" s="89"/>
      <c r="Q20" s="90">
        <f t="shared" si="0"/>
        <v>0</v>
      </c>
      <c r="R20" s="91">
        <f t="shared" si="1"/>
        <v>0</v>
      </c>
    </row>
    <row r="21" spans="1:18" s="92" customFormat="1" ht="147" customHeight="1" x14ac:dyDescent="0.25">
      <c r="A21" s="285"/>
      <c r="B21" s="286"/>
      <c r="C21" s="287"/>
      <c r="D21" s="82" t="s">
        <v>55</v>
      </c>
      <c r="E21" s="83">
        <f>C19/5</f>
        <v>0.42966751918158552</v>
      </c>
      <c r="F21" s="83">
        <f t="shared" si="2"/>
        <v>1.6200578592092558</v>
      </c>
      <c r="G21" s="84" t="s">
        <v>56</v>
      </c>
      <c r="H21" s="85">
        <v>1</v>
      </c>
      <c r="I21" s="86" t="s">
        <v>51</v>
      </c>
      <c r="J21" s="87">
        <v>100</v>
      </c>
      <c r="K21" s="88">
        <v>95</v>
      </c>
      <c r="L21" s="88">
        <v>90</v>
      </c>
      <c r="M21" s="88">
        <v>85</v>
      </c>
      <c r="N21" s="88">
        <v>80</v>
      </c>
      <c r="O21" s="88" t="s">
        <v>52</v>
      </c>
      <c r="P21" s="89"/>
      <c r="Q21" s="90">
        <f t="shared" si="0"/>
        <v>0</v>
      </c>
      <c r="R21" s="91">
        <f t="shared" si="1"/>
        <v>0</v>
      </c>
    </row>
    <row r="22" spans="1:18" s="92" customFormat="1" ht="147" customHeight="1" x14ac:dyDescent="0.25">
      <c r="A22" s="285"/>
      <c r="B22" s="286"/>
      <c r="C22" s="287"/>
      <c r="D22" s="82" t="s">
        <v>57</v>
      </c>
      <c r="E22" s="83">
        <f>C19/5</f>
        <v>0.42966751918158552</v>
      </c>
      <c r="F22" s="83">
        <f t="shared" si="2"/>
        <v>1.6200578592092558</v>
      </c>
      <c r="G22" s="84" t="s">
        <v>58</v>
      </c>
      <c r="H22" s="93">
        <v>5</v>
      </c>
      <c r="I22" s="86" t="s">
        <v>59</v>
      </c>
      <c r="J22" s="87" t="s">
        <v>60</v>
      </c>
      <c r="K22" s="88">
        <v>5</v>
      </c>
      <c r="L22" s="88">
        <v>4</v>
      </c>
      <c r="M22" s="88">
        <v>3</v>
      </c>
      <c r="N22" s="88">
        <v>2</v>
      </c>
      <c r="O22" s="88">
        <v>1</v>
      </c>
      <c r="P22" s="89"/>
      <c r="Q22" s="90">
        <f t="shared" si="0"/>
        <v>0</v>
      </c>
      <c r="R22" s="91">
        <f t="shared" si="1"/>
        <v>0</v>
      </c>
    </row>
    <row r="23" spans="1:18" s="92" customFormat="1" ht="147" customHeight="1" x14ac:dyDescent="0.25">
      <c r="A23" s="288"/>
      <c r="B23" s="289"/>
      <c r="C23" s="290"/>
      <c r="D23" s="82" t="s">
        <v>61</v>
      </c>
      <c r="E23" s="83">
        <f>C19/5</f>
        <v>0.42966751918158552</v>
      </c>
      <c r="F23" s="83">
        <f t="shared" si="2"/>
        <v>1.6200578592092558</v>
      </c>
      <c r="G23" s="84" t="s">
        <v>62</v>
      </c>
      <c r="H23" s="85">
        <v>1</v>
      </c>
      <c r="I23" s="86" t="s">
        <v>51</v>
      </c>
      <c r="J23" s="87">
        <v>100</v>
      </c>
      <c r="K23" s="88">
        <v>95</v>
      </c>
      <c r="L23" s="88">
        <v>90</v>
      </c>
      <c r="M23" s="88">
        <v>85</v>
      </c>
      <c r="N23" s="88">
        <v>80</v>
      </c>
      <c r="O23" s="88" t="s">
        <v>52</v>
      </c>
      <c r="P23" s="89"/>
      <c r="Q23" s="90">
        <f t="shared" si="0"/>
        <v>0</v>
      </c>
      <c r="R23" s="91">
        <f t="shared" si="1"/>
        <v>0</v>
      </c>
    </row>
    <row r="24" spans="1:18" s="92" customFormat="1" ht="147" customHeight="1" x14ac:dyDescent="0.25">
      <c r="A24" s="282">
        <v>2</v>
      </c>
      <c r="B24" s="283" t="s">
        <v>63</v>
      </c>
      <c r="C24" s="284">
        <f>0.5*4.29667519181586</f>
        <v>2.1483375959079298</v>
      </c>
      <c r="D24" s="82" t="s">
        <v>64</v>
      </c>
      <c r="E24" s="83">
        <f>C24/2</f>
        <v>1.0741687979539649</v>
      </c>
      <c r="F24" s="83">
        <f t="shared" si="2"/>
        <v>4.050144648023144</v>
      </c>
      <c r="G24" s="84" t="s">
        <v>65</v>
      </c>
      <c r="H24" s="85">
        <v>0.5</v>
      </c>
      <c r="I24" s="86" t="s">
        <v>51</v>
      </c>
      <c r="J24" s="87" t="s">
        <v>66</v>
      </c>
      <c r="K24" s="88">
        <v>50</v>
      </c>
      <c r="L24" s="88">
        <v>45</v>
      </c>
      <c r="M24" s="88">
        <v>40</v>
      </c>
      <c r="N24" s="88">
        <v>25</v>
      </c>
      <c r="O24" s="88" t="s">
        <v>67</v>
      </c>
      <c r="P24" s="89"/>
      <c r="Q24" s="90">
        <f t="shared" si="0"/>
        <v>0</v>
      </c>
      <c r="R24" s="91">
        <f t="shared" si="1"/>
        <v>0</v>
      </c>
    </row>
    <row r="25" spans="1:18" s="92" customFormat="1" ht="147" customHeight="1" x14ac:dyDescent="0.25">
      <c r="A25" s="288"/>
      <c r="B25" s="289"/>
      <c r="C25" s="290"/>
      <c r="D25" s="82" t="s">
        <v>68</v>
      </c>
      <c r="E25" s="83">
        <f>C24/2</f>
        <v>1.0741687979539649</v>
      </c>
      <c r="F25" s="83">
        <f t="shared" si="2"/>
        <v>4.050144648023144</v>
      </c>
      <c r="G25" s="84" t="s">
        <v>69</v>
      </c>
      <c r="H25" s="85">
        <v>0.5</v>
      </c>
      <c r="I25" s="86" t="s">
        <v>51</v>
      </c>
      <c r="J25" s="87" t="s">
        <v>66</v>
      </c>
      <c r="K25" s="88">
        <v>50</v>
      </c>
      <c r="L25" s="88">
        <v>45</v>
      </c>
      <c r="M25" s="88">
        <v>40</v>
      </c>
      <c r="N25" s="88">
        <v>25</v>
      </c>
      <c r="O25" s="88" t="s">
        <v>67</v>
      </c>
      <c r="P25" s="89"/>
      <c r="Q25" s="90">
        <f t="shared" si="0"/>
        <v>0</v>
      </c>
      <c r="R25" s="91">
        <f t="shared" si="1"/>
        <v>0</v>
      </c>
    </row>
    <row r="26" spans="1:18" s="92" customFormat="1" ht="147" customHeight="1" x14ac:dyDescent="0.25">
      <c r="A26" s="282">
        <v>3</v>
      </c>
      <c r="B26" s="283" t="s">
        <v>70</v>
      </c>
      <c r="C26" s="284">
        <f>0.25*57.2122762148338</f>
        <v>14.30306905370845</v>
      </c>
      <c r="D26" s="95" t="s">
        <v>71</v>
      </c>
      <c r="E26" s="83">
        <f>C26/5</f>
        <v>2.8606138107416901</v>
      </c>
      <c r="F26" s="83">
        <f t="shared" si="2"/>
        <v>10.785920925747352</v>
      </c>
      <c r="G26" s="84" t="s">
        <v>72</v>
      </c>
      <c r="H26" s="94">
        <v>0.8</v>
      </c>
      <c r="I26" s="93" t="s">
        <v>51</v>
      </c>
      <c r="J26" s="87" t="s">
        <v>73</v>
      </c>
      <c r="K26" s="88">
        <v>80</v>
      </c>
      <c r="L26" s="88">
        <v>75</v>
      </c>
      <c r="M26" s="88">
        <v>70</v>
      </c>
      <c r="N26" s="88">
        <v>50</v>
      </c>
      <c r="O26" s="88" t="s">
        <v>74</v>
      </c>
      <c r="P26" s="89"/>
      <c r="Q26" s="90">
        <f t="shared" si="0"/>
        <v>0</v>
      </c>
      <c r="R26" s="91">
        <f t="shared" si="1"/>
        <v>0</v>
      </c>
    </row>
    <row r="27" spans="1:18" s="92" customFormat="1" ht="147" customHeight="1" x14ac:dyDescent="0.25">
      <c r="A27" s="285"/>
      <c r="B27" s="286"/>
      <c r="C27" s="287"/>
      <c r="D27" s="82" t="s">
        <v>75</v>
      </c>
      <c r="E27" s="83">
        <f>C26/5</f>
        <v>2.8606138107416901</v>
      </c>
      <c r="F27" s="83">
        <f t="shared" si="2"/>
        <v>10.785920925747352</v>
      </c>
      <c r="G27" s="84" t="s">
        <v>76</v>
      </c>
      <c r="H27" s="94">
        <v>0.8</v>
      </c>
      <c r="I27" s="93" t="s">
        <v>51</v>
      </c>
      <c r="J27" s="87" t="s">
        <v>73</v>
      </c>
      <c r="K27" s="88">
        <v>80</v>
      </c>
      <c r="L27" s="88">
        <v>75</v>
      </c>
      <c r="M27" s="88">
        <v>70</v>
      </c>
      <c r="N27" s="88">
        <v>50</v>
      </c>
      <c r="O27" s="88" t="s">
        <v>74</v>
      </c>
      <c r="P27" s="89"/>
      <c r="Q27" s="90">
        <f t="shared" si="0"/>
        <v>0</v>
      </c>
      <c r="R27" s="91">
        <f t="shared" si="1"/>
        <v>0</v>
      </c>
    </row>
    <row r="28" spans="1:18" s="92" customFormat="1" ht="147" customHeight="1" x14ac:dyDescent="0.25">
      <c r="A28" s="285"/>
      <c r="B28" s="286"/>
      <c r="C28" s="287"/>
      <c r="D28" s="82" t="s">
        <v>77</v>
      </c>
      <c r="E28" s="83">
        <f>C26/5</f>
        <v>2.8606138107416901</v>
      </c>
      <c r="F28" s="83">
        <f t="shared" si="2"/>
        <v>10.785920925747352</v>
      </c>
      <c r="G28" s="84" t="s">
        <v>78</v>
      </c>
      <c r="H28" s="94">
        <v>0.8</v>
      </c>
      <c r="I28" s="93" t="s">
        <v>51</v>
      </c>
      <c r="J28" s="87" t="s">
        <v>73</v>
      </c>
      <c r="K28" s="88">
        <v>80</v>
      </c>
      <c r="L28" s="88">
        <v>75</v>
      </c>
      <c r="M28" s="88">
        <v>70</v>
      </c>
      <c r="N28" s="88">
        <v>50</v>
      </c>
      <c r="O28" s="88" t="s">
        <v>74</v>
      </c>
      <c r="P28" s="89"/>
      <c r="Q28" s="90">
        <f t="shared" si="0"/>
        <v>0</v>
      </c>
      <c r="R28" s="91">
        <f t="shared" si="1"/>
        <v>0</v>
      </c>
    </row>
    <row r="29" spans="1:18" s="92" customFormat="1" ht="147" customHeight="1" x14ac:dyDescent="0.25">
      <c r="A29" s="285"/>
      <c r="B29" s="286"/>
      <c r="C29" s="287"/>
      <c r="D29" s="82" t="s">
        <v>79</v>
      </c>
      <c r="E29" s="83">
        <f>C26/5</f>
        <v>2.8606138107416901</v>
      </c>
      <c r="F29" s="83">
        <f t="shared" si="2"/>
        <v>10.785920925747352</v>
      </c>
      <c r="G29" s="84" t="s">
        <v>80</v>
      </c>
      <c r="H29" s="94">
        <v>1</v>
      </c>
      <c r="I29" s="86" t="s">
        <v>51</v>
      </c>
      <c r="J29" s="87">
        <v>100</v>
      </c>
      <c r="K29" s="88">
        <v>95</v>
      </c>
      <c r="L29" s="88">
        <v>90</v>
      </c>
      <c r="M29" s="88">
        <v>85</v>
      </c>
      <c r="N29" s="88">
        <v>80</v>
      </c>
      <c r="O29" s="88" t="s">
        <v>52</v>
      </c>
      <c r="P29" s="89"/>
      <c r="Q29" s="90">
        <f t="shared" si="0"/>
        <v>0</v>
      </c>
      <c r="R29" s="91">
        <f t="shared" si="1"/>
        <v>0</v>
      </c>
    </row>
    <row r="30" spans="1:18" s="92" customFormat="1" ht="147" customHeight="1" x14ac:dyDescent="0.25">
      <c r="A30" s="288"/>
      <c r="B30" s="289"/>
      <c r="C30" s="290"/>
      <c r="D30" s="82" t="s">
        <v>81</v>
      </c>
      <c r="E30" s="83">
        <f>C26/5</f>
        <v>2.8606138107416901</v>
      </c>
      <c r="F30" s="83">
        <f t="shared" si="2"/>
        <v>10.785920925747352</v>
      </c>
      <c r="G30" s="84" t="s">
        <v>82</v>
      </c>
      <c r="H30" s="94">
        <v>0.9</v>
      </c>
      <c r="I30" s="93" t="s">
        <v>51</v>
      </c>
      <c r="J30" s="87" t="s">
        <v>83</v>
      </c>
      <c r="K30" s="88">
        <v>90</v>
      </c>
      <c r="L30" s="88">
        <v>80</v>
      </c>
      <c r="M30" s="88">
        <v>70</v>
      </c>
      <c r="N30" s="88">
        <v>50</v>
      </c>
      <c r="O30" s="88" t="s">
        <v>74</v>
      </c>
      <c r="P30" s="89"/>
      <c r="Q30" s="90">
        <f t="shared" si="0"/>
        <v>0</v>
      </c>
      <c r="R30" s="91">
        <f t="shared" si="1"/>
        <v>0</v>
      </c>
    </row>
    <row r="31" spans="1:18" s="92" customFormat="1" ht="147" customHeight="1" x14ac:dyDescent="0.25">
      <c r="A31" s="282">
        <v>4</v>
      </c>
      <c r="B31" s="283" t="s">
        <v>84</v>
      </c>
      <c r="C31" s="291">
        <f>0.25*0.895140664961637</f>
        <v>0.22378516624040926</v>
      </c>
      <c r="D31" s="82" t="s">
        <v>85</v>
      </c>
      <c r="E31" s="83">
        <f>C31/2</f>
        <v>0.11189258312020463</v>
      </c>
      <c r="F31" s="83">
        <f t="shared" si="2"/>
        <v>0.4218900675024107</v>
      </c>
      <c r="G31" s="84" t="s">
        <v>86</v>
      </c>
      <c r="H31" s="94">
        <v>1</v>
      </c>
      <c r="I31" s="86" t="s">
        <v>51</v>
      </c>
      <c r="J31" s="87">
        <v>100</v>
      </c>
      <c r="K31" s="88">
        <v>95</v>
      </c>
      <c r="L31" s="88">
        <v>90</v>
      </c>
      <c r="M31" s="88">
        <v>85</v>
      </c>
      <c r="N31" s="88">
        <v>80</v>
      </c>
      <c r="O31" s="88" t="s">
        <v>52</v>
      </c>
      <c r="P31" s="89"/>
      <c r="Q31" s="90">
        <f t="shared" si="0"/>
        <v>0</v>
      </c>
      <c r="R31" s="91">
        <f t="shared" si="1"/>
        <v>0</v>
      </c>
    </row>
    <row r="32" spans="1:18" s="92" customFormat="1" ht="147" customHeight="1" x14ac:dyDescent="0.25">
      <c r="A32" s="288"/>
      <c r="B32" s="289"/>
      <c r="C32" s="292"/>
      <c r="D32" s="82" t="s">
        <v>87</v>
      </c>
      <c r="E32" s="83">
        <f>C31/2</f>
        <v>0.11189258312020463</v>
      </c>
      <c r="F32" s="83">
        <f t="shared" si="2"/>
        <v>0.4218900675024107</v>
      </c>
      <c r="G32" s="84" t="s">
        <v>88</v>
      </c>
      <c r="H32" s="93">
        <v>5</v>
      </c>
      <c r="I32" s="86" t="s">
        <v>59</v>
      </c>
      <c r="J32" s="87" t="s">
        <v>60</v>
      </c>
      <c r="K32" s="88">
        <v>5</v>
      </c>
      <c r="L32" s="88">
        <v>4</v>
      </c>
      <c r="M32" s="88">
        <v>3</v>
      </c>
      <c r="N32" s="88">
        <v>2</v>
      </c>
      <c r="O32" s="88">
        <v>1</v>
      </c>
      <c r="P32" s="89"/>
      <c r="Q32" s="90">
        <f t="shared" si="0"/>
        <v>0</v>
      </c>
      <c r="R32" s="91">
        <f t="shared" si="1"/>
        <v>0</v>
      </c>
    </row>
    <row r="33" spans="1:18" s="92" customFormat="1" ht="147" customHeight="1" x14ac:dyDescent="0.25">
      <c r="A33" s="282">
        <v>5</v>
      </c>
      <c r="B33" s="283" t="s">
        <v>89</v>
      </c>
      <c r="C33" s="291">
        <f>0.5*1.79028132992327</f>
        <v>0.89514066496163502</v>
      </c>
      <c r="D33" s="82" t="s">
        <v>90</v>
      </c>
      <c r="E33" s="83">
        <f>C33/2</f>
        <v>0.44757033248081751</v>
      </c>
      <c r="F33" s="83">
        <f t="shared" si="2"/>
        <v>1.687560270009639</v>
      </c>
      <c r="G33" s="84" t="s">
        <v>91</v>
      </c>
      <c r="H33" s="93">
        <v>5</v>
      </c>
      <c r="I33" s="93" t="s">
        <v>59</v>
      </c>
      <c r="J33" s="87" t="s">
        <v>60</v>
      </c>
      <c r="K33" s="88">
        <v>5</v>
      </c>
      <c r="L33" s="88">
        <v>4</v>
      </c>
      <c r="M33" s="88">
        <v>3</v>
      </c>
      <c r="N33" s="88">
        <v>2</v>
      </c>
      <c r="O33" s="88">
        <v>1</v>
      </c>
      <c r="P33" s="89"/>
      <c r="Q33" s="90">
        <f t="shared" si="0"/>
        <v>0</v>
      </c>
      <c r="R33" s="91">
        <f t="shared" si="1"/>
        <v>0</v>
      </c>
    </row>
    <row r="34" spans="1:18" s="92" customFormat="1" ht="147" customHeight="1" x14ac:dyDescent="0.25">
      <c r="A34" s="288"/>
      <c r="B34" s="289"/>
      <c r="C34" s="292"/>
      <c r="D34" s="82" t="s">
        <v>92</v>
      </c>
      <c r="E34" s="83">
        <f>C33/2</f>
        <v>0.44757033248081751</v>
      </c>
      <c r="F34" s="83">
        <f t="shared" si="2"/>
        <v>1.687560270009639</v>
      </c>
      <c r="G34" s="84" t="s">
        <v>93</v>
      </c>
      <c r="H34" s="85">
        <v>0.5</v>
      </c>
      <c r="I34" s="86" t="s">
        <v>51</v>
      </c>
      <c r="J34" s="87" t="s">
        <v>66</v>
      </c>
      <c r="K34" s="88">
        <v>50</v>
      </c>
      <c r="L34" s="88">
        <v>45</v>
      </c>
      <c r="M34" s="88">
        <v>40</v>
      </c>
      <c r="N34" s="88">
        <v>25</v>
      </c>
      <c r="O34" s="88" t="s">
        <v>67</v>
      </c>
      <c r="P34" s="89"/>
      <c r="Q34" s="90">
        <f t="shared" si="0"/>
        <v>0</v>
      </c>
      <c r="R34" s="91">
        <f t="shared" si="1"/>
        <v>0</v>
      </c>
    </row>
    <row r="35" spans="1:18" s="92" customFormat="1" ht="147" customHeight="1" x14ac:dyDescent="0.25">
      <c r="A35" s="293">
        <v>6</v>
      </c>
      <c r="B35" s="294" t="s">
        <v>94</v>
      </c>
      <c r="C35" s="295">
        <f>0.25*14.3222506393862</f>
        <v>3.5805626598465499</v>
      </c>
      <c r="D35" s="82" t="s">
        <v>95</v>
      </c>
      <c r="E35" s="83">
        <f>C35</f>
        <v>3.5805626598465499</v>
      </c>
      <c r="F35" s="83">
        <f t="shared" si="2"/>
        <v>13.500482160077148</v>
      </c>
      <c r="G35" s="84" t="s">
        <v>96</v>
      </c>
      <c r="H35" s="94">
        <v>0.8</v>
      </c>
      <c r="I35" s="93" t="s">
        <v>51</v>
      </c>
      <c r="J35" s="87" t="s">
        <v>73</v>
      </c>
      <c r="K35" s="88">
        <v>80</v>
      </c>
      <c r="L35" s="88">
        <v>75</v>
      </c>
      <c r="M35" s="88">
        <v>70</v>
      </c>
      <c r="N35" s="88">
        <v>50</v>
      </c>
      <c r="O35" s="88" t="s">
        <v>74</v>
      </c>
      <c r="P35" s="89"/>
      <c r="Q35" s="90">
        <f t="shared" si="0"/>
        <v>0</v>
      </c>
      <c r="R35" s="91">
        <f t="shared" si="1"/>
        <v>0</v>
      </c>
    </row>
    <row r="36" spans="1:18" s="92" customFormat="1" ht="147" customHeight="1" x14ac:dyDescent="0.25">
      <c r="A36" s="81">
        <v>7</v>
      </c>
      <c r="B36" s="82" t="s">
        <v>97</v>
      </c>
      <c r="C36" s="96">
        <f>0.25*5.72890025575448</f>
        <v>1.43222506393862</v>
      </c>
      <c r="D36" s="294" t="s">
        <v>98</v>
      </c>
      <c r="E36" s="83">
        <f>C36</f>
        <v>1.43222506393862</v>
      </c>
      <c r="F36" s="83">
        <f t="shared" si="2"/>
        <v>5.4001928640308599</v>
      </c>
      <c r="G36" s="84" t="s">
        <v>99</v>
      </c>
      <c r="H36" s="85">
        <v>0.7</v>
      </c>
      <c r="I36" s="93" t="s">
        <v>51</v>
      </c>
      <c r="J36" s="87" t="s">
        <v>100</v>
      </c>
      <c r="K36" s="88">
        <v>70</v>
      </c>
      <c r="L36" s="88">
        <v>60</v>
      </c>
      <c r="M36" s="88">
        <v>50</v>
      </c>
      <c r="N36" s="88">
        <v>40</v>
      </c>
      <c r="O36" s="88" t="s">
        <v>101</v>
      </c>
      <c r="P36" s="89"/>
      <c r="Q36" s="90">
        <f t="shared" si="0"/>
        <v>0</v>
      </c>
      <c r="R36" s="91">
        <f t="shared" si="1"/>
        <v>0</v>
      </c>
    </row>
    <row r="37" spans="1:18" s="92" customFormat="1" ht="147" customHeight="1" x14ac:dyDescent="0.25">
      <c r="A37" s="81">
        <v>8</v>
      </c>
      <c r="B37" s="82" t="s">
        <v>102</v>
      </c>
      <c r="C37" s="96">
        <f>0.25*7.16112531969309</f>
        <v>1.7902813299232725</v>
      </c>
      <c r="D37" s="84" t="s">
        <v>103</v>
      </c>
      <c r="E37" s="83">
        <f>C37</f>
        <v>1.7902813299232725</v>
      </c>
      <c r="F37" s="83">
        <f t="shared" si="2"/>
        <v>6.7502410800385642</v>
      </c>
      <c r="G37" s="84" t="s">
        <v>104</v>
      </c>
      <c r="H37" s="85">
        <v>0.5</v>
      </c>
      <c r="I37" s="86" t="s">
        <v>51</v>
      </c>
      <c r="J37" s="87" t="s">
        <v>66</v>
      </c>
      <c r="K37" s="88">
        <v>50</v>
      </c>
      <c r="L37" s="88">
        <v>45</v>
      </c>
      <c r="M37" s="88">
        <v>40</v>
      </c>
      <c r="N37" s="88">
        <v>25</v>
      </c>
      <c r="O37" s="88" t="s">
        <v>67</v>
      </c>
      <c r="P37" s="89"/>
      <c r="Q37" s="90">
        <f t="shared" si="0"/>
        <v>0</v>
      </c>
      <c r="R37" s="91">
        <f t="shared" si="1"/>
        <v>0</v>
      </c>
    </row>
    <row r="38" spans="1:18" s="107" customFormat="1" ht="44.25" x14ac:dyDescent="0.25">
      <c r="A38" s="97"/>
      <c r="B38" s="98" t="s">
        <v>105</v>
      </c>
      <c r="C38" s="99">
        <f>SUM(C19:C37)</f>
        <v>26.521739130434788</v>
      </c>
      <c r="D38" s="98"/>
      <c r="E38" s="99">
        <f>SUM(E19:E37)</f>
        <v>26.521739130434796</v>
      </c>
      <c r="F38" s="99">
        <f>SUM(F19:F37)</f>
        <v>100</v>
      </c>
      <c r="G38" s="100"/>
      <c r="H38" s="101"/>
      <c r="I38" s="102"/>
      <c r="J38" s="103"/>
      <c r="K38" s="103"/>
      <c r="L38" s="103"/>
      <c r="M38" s="103"/>
      <c r="N38" s="103"/>
      <c r="O38" s="103"/>
      <c r="P38" s="104"/>
      <c r="Q38" s="105"/>
      <c r="R38" s="106">
        <f>SUM(R19:R37)</f>
        <v>0</v>
      </c>
    </row>
    <row r="39" spans="1:18" s="109" customFormat="1" ht="66" customHeight="1" x14ac:dyDescent="0.7">
      <c r="A39" s="108"/>
      <c r="G39" s="110"/>
      <c r="H39" s="110"/>
      <c r="I39" s="111" t="s">
        <v>155</v>
      </c>
      <c r="J39" s="112"/>
      <c r="K39" s="112"/>
      <c r="L39" s="112"/>
      <c r="M39" s="112"/>
      <c r="N39" s="112"/>
      <c r="O39" s="112"/>
      <c r="P39" s="112"/>
      <c r="Q39" s="113"/>
      <c r="R39" s="114">
        <f>R38/100 * 70</f>
        <v>0</v>
      </c>
    </row>
    <row r="40" spans="1:18" s="123" customFormat="1" ht="36" x14ac:dyDescent="0.55000000000000004">
      <c r="A40" s="115" t="s">
        <v>106</v>
      </c>
      <c r="B40" s="116"/>
      <c r="C40" s="116"/>
      <c r="D40" s="116"/>
      <c r="E40" s="116"/>
      <c r="F40" s="116"/>
      <c r="G40" s="117"/>
      <c r="H40" s="118"/>
      <c r="I40" s="118"/>
      <c r="J40" s="118"/>
      <c r="K40" s="118"/>
      <c r="L40" s="71" t="s">
        <v>111</v>
      </c>
      <c r="M40" s="119" t="s">
        <v>107</v>
      </c>
      <c r="N40" s="119"/>
      <c r="O40" s="119"/>
      <c r="P40" s="120"/>
      <c r="Q40" s="121"/>
      <c r="R40" s="122"/>
    </row>
    <row r="41" spans="1:18" s="123" customFormat="1" ht="31.5" customHeight="1" x14ac:dyDescent="0.55000000000000004">
      <c r="A41" s="124"/>
      <c r="B41" s="125"/>
      <c r="C41" s="126" t="s">
        <v>108</v>
      </c>
      <c r="D41" s="126"/>
      <c r="E41" s="126"/>
      <c r="F41" s="126"/>
      <c r="G41" s="126"/>
      <c r="H41" s="127" t="s">
        <v>156</v>
      </c>
      <c r="I41" s="127" t="s">
        <v>157</v>
      </c>
      <c r="J41" s="127"/>
      <c r="K41" s="128"/>
      <c r="L41" s="79"/>
      <c r="M41" s="129"/>
      <c r="N41" s="129"/>
      <c r="O41" s="129"/>
      <c r="P41" s="130"/>
      <c r="Q41" s="121"/>
      <c r="R41" s="122"/>
    </row>
    <row r="42" spans="1:18" s="123" customFormat="1" ht="36" customHeight="1" x14ac:dyDescent="0.55000000000000004">
      <c r="A42" s="131">
        <v>1</v>
      </c>
      <c r="B42" s="132" t="s">
        <v>112</v>
      </c>
      <c r="C42" s="133"/>
      <c r="D42" s="134"/>
      <c r="E42" s="134"/>
      <c r="F42" s="134"/>
      <c r="G42" s="135"/>
      <c r="H42" s="136"/>
      <c r="I42" s="136"/>
      <c r="J42" s="136"/>
      <c r="K42" s="136"/>
      <c r="L42" s="137"/>
      <c r="M42" s="138" t="s">
        <v>42</v>
      </c>
      <c r="N42" s="139" t="s">
        <v>113</v>
      </c>
      <c r="O42" s="140"/>
      <c r="P42" s="130"/>
      <c r="Q42" s="121"/>
      <c r="R42" s="122"/>
    </row>
    <row r="43" spans="1:18" s="123" customFormat="1" ht="84.75" customHeight="1" x14ac:dyDescent="0.55000000000000004">
      <c r="A43" s="141" t="s">
        <v>114</v>
      </c>
      <c r="B43" s="142" t="s">
        <v>158</v>
      </c>
      <c r="C43" s="143"/>
      <c r="D43" s="144"/>
      <c r="E43" s="144"/>
      <c r="F43" s="144"/>
      <c r="G43" s="145"/>
      <c r="H43" s="146">
        <v>4</v>
      </c>
      <c r="I43" s="147"/>
      <c r="J43" s="146"/>
      <c r="K43" s="146"/>
      <c r="L43" s="137"/>
      <c r="M43" s="138" t="s">
        <v>43</v>
      </c>
      <c r="N43" s="139" t="s">
        <v>115</v>
      </c>
      <c r="O43" s="140"/>
      <c r="P43" s="130"/>
      <c r="Q43" s="121"/>
      <c r="R43" s="122"/>
    </row>
    <row r="44" spans="1:18" s="123" customFormat="1" ht="82.5" customHeight="1" x14ac:dyDescent="0.55000000000000004">
      <c r="A44" s="141" t="s">
        <v>116</v>
      </c>
      <c r="B44" s="142" t="s">
        <v>159</v>
      </c>
      <c r="C44" s="143"/>
      <c r="D44" s="144"/>
      <c r="E44" s="144"/>
      <c r="F44" s="144"/>
      <c r="G44" s="145"/>
      <c r="H44" s="146">
        <v>2</v>
      </c>
      <c r="I44" s="147"/>
      <c r="J44" s="146"/>
      <c r="K44" s="146"/>
      <c r="L44" s="137"/>
      <c r="M44" s="138" t="s">
        <v>44</v>
      </c>
      <c r="N44" s="139" t="s">
        <v>117</v>
      </c>
      <c r="O44" s="140"/>
      <c r="P44" s="130"/>
      <c r="Q44" s="121"/>
      <c r="R44" s="122"/>
    </row>
    <row r="45" spans="1:18" s="123" customFormat="1" ht="78.75" customHeight="1" x14ac:dyDescent="0.55000000000000004">
      <c r="A45" s="141" t="s">
        <v>118</v>
      </c>
      <c r="B45" s="142" t="s">
        <v>119</v>
      </c>
      <c r="C45" s="143"/>
      <c r="D45" s="144"/>
      <c r="E45" s="144"/>
      <c r="F45" s="144"/>
      <c r="G45" s="145"/>
      <c r="H45" s="146">
        <v>2</v>
      </c>
      <c r="I45" s="147"/>
      <c r="J45" s="146"/>
      <c r="K45" s="146"/>
      <c r="L45" s="137"/>
      <c r="M45" s="138" t="s">
        <v>45</v>
      </c>
      <c r="N45" s="139" t="s">
        <v>120</v>
      </c>
      <c r="O45" s="140"/>
      <c r="P45" s="130"/>
      <c r="Q45" s="121"/>
      <c r="R45" s="122"/>
    </row>
    <row r="46" spans="1:18" s="123" customFormat="1" ht="36" x14ac:dyDescent="0.55000000000000004">
      <c r="A46" s="148">
        <v>2</v>
      </c>
      <c r="B46" s="149" t="s">
        <v>121</v>
      </c>
      <c r="C46" s="150"/>
      <c r="D46" s="151"/>
      <c r="E46" s="151"/>
      <c r="F46" s="151"/>
      <c r="G46" s="152"/>
      <c r="H46" s="146"/>
      <c r="I46" s="147"/>
      <c r="J46" s="146"/>
      <c r="K46" s="146"/>
      <c r="L46" s="137"/>
      <c r="M46" s="138" t="s">
        <v>46</v>
      </c>
      <c r="N46" s="139" t="s">
        <v>122</v>
      </c>
      <c r="O46" s="140"/>
      <c r="P46" s="130"/>
      <c r="Q46" s="121"/>
      <c r="R46" s="122"/>
    </row>
    <row r="47" spans="1:18" s="123" customFormat="1" ht="82.5" customHeight="1" x14ac:dyDescent="0.55000000000000004">
      <c r="A47" s="141" t="s">
        <v>114</v>
      </c>
      <c r="B47" s="153" t="s">
        <v>160</v>
      </c>
      <c r="C47" s="154"/>
      <c r="D47" s="155"/>
      <c r="E47" s="155"/>
      <c r="F47" s="155"/>
      <c r="G47" s="156"/>
      <c r="H47" s="146">
        <v>2</v>
      </c>
      <c r="I47" s="147"/>
      <c r="J47" s="146"/>
      <c r="K47" s="146"/>
      <c r="L47" s="137"/>
      <c r="M47" s="138" t="s">
        <v>47</v>
      </c>
      <c r="N47" s="139" t="s">
        <v>123</v>
      </c>
      <c r="O47" s="140"/>
      <c r="P47" s="157"/>
      <c r="Q47" s="121"/>
      <c r="R47" s="122"/>
    </row>
    <row r="48" spans="1:18" s="123" customFormat="1" ht="114.75" customHeight="1" x14ac:dyDescent="0.55000000000000004">
      <c r="A48" s="141" t="s">
        <v>116</v>
      </c>
      <c r="B48" s="153" t="s">
        <v>161</v>
      </c>
      <c r="C48" s="154"/>
      <c r="D48" s="155"/>
      <c r="E48" s="155"/>
      <c r="F48" s="155"/>
      <c r="G48" s="156"/>
      <c r="H48" s="146">
        <v>2</v>
      </c>
      <c r="I48" s="147"/>
      <c r="J48" s="146"/>
      <c r="K48" s="146"/>
      <c r="L48" s="137"/>
      <c r="M48" s="130" t="s">
        <v>111</v>
      </c>
      <c r="N48" s="158" t="s">
        <v>124</v>
      </c>
      <c r="O48" s="159"/>
      <c r="P48" s="157"/>
      <c r="Q48" s="121"/>
      <c r="R48" s="122"/>
    </row>
    <row r="49" spans="1:18" s="123" customFormat="1" ht="72" customHeight="1" x14ac:dyDescent="0.55000000000000004">
      <c r="A49" s="141" t="s">
        <v>118</v>
      </c>
      <c r="B49" s="153" t="s">
        <v>162</v>
      </c>
      <c r="C49" s="154"/>
      <c r="D49" s="155"/>
      <c r="E49" s="155"/>
      <c r="F49" s="155"/>
      <c r="G49" s="156"/>
      <c r="H49" s="146">
        <v>2</v>
      </c>
      <c r="I49" s="147"/>
      <c r="J49" s="146"/>
      <c r="K49" s="146"/>
      <c r="L49" s="137"/>
      <c r="M49" s="130" t="s">
        <v>125</v>
      </c>
      <c r="N49" s="158" t="s">
        <v>126</v>
      </c>
      <c r="O49" s="159"/>
      <c r="P49" s="157"/>
      <c r="Q49" s="121"/>
      <c r="R49" s="122"/>
    </row>
    <row r="50" spans="1:18" s="123" customFormat="1" ht="66" customHeight="1" x14ac:dyDescent="0.55000000000000004">
      <c r="A50" s="148">
        <v>3</v>
      </c>
      <c r="B50" s="149" t="s">
        <v>127</v>
      </c>
      <c r="C50" s="150"/>
      <c r="D50" s="151"/>
      <c r="E50" s="151"/>
      <c r="F50" s="151"/>
      <c r="G50" s="152"/>
      <c r="H50" s="146"/>
      <c r="I50" s="147"/>
      <c r="J50" s="146"/>
      <c r="K50" s="146"/>
      <c r="L50" s="137"/>
      <c r="M50" s="130" t="s">
        <v>109</v>
      </c>
      <c r="N50" s="158" t="s">
        <v>128</v>
      </c>
      <c r="O50" s="159"/>
      <c r="P50" s="157"/>
      <c r="Q50" s="121"/>
      <c r="R50" s="122"/>
    </row>
    <row r="51" spans="1:18" s="123" customFormat="1" ht="72" customHeight="1" x14ac:dyDescent="0.55000000000000004">
      <c r="A51" s="141" t="s">
        <v>114</v>
      </c>
      <c r="B51" s="153" t="s">
        <v>129</v>
      </c>
      <c r="C51" s="160"/>
      <c r="D51" s="161"/>
      <c r="E51" s="161"/>
      <c r="F51" s="161"/>
      <c r="G51" s="162"/>
      <c r="H51" s="146">
        <v>2</v>
      </c>
      <c r="I51" s="147"/>
      <c r="J51" s="146"/>
      <c r="K51" s="146"/>
      <c r="L51" s="137"/>
      <c r="M51" s="130" t="s">
        <v>110</v>
      </c>
      <c r="N51" s="158" t="s">
        <v>130</v>
      </c>
      <c r="O51" s="159"/>
      <c r="P51" s="157"/>
      <c r="Q51" s="121"/>
      <c r="R51" s="122"/>
    </row>
    <row r="52" spans="1:18" s="123" customFormat="1" ht="72" customHeight="1" x14ac:dyDescent="0.55000000000000004">
      <c r="A52" s="141" t="s">
        <v>116</v>
      </c>
      <c r="B52" s="153" t="s">
        <v>163</v>
      </c>
      <c r="C52" s="160"/>
      <c r="D52" s="161"/>
      <c r="E52" s="161"/>
      <c r="F52" s="161"/>
      <c r="G52" s="162"/>
      <c r="H52" s="146">
        <v>2</v>
      </c>
      <c r="I52" s="147"/>
      <c r="J52" s="146"/>
      <c r="K52" s="146"/>
      <c r="L52" s="137"/>
      <c r="M52" s="130" t="s">
        <v>131</v>
      </c>
      <c r="N52" s="158" t="s">
        <v>132</v>
      </c>
      <c r="O52" s="159"/>
      <c r="P52" s="157"/>
      <c r="Q52" s="121"/>
      <c r="R52" s="122"/>
    </row>
    <row r="53" spans="1:18" s="123" customFormat="1" ht="44.25" customHeight="1" x14ac:dyDescent="0.55000000000000004">
      <c r="A53" s="141" t="s">
        <v>118</v>
      </c>
      <c r="B53" s="153" t="s">
        <v>164</v>
      </c>
      <c r="C53" s="160"/>
      <c r="D53" s="161"/>
      <c r="E53" s="161"/>
      <c r="F53" s="161"/>
      <c r="G53" s="162"/>
      <c r="H53" s="146">
        <v>2</v>
      </c>
      <c r="I53" s="147"/>
      <c r="J53" s="146"/>
      <c r="K53" s="146"/>
      <c r="L53" s="137"/>
      <c r="M53" s="163"/>
      <c r="N53" s="163"/>
      <c r="O53" s="163"/>
      <c r="P53" s="164"/>
      <c r="Q53" s="121"/>
      <c r="R53" s="122"/>
    </row>
    <row r="54" spans="1:18" s="123" customFormat="1" ht="31.5" customHeight="1" x14ac:dyDescent="0.55000000000000004">
      <c r="A54" s="165" t="s">
        <v>133</v>
      </c>
      <c r="B54" s="166"/>
      <c r="C54" s="166"/>
      <c r="D54" s="166"/>
      <c r="E54" s="166"/>
      <c r="F54" s="166"/>
      <c r="G54" s="166"/>
      <c r="H54" s="167">
        <f>SUM(H43:H53)</f>
        <v>20</v>
      </c>
      <c r="I54" s="167">
        <f>SUM(I43:I53)</f>
        <v>0</v>
      </c>
      <c r="J54" s="167"/>
      <c r="K54" s="168"/>
      <c r="L54" s="137"/>
      <c r="M54" s="163"/>
      <c r="N54" s="163"/>
      <c r="O54" s="163"/>
      <c r="P54" s="164"/>
      <c r="Q54" s="121"/>
      <c r="R54" s="122"/>
    </row>
    <row r="55" spans="1:18" s="123" customFormat="1" ht="36" customHeight="1" x14ac:dyDescent="0.55000000000000004">
      <c r="A55" s="169" t="s">
        <v>114</v>
      </c>
      <c r="B55" s="170" t="s">
        <v>134</v>
      </c>
      <c r="C55" s="154" t="s">
        <v>135</v>
      </c>
      <c r="D55" s="155"/>
      <c r="E55" s="155"/>
      <c r="F55" s="155"/>
      <c r="G55" s="156"/>
      <c r="H55" s="171">
        <v>4</v>
      </c>
      <c r="I55" s="172"/>
      <c r="J55" s="171"/>
      <c r="K55" s="173"/>
      <c r="L55" s="137"/>
      <c r="M55" s="163"/>
      <c r="N55" s="163"/>
      <c r="O55" s="163"/>
      <c r="P55" s="164"/>
      <c r="Q55" s="121"/>
      <c r="R55" s="122"/>
    </row>
    <row r="56" spans="1:18" s="123" customFormat="1" ht="129" customHeight="1" x14ac:dyDescent="0.55000000000000004">
      <c r="A56" s="169" t="s">
        <v>116</v>
      </c>
      <c r="B56" s="170" t="s">
        <v>136</v>
      </c>
      <c r="C56" s="154" t="s">
        <v>137</v>
      </c>
      <c r="D56" s="155"/>
      <c r="E56" s="155"/>
      <c r="F56" s="155"/>
      <c r="G56" s="156"/>
      <c r="H56" s="171">
        <v>3</v>
      </c>
      <c r="I56" s="172"/>
      <c r="J56" s="171"/>
      <c r="K56" s="173"/>
      <c r="L56" s="137"/>
      <c r="M56" s="163"/>
      <c r="N56" s="163"/>
      <c r="O56" s="163"/>
      <c r="P56" s="164"/>
      <c r="Q56" s="121"/>
      <c r="R56" s="122"/>
    </row>
    <row r="57" spans="1:18" s="123" customFormat="1" ht="69" customHeight="1" x14ac:dyDescent="0.55000000000000004">
      <c r="A57" s="169" t="s">
        <v>116</v>
      </c>
      <c r="B57" s="170" t="s">
        <v>138</v>
      </c>
      <c r="C57" s="154" t="s">
        <v>139</v>
      </c>
      <c r="D57" s="155"/>
      <c r="E57" s="155"/>
      <c r="F57" s="155"/>
      <c r="G57" s="156"/>
      <c r="H57" s="171">
        <v>3</v>
      </c>
      <c r="I57" s="172"/>
      <c r="J57" s="171"/>
      <c r="K57" s="173"/>
      <c r="L57" s="137"/>
      <c r="M57" s="163"/>
      <c r="N57" s="163"/>
      <c r="O57" s="163"/>
      <c r="P57" s="164"/>
      <c r="Q57" s="121"/>
      <c r="R57" s="122"/>
    </row>
    <row r="58" spans="1:18" s="123" customFormat="1" ht="46.5" customHeight="1" x14ac:dyDescent="0.55000000000000004">
      <c r="A58" s="174"/>
      <c r="B58" s="175" t="s">
        <v>140</v>
      </c>
      <c r="C58" s="175"/>
      <c r="D58" s="175"/>
      <c r="E58" s="176"/>
      <c r="F58" s="176"/>
      <c r="G58" s="176"/>
      <c r="H58" s="167">
        <f>SUM(H55:H57)</f>
        <v>10</v>
      </c>
      <c r="I58" s="167">
        <f>SUM(I55:I57)</f>
        <v>0</v>
      </c>
      <c r="J58" s="176"/>
      <c r="K58" s="177"/>
      <c r="L58" s="163"/>
      <c r="M58" s="163"/>
      <c r="N58" s="163"/>
      <c r="O58" s="163"/>
      <c r="P58" s="164"/>
      <c r="Q58" s="121"/>
      <c r="R58" s="122"/>
    </row>
    <row r="59" spans="1:18" s="185" customFormat="1" ht="45" customHeight="1" x14ac:dyDescent="0.7">
      <c r="A59" s="178"/>
      <c r="B59" s="179"/>
      <c r="C59" s="180"/>
      <c r="D59" s="180"/>
      <c r="E59" s="180"/>
      <c r="F59" s="181"/>
      <c r="G59" s="181"/>
      <c r="H59" s="181"/>
      <c r="I59" s="181"/>
      <c r="J59" s="181"/>
      <c r="K59" s="180"/>
      <c r="L59" s="180"/>
      <c r="M59" s="180"/>
      <c r="N59" s="180"/>
      <c r="O59" s="182" t="s">
        <v>165</v>
      </c>
      <c r="P59" s="183"/>
      <c r="Q59" s="182" t="s">
        <v>166</v>
      </c>
      <c r="R59" s="184"/>
    </row>
    <row r="60" spans="1:18" s="185" customFormat="1" ht="45" customHeight="1" x14ac:dyDescent="0.7">
      <c r="A60" s="178"/>
      <c r="B60" s="186"/>
      <c r="C60" s="187" t="s">
        <v>167</v>
      </c>
      <c r="D60" s="188"/>
      <c r="E60" s="188"/>
      <c r="F60" s="188"/>
      <c r="G60" s="188"/>
      <c r="H60" s="188"/>
      <c r="I60" s="188"/>
      <c r="J60" s="188"/>
      <c r="K60" s="189"/>
      <c r="L60" s="190"/>
      <c r="M60" s="191"/>
      <c r="N60" s="192"/>
      <c r="O60" s="193">
        <f>R39</f>
        <v>0</v>
      </c>
      <c r="P60" s="194"/>
      <c r="Q60" s="195">
        <f>O63/100 * 20</f>
        <v>0</v>
      </c>
      <c r="R60" s="196"/>
    </row>
    <row r="61" spans="1:18" s="185" customFormat="1" ht="45" customHeight="1" x14ac:dyDescent="0.7">
      <c r="A61" s="178"/>
      <c r="B61" s="186"/>
      <c r="C61" s="188" t="s">
        <v>168</v>
      </c>
      <c r="D61" s="188"/>
      <c r="E61" s="188"/>
      <c r="F61" s="188"/>
      <c r="G61" s="188"/>
      <c r="H61" s="188"/>
      <c r="I61" s="188"/>
      <c r="J61" s="188"/>
      <c r="K61" s="188"/>
      <c r="L61" s="191"/>
      <c r="M61" s="191"/>
      <c r="N61" s="192"/>
      <c r="O61" s="193">
        <f>I54</f>
        <v>0</v>
      </c>
      <c r="P61" s="194"/>
      <c r="Q61" s="197"/>
      <c r="R61" s="198"/>
    </row>
    <row r="62" spans="1:18" s="185" customFormat="1" ht="45" customHeight="1" x14ac:dyDescent="0.7">
      <c r="A62" s="178"/>
      <c r="B62" s="186"/>
      <c r="C62" s="187" t="s">
        <v>169</v>
      </c>
      <c r="D62" s="188"/>
      <c r="E62" s="188"/>
      <c r="F62" s="188"/>
      <c r="G62" s="188"/>
      <c r="H62" s="188"/>
      <c r="I62" s="188"/>
      <c r="J62" s="188"/>
      <c r="K62" s="189"/>
      <c r="L62" s="190"/>
      <c r="M62" s="191"/>
      <c r="N62" s="192"/>
      <c r="O62" s="193">
        <f>I58</f>
        <v>0</v>
      </c>
      <c r="P62" s="194"/>
      <c r="Q62" s="197"/>
      <c r="R62" s="198"/>
    </row>
    <row r="63" spans="1:18" s="185" customFormat="1" ht="45" customHeight="1" x14ac:dyDescent="0.7">
      <c r="A63" s="178"/>
      <c r="B63" s="199"/>
      <c r="C63" s="187" t="s">
        <v>170</v>
      </c>
      <c r="D63" s="188"/>
      <c r="E63" s="188"/>
      <c r="F63" s="188"/>
      <c r="G63" s="188"/>
      <c r="H63" s="188"/>
      <c r="I63" s="188"/>
      <c r="J63" s="188"/>
      <c r="K63" s="189"/>
      <c r="L63" s="190"/>
      <c r="M63" s="191"/>
      <c r="N63" s="192"/>
      <c r="O63" s="193">
        <f>SUM(O60:P62)</f>
        <v>0</v>
      </c>
      <c r="P63" s="194"/>
      <c r="Q63" s="200"/>
      <c r="R63" s="201"/>
    </row>
    <row r="64" spans="1:18" s="185" customFormat="1" ht="64.900000000000006" customHeight="1" x14ac:dyDescent="0.7">
      <c r="A64" s="178"/>
      <c r="B64" s="202" t="s">
        <v>171</v>
      </c>
      <c r="C64" s="202"/>
      <c r="D64" s="202"/>
      <c r="E64" s="202"/>
      <c r="F64" s="202"/>
      <c r="G64" s="202"/>
      <c r="H64" s="203"/>
      <c r="I64" s="203"/>
      <c r="J64" s="203"/>
      <c r="K64" s="203"/>
      <c r="L64" s="203"/>
      <c r="M64" s="203"/>
      <c r="N64" s="203"/>
      <c r="O64" s="203"/>
      <c r="P64" s="203"/>
      <c r="Q64" s="203"/>
      <c r="R64" s="204"/>
    </row>
    <row r="65" spans="1:18" s="185" customFormat="1" ht="64.900000000000006" customHeight="1" x14ac:dyDescent="0.7">
      <c r="A65" s="178"/>
      <c r="B65" s="205" t="s">
        <v>172</v>
      </c>
      <c r="C65" s="205"/>
      <c r="D65" s="205"/>
      <c r="E65" s="205"/>
      <c r="F65" s="205"/>
      <c r="G65" s="205"/>
      <c r="H65" s="205"/>
      <c r="I65" s="205"/>
      <c r="J65" s="205"/>
      <c r="K65" s="205"/>
      <c r="L65" s="205"/>
      <c r="M65" s="205"/>
      <c r="N65" s="205"/>
      <c r="O65" s="205"/>
      <c r="P65" s="205"/>
      <c r="Q65" s="205"/>
      <c r="R65" s="206"/>
    </row>
    <row r="66" spans="1:18" s="185" customFormat="1" ht="48.75" customHeight="1" x14ac:dyDescent="0.7">
      <c r="A66" s="178"/>
      <c r="B66" s="207" t="s">
        <v>173</v>
      </c>
      <c r="C66" s="207"/>
      <c r="D66" s="207"/>
      <c r="E66" s="207"/>
      <c r="F66" s="207"/>
      <c r="G66" s="207"/>
      <c r="H66" s="208"/>
      <c r="I66" s="208"/>
      <c r="J66" s="208"/>
      <c r="K66" s="208"/>
      <c r="L66" s="208"/>
      <c r="M66" s="208"/>
      <c r="N66" s="208"/>
      <c r="O66" s="208"/>
      <c r="P66" s="208"/>
      <c r="Q66" s="208"/>
      <c r="R66" s="209"/>
    </row>
    <row r="67" spans="1:18" s="185" customFormat="1" ht="45.75" x14ac:dyDescent="0.7">
      <c r="A67" s="178"/>
      <c r="B67" s="205"/>
      <c r="C67" s="205"/>
      <c r="D67" s="205"/>
      <c r="E67" s="205"/>
      <c r="F67" s="205"/>
      <c r="G67" s="205"/>
      <c r="H67" s="205"/>
      <c r="I67" s="205"/>
      <c r="J67" s="205"/>
      <c r="K67" s="205"/>
      <c r="L67" s="205"/>
      <c r="M67" s="205"/>
      <c r="N67" s="205"/>
      <c r="O67" s="205"/>
      <c r="P67" s="205"/>
      <c r="Q67" s="205"/>
      <c r="R67" s="206"/>
    </row>
    <row r="68" spans="1:18" s="123" customFormat="1" ht="31.5" customHeight="1" x14ac:dyDescent="0.55000000000000004">
      <c r="A68" s="210" t="s">
        <v>174</v>
      </c>
      <c r="B68" s="211"/>
      <c r="C68" s="212"/>
      <c r="D68" s="213"/>
      <c r="E68" s="214" t="s">
        <v>175</v>
      </c>
      <c r="F68" s="215"/>
      <c r="G68" s="211" t="s">
        <v>176</v>
      </c>
      <c r="H68" s="212"/>
      <c r="I68" s="212"/>
      <c r="J68" s="212"/>
      <c r="K68" s="216"/>
      <c r="L68" s="137"/>
      <c r="M68" s="217"/>
      <c r="N68" s="217"/>
      <c r="O68" s="217"/>
      <c r="P68" s="217"/>
      <c r="Q68" s="217"/>
      <c r="R68" s="122"/>
    </row>
    <row r="69" spans="1:18" s="123" customFormat="1" ht="31.5" customHeight="1" x14ac:dyDescent="0.55000000000000004">
      <c r="A69" s="218"/>
      <c r="B69" s="219"/>
      <c r="C69" s="220"/>
      <c r="D69" s="221"/>
      <c r="E69" s="222"/>
      <c r="F69" s="223"/>
      <c r="G69" s="219"/>
      <c r="H69" s="220"/>
      <c r="I69" s="220"/>
      <c r="J69" s="220"/>
      <c r="K69" s="216"/>
      <c r="L69" s="137"/>
      <c r="M69" s="224"/>
      <c r="N69" s="224"/>
      <c r="O69" s="224"/>
      <c r="P69" s="224"/>
      <c r="Q69" s="224"/>
      <c r="R69" s="122"/>
    </row>
    <row r="70" spans="1:18" s="123" customFormat="1" ht="31.5" customHeight="1" x14ac:dyDescent="0.55000000000000004">
      <c r="A70" s="218"/>
      <c r="B70" s="219"/>
      <c r="C70" s="220"/>
      <c r="D70" s="221"/>
      <c r="E70" s="222"/>
      <c r="F70" s="223"/>
      <c r="G70" s="219"/>
      <c r="H70" s="220"/>
      <c r="I70" s="220"/>
      <c r="J70" s="220"/>
      <c r="K70" s="216"/>
      <c r="L70" s="137"/>
      <c r="M70" s="224"/>
      <c r="N70" s="224"/>
      <c r="O70" s="224"/>
      <c r="P70" s="224"/>
      <c r="Q70" s="224"/>
      <c r="R70" s="122"/>
    </row>
    <row r="71" spans="1:18" s="123" customFormat="1" ht="31.5" customHeight="1" x14ac:dyDescent="0.55000000000000004">
      <c r="A71" s="225"/>
      <c r="B71" s="226"/>
      <c r="C71" s="227"/>
      <c r="D71" s="228"/>
      <c r="E71" s="229"/>
      <c r="F71" s="230"/>
      <c r="G71" s="226"/>
      <c r="H71" s="227"/>
      <c r="I71" s="227"/>
      <c r="J71" s="227"/>
      <c r="K71" s="216"/>
      <c r="L71" s="137"/>
      <c r="M71" s="224"/>
      <c r="N71" s="224"/>
      <c r="O71" s="224"/>
      <c r="P71" s="224"/>
      <c r="Q71" s="224"/>
      <c r="R71" s="122"/>
    </row>
    <row r="72" spans="1:18" s="123" customFormat="1" ht="31.5" customHeight="1" x14ac:dyDescent="0.55000000000000004">
      <c r="A72" s="231" t="s">
        <v>141</v>
      </c>
      <c r="B72" s="232"/>
      <c r="C72" s="212"/>
      <c r="D72" s="213"/>
      <c r="E72" s="233" t="s">
        <v>177</v>
      </c>
      <c r="F72" s="215"/>
      <c r="G72" s="232" t="s">
        <v>177</v>
      </c>
      <c r="H72" s="212"/>
      <c r="I72" s="212"/>
      <c r="J72" s="212"/>
      <c r="K72" s="216"/>
      <c r="L72" s="137"/>
      <c r="M72" s="224"/>
      <c r="N72" s="224"/>
      <c r="O72" s="224"/>
      <c r="P72" s="224"/>
      <c r="Q72" s="224"/>
      <c r="R72" s="122"/>
    </row>
    <row r="73" spans="1:18" s="123" customFormat="1" ht="31.5" customHeight="1" x14ac:dyDescent="0.55000000000000004">
      <c r="A73" s="234"/>
      <c r="B73" s="235"/>
      <c r="C73" s="220"/>
      <c r="D73" s="221"/>
      <c r="E73" s="236"/>
      <c r="F73" s="223"/>
      <c r="G73" s="235"/>
      <c r="H73" s="220"/>
      <c r="I73" s="220"/>
      <c r="J73" s="220"/>
      <c r="K73" s="216"/>
      <c r="L73" s="137"/>
      <c r="M73" s="224"/>
      <c r="N73" s="224"/>
      <c r="O73" s="224"/>
      <c r="P73" s="224"/>
      <c r="Q73" s="224"/>
      <c r="R73" s="122"/>
    </row>
    <row r="74" spans="1:18" s="123" customFormat="1" ht="31.5" customHeight="1" x14ac:dyDescent="0.55000000000000004">
      <c r="A74" s="234"/>
      <c r="B74" s="235"/>
      <c r="C74" s="227"/>
      <c r="D74" s="228"/>
      <c r="E74" s="237"/>
      <c r="F74" s="230"/>
      <c r="G74" s="238"/>
      <c r="H74" s="227"/>
      <c r="I74" s="227"/>
      <c r="J74" s="227"/>
      <c r="K74" s="216"/>
      <c r="L74" s="137"/>
      <c r="M74" s="224"/>
      <c r="N74" s="224"/>
      <c r="O74" s="224"/>
      <c r="P74" s="224"/>
      <c r="Q74" s="224"/>
      <c r="R74" s="122"/>
    </row>
    <row r="75" spans="1:18" s="123" customFormat="1" ht="31.5" customHeight="1" x14ac:dyDescent="0.55000000000000004">
      <c r="A75" s="218" t="s">
        <v>142</v>
      </c>
      <c r="B75" s="219"/>
      <c r="C75" s="212"/>
      <c r="D75" s="213"/>
      <c r="E75" s="214" t="s">
        <v>178</v>
      </c>
      <c r="F75" s="215"/>
      <c r="G75" s="211" t="s">
        <v>178</v>
      </c>
      <c r="H75" s="212"/>
      <c r="I75" s="212"/>
      <c r="J75" s="212"/>
      <c r="K75" s="216"/>
      <c r="L75" s="137"/>
      <c r="M75" s="224"/>
      <c r="N75" s="224"/>
      <c r="O75" s="224"/>
      <c r="P75" s="224"/>
      <c r="Q75" s="224"/>
      <c r="R75" s="122"/>
    </row>
    <row r="76" spans="1:18" s="123" customFormat="1" ht="31.5" customHeight="1" x14ac:dyDescent="0.55000000000000004">
      <c r="A76" s="218"/>
      <c r="B76" s="219"/>
      <c r="C76" s="227"/>
      <c r="D76" s="228"/>
      <c r="E76" s="229"/>
      <c r="F76" s="230"/>
      <c r="G76" s="226"/>
      <c r="H76" s="227"/>
      <c r="I76" s="227"/>
      <c r="J76" s="227"/>
      <c r="K76" s="216"/>
      <c r="L76" s="137"/>
      <c r="M76" s="224"/>
      <c r="N76" s="224"/>
      <c r="O76" s="224"/>
      <c r="P76" s="224"/>
      <c r="Q76" s="224"/>
      <c r="R76" s="122"/>
    </row>
    <row r="77" spans="1:18" s="123" customFormat="1" ht="31.5" customHeight="1" thickBot="1" x14ac:dyDescent="0.6">
      <c r="A77" s="239"/>
      <c r="B77" s="240"/>
      <c r="C77" s="240"/>
      <c r="D77" s="240"/>
      <c r="E77" s="240"/>
      <c r="F77" s="240"/>
      <c r="G77" s="240"/>
      <c r="H77" s="240"/>
      <c r="I77" s="240"/>
      <c r="J77" s="240"/>
      <c r="K77" s="241"/>
      <c r="L77" s="242"/>
      <c r="M77" s="243"/>
      <c r="N77" s="243"/>
      <c r="O77" s="243"/>
      <c r="P77" s="243"/>
      <c r="Q77" s="243"/>
      <c r="R77" s="244"/>
    </row>
  </sheetData>
  <mergeCells count="118">
    <mergeCell ref="B33:B34"/>
    <mergeCell ref="C33:C34"/>
    <mergeCell ref="A77:J77"/>
    <mergeCell ref="A19:A23"/>
    <mergeCell ref="B19:B23"/>
    <mergeCell ref="C19:C23"/>
    <mergeCell ref="A24:A25"/>
    <mergeCell ref="B24:B25"/>
    <mergeCell ref="C24:C25"/>
    <mergeCell ref="A26:A30"/>
    <mergeCell ref="B26:B30"/>
    <mergeCell ref="C26:C30"/>
    <mergeCell ref="A75:B76"/>
    <mergeCell ref="C75:D76"/>
    <mergeCell ref="E75:E76"/>
    <mergeCell ref="F75:F76"/>
    <mergeCell ref="G75:G76"/>
    <mergeCell ref="H75:J76"/>
    <mergeCell ref="A72:B74"/>
    <mergeCell ref="C72:D74"/>
    <mergeCell ref="E72:E74"/>
    <mergeCell ref="F72:F74"/>
    <mergeCell ref="G72:G74"/>
    <mergeCell ref="H72:J74"/>
    <mergeCell ref="B65:R65"/>
    <mergeCell ref="B66:G66"/>
    <mergeCell ref="B67:R67"/>
    <mergeCell ref="A68:B71"/>
    <mergeCell ref="C68:D71"/>
    <mergeCell ref="E68:E71"/>
    <mergeCell ref="F68:F71"/>
    <mergeCell ref="G68:G71"/>
    <mergeCell ref="H68:J71"/>
    <mergeCell ref="M68:Q77"/>
    <mergeCell ref="L62:N62"/>
    <mergeCell ref="O62:P62"/>
    <mergeCell ref="C63:K63"/>
    <mergeCell ref="L63:N63"/>
    <mergeCell ref="O63:P63"/>
    <mergeCell ref="B64:G64"/>
    <mergeCell ref="O59:P59"/>
    <mergeCell ref="Q59:R59"/>
    <mergeCell ref="C60:K60"/>
    <mergeCell ref="L60:N60"/>
    <mergeCell ref="O60:P60"/>
    <mergeCell ref="Q60:R63"/>
    <mergeCell ref="C61:K61"/>
    <mergeCell ref="L61:N61"/>
    <mergeCell ref="O61:P61"/>
    <mergeCell ref="C62:K62"/>
    <mergeCell ref="A54:G54"/>
    <mergeCell ref="C55:G55"/>
    <mergeCell ref="C56:G56"/>
    <mergeCell ref="C57:G57"/>
    <mergeCell ref="B58:D58"/>
    <mergeCell ref="B59:B63"/>
    <mergeCell ref="F59:J59"/>
    <mergeCell ref="C48:G48"/>
    <mergeCell ref="C49:G49"/>
    <mergeCell ref="C50:G50"/>
    <mergeCell ref="C51:G51"/>
    <mergeCell ref="C52:G52"/>
    <mergeCell ref="C53:G53"/>
    <mergeCell ref="C45:G45"/>
    <mergeCell ref="N45:O45"/>
    <mergeCell ref="C46:G46"/>
    <mergeCell ref="N46:O46"/>
    <mergeCell ref="C47:G47"/>
    <mergeCell ref="N47:O47"/>
    <mergeCell ref="C42:G42"/>
    <mergeCell ref="N42:O42"/>
    <mergeCell ref="C43:G43"/>
    <mergeCell ref="N43:O43"/>
    <mergeCell ref="C44:G44"/>
    <mergeCell ref="N44:O44"/>
    <mergeCell ref="R17:R18"/>
    <mergeCell ref="I39:Q39"/>
    <mergeCell ref="A40:G40"/>
    <mergeCell ref="H40:K40"/>
    <mergeCell ref="L40:L41"/>
    <mergeCell ref="C41:G41"/>
    <mergeCell ref="A31:A32"/>
    <mergeCell ref="B31:B32"/>
    <mergeCell ref="C31:C32"/>
    <mergeCell ref="A33:A34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1" r:id="rId1" xr:uid="{0592BC9C-BE37-4A4E-8EB9-2DEAB1CEF86D}"/>
    <hyperlink ref="E8" r:id="rId2" xr:uid="{DF2CFE44-A53B-48A5-84AE-F004C1C9BBD5}"/>
  </hyperlinks>
  <pageMargins left="0.7" right="0.7" top="0.75" bottom="0.75" header="0.3" footer="0.3"/>
  <pageSetup scale="14" fitToHeight="0" orientation="landscape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FIRST QUARTER</vt:lpstr>
      <vt:lpstr>SECOND QUARTER</vt:lpstr>
      <vt:lpstr>THIRD QUARTER</vt:lpstr>
      <vt:lpstr>FOURTH QUARTER</vt:lpstr>
      <vt:lpstr>'FIRST QUARTER'!Print_Area</vt:lpstr>
      <vt:lpstr>'FOURTH QUARTER'!Print_Area</vt:lpstr>
      <vt:lpstr>'SECOND QUARTER'!Print_Area</vt:lpstr>
      <vt:lpstr>'THIRD QUARTER'!Print_Area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2026-04-09T09:58:23Z</dcterms:created>
  <dcterms:modified xsi:type="dcterms:W3CDTF">2026-04-09T20:03:07Z</dcterms:modified>
</cp:coreProperties>
</file>