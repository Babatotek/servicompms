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DMIN\"/>
    </mc:Choice>
  </mc:AlternateContent>
  <xr:revisionPtr revIDLastSave="0" documentId="13_ncr:1_{75214588-C0B2-4C19-919C-4F17C1AE14E2}" xr6:coauthVersionLast="47" xr6:coauthVersionMax="47" xr10:uidLastSave="{00000000-0000-0000-0000-000000000000}"/>
  <bookViews>
    <workbookView xWindow="-120" yWindow="-120" windowWidth="20730" windowHeight="11040" xr2:uid="{5DBB55B5-DF10-42BD-AEC1-370ADF753341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QUARTER'!$A$1:$R$73</definedName>
    <definedName name="_xlnm.Print_Area" localSheetId="3">'FOURTH QUARTER'!$A$1:$R$73</definedName>
    <definedName name="_xlnm.Print_Area" localSheetId="1">'SECOND QUARTER'!$A$1:$R$73</definedName>
    <definedName name="_xlnm.Print_Area" localSheetId="2">'THIRD QUARTER'!$A$1:$R$73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19" i="3"/>
  <c r="F19" i="4"/>
  <c r="F19" i="5"/>
  <c r="F19" i="2"/>
  <c r="C33" i="3"/>
  <c r="E33" i="3" s="1"/>
  <c r="C32" i="3"/>
  <c r="E32" i="3" s="1"/>
  <c r="E31" i="3"/>
  <c r="C31" i="3"/>
  <c r="C30" i="3"/>
  <c r="E30" i="3" s="1"/>
  <c r="E29" i="3"/>
  <c r="E28" i="3"/>
  <c r="E26" i="3"/>
  <c r="E25" i="3"/>
  <c r="E24" i="3"/>
  <c r="C24" i="3"/>
  <c r="E27" i="3" s="1"/>
  <c r="C19" i="3"/>
  <c r="E22" i="3" s="1"/>
  <c r="C33" i="4"/>
  <c r="E33" i="4" s="1"/>
  <c r="C32" i="4"/>
  <c r="E32" i="4" s="1"/>
  <c r="C31" i="4"/>
  <c r="E31" i="4" s="1"/>
  <c r="C30" i="4"/>
  <c r="E30" i="4" s="1"/>
  <c r="E26" i="4"/>
  <c r="C24" i="4"/>
  <c r="E29" i="4" s="1"/>
  <c r="C19" i="4"/>
  <c r="E22" i="4" s="1"/>
  <c r="C33" i="5"/>
  <c r="E33" i="5" s="1"/>
  <c r="C32" i="5"/>
  <c r="E32" i="5" s="1"/>
  <c r="E31" i="5"/>
  <c r="C31" i="5"/>
  <c r="C30" i="5"/>
  <c r="E30" i="5" s="1"/>
  <c r="C24" i="5"/>
  <c r="E29" i="5" s="1"/>
  <c r="C19" i="5"/>
  <c r="E22" i="5" s="1"/>
  <c r="C33" i="2"/>
  <c r="E33" i="2" s="1"/>
  <c r="C32" i="2"/>
  <c r="E32" i="2" s="1"/>
  <c r="C31" i="2"/>
  <c r="E31" i="2" s="1"/>
  <c r="C30" i="2"/>
  <c r="E30" i="2" s="1"/>
  <c r="E28" i="2"/>
  <c r="E26" i="2"/>
  <c r="E25" i="2"/>
  <c r="E24" i="2"/>
  <c r="C24" i="2"/>
  <c r="E29" i="2" s="1"/>
  <c r="C19" i="2"/>
  <c r="E22" i="2" s="1"/>
  <c r="I54" i="5"/>
  <c r="O58" i="5" s="1"/>
  <c r="H54" i="5"/>
  <c r="I50" i="5"/>
  <c r="O57" i="5" s="1"/>
  <c r="H50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54" i="4"/>
  <c r="O58" i="4" s="1"/>
  <c r="H54" i="4"/>
  <c r="I50" i="4"/>
  <c r="O57" i="4" s="1"/>
  <c r="H50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54" i="3"/>
  <c r="O58" i="3" s="1"/>
  <c r="H54" i="3"/>
  <c r="I50" i="3"/>
  <c r="O57" i="3" s="1"/>
  <c r="H50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54" i="2"/>
  <c r="O58" i="2" s="1"/>
  <c r="H54" i="2"/>
  <c r="I50" i="2"/>
  <c r="O57" i="2" s="1"/>
  <c r="H50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C34" i="2" l="1"/>
  <c r="E24" i="5"/>
  <c r="E28" i="5"/>
  <c r="C34" i="4"/>
  <c r="E25" i="5"/>
  <c r="E24" i="4"/>
  <c r="E28" i="4"/>
  <c r="E27" i="5"/>
  <c r="E27" i="4"/>
  <c r="E27" i="2"/>
  <c r="E26" i="5"/>
  <c r="E25" i="4"/>
  <c r="R33" i="2"/>
  <c r="R29" i="4"/>
  <c r="R28" i="5"/>
  <c r="R22" i="2"/>
  <c r="R26" i="2"/>
  <c r="R30" i="2"/>
  <c r="R24" i="3"/>
  <c r="R28" i="3"/>
  <c r="R32" i="3"/>
  <c r="R22" i="4"/>
  <c r="R26" i="4"/>
  <c r="R30" i="4"/>
  <c r="R25" i="5"/>
  <c r="R29" i="5"/>
  <c r="R33" i="5"/>
  <c r="C34" i="5"/>
  <c r="E19" i="2"/>
  <c r="E21" i="2"/>
  <c r="R21" i="2" s="1"/>
  <c r="E23" i="2"/>
  <c r="E19" i="5"/>
  <c r="E21" i="5"/>
  <c r="R21" i="5" s="1"/>
  <c r="E23" i="5"/>
  <c r="R23" i="5" s="1"/>
  <c r="E19" i="4"/>
  <c r="E21" i="4"/>
  <c r="R21" i="4" s="1"/>
  <c r="E23" i="4"/>
  <c r="R23" i="4" s="1"/>
  <c r="E19" i="3"/>
  <c r="E21" i="3"/>
  <c r="E23" i="3"/>
  <c r="R23" i="3" s="1"/>
  <c r="R29" i="2"/>
  <c r="R31" i="3"/>
  <c r="R33" i="4"/>
  <c r="R24" i="5"/>
  <c r="R23" i="2"/>
  <c r="R27" i="2"/>
  <c r="R31" i="2"/>
  <c r="R21" i="3"/>
  <c r="R25" i="3"/>
  <c r="R29" i="3"/>
  <c r="R33" i="3"/>
  <c r="C34" i="3"/>
  <c r="R27" i="4"/>
  <c r="R31" i="4"/>
  <c r="R22" i="5"/>
  <c r="R26" i="5"/>
  <c r="R30" i="5"/>
  <c r="R25" i="2"/>
  <c r="R27" i="3"/>
  <c r="R25" i="4"/>
  <c r="R32" i="5"/>
  <c r="R24" i="2"/>
  <c r="R28" i="2"/>
  <c r="R32" i="2"/>
  <c r="R22" i="3"/>
  <c r="R26" i="3"/>
  <c r="R30" i="3"/>
  <c r="R24" i="4"/>
  <c r="R28" i="4"/>
  <c r="R32" i="4"/>
  <c r="R27" i="5"/>
  <c r="R31" i="5"/>
  <c r="E20" i="2"/>
  <c r="R20" i="2" s="1"/>
  <c r="E20" i="5"/>
  <c r="R20" i="5" s="1"/>
  <c r="E20" i="4"/>
  <c r="R20" i="4" s="1"/>
  <c r="E20" i="3"/>
  <c r="R20" i="3" s="1"/>
  <c r="E34" i="3" l="1"/>
  <c r="E34" i="2"/>
  <c r="E34" i="5"/>
  <c r="E34" i="4"/>
  <c r="F34" i="3" l="1"/>
  <c r="R19" i="3"/>
  <c r="R34" i="3" s="1"/>
  <c r="R35" i="3" s="1"/>
  <c r="O56" i="3" s="1"/>
  <c r="O59" i="3" s="1"/>
  <c r="Q56" i="3" s="1"/>
  <c r="F34" i="5"/>
  <c r="R19" i="5"/>
  <c r="R34" i="5" s="1"/>
  <c r="R35" i="5" s="1"/>
  <c r="O56" i="5" s="1"/>
  <c r="O59" i="5" s="1"/>
  <c r="Q56" i="5" s="1"/>
  <c r="F34" i="4"/>
  <c r="R19" i="4"/>
  <c r="R34" i="4" s="1"/>
  <c r="R35" i="4" s="1"/>
  <c r="O56" i="4" s="1"/>
  <c r="O59" i="4" s="1"/>
  <c r="Q56" i="4" s="1"/>
  <c r="F34" i="2"/>
  <c r="R19" i="2"/>
  <c r="R34" i="2" s="1"/>
  <c r="R35" i="2" s="1"/>
  <c r="O56" i="2" s="1"/>
  <c r="O59" i="2" s="1"/>
  <c r="Q56" i="2" s="1"/>
</calcChain>
</file>

<file path=xl/sharedStrings.xml><?xml version="1.0" encoding="utf-8"?>
<sst xmlns="http://schemas.openxmlformats.org/spreadsheetml/2006/main" count="896" uniqueCount="173">
  <si>
    <t>PERFORMANCE APPRAISAL PERIOD:</t>
  </si>
  <si>
    <t>FROM</t>
  </si>
  <si>
    <t>To</t>
  </si>
  <si>
    <t>SECTION 1: EMPLOYEE INFORMATION</t>
  </si>
  <si>
    <t>Surname:</t>
  </si>
  <si>
    <t>MOHAMMED</t>
  </si>
  <si>
    <t>Firstname</t>
  </si>
  <si>
    <t>MUSA</t>
  </si>
  <si>
    <t>Othername</t>
  </si>
  <si>
    <t>Designation</t>
  </si>
  <si>
    <t>DRIVER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</si>
  <si>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</si>
  <si>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</si>
  <si>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</si>
  <si>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</si>
  <si>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</si>
  <si>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</si>
  <si>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</si>
  <si>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</si>
  <si>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</si>
  <si>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</si>
  <si>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</si>
  <si>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</si>
  <si>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</si>
  <si>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</si>
  <si>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</si>
  <si>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</si>
  <si>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</si>
  <si>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</si>
  <si>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</si>
  <si>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</si>
  <si>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</si>
  <si>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</si>
  <si>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</si>
  <si>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</si>
  <si>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</si>
  <si>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</si>
  <si>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</si>
  <si>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</si>
  <si>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</si>
  <si>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</si>
  <si>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</si>
  <si>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</si>
  <si>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</si>
  <si>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</si>
  <si>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</si>
  <si>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</si>
  <si>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</si>
  <si>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</si>
  <si>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</si>
  <si>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</si>
  <si>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</si>
  <si>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</si>
  <si>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</si>
  <si>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</si>
  <si>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</si>
  <si>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</si>
  <si>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</si>
  <si>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</si>
  <si>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</si>
  <si>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</si>
  <si>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Transport &amp; Logistics Support</t>
  </si>
  <si>
    <t>Provide transportation for official assignments and staff movements</t>
  </si>
  <si>
    <t>Percentage of trips executed as scheduled</t>
  </si>
  <si>
    <t>&gt;80</t>
  </si>
  <si>
    <t>&lt;50</t>
  </si>
  <si>
    <t>Ensure timely delivery of documents and logistics items</t>
  </si>
  <si>
    <t>Percentage of deliveries completed on time</t>
  </si>
  <si>
    <t>Maintain vehicle cleanliness and basic checks</t>
  </si>
  <si>
    <t>Percentage of vehicles maintained in serviceable condition</t>
  </si>
  <si>
    <t>Keep accurate log of trips and fuel usage</t>
  </si>
  <si>
    <t>Percentage of log entries properly recorded</t>
  </si>
  <si>
    <t>Report vehicle faults and ensure prompt servicing</t>
  </si>
  <si>
    <t>Percentage of faults reported and resolved promptly</t>
  </si>
  <si>
    <t>&gt;90</t>
  </si>
  <si>
    <t>Facilitate timely servicing and maintenance of vehicles</t>
  </si>
  <si>
    <t>Percentage of scheduled maintenance carried out on time</t>
  </si>
  <si>
    <t>Service Innovation And Improvement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</si>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</sst>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u/>
      <sz val="30"/>
      <color theme="10"/>
      <name val="Calibri"/>
      <family val="2"/>
      <charset val="1"/>
      <scheme val="minor"/>
    </font>
    <font>
      <u/>
      <sz val="30"/>
      <color theme="1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3">
    <xf numFmtId="0" fontId="0" fillId="0" borderId="0" xfId="0"/>
    <xf numFmtId="0" fontId="8" fillId="0" borderId="18" xfId="8" applyFont="1" applyBorder="1" applyAlignment="1">
      <alignment horizontal="center" vertical="center"/>
    </xf>
    <xf numFmtId="0" fontId="8" fillId="0" borderId="19" xfId="8" applyFont="1" applyBorder="1" applyAlignment="1">
      <alignment horizontal="center" vertical="center"/>
    </xf>
    <xf numFmtId="0" fontId="8" fillId="0" borderId="20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8" fillId="0" borderId="10" xfId="8" applyFont="1" applyBorder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12" xfId="8" applyFont="1" applyBorder="1" applyAlignment="1">
      <alignment horizontal="center" vertical="center"/>
    </xf>
    <xf numFmtId="0" fontId="9" fillId="2" borderId="18" xfId="8" applyFont="1" applyFill="1" applyBorder="1" applyAlignment="1">
      <alignment horizontal="left" vertical="top" wrapText="1"/>
    </xf>
    <xf numFmtId="0" fontId="9" fillId="2" borderId="19" xfId="8" applyFont="1" applyFill="1" applyBorder="1" applyAlignment="1">
      <alignment horizontal="left" vertical="top" wrapText="1"/>
    </xf>
    <xf numFmtId="0" fontId="10" fillId="2" borderId="18" xfId="8" applyFont="1" applyFill="1" applyBorder="1" applyAlignment="1">
      <alignment horizontal="center" vertical="top" wrapText="1"/>
    </xf>
    <xf numFmtId="0" fontId="10" fillId="2" borderId="19" xfId="8" applyFont="1" applyFill="1" applyBorder="1" applyAlignment="1">
      <alignment horizontal="center" vertical="top" wrapText="1"/>
    </xf>
    <xf numFmtId="0" fontId="10" fillId="2" borderId="20" xfId="8" applyFont="1" applyFill="1" applyBorder="1" applyAlignment="1">
      <alignment horizontal="center" vertical="top" wrapText="1"/>
    </xf>
    <xf numFmtId="0" fontId="11" fillId="0" borderId="0" xfId="8" applyFont="1" applyAlignment="1">
      <alignment vertical="top"/>
    </xf>
    <xf numFmtId="0" fontId="12" fillId="3" borderId="10" xfId="2" applyFont="1" applyFill="1" applyBorder="1" applyAlignment="1">
      <alignment vertical="center"/>
    </xf>
    <xf numFmtId="49" fontId="12" fillId="4" borderId="0" xfId="2" applyNumberFormat="1" applyFont="1" applyFill="1" applyAlignment="1">
      <alignment vertical="center"/>
    </xf>
    <xf numFmtId="0" fontId="12" fillId="3" borderId="0" xfId="2" applyFont="1" applyFill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/>
    </xf>
    <xf numFmtId="0" fontId="14" fillId="2" borderId="0" xfId="2" applyFont="1" applyFill="1"/>
    <xf numFmtId="0" fontId="10" fillId="2" borderId="10" xfId="8" applyFont="1" applyFill="1" applyBorder="1" applyAlignment="1">
      <alignment horizontal="center" vertical="top" wrapText="1"/>
    </xf>
    <xf numFmtId="0" fontId="10" fillId="2" borderId="0" xfId="8" applyFont="1" applyFill="1" applyAlignment="1">
      <alignment horizontal="center" vertical="top" wrapText="1"/>
    </xf>
    <xf numFmtId="0" fontId="10" fillId="2" borderId="12" xfId="8" applyFont="1" applyFill="1" applyBorder="1" applyAlignment="1">
      <alignment horizontal="center" vertical="top" wrapText="1"/>
    </xf>
    <xf numFmtId="0" fontId="14" fillId="0" borderId="0" xfId="2" applyFont="1"/>
    <xf numFmtId="0" fontId="15" fillId="2" borderId="10" xfId="9" applyFont="1" applyFill="1" applyBorder="1" applyAlignment="1">
      <alignment horizontal="left"/>
    </xf>
    <xf numFmtId="0" fontId="15" fillId="2" borderId="0" xfId="9" applyFont="1" applyFill="1" applyAlignment="1">
      <alignment horizontal="left"/>
    </xf>
    <xf numFmtId="0" fontId="15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8" fillId="2" borderId="0" xfId="2" applyFont="1" applyFill="1" applyAlignment="1">
      <alignment horizontal="left"/>
    </xf>
    <xf numFmtId="0" fontId="18" fillId="2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18" fillId="3" borderId="0" xfId="5" applyFont="1" applyFill="1" applyAlignment="1">
      <alignment horizontal="left" vertical="center"/>
    </xf>
    <xf numFmtId="0" fontId="18" fillId="3" borderId="5" xfId="5" applyFont="1" applyFill="1" applyBorder="1" applyAlignment="1">
      <alignment horizontal="left" vertical="center"/>
    </xf>
    <xf numFmtId="0" fontId="18" fillId="0" borderId="8" xfId="5" applyFont="1" applyBorder="1" applyAlignment="1">
      <alignment horizontal="left"/>
    </xf>
    <xf numFmtId="0" fontId="18" fillId="3" borderId="11" xfId="5" applyFont="1" applyFill="1" applyBorder="1" applyAlignment="1">
      <alignment horizontal="left"/>
    </xf>
    <xf numFmtId="0" fontId="18" fillId="3" borderId="6" xfId="5" applyFont="1" applyFill="1" applyBorder="1" applyAlignment="1">
      <alignment horizontal="left"/>
    </xf>
    <xf numFmtId="0" fontId="18" fillId="0" borderId="6" xfId="5" applyFont="1" applyBorder="1" applyAlignment="1">
      <alignment horizontal="left"/>
    </xf>
    <xf numFmtId="0" fontId="18" fillId="0" borderId="7" xfId="6" applyFont="1" applyBorder="1" applyAlignment="1">
      <alignment horizontal="left"/>
    </xf>
    <xf numFmtId="0" fontId="18" fillId="0" borderId="8" xfId="6" applyFont="1" applyBorder="1" applyAlignment="1">
      <alignment horizontal="left"/>
    </xf>
    <xf numFmtId="0" fontId="17" fillId="0" borderId="0" xfId="5" applyFont="1"/>
    <xf numFmtId="0" fontId="18" fillId="3" borderId="0" xfId="5" applyFont="1" applyFill="1" applyAlignment="1">
      <alignment horizontal="left"/>
    </xf>
    <xf numFmtId="0" fontId="18" fillId="3" borderId="5" xfId="5" applyFont="1" applyFill="1" applyBorder="1" applyAlignment="1">
      <alignment horizontal="left"/>
    </xf>
    <xf numFmtId="0" fontId="18" fillId="0" borderId="13" xfId="5" applyFont="1" applyBorder="1" applyAlignment="1">
      <alignment horizontal="left"/>
    </xf>
    <xf numFmtId="0" fontId="18" fillId="3" borderId="14" xfId="5" applyFont="1" applyFill="1" applyBorder="1" applyAlignment="1">
      <alignment horizontal="left"/>
    </xf>
    <xf numFmtId="0" fontId="18" fillId="3" borderId="9" xfId="5" applyFont="1" applyFill="1" applyBorder="1" applyAlignment="1">
      <alignment horizontal="left"/>
    </xf>
    <xf numFmtId="0" fontId="18" fillId="0" borderId="9" xfId="6" applyFont="1" applyBorder="1" applyAlignment="1">
      <alignment horizontal="left"/>
    </xf>
    <xf numFmtId="0" fontId="18" fillId="0" borderId="13" xfId="6" applyFont="1" applyBorder="1" applyAlignment="1">
      <alignment horizontal="left"/>
    </xf>
    <xf numFmtId="0" fontId="20" fillId="2" borderId="10" xfId="2" applyFont="1" applyFill="1" applyBorder="1"/>
    <xf numFmtId="0" fontId="20" fillId="2" borderId="0" xfId="2" applyFont="1" applyFill="1"/>
    <xf numFmtId="0" fontId="21" fillId="2" borderId="0" xfId="2" applyFont="1" applyFill="1" applyAlignment="1">
      <alignment horizontal="center"/>
    </xf>
    <xf numFmtId="0" fontId="10" fillId="2" borderId="21" xfId="8" applyFont="1" applyFill="1" applyBorder="1" applyAlignment="1">
      <alignment horizontal="center" vertical="top" wrapText="1"/>
    </xf>
    <xf numFmtId="0" fontId="10" fillId="2" borderId="22" xfId="8" applyFont="1" applyFill="1" applyBorder="1" applyAlignment="1">
      <alignment horizontal="center" vertical="top" wrapText="1"/>
    </xf>
    <xf numFmtId="0" fontId="10" fillId="2" borderId="23" xfId="8" applyFont="1" applyFill="1" applyBorder="1" applyAlignment="1">
      <alignment horizontal="center" vertical="top" wrapText="1"/>
    </xf>
    <xf numFmtId="0" fontId="11" fillId="0" borderId="0" xfId="2" applyFont="1"/>
    <xf numFmtId="0" fontId="9" fillId="3" borderId="24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3" borderId="0" xfId="2" applyFont="1" applyFill="1" applyAlignment="1">
      <alignment horizontal="left"/>
    </xf>
    <xf numFmtId="0" fontId="21" fillId="3" borderId="0" xfId="2" applyFont="1" applyFill="1"/>
    <xf numFmtId="0" fontId="22" fillId="3" borderId="0" xfId="2" applyFont="1" applyFill="1"/>
    <xf numFmtId="0" fontId="11" fillId="3" borderId="0" xfId="2" applyFont="1" applyFill="1"/>
    <xf numFmtId="0" fontId="11" fillId="3" borderId="12" xfId="2" applyFont="1" applyFill="1" applyBorder="1"/>
    <xf numFmtId="0" fontId="5" fillId="2" borderId="25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3" fillId="2" borderId="9" xfId="8" applyFont="1" applyFill="1" applyBorder="1" applyAlignment="1">
      <alignment horizontal="center" vertical="center" wrapText="1"/>
    </xf>
    <xf numFmtId="0" fontId="23" fillId="2" borderId="15" xfId="8" applyFont="1" applyFill="1" applyBorder="1" applyAlignment="1">
      <alignment horizontal="center" vertical="center" wrapText="1"/>
    </xf>
    <xf numFmtId="0" fontId="23" fillId="2" borderId="13" xfId="8" applyFont="1" applyFill="1" applyBorder="1" applyAlignment="1">
      <alignment horizontal="center" vertical="center" wrapText="1"/>
    </xf>
    <xf numFmtId="0" fontId="23" fillId="2" borderId="16" xfId="8" applyFont="1" applyFill="1" applyBorder="1" applyAlignment="1">
      <alignment horizontal="center" vertical="center" wrapText="1"/>
    </xf>
    <xf numFmtId="2" fontId="23" fillId="2" borderId="26" xfId="8" applyNumberFormat="1" applyFont="1" applyFill="1" applyBorder="1" applyAlignment="1">
      <alignment horizontal="center" vertical="center" wrapText="1"/>
    </xf>
    <xf numFmtId="0" fontId="24" fillId="0" borderId="0" xfId="8" applyFont="1" applyAlignment="1">
      <alignment vertical="top"/>
    </xf>
    <xf numFmtId="0" fontId="5" fillId="2" borderId="27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23" fillId="2" borderId="16" xfId="8" applyFont="1" applyFill="1" applyBorder="1" applyAlignment="1">
      <alignment horizontal="center" vertical="center"/>
    </xf>
    <xf numFmtId="0" fontId="23" fillId="2" borderId="16" xfId="8" applyFont="1" applyFill="1" applyBorder="1" applyAlignment="1">
      <alignment horizontal="center" vertical="center" wrapText="1"/>
    </xf>
    <xf numFmtId="0" fontId="23" fillId="2" borderId="11" xfId="8" applyFont="1" applyFill="1" applyBorder="1" applyAlignment="1">
      <alignment horizontal="center" vertical="center" wrapText="1"/>
    </xf>
    <xf numFmtId="2" fontId="23" fillId="2" borderId="28" xfId="8" applyNumberFormat="1" applyFont="1" applyFill="1" applyBorder="1" applyAlignment="1">
      <alignment horizontal="center" vertical="center" wrapText="1"/>
    </xf>
    <xf numFmtId="0" fontId="25" fillId="0" borderId="14" xfId="2" applyFont="1" applyBorder="1" applyAlignment="1">
      <alignment vertical="center" wrapText="1"/>
    </xf>
    <xf numFmtId="2" fontId="25" fillId="0" borderId="14" xfId="0" applyNumberFormat="1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9" fontId="25" fillId="0" borderId="14" xfId="2" applyNumberFormat="1" applyFont="1" applyBorder="1" applyAlignment="1">
      <alignment horizontal="center" vertical="center" wrapText="1"/>
    </xf>
    <xf numFmtId="0" fontId="25" fillId="0" borderId="14" xfId="7" applyFont="1" applyBorder="1" applyAlignment="1">
      <alignment horizontal="center" vertical="center" wrapText="1"/>
    </xf>
    <xf numFmtId="0" fontId="25" fillId="0" borderId="14" xfId="8" applyFont="1" applyBorder="1" applyAlignment="1">
      <alignment horizontal="center" vertical="center" wrapText="1"/>
    </xf>
    <xf numFmtId="0" fontId="17" fillId="0" borderId="14" xfId="8" applyFont="1" applyBorder="1" applyAlignment="1">
      <alignment horizontal="center" vertical="center"/>
    </xf>
    <xf numFmtId="0" fontId="27" fillId="0" borderId="14" xfId="11" applyFont="1" applyBorder="1" applyAlignment="1">
      <alignment horizontal="center" vertical="center"/>
    </xf>
    <xf numFmtId="0" fontId="4" fillId="2" borderId="14" xfId="8" applyFont="1" applyFill="1" applyBorder="1" applyAlignment="1">
      <alignment horizontal="center" vertical="center"/>
    </xf>
    <xf numFmtId="2" fontId="4" fillId="2" borderId="14" xfId="8" applyNumberFormat="1" applyFont="1" applyFill="1" applyBorder="1" applyAlignment="1">
      <alignment horizontal="center" vertical="center"/>
    </xf>
    <xf numFmtId="0" fontId="28" fillId="0" borderId="0" xfId="8" applyFont="1" applyAlignment="1">
      <alignment horizontal="left" vertical="top" wrapText="1"/>
    </xf>
    <xf numFmtId="0" fontId="25" fillId="0" borderId="14" xfId="2" applyFont="1" applyBorder="1" applyAlignment="1">
      <alignment horizontal="center" vertical="center"/>
    </xf>
    <xf numFmtId="9" fontId="25" fillId="0" borderId="14" xfId="2" applyNumberFormat="1" applyFont="1" applyBorder="1" applyAlignment="1">
      <alignment horizontal="center" vertical="center"/>
    </xf>
    <xf numFmtId="2" fontId="25" fillId="0" borderId="14" xfId="2" applyNumberFormat="1" applyFont="1" applyBorder="1" applyAlignment="1">
      <alignment vertical="center" wrapText="1"/>
    </xf>
    <xf numFmtId="2" fontId="25" fillId="0" borderId="14" xfId="2" applyNumberFormat="1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30" fillId="0" borderId="11" xfId="8" applyFont="1" applyBorder="1" applyAlignment="1">
      <alignment horizontal="center" vertical="center" wrapText="1"/>
    </xf>
    <xf numFmtId="2" fontId="30" fillId="0" borderId="11" xfId="8" applyNumberFormat="1" applyFont="1" applyBorder="1" applyAlignment="1">
      <alignment horizontal="center" vertical="center" wrapText="1"/>
    </xf>
    <xf numFmtId="2" fontId="29" fillId="0" borderId="11" xfId="12" applyNumberFormat="1" applyFont="1" applyBorder="1" applyAlignment="1">
      <alignment horizontal="left" vertical="center" wrapText="1"/>
    </xf>
    <xf numFmtId="9" fontId="29" fillId="0" borderId="11" xfId="12" applyNumberFormat="1" applyFont="1" applyBorder="1" applyAlignment="1">
      <alignment horizontal="center" vertical="center"/>
    </xf>
    <xf numFmtId="0" fontId="31" fillId="0" borderId="6" xfId="9" applyFont="1" applyBorder="1" applyAlignment="1">
      <alignment vertical="center"/>
    </xf>
    <xf numFmtId="49" fontId="31" fillId="0" borderId="7" xfId="9" applyNumberFormat="1" applyFont="1" applyBorder="1" applyAlignment="1">
      <alignment horizontal="center" vertical="center"/>
    </xf>
    <xf numFmtId="0" fontId="30" fillId="0" borderId="15" xfId="8" applyFont="1" applyBorder="1" applyAlignment="1" applyProtection="1">
      <alignment horizontal="center" vertical="center"/>
      <protection locked="0"/>
    </xf>
    <xf numFmtId="2" fontId="32" fillId="2" borderId="14" xfId="8" applyNumberFormat="1" applyFont="1" applyFill="1" applyBorder="1" applyAlignment="1">
      <alignment horizontal="center" vertical="center"/>
    </xf>
    <xf numFmtId="2" fontId="32" fillId="2" borderId="30" xfId="8" applyNumberFormat="1" applyFont="1" applyFill="1" applyBorder="1" applyAlignment="1">
      <alignment horizontal="center" vertical="center"/>
    </xf>
    <xf numFmtId="0" fontId="28" fillId="0" borderId="0" xfId="13" applyFont="1" applyAlignment="1">
      <alignment horizontal="left" vertical="top" wrapText="1"/>
    </xf>
    <xf numFmtId="0" fontId="33" fillId="0" borderId="31" xfId="8" applyFont="1" applyBorder="1" applyAlignment="1">
      <alignment vertical="center" wrapText="1"/>
    </xf>
    <xf numFmtId="0" fontId="34" fillId="0" borderId="0" xfId="8" applyFont="1" applyAlignment="1">
      <alignment vertical="top" wrapText="1"/>
    </xf>
    <xf numFmtId="0" fontId="35" fillId="0" borderId="11" xfId="8" applyFont="1" applyBorder="1" applyAlignment="1">
      <alignment horizontal="center" vertical="center" wrapText="1"/>
    </xf>
    <xf numFmtId="0" fontId="36" fillId="5" borderId="9" xfId="8" applyFont="1" applyFill="1" applyBorder="1" applyAlignment="1">
      <alignment horizontal="center"/>
    </xf>
    <xf numFmtId="0" fontId="36" fillId="5" borderId="15" xfId="8" applyFont="1" applyFill="1" applyBorder="1" applyAlignment="1">
      <alignment horizontal="center"/>
    </xf>
    <xf numFmtId="0" fontId="36" fillId="5" borderId="13" xfId="8" applyFont="1" applyFill="1" applyBorder="1" applyAlignment="1">
      <alignment horizontal="center"/>
    </xf>
    <xf numFmtId="2" fontId="37" fillId="6" borderId="30" xfId="14" applyNumberFormat="1" applyFont="1" applyFill="1" applyBorder="1" applyAlignment="1" applyProtection="1">
      <alignment horizontal="center"/>
    </xf>
    <xf numFmtId="0" fontId="15" fillId="2" borderId="24" xfId="8" applyFont="1" applyFill="1" applyBorder="1" applyAlignment="1">
      <alignment horizontal="right" vertical="top" wrapText="1"/>
    </xf>
    <xf numFmtId="0" fontId="15" fillId="2" borderId="2" xfId="8" applyFont="1" applyFill="1" applyBorder="1" applyAlignment="1">
      <alignment horizontal="right" vertical="top" wrapText="1"/>
    </xf>
    <xf numFmtId="0" fontId="15" fillId="2" borderId="3" xfId="8" applyFont="1" applyFill="1" applyBorder="1" applyAlignment="1">
      <alignment horizontal="right" vertical="top" wrapText="1"/>
    </xf>
    <xf numFmtId="0" fontId="15" fillId="2" borderId="14" xfId="8" applyFont="1" applyFill="1" applyBorder="1" applyAlignment="1">
      <alignment horizontal="center" vertical="top" wrapText="1"/>
    </xf>
    <xf numFmtId="0" fontId="23" fillId="2" borderId="2" xfId="8" applyFont="1" applyFill="1" applyBorder="1" applyAlignment="1">
      <alignment horizontal="center" vertical="top" wrapText="1"/>
    </xf>
    <xf numFmtId="0" fontId="23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12" xfId="8" applyNumberFormat="1" applyFont="1" applyFill="1" applyBorder="1" applyAlignment="1">
      <alignment horizontal="center"/>
    </xf>
    <xf numFmtId="0" fontId="28" fillId="0" borderId="0" xfId="8" applyFont="1" applyAlignment="1">
      <alignment vertical="top" wrapText="1"/>
    </xf>
    <xf numFmtId="0" fontId="3" fillId="2" borderId="10" xfId="8" applyFont="1" applyFill="1" applyBorder="1" applyAlignment="1">
      <alignment horizontal="right" vertical="top" wrapText="1"/>
    </xf>
    <xf numFmtId="0" fontId="38" fillId="2" borderId="0" xfId="8" applyFont="1" applyFill="1" applyAlignment="1">
      <alignment horizontal="right" vertical="top" wrapText="1"/>
    </xf>
    <xf numFmtId="0" fontId="15" fillId="3" borderId="0" xfId="8" applyFont="1" applyFill="1" applyAlignment="1">
      <alignment horizontal="right" vertical="top" wrapText="1"/>
    </xf>
    <xf numFmtId="0" fontId="15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top" wrapText="1"/>
    </xf>
    <xf numFmtId="0" fontId="23" fillId="2" borderId="7" xfId="8" applyFont="1" applyFill="1" applyBorder="1" applyAlignment="1">
      <alignment horizontal="center" vertical="top" wrapText="1"/>
    </xf>
    <xf numFmtId="0" fontId="39" fillId="2" borderId="14" xfId="8" applyFont="1" applyFill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center"/>
    </xf>
    <xf numFmtId="0" fontId="5" fillId="0" borderId="14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40" fillId="0" borderId="11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1" fillId="2" borderId="14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3" xfId="8" applyFont="1" applyFill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14" xfId="2" applyFont="1" applyBorder="1" applyAlignment="1">
      <alignment vertical="center" wrapText="1"/>
    </xf>
    <xf numFmtId="0" fontId="38" fillId="0" borderId="9" xfId="11" applyFont="1" applyBorder="1" applyAlignment="1">
      <alignment horizontal="left" vertical="center" wrapText="1"/>
    </xf>
    <xf numFmtId="0" fontId="38" fillId="0" borderId="15" xfId="11" applyFont="1" applyBorder="1" applyAlignment="1">
      <alignment horizontal="left" vertical="center" wrapText="1"/>
    </xf>
    <xf numFmtId="0" fontId="38" fillId="0" borderId="13" xfId="11" applyFont="1" applyBorder="1" applyAlignment="1">
      <alignment horizontal="left" vertical="center" wrapText="1"/>
    </xf>
    <xf numFmtId="0" fontId="40" fillId="0" borderId="14" xfId="8" applyFont="1" applyBorder="1" applyAlignment="1">
      <alignment horizontal="center" vertical="top" wrapText="1"/>
    </xf>
    <xf numFmtId="0" fontId="40" fillId="0" borderId="14" xfId="8" applyFont="1" applyBorder="1" applyAlignment="1" applyProtection="1">
      <alignment horizontal="center" vertical="top" wrapText="1"/>
      <protection locked="0"/>
    </xf>
    <xf numFmtId="0" fontId="5" fillId="0" borderId="31" xfId="2" applyFont="1" applyBorder="1" applyAlignment="1">
      <alignment horizontal="center" vertical="center"/>
    </xf>
    <xf numFmtId="0" fontId="5" fillId="0" borderId="14" xfId="2" applyFont="1" applyBorder="1" applyAlignment="1">
      <alignment horizontal="left" vertical="center" wrapText="1"/>
    </xf>
    <xf numFmtId="0" fontId="6" fillId="0" borderId="9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4" xfId="2" applyFont="1" applyBorder="1" applyAlignment="1">
      <alignment horizontal="left" vertical="center" wrapText="1"/>
    </xf>
    <xf numFmtId="0" fontId="38" fillId="0" borderId="9" xfId="11" applyFont="1" applyBorder="1" applyAlignment="1">
      <alignment vertical="center" wrapText="1"/>
    </xf>
    <xf numFmtId="0" fontId="38" fillId="0" borderId="15" xfId="11" applyFont="1" applyBorder="1" applyAlignment="1">
      <alignment vertical="center" wrapText="1"/>
    </xf>
    <xf numFmtId="0" fontId="38" fillId="0" borderId="13" xfId="11" applyFont="1" applyBorder="1" applyAlignment="1">
      <alignment vertical="center" wrapText="1"/>
    </xf>
    <xf numFmtId="0" fontId="39" fillId="2" borderId="13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3" xfId="8" applyFont="1" applyFill="1" applyBorder="1" applyAlignment="1">
      <alignment horizontal="left" vertical="top" wrapText="1"/>
    </xf>
    <xf numFmtId="0" fontId="6" fillId="0" borderId="9" xfId="2" applyFont="1" applyBorder="1" applyAlignment="1">
      <alignment horizontal="left" vertical="center" wrapText="1"/>
    </xf>
    <xf numFmtId="0" fontId="6" fillId="0" borderId="15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left" vertical="center"/>
    </xf>
    <xf numFmtId="0" fontId="5" fillId="2" borderId="15" xfId="2" applyFont="1" applyFill="1" applyBorder="1" applyAlignment="1">
      <alignment horizontal="left" vertical="center"/>
    </xf>
    <xf numFmtId="0" fontId="15" fillId="2" borderId="15" xfId="8" applyFont="1" applyFill="1" applyBorder="1" applyAlignment="1">
      <alignment horizontal="center" vertical="top" wrapText="1"/>
    </xf>
    <xf numFmtId="0" fontId="15" fillId="2" borderId="13" xfId="8" applyFont="1" applyFill="1" applyBorder="1" applyAlignment="1">
      <alignment horizontal="center" vertical="top" wrapText="1"/>
    </xf>
    <xf numFmtId="0" fontId="6" fillId="0" borderId="3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38" fillId="0" borderId="14" xfId="8" applyFont="1" applyBorder="1" applyAlignment="1">
      <alignment horizontal="center" vertical="top" wrapText="1"/>
    </xf>
    <xf numFmtId="0" fontId="15" fillId="0" borderId="14" xfId="8" applyFont="1" applyBorder="1" applyAlignment="1" applyProtection="1">
      <alignment horizontal="center" vertical="top" wrapText="1"/>
      <protection locked="0"/>
    </xf>
    <xf numFmtId="0" fontId="15" fillId="0" borderId="14" xfId="8" applyFont="1" applyBorder="1" applyAlignment="1">
      <alignment horizontal="center" vertical="top" wrapText="1"/>
    </xf>
    <xf numFmtId="0" fontId="15" fillId="2" borderId="32" xfId="8" applyFont="1" applyFill="1" applyBorder="1" applyAlignment="1">
      <alignment vertical="top" wrapText="1"/>
    </xf>
    <xf numFmtId="0" fontId="15" fillId="2" borderId="15" xfId="8" applyFont="1" applyFill="1" applyBorder="1" applyAlignment="1">
      <alignment horizontal="left" vertical="top" wrapText="1"/>
    </xf>
    <xf numFmtId="0" fontId="15" fillId="2" borderId="15" xfId="8" applyFont="1" applyFill="1" applyBorder="1" applyAlignment="1">
      <alignment vertical="top" wrapText="1"/>
    </xf>
    <xf numFmtId="0" fontId="42" fillId="2" borderId="0" xfId="8" applyFont="1" applyFill="1" applyAlignment="1">
      <alignment horizontal="center" vertical="top" wrapText="1"/>
    </xf>
    <xf numFmtId="0" fontId="11" fillId="7" borderId="10" xfId="8" applyFont="1" applyFill="1" applyBorder="1"/>
    <xf numFmtId="0" fontId="11" fillId="7" borderId="2" xfId="8" applyFont="1" applyFill="1" applyBorder="1" applyAlignment="1">
      <alignment horizontal="center"/>
    </xf>
    <xf numFmtId="0" fontId="43" fillId="2" borderId="2" xfId="8" applyFont="1" applyFill="1" applyBorder="1" applyAlignment="1">
      <alignment vertical="center" wrapText="1"/>
    </xf>
    <xf numFmtId="0" fontId="43" fillId="2" borderId="15" xfId="8" applyFont="1" applyFill="1" applyBorder="1" applyAlignment="1">
      <alignment horizontal="center" vertical="center" wrapText="1"/>
    </xf>
    <xf numFmtId="0" fontId="43" fillId="8" borderId="9" xfId="8" applyFont="1" applyFill="1" applyBorder="1" applyAlignment="1">
      <alignment horizontal="center" vertical="center" wrapText="1"/>
    </xf>
    <xf numFmtId="0" fontId="43" fillId="8" borderId="13" xfId="8" applyFont="1" applyFill="1" applyBorder="1" applyAlignment="1">
      <alignment horizontal="center" vertical="center" wrapText="1"/>
    </xf>
    <xf numFmtId="0" fontId="43" fillId="8" borderId="33" xfId="8" applyFont="1" applyFill="1" applyBorder="1" applyAlignment="1">
      <alignment horizontal="center" vertical="center" wrapText="1"/>
    </xf>
    <xf numFmtId="0" fontId="11" fillId="0" borderId="0" xfId="8" applyFont="1"/>
    <xf numFmtId="0" fontId="11" fillId="7" borderId="0" xfId="8" applyFont="1" applyFill="1" applyAlignment="1">
      <alignment horizontal="center"/>
    </xf>
    <xf numFmtId="0" fontId="43" fillId="0" borderId="9" xfId="8" applyFont="1" applyBorder="1" applyAlignment="1">
      <alignment horizontal="left" vertical="center" wrapText="1"/>
    </xf>
    <xf numFmtId="0" fontId="43" fillId="0" borderId="15" xfId="8" applyFont="1" applyBorder="1" applyAlignment="1">
      <alignment horizontal="left" vertical="center" wrapText="1"/>
    </xf>
    <xf numFmtId="0" fontId="43" fillId="0" borderId="13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center" vertical="center" wrapText="1"/>
    </xf>
    <xf numFmtId="0" fontId="43" fillId="0" borderId="15" xfId="8" applyFont="1" applyBorder="1" applyAlignment="1">
      <alignment horizontal="center" vertical="center" wrapText="1"/>
    </xf>
    <xf numFmtId="0" fontId="43" fillId="0" borderId="13" xfId="8" applyFont="1" applyBorder="1" applyAlignment="1">
      <alignment horizontal="center" vertical="center" wrapText="1"/>
    </xf>
    <xf numFmtId="2" fontId="43" fillId="8" borderId="9" xfId="8" applyNumberFormat="1" applyFont="1" applyFill="1" applyBorder="1" applyAlignment="1">
      <alignment horizontal="center" vertical="center" wrapText="1"/>
    </xf>
    <xf numFmtId="2" fontId="43" fillId="8" borderId="13" xfId="8" applyNumberFormat="1" applyFont="1" applyFill="1" applyBorder="1" applyAlignment="1">
      <alignment horizontal="center" vertical="center" wrapText="1"/>
    </xf>
    <xf numFmtId="2" fontId="44" fillId="2" borderId="1" xfId="14" applyNumberFormat="1" applyFont="1" applyFill="1" applyBorder="1" applyAlignment="1" applyProtection="1">
      <alignment horizontal="center" vertical="center" wrapText="1"/>
    </xf>
    <xf numFmtId="2" fontId="44" fillId="2" borderId="34" xfId="14" applyNumberFormat="1" applyFont="1" applyFill="1" applyBorder="1" applyAlignment="1" applyProtection="1">
      <alignment horizontal="center" vertical="center" wrapText="1"/>
    </xf>
    <xf numFmtId="2" fontId="44" fillId="2" borderId="4" xfId="14" applyNumberFormat="1" applyFont="1" applyFill="1" applyBorder="1" applyAlignment="1" applyProtection="1">
      <alignment horizontal="center" vertical="center" wrapText="1"/>
    </xf>
    <xf numFmtId="2" fontId="44" fillId="2" borderId="12" xfId="14" applyNumberFormat="1" applyFont="1" applyFill="1" applyBorder="1" applyAlignment="1" applyProtection="1">
      <alignment horizontal="center" vertical="center" wrapText="1"/>
    </xf>
    <xf numFmtId="0" fontId="11" fillId="7" borderId="7" xfId="8" applyFont="1" applyFill="1" applyBorder="1" applyAlignment="1">
      <alignment horizontal="center"/>
    </xf>
    <xf numFmtId="2" fontId="44" fillId="2" borderId="6" xfId="14" applyNumberFormat="1" applyFont="1" applyFill="1" applyBorder="1" applyAlignment="1" applyProtection="1">
      <alignment horizontal="center" vertical="center" wrapText="1"/>
    </xf>
    <xf numFmtId="2" fontId="44" fillId="2" borderId="35" xfId="14" applyNumberFormat="1" applyFont="1" applyFill="1" applyBorder="1" applyAlignment="1" applyProtection="1">
      <alignment horizontal="center" vertical="center" wrapText="1"/>
    </xf>
    <xf numFmtId="0" fontId="43" fillId="2" borderId="14" xfId="8" applyFont="1" applyFill="1" applyBorder="1" applyAlignment="1">
      <alignment horizontal="center" vertical="center" wrapText="1"/>
    </xf>
    <xf numFmtId="0" fontId="43" fillId="4" borderId="14" xfId="8" applyFont="1" applyFill="1" applyBorder="1" applyAlignment="1">
      <alignment vertical="center" wrapText="1"/>
    </xf>
    <xf numFmtId="0" fontId="43" fillId="4" borderId="30" xfId="8" applyFont="1" applyFill="1" applyBorder="1" applyAlignment="1">
      <alignment vertical="center" wrapText="1"/>
    </xf>
    <xf numFmtId="0" fontId="45" fillId="4" borderId="14" xfId="8" applyFont="1" applyFill="1" applyBorder="1" applyAlignment="1">
      <alignment horizontal="center" vertical="center" wrapText="1"/>
    </xf>
    <xf numFmtId="0" fontId="45" fillId="4" borderId="30" xfId="8" applyFont="1" applyFill="1" applyBorder="1" applyAlignment="1">
      <alignment horizontal="center" vertical="center" wrapText="1"/>
    </xf>
    <xf numFmtId="0" fontId="43" fillId="2" borderId="14" xfId="8" applyFont="1" applyFill="1" applyBorder="1" applyAlignment="1">
      <alignment horizontal="left" vertical="center" wrapText="1"/>
    </xf>
    <xf numFmtId="0" fontId="43" fillId="0" borderId="14" xfId="8" applyFont="1" applyBorder="1" applyAlignment="1">
      <alignment vertical="center" wrapText="1"/>
    </xf>
    <xf numFmtId="0" fontId="43" fillId="0" borderId="30" xfId="8" applyFont="1" applyBorder="1" applyAlignment="1">
      <alignment vertical="center" wrapText="1"/>
    </xf>
    <xf numFmtId="0" fontId="15" fillId="2" borderId="24" xfId="8" applyFont="1" applyFill="1" applyBorder="1" applyAlignment="1">
      <alignment vertical="center" wrapText="1"/>
    </xf>
    <xf numFmtId="0" fontId="15" fillId="2" borderId="3" xfId="8" applyFont="1" applyFill="1" applyBorder="1" applyAlignment="1">
      <alignment vertical="center" wrapText="1"/>
    </xf>
    <xf numFmtId="0" fontId="38" fillId="0" borderId="2" xfId="8" applyFont="1" applyBorder="1" applyAlignment="1">
      <alignment vertical="center" wrapText="1"/>
    </xf>
    <xf numFmtId="0" fontId="38" fillId="0" borderId="3" xfId="8" applyFont="1" applyBorder="1" applyAlignment="1">
      <alignment vertical="center" wrapText="1"/>
    </xf>
    <xf numFmtId="0" fontId="15" fillId="2" borderId="1" xfId="8" applyFont="1" applyFill="1" applyBorder="1" applyAlignment="1">
      <alignment vertical="center" wrapText="1"/>
    </xf>
    <xf numFmtId="0" fontId="38" fillId="0" borderId="2" xfId="8" applyFont="1" applyBorder="1" applyAlignment="1">
      <alignment horizontal="center" vertical="center" wrapText="1"/>
    </xf>
    <xf numFmtId="0" fontId="40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5" fillId="2" borderId="10" xfId="8" applyFont="1" applyFill="1" applyBorder="1" applyAlignment="1">
      <alignment vertical="center" wrapText="1"/>
    </xf>
    <xf numFmtId="0" fontId="15" fillId="2" borderId="5" xfId="8" applyFont="1" applyFill="1" applyBorder="1" applyAlignment="1">
      <alignment vertical="center" wrapText="1"/>
    </xf>
    <xf numFmtId="0" fontId="38" fillId="0" borderId="0" xfId="8" applyFont="1" applyAlignment="1">
      <alignment vertical="center" wrapText="1"/>
    </xf>
    <xf numFmtId="0" fontId="38" fillId="0" borderId="5" xfId="8" applyFont="1" applyBorder="1" applyAlignment="1">
      <alignment vertical="center" wrapText="1"/>
    </xf>
    <xf numFmtId="0" fontId="15" fillId="2" borderId="4" xfId="8" applyFont="1" applyFill="1" applyBorder="1" applyAlignment="1">
      <alignment vertical="center" wrapText="1"/>
    </xf>
    <xf numFmtId="0" fontId="38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5" fillId="2" borderId="36" xfId="8" applyFont="1" applyFill="1" applyBorder="1" applyAlignment="1">
      <alignment vertical="center" wrapText="1"/>
    </xf>
    <xf numFmtId="0" fontId="15" fillId="2" borderId="8" xfId="8" applyFont="1" applyFill="1" applyBorder="1" applyAlignment="1">
      <alignment vertical="center" wrapText="1"/>
    </xf>
    <xf numFmtId="0" fontId="38" fillId="0" borderId="7" xfId="8" applyFont="1" applyBorder="1" applyAlignment="1">
      <alignment vertical="center" wrapText="1"/>
    </xf>
    <xf numFmtId="0" fontId="38" fillId="0" borderId="8" xfId="8" applyFont="1" applyBorder="1" applyAlignment="1">
      <alignment vertical="center" wrapText="1"/>
    </xf>
    <xf numFmtId="0" fontId="15" fillId="2" borderId="6" xfId="8" applyFont="1" applyFill="1" applyBorder="1" applyAlignment="1">
      <alignment vertical="center" wrapText="1"/>
    </xf>
    <xf numFmtId="0" fontId="38" fillId="0" borderId="7" xfId="8" applyFont="1" applyBorder="1" applyAlignment="1">
      <alignment horizontal="center" vertical="center" wrapText="1"/>
    </xf>
    <xf numFmtId="0" fontId="15" fillId="3" borderId="24" xfId="8" applyFont="1" applyFill="1" applyBorder="1" applyAlignment="1">
      <alignment vertical="center" wrapText="1"/>
    </xf>
    <xf numFmtId="0" fontId="15" fillId="3" borderId="3" xfId="8" applyFont="1" applyFill="1" applyBorder="1" applyAlignment="1">
      <alignment vertical="center" wrapText="1"/>
    </xf>
    <xf numFmtId="0" fontId="15" fillId="3" borderId="1" xfId="8" applyFont="1" applyFill="1" applyBorder="1" applyAlignment="1">
      <alignment vertical="center" wrapText="1"/>
    </xf>
    <xf numFmtId="0" fontId="15" fillId="3" borderId="10" xfId="8" applyFont="1" applyFill="1" applyBorder="1" applyAlignment="1">
      <alignment vertical="center" wrapText="1"/>
    </xf>
    <xf numFmtId="0" fontId="15" fillId="3" borderId="5" xfId="8" applyFont="1" applyFill="1" applyBorder="1" applyAlignment="1">
      <alignment vertical="center" wrapText="1"/>
    </xf>
    <xf numFmtId="0" fontId="15" fillId="3" borderId="4" xfId="8" applyFont="1" applyFill="1" applyBorder="1" applyAlignment="1">
      <alignment vertical="center" wrapText="1"/>
    </xf>
    <xf numFmtId="0" fontId="15" fillId="3" borderId="6" xfId="8" applyFont="1" applyFill="1" applyBorder="1" applyAlignment="1">
      <alignment vertical="center" wrapText="1"/>
    </xf>
    <xf numFmtId="0" fontId="15" fillId="3" borderId="8" xfId="8" applyFont="1" applyFill="1" applyBorder="1" applyAlignment="1">
      <alignment vertical="center" wrapText="1"/>
    </xf>
    <xf numFmtId="0" fontId="28" fillId="3" borderId="21" xfId="8" applyFont="1" applyFill="1" applyBorder="1" applyAlignment="1">
      <alignment vertical="center" wrapText="1"/>
    </xf>
    <xf numFmtId="0" fontId="28" fillId="3" borderId="22" xfId="8" applyFont="1" applyFill="1" applyBorder="1" applyAlignment="1">
      <alignment vertical="center" wrapText="1"/>
    </xf>
    <xf numFmtId="0" fontId="7" fillId="3" borderId="22" xfId="8" applyFont="1" applyFill="1" applyBorder="1" applyAlignment="1">
      <alignment horizontal="center" vertical="top" wrapText="1"/>
    </xf>
    <xf numFmtId="0" fontId="28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6" fillId="3" borderId="10" xfId="3" applyFont="1" applyFill="1" applyBorder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0" fontId="16" fillId="0" borderId="8" xfId="3" applyFont="1" applyBorder="1" applyAlignment="1">
      <alignment horizontal="left"/>
    </xf>
    <xf numFmtId="0" fontId="16" fillId="3" borderId="11" xfId="3" applyFont="1" applyFill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6" fillId="0" borderId="7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9" fillId="0" borderId="0" xfId="3" applyFont="1" applyAlignment="1">
      <alignment horizontal="left"/>
    </xf>
    <xf numFmtId="0" fontId="16" fillId="3" borderId="10" xfId="3" applyFont="1" applyFill="1" applyBorder="1" applyAlignment="1">
      <alignment horizontal="left"/>
    </xf>
    <xf numFmtId="0" fontId="16" fillId="3" borderId="5" xfId="3" applyFont="1" applyFill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6" fillId="3" borderId="14" xfId="3" applyFont="1" applyFill="1" applyBorder="1" applyAlignment="1">
      <alignment horizontal="left"/>
    </xf>
    <xf numFmtId="0" fontId="46" fillId="0" borderId="13" xfId="1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16" fillId="0" borderId="15" xfId="3" applyFont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8" fillId="3" borderId="0" xfId="4" applyFont="1" applyFill="1" applyAlignment="1">
      <alignment horizontal="left" vertical="center"/>
    </xf>
    <xf numFmtId="0" fontId="18" fillId="3" borderId="5" xfId="4" applyFont="1" applyFill="1" applyBorder="1" applyAlignment="1">
      <alignment horizontal="left" vertical="center"/>
    </xf>
    <xf numFmtId="0" fontId="18" fillId="0" borderId="8" xfId="4" applyFont="1" applyBorder="1" applyAlignment="1">
      <alignment horizontal="left"/>
    </xf>
    <xf numFmtId="0" fontId="18" fillId="3" borderId="11" xfId="4" applyFont="1" applyFill="1" applyBorder="1" applyAlignment="1">
      <alignment horizontal="left"/>
    </xf>
    <xf numFmtId="0" fontId="18" fillId="0" borderId="6" xfId="4" applyFont="1" applyBorder="1" applyAlignment="1">
      <alignment horizontal="left"/>
    </xf>
    <xf numFmtId="0" fontId="18" fillId="0" borderId="7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18" fillId="3" borderId="0" xfId="4" applyFont="1" applyFill="1" applyAlignment="1">
      <alignment horizontal="left"/>
    </xf>
    <xf numFmtId="0" fontId="18" fillId="3" borderId="5" xfId="4" applyFont="1" applyFill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8" fillId="3" borderId="14" xfId="4" applyFont="1" applyFill="1" applyBorder="1" applyAlignment="1">
      <alignment horizontal="left"/>
    </xf>
    <xf numFmtId="0" fontId="47" fillId="0" borderId="13" xfId="1" applyFont="1" applyBorder="1" applyAlignment="1">
      <alignment horizontal="left"/>
    </xf>
    <xf numFmtId="49" fontId="18" fillId="0" borderId="9" xfId="4" applyNumberFormat="1" applyFont="1" applyBorder="1" applyAlignment="1">
      <alignment horizontal="left"/>
    </xf>
    <xf numFmtId="0" fontId="18" fillId="0" borderId="15" xfId="4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48" fillId="0" borderId="13" xfId="1" quotePrefix="1" applyFont="1" applyBorder="1" applyAlignment="1">
      <alignment horizontal="left"/>
    </xf>
    <xf numFmtId="0" fontId="25" fillId="0" borderId="9" xfId="5" applyFont="1" applyBorder="1" applyAlignment="1">
      <alignment horizontal="left"/>
    </xf>
    <xf numFmtId="0" fontId="25" fillId="0" borderId="16" xfId="2" applyFont="1" applyBorder="1" applyAlignment="1">
      <alignment horizontal="center" vertical="center"/>
    </xf>
    <xf numFmtId="0" fontId="25" fillId="0" borderId="16" xfId="2" applyFont="1" applyBorder="1" applyAlignment="1">
      <alignment horizontal="left" vertical="center" wrapText="1"/>
    </xf>
    <xf numFmtId="2" fontId="25" fillId="0" borderId="16" xfId="2" applyNumberFormat="1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0" fontId="25" fillId="0" borderId="17" xfId="2" applyFont="1" applyBorder="1" applyAlignment="1">
      <alignment horizontal="left" vertical="center" wrapText="1"/>
    </xf>
    <xf numFmtId="2" fontId="25" fillId="0" borderId="17" xfId="2" applyNumberFormat="1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11" xfId="2" applyFont="1" applyBorder="1" applyAlignment="1">
      <alignment horizontal="left" vertical="center" wrapText="1"/>
    </xf>
    <xf numFmtId="2" fontId="25" fillId="0" borderId="11" xfId="2" applyNumberFormat="1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25" fillId="0" borderId="16" xfId="2" applyFont="1" applyBorder="1" applyAlignment="1">
      <alignment horizontal="left" vertical="center" wrapText="1"/>
    </xf>
    <xf numFmtId="2" fontId="25" fillId="0" borderId="16" xfId="2" applyNumberFormat="1" applyFont="1" applyBorder="1" applyAlignment="1">
      <alignment horizontal="center" vertical="center" wrapText="1"/>
    </xf>
  </cellXfs>
  <cellStyles count="15">
    <cellStyle name="Hyperlink" xfId="1" builtinId="8"/>
    <cellStyle name="Normal" xfId="0" builtinId="0"/>
    <cellStyle name="Normal 2 2" xfId="11" xr:uid="{203049C1-2F23-4943-909D-9367815E4F0C}"/>
    <cellStyle name="Normal 2 2 3 2" xfId="13" xr:uid="{7D2D2F27-9558-4741-AEDB-9D6EA3D913C2}"/>
    <cellStyle name="Normal 2 3" xfId="2" xr:uid="{429808AA-6590-471C-8C24-1E53E7C9FB9C}"/>
    <cellStyle name="Normal 2 3 2" xfId="6" xr:uid="{9900201B-703E-4624-92DA-404D6AE91961}"/>
    <cellStyle name="Normal 2 3 3" xfId="4" xr:uid="{4019FEBD-D3E8-438F-A51E-5DC86577A029}"/>
    <cellStyle name="Normal 2 3 5" xfId="10" xr:uid="{31692F67-44F3-468D-BDC0-A9554739A763}"/>
    <cellStyle name="Normal 2 4 2" xfId="5" xr:uid="{364AF911-4532-411D-BA44-5ECB9C003B0B}"/>
    <cellStyle name="Normal 2 5" xfId="3" xr:uid="{F310A84C-BDFF-497B-A56F-3FF2AA642F9F}"/>
    <cellStyle name="Normal 2 5 2 2" xfId="9" xr:uid="{899C3B40-3E2D-4382-9B2D-CC15300B1683}"/>
    <cellStyle name="Normal 2 7" xfId="12" xr:uid="{146E1BD4-8056-46C7-89DB-16F1A11519EB}"/>
    <cellStyle name="Normal 4 2 2 2 2" xfId="8" xr:uid="{0CFB48CA-E90C-4FAB-9086-8BA11F8283D5}"/>
    <cellStyle name="Normal 5 2 2" xfId="7" xr:uid="{362CF8A4-B444-4D60-887B-989BD50549AB}"/>
    <cellStyle name="Percent 2 2" xfId="14" xr:uid="{B5BA91AB-FB1F-41A2-B4BB-8FAB29E5A1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4718EB25-D23A-44DE-986E-252016855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D789900-1DA9-4406-8BEB-2E7A5B670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BA5337E-AAA2-4E57-A976-ACEA98A7B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EE6BFAB-E282-4865-8177-1FF5DDE4D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wabuachinyer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wabuachinyer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785A-FA4B-4142-B2D0-2C1D088326A1}">
  <sheetPr>
    <pageSetUpPr fitToPage="1"/>
  </sheetPr>
  <dimension ref="A1:R73"/>
  <sheetViews>
    <sheetView tabSelected="1"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132</v>
      </c>
      <c r="C5" s="16" t="s">
        <v>2</v>
      </c>
      <c r="D5" s="17" t="s">
        <v>133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>
        <v>88649</v>
      </c>
      <c r="D8" s="258" t="s">
        <v>12</v>
      </c>
      <c r="E8" s="259"/>
      <c r="F8" s="258" t="s">
        <v>13</v>
      </c>
      <c r="G8" s="260"/>
      <c r="H8" s="258" t="s">
        <v>14</v>
      </c>
      <c r="I8" s="261" t="s">
        <v>15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17</v>
      </c>
      <c r="D10" s="266" t="s">
        <v>6</v>
      </c>
      <c r="E10" s="265" t="s">
        <v>18</v>
      </c>
      <c r="F10" s="266" t="s">
        <v>8</v>
      </c>
      <c r="G10" s="267" t="s">
        <v>19</v>
      </c>
      <c r="H10" s="266" t="s">
        <v>9</v>
      </c>
      <c r="I10" s="268" t="s">
        <v>20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21</v>
      </c>
      <c r="F11" s="274" t="s">
        <v>13</v>
      </c>
      <c r="G11" s="276" t="s">
        <v>22</v>
      </c>
      <c r="H11" s="274" t="s">
        <v>14</v>
      </c>
      <c r="I11" s="277" t="s">
        <v>15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28</v>
      </c>
      <c r="F14" s="46" t="s">
        <v>13</v>
      </c>
      <c r="G14" s="280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46</v>
      </c>
      <c r="C19" s="283">
        <f>0.1 *8.59335038363171</f>
        <v>0.85933503836317104</v>
      </c>
      <c r="D19" s="81" t="s">
        <v>47</v>
      </c>
      <c r="E19" s="82">
        <f>C19/5</f>
        <v>0.17186700767263421</v>
      </c>
      <c r="F19" s="82">
        <f>E19/$E$34 * 100</f>
        <v>1.8300653594771228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3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51</v>
      </c>
      <c r="E20" s="82">
        <f>C19/5</f>
        <v>0.17186700767263421</v>
      </c>
      <c r="F20" s="82">
        <f t="shared" ref="F20:F33" si="2">E20/$E$34 * 100</f>
        <v>1.8300653594771228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53</v>
      </c>
      <c r="E21" s="82">
        <f>C19/5</f>
        <v>0.17186700767263421</v>
      </c>
      <c r="F21" s="82">
        <f t="shared" si="2"/>
        <v>1.8300653594771228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55</v>
      </c>
      <c r="E22" s="82">
        <f>C19/5</f>
        <v>0.17186700767263421</v>
      </c>
      <c r="F22" s="82">
        <f t="shared" si="2"/>
        <v>1.8300653594771228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59</v>
      </c>
      <c r="E23" s="82">
        <f>C19/5</f>
        <v>0.17186700767263421</v>
      </c>
      <c r="F23" s="82">
        <f t="shared" si="2"/>
        <v>1.8300653594771228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61</v>
      </c>
      <c r="C24" s="283">
        <f>0.1 *57.2122762148338</f>
        <v>5.7212276214833802</v>
      </c>
      <c r="D24" s="94" t="s">
        <v>62</v>
      </c>
      <c r="E24" s="82">
        <f>C24/6</f>
        <v>0.95353793691389666</v>
      </c>
      <c r="F24" s="82">
        <f t="shared" si="2"/>
        <v>10.153413217138709</v>
      </c>
      <c r="G24" s="83" t="s">
        <v>63</v>
      </c>
      <c r="H24" s="93">
        <v>0.8</v>
      </c>
      <c r="I24" s="92" t="s">
        <v>49</v>
      </c>
      <c r="J24" s="86" t="s">
        <v>64</v>
      </c>
      <c r="K24" s="87">
        <v>80</v>
      </c>
      <c r="L24" s="87">
        <v>75</v>
      </c>
      <c r="M24" s="87">
        <v>70</v>
      </c>
      <c r="N24" s="87">
        <v>50</v>
      </c>
      <c r="O24" s="87" t="s">
        <v>65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66</v>
      </c>
      <c r="E25" s="82">
        <f>C24/6</f>
        <v>0.95353793691389666</v>
      </c>
      <c r="F25" s="82">
        <f t="shared" si="2"/>
        <v>10.153413217138709</v>
      </c>
      <c r="G25" s="83" t="s">
        <v>67</v>
      </c>
      <c r="H25" s="93">
        <v>0.8</v>
      </c>
      <c r="I25" s="92" t="s">
        <v>49</v>
      </c>
      <c r="J25" s="86" t="s">
        <v>64</v>
      </c>
      <c r="K25" s="87">
        <v>80</v>
      </c>
      <c r="L25" s="87">
        <v>75</v>
      </c>
      <c r="M25" s="87">
        <v>70</v>
      </c>
      <c r="N25" s="87">
        <v>50</v>
      </c>
      <c r="O25" s="87" t="s">
        <v>65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68</v>
      </c>
      <c r="E26" s="82">
        <f>C24/6</f>
        <v>0.95353793691389666</v>
      </c>
      <c r="F26" s="82">
        <f t="shared" si="2"/>
        <v>10.153413217138709</v>
      </c>
      <c r="G26" s="83" t="s">
        <v>69</v>
      </c>
      <c r="H26" s="93">
        <v>0.8</v>
      </c>
      <c r="I26" s="92" t="s">
        <v>49</v>
      </c>
      <c r="J26" s="86" t="s">
        <v>64</v>
      </c>
      <c r="K26" s="87">
        <v>80</v>
      </c>
      <c r="L26" s="87">
        <v>75</v>
      </c>
      <c r="M26" s="87">
        <v>70</v>
      </c>
      <c r="N26" s="87">
        <v>50</v>
      </c>
      <c r="O26" s="87" t="s">
        <v>65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70</v>
      </c>
      <c r="E27" s="82">
        <f>C24/6</f>
        <v>0.95353793691389666</v>
      </c>
      <c r="F27" s="82">
        <f t="shared" si="2"/>
        <v>10.153413217138709</v>
      </c>
      <c r="G27" s="83" t="s">
        <v>71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72</v>
      </c>
      <c r="E28" s="82">
        <f>C24/6</f>
        <v>0.95353793691389666</v>
      </c>
      <c r="F28" s="82">
        <f t="shared" si="2"/>
        <v>10.153413217138709</v>
      </c>
      <c r="G28" s="83" t="s">
        <v>73</v>
      </c>
      <c r="H28" s="93">
        <v>0.9</v>
      </c>
      <c r="I28" s="92" t="s">
        <v>49</v>
      </c>
      <c r="J28" s="86" t="s">
        <v>74</v>
      </c>
      <c r="K28" s="87">
        <v>90</v>
      </c>
      <c r="L28" s="87">
        <v>80</v>
      </c>
      <c r="M28" s="87">
        <v>70</v>
      </c>
      <c r="N28" s="87">
        <v>50</v>
      </c>
      <c r="O28" s="87" t="s">
        <v>65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75</v>
      </c>
      <c r="E29" s="82">
        <f>C24/6</f>
        <v>0.95353793691389666</v>
      </c>
      <c r="F29" s="82">
        <f t="shared" si="2"/>
        <v>10.153413217138709</v>
      </c>
      <c r="G29" s="83" t="s">
        <v>76</v>
      </c>
      <c r="H29" s="93">
        <v>0.8</v>
      </c>
      <c r="I29" s="92" t="s">
        <v>49</v>
      </c>
      <c r="J29" s="86" t="s">
        <v>64</v>
      </c>
      <c r="K29" s="87">
        <v>80</v>
      </c>
      <c r="L29" s="87">
        <v>75</v>
      </c>
      <c r="M29" s="87">
        <v>70</v>
      </c>
      <c r="N29" s="87">
        <v>50</v>
      </c>
      <c r="O29" s="87" t="s">
        <v>65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0">
        <v>3</v>
      </c>
      <c r="B30" s="291" t="s">
        <v>77</v>
      </c>
      <c r="C30" s="292">
        <f>0.1 *0.895140664961637</f>
        <v>8.9514066496163711E-2</v>
      </c>
      <c r="D30" s="81" t="s">
        <v>78</v>
      </c>
      <c r="E30" s="82">
        <f>C30</f>
        <v>8.9514066496163711E-2</v>
      </c>
      <c r="F30" s="82">
        <f t="shared" si="2"/>
        <v>0.95315904139433527</v>
      </c>
      <c r="G30" s="83" t="s">
        <v>79</v>
      </c>
      <c r="H30" s="92">
        <v>5</v>
      </c>
      <c r="I30" s="85" t="s">
        <v>57</v>
      </c>
      <c r="J30" s="86" t="s">
        <v>58</v>
      </c>
      <c r="K30" s="87">
        <v>5</v>
      </c>
      <c r="L30" s="87">
        <v>4</v>
      </c>
      <c r="M30" s="87">
        <v>3</v>
      </c>
      <c r="N30" s="87">
        <v>2</v>
      </c>
      <c r="O30" s="87">
        <v>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90">
        <v>4</v>
      </c>
      <c r="B31" s="291" t="s">
        <v>80</v>
      </c>
      <c r="C31" s="292">
        <f>0.1 *14.3222506393862</f>
        <v>1.43222506393862</v>
      </c>
      <c r="D31" s="81" t="s">
        <v>81</v>
      </c>
      <c r="E31" s="82">
        <f>C31</f>
        <v>1.43222506393862</v>
      </c>
      <c r="F31" s="82">
        <f t="shared" si="2"/>
        <v>15.250544662309373</v>
      </c>
      <c r="G31" s="83" t="s">
        <v>82</v>
      </c>
      <c r="H31" s="93">
        <v>0.8</v>
      </c>
      <c r="I31" s="92" t="s">
        <v>49</v>
      </c>
      <c r="J31" s="86" t="s">
        <v>64</v>
      </c>
      <c r="K31" s="87">
        <v>80</v>
      </c>
      <c r="L31" s="87">
        <v>75</v>
      </c>
      <c r="M31" s="87">
        <v>70</v>
      </c>
      <c r="N31" s="87">
        <v>50</v>
      </c>
      <c r="O31" s="87" t="s">
        <v>65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5</v>
      </c>
      <c r="B32" s="81" t="s">
        <v>83</v>
      </c>
      <c r="C32" s="95">
        <f>0.1 *5.72890025575448</f>
        <v>0.57289002557544799</v>
      </c>
      <c r="D32" s="291" t="s">
        <v>84</v>
      </c>
      <c r="E32" s="82">
        <f>C32</f>
        <v>0.57289002557544799</v>
      </c>
      <c r="F32" s="82">
        <f t="shared" si="2"/>
        <v>6.1002178649237484</v>
      </c>
      <c r="G32" s="83" t="s">
        <v>85</v>
      </c>
      <c r="H32" s="84">
        <v>0.7</v>
      </c>
      <c r="I32" s="92" t="s">
        <v>49</v>
      </c>
      <c r="J32" s="86" t="s">
        <v>86</v>
      </c>
      <c r="K32" s="87">
        <v>70</v>
      </c>
      <c r="L32" s="87">
        <v>60</v>
      </c>
      <c r="M32" s="87">
        <v>50</v>
      </c>
      <c r="N32" s="87">
        <v>40</v>
      </c>
      <c r="O32" s="87" t="s">
        <v>87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1" t="s">
        <v>88</v>
      </c>
      <c r="C33" s="95">
        <f>0.1 *7.16112531969309</f>
        <v>0.71611253196930902</v>
      </c>
      <c r="D33" s="83" t="s">
        <v>89</v>
      </c>
      <c r="E33" s="82">
        <f>C33</f>
        <v>0.71611253196930902</v>
      </c>
      <c r="F33" s="82">
        <f t="shared" si="2"/>
        <v>7.625272331154676</v>
      </c>
      <c r="G33" s="83" t="s">
        <v>90</v>
      </c>
      <c r="H33" s="84">
        <v>0.5</v>
      </c>
      <c r="I33" s="85" t="s">
        <v>49</v>
      </c>
      <c r="J33" s="86" t="s">
        <v>91</v>
      </c>
      <c r="K33" s="87">
        <v>50</v>
      </c>
      <c r="L33" s="87">
        <v>45</v>
      </c>
      <c r="M33" s="87">
        <v>40</v>
      </c>
      <c r="N33" s="87">
        <v>25</v>
      </c>
      <c r="O33" s="87" t="s">
        <v>92</v>
      </c>
      <c r="P33" s="88"/>
      <c r="Q33" s="89">
        <f t="shared" si="0"/>
        <v>0</v>
      </c>
      <c r="R33" s="90">
        <f t="shared" si="1"/>
        <v>0</v>
      </c>
    </row>
    <row r="34" spans="1:18" s="106" customFormat="1" ht="44.25" x14ac:dyDescent="0.25">
      <c r="A34" s="96"/>
      <c r="B34" s="97" t="s">
        <v>93</v>
      </c>
      <c r="C34" s="98">
        <f>SUM(C19:C33)</f>
        <v>9.3913043478260914</v>
      </c>
      <c r="D34" s="97"/>
      <c r="E34" s="98">
        <f>SUM(E19:E33)</f>
        <v>9.3913043478260914</v>
      </c>
      <c r="F34" s="98">
        <f>SUM(F19:F33)</f>
        <v>100</v>
      </c>
      <c r="G34" s="99"/>
      <c r="H34" s="100"/>
      <c r="I34" s="101"/>
      <c r="J34" s="102"/>
      <c r="K34" s="102"/>
      <c r="L34" s="102"/>
      <c r="M34" s="102"/>
      <c r="N34" s="102"/>
      <c r="O34" s="102"/>
      <c r="P34" s="103"/>
      <c r="Q34" s="104"/>
      <c r="R34" s="105">
        <f>SUM(R19:R33)</f>
        <v>0</v>
      </c>
    </row>
    <row r="35" spans="1:18" s="108" customFormat="1" ht="66" customHeight="1" x14ac:dyDescent="0.7">
      <c r="A35" s="107"/>
      <c r="G35" s="109"/>
      <c r="H35" s="109"/>
      <c r="I35" s="110" t="s">
        <v>143</v>
      </c>
      <c r="J35" s="111"/>
      <c r="K35" s="111"/>
      <c r="L35" s="111"/>
      <c r="M35" s="111"/>
      <c r="N35" s="111"/>
      <c r="O35" s="111"/>
      <c r="P35" s="111"/>
      <c r="Q35" s="112"/>
      <c r="R35" s="113">
        <f>R34/100 * 70</f>
        <v>0</v>
      </c>
    </row>
    <row r="36" spans="1:18" s="122" customFormat="1" ht="36" x14ac:dyDescent="0.55000000000000004">
      <c r="A36" s="114" t="s">
        <v>94</v>
      </c>
      <c r="B36" s="115"/>
      <c r="C36" s="115"/>
      <c r="D36" s="115"/>
      <c r="E36" s="115"/>
      <c r="F36" s="115"/>
      <c r="G36" s="116"/>
      <c r="H36" s="117"/>
      <c r="I36" s="117"/>
      <c r="J36" s="117"/>
      <c r="K36" s="117"/>
      <c r="L36" s="71" t="s">
        <v>99</v>
      </c>
      <c r="M36" s="118" t="s">
        <v>95</v>
      </c>
      <c r="N36" s="118"/>
      <c r="O36" s="118"/>
      <c r="P36" s="119"/>
      <c r="Q36" s="120"/>
      <c r="R36" s="121"/>
    </row>
    <row r="37" spans="1:18" s="122" customFormat="1" ht="31.5" customHeight="1" x14ac:dyDescent="0.55000000000000004">
      <c r="A37" s="123"/>
      <c r="B37" s="124"/>
      <c r="C37" s="125" t="s">
        <v>96</v>
      </c>
      <c r="D37" s="125"/>
      <c r="E37" s="125"/>
      <c r="F37" s="125"/>
      <c r="G37" s="125"/>
      <c r="H37" s="126" t="s">
        <v>144</v>
      </c>
      <c r="I37" s="126" t="s">
        <v>145</v>
      </c>
      <c r="J37" s="126"/>
      <c r="K37" s="127"/>
      <c r="L37" s="79"/>
      <c r="M37" s="128"/>
      <c r="N37" s="128"/>
      <c r="O37" s="128"/>
      <c r="P37" s="129"/>
      <c r="Q37" s="120"/>
      <c r="R37" s="121"/>
    </row>
    <row r="38" spans="1:18" s="122" customFormat="1" ht="36" customHeight="1" x14ac:dyDescent="0.55000000000000004">
      <c r="A38" s="130">
        <v>1</v>
      </c>
      <c r="B38" s="131" t="s">
        <v>100</v>
      </c>
      <c r="C38" s="132"/>
      <c r="D38" s="133"/>
      <c r="E38" s="133"/>
      <c r="F38" s="133"/>
      <c r="G38" s="134"/>
      <c r="H38" s="135"/>
      <c r="I38" s="135"/>
      <c r="J38" s="135"/>
      <c r="K38" s="135"/>
      <c r="L38" s="136"/>
      <c r="M38" s="137" t="s">
        <v>40</v>
      </c>
      <c r="N38" s="138" t="s">
        <v>101</v>
      </c>
      <c r="O38" s="139"/>
      <c r="P38" s="129"/>
      <c r="Q38" s="120"/>
      <c r="R38" s="121"/>
    </row>
    <row r="39" spans="1:18" s="122" customFormat="1" ht="84.75" customHeight="1" x14ac:dyDescent="0.55000000000000004">
      <c r="A39" s="140" t="s">
        <v>102</v>
      </c>
      <c r="B39" s="141" t="s">
        <v>146</v>
      </c>
      <c r="C39" s="142"/>
      <c r="D39" s="143"/>
      <c r="E39" s="143"/>
      <c r="F39" s="143"/>
      <c r="G39" s="144"/>
      <c r="H39" s="145">
        <v>4</v>
      </c>
      <c r="I39" s="146"/>
      <c r="J39" s="145"/>
      <c r="K39" s="145"/>
      <c r="L39" s="136"/>
      <c r="M39" s="137" t="s">
        <v>41</v>
      </c>
      <c r="N39" s="138" t="s">
        <v>103</v>
      </c>
      <c r="O39" s="139"/>
      <c r="P39" s="129"/>
      <c r="Q39" s="120"/>
      <c r="R39" s="121"/>
    </row>
    <row r="40" spans="1:18" s="122" customFormat="1" ht="82.5" customHeight="1" x14ac:dyDescent="0.55000000000000004">
      <c r="A40" s="140" t="s">
        <v>104</v>
      </c>
      <c r="B40" s="141" t="s">
        <v>147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42</v>
      </c>
      <c r="N40" s="138" t="s">
        <v>105</v>
      </c>
      <c r="O40" s="139"/>
      <c r="P40" s="129"/>
      <c r="Q40" s="120"/>
      <c r="R40" s="121"/>
    </row>
    <row r="41" spans="1:18" s="122" customFormat="1" ht="78.75" customHeight="1" x14ac:dyDescent="0.55000000000000004">
      <c r="A41" s="140" t="s">
        <v>106</v>
      </c>
      <c r="B41" s="141" t="s">
        <v>107</v>
      </c>
      <c r="C41" s="142"/>
      <c r="D41" s="143"/>
      <c r="E41" s="143"/>
      <c r="F41" s="143"/>
      <c r="G41" s="144"/>
      <c r="H41" s="145">
        <v>2</v>
      </c>
      <c r="I41" s="146"/>
      <c r="J41" s="145"/>
      <c r="K41" s="145"/>
      <c r="L41" s="136"/>
      <c r="M41" s="137" t="s">
        <v>43</v>
      </c>
      <c r="N41" s="138" t="s">
        <v>108</v>
      </c>
      <c r="O41" s="139"/>
      <c r="P41" s="129"/>
      <c r="Q41" s="120"/>
      <c r="R41" s="121"/>
    </row>
    <row r="42" spans="1:18" s="122" customFormat="1" ht="36" x14ac:dyDescent="0.55000000000000004">
      <c r="A42" s="147">
        <v>2</v>
      </c>
      <c r="B42" s="148" t="s">
        <v>109</v>
      </c>
      <c r="C42" s="149"/>
      <c r="D42" s="150"/>
      <c r="E42" s="150"/>
      <c r="F42" s="150"/>
      <c r="G42" s="151"/>
      <c r="H42" s="145"/>
      <c r="I42" s="146"/>
      <c r="J42" s="145"/>
      <c r="K42" s="145"/>
      <c r="L42" s="136"/>
      <c r="M42" s="137" t="s">
        <v>44</v>
      </c>
      <c r="N42" s="138" t="s">
        <v>110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102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37" t="s">
        <v>45</v>
      </c>
      <c r="N43" s="138" t="s">
        <v>111</v>
      </c>
      <c r="O43" s="139"/>
      <c r="P43" s="156"/>
      <c r="Q43" s="120"/>
      <c r="R43" s="121"/>
    </row>
    <row r="44" spans="1:18" s="122" customFormat="1" ht="114.75" customHeight="1" x14ac:dyDescent="0.55000000000000004">
      <c r="A44" s="140" t="s">
        <v>104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99</v>
      </c>
      <c r="N44" s="157" t="s">
        <v>112</v>
      </c>
      <c r="O44" s="158"/>
      <c r="P44" s="156"/>
      <c r="Q44" s="120"/>
      <c r="R44" s="121"/>
    </row>
    <row r="45" spans="1:18" s="122" customFormat="1" ht="72" customHeight="1" x14ac:dyDescent="0.55000000000000004">
      <c r="A45" s="140" t="s">
        <v>106</v>
      </c>
      <c r="B45" s="152" t="s">
        <v>150</v>
      </c>
      <c r="C45" s="153"/>
      <c r="D45" s="154"/>
      <c r="E45" s="154"/>
      <c r="F45" s="154"/>
      <c r="G45" s="155"/>
      <c r="H45" s="145">
        <v>2</v>
      </c>
      <c r="I45" s="146"/>
      <c r="J45" s="145"/>
      <c r="K45" s="145"/>
      <c r="L45" s="136"/>
      <c r="M45" s="129" t="s">
        <v>113</v>
      </c>
      <c r="N45" s="157" t="s">
        <v>114</v>
      </c>
      <c r="O45" s="158"/>
      <c r="P45" s="156"/>
      <c r="Q45" s="120"/>
      <c r="R45" s="121"/>
    </row>
    <row r="46" spans="1:18" s="122" customFormat="1" ht="66" customHeight="1" x14ac:dyDescent="0.55000000000000004">
      <c r="A46" s="147">
        <v>3</v>
      </c>
      <c r="B46" s="148" t="s">
        <v>115</v>
      </c>
      <c r="C46" s="149"/>
      <c r="D46" s="150"/>
      <c r="E46" s="150"/>
      <c r="F46" s="150"/>
      <c r="G46" s="151"/>
      <c r="H46" s="145"/>
      <c r="I46" s="146"/>
      <c r="J46" s="145"/>
      <c r="K46" s="145"/>
      <c r="L46" s="136"/>
      <c r="M46" s="129" t="s">
        <v>97</v>
      </c>
      <c r="N46" s="157" t="s">
        <v>116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102</v>
      </c>
      <c r="B47" s="152" t="s">
        <v>117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98</v>
      </c>
      <c r="N47" s="157" t="s">
        <v>118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104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29" t="s">
        <v>119</v>
      </c>
      <c r="N48" s="157" t="s">
        <v>120</v>
      </c>
      <c r="O48" s="158"/>
      <c r="P48" s="156"/>
      <c r="Q48" s="120"/>
      <c r="R48" s="121"/>
    </row>
    <row r="49" spans="1:18" s="122" customFormat="1" ht="44.25" customHeight="1" x14ac:dyDescent="0.55000000000000004">
      <c r="A49" s="140" t="s">
        <v>106</v>
      </c>
      <c r="B49" s="152" t="s">
        <v>152</v>
      </c>
      <c r="C49" s="159"/>
      <c r="D49" s="160"/>
      <c r="E49" s="160"/>
      <c r="F49" s="160"/>
      <c r="G49" s="161"/>
      <c r="H49" s="145">
        <v>2</v>
      </c>
      <c r="I49" s="146"/>
      <c r="J49" s="145"/>
      <c r="K49" s="145"/>
      <c r="L49" s="136"/>
      <c r="M49" s="162"/>
      <c r="N49" s="162"/>
      <c r="O49" s="162"/>
      <c r="P49" s="163"/>
      <c r="Q49" s="120"/>
      <c r="R49" s="121"/>
    </row>
    <row r="50" spans="1:18" s="122" customFormat="1" ht="31.5" customHeight="1" x14ac:dyDescent="0.55000000000000004">
      <c r="A50" s="164" t="s">
        <v>121</v>
      </c>
      <c r="B50" s="165"/>
      <c r="C50" s="165"/>
      <c r="D50" s="165"/>
      <c r="E50" s="165"/>
      <c r="F50" s="165"/>
      <c r="G50" s="165"/>
      <c r="H50" s="166">
        <f>SUM(H39:H49)</f>
        <v>20</v>
      </c>
      <c r="I50" s="166">
        <f>SUM(I39:I49)</f>
        <v>0</v>
      </c>
      <c r="J50" s="166"/>
      <c r="K50" s="167"/>
      <c r="L50" s="136"/>
      <c r="M50" s="162"/>
      <c r="N50" s="162"/>
      <c r="O50" s="162"/>
      <c r="P50" s="163"/>
      <c r="Q50" s="120"/>
      <c r="R50" s="121"/>
    </row>
    <row r="51" spans="1:18" s="122" customFormat="1" ht="36" customHeight="1" x14ac:dyDescent="0.55000000000000004">
      <c r="A51" s="168" t="s">
        <v>102</v>
      </c>
      <c r="B51" s="169" t="s">
        <v>122</v>
      </c>
      <c r="C51" s="153" t="s">
        <v>123</v>
      </c>
      <c r="D51" s="154"/>
      <c r="E51" s="154"/>
      <c r="F51" s="154"/>
      <c r="G51" s="155"/>
      <c r="H51" s="170">
        <v>4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129" customHeight="1" x14ac:dyDescent="0.55000000000000004">
      <c r="A52" s="168" t="s">
        <v>104</v>
      </c>
      <c r="B52" s="169" t="s">
        <v>124</v>
      </c>
      <c r="C52" s="153" t="s">
        <v>125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69" customHeight="1" x14ac:dyDescent="0.55000000000000004">
      <c r="A53" s="168" t="s">
        <v>104</v>
      </c>
      <c r="B53" s="169" t="s">
        <v>126</v>
      </c>
      <c r="C53" s="153" t="s">
        <v>127</v>
      </c>
      <c r="D53" s="154"/>
      <c r="E53" s="154"/>
      <c r="F53" s="154"/>
      <c r="G53" s="155"/>
      <c r="H53" s="170">
        <v>3</v>
      </c>
      <c r="I53" s="171"/>
      <c r="J53" s="170"/>
      <c r="K53" s="172"/>
      <c r="L53" s="136"/>
      <c r="M53" s="162"/>
      <c r="N53" s="162"/>
      <c r="O53" s="162"/>
      <c r="P53" s="163"/>
      <c r="Q53" s="120"/>
      <c r="R53" s="121"/>
    </row>
    <row r="54" spans="1:18" s="122" customFormat="1" ht="46.5" customHeight="1" x14ac:dyDescent="0.55000000000000004">
      <c r="A54" s="173"/>
      <c r="B54" s="174" t="s">
        <v>128</v>
      </c>
      <c r="C54" s="174"/>
      <c r="D54" s="174"/>
      <c r="E54" s="175"/>
      <c r="F54" s="175"/>
      <c r="G54" s="175"/>
      <c r="H54" s="166">
        <f>SUM(H51:H53)</f>
        <v>10</v>
      </c>
      <c r="I54" s="166">
        <f>SUM(I51:I53)</f>
        <v>0</v>
      </c>
      <c r="J54" s="175"/>
      <c r="K54" s="176"/>
      <c r="L54" s="162"/>
      <c r="M54" s="162"/>
      <c r="N54" s="162"/>
      <c r="O54" s="162"/>
      <c r="P54" s="163"/>
      <c r="Q54" s="120"/>
      <c r="R54" s="121"/>
    </row>
    <row r="55" spans="1:18" s="184" customFormat="1" ht="45" customHeight="1" x14ac:dyDescent="0.7">
      <c r="A55" s="177"/>
      <c r="B55" s="178"/>
      <c r="C55" s="179"/>
      <c r="D55" s="179"/>
      <c r="E55" s="179"/>
      <c r="F55" s="180"/>
      <c r="G55" s="180"/>
      <c r="H55" s="180"/>
      <c r="I55" s="180"/>
      <c r="J55" s="180"/>
      <c r="K55" s="179"/>
      <c r="L55" s="179"/>
      <c r="M55" s="179"/>
      <c r="N55" s="179"/>
      <c r="O55" s="181" t="s">
        <v>153</v>
      </c>
      <c r="P55" s="182"/>
      <c r="Q55" s="181" t="s">
        <v>154</v>
      </c>
      <c r="R55" s="183"/>
    </row>
    <row r="56" spans="1:18" s="184" customFormat="1" ht="45" customHeight="1" x14ac:dyDescent="0.7">
      <c r="A56" s="177"/>
      <c r="B56" s="185"/>
      <c r="C56" s="186" t="s">
        <v>155</v>
      </c>
      <c r="D56" s="187"/>
      <c r="E56" s="187"/>
      <c r="F56" s="187"/>
      <c r="G56" s="187"/>
      <c r="H56" s="187"/>
      <c r="I56" s="187"/>
      <c r="J56" s="187"/>
      <c r="K56" s="188"/>
      <c r="L56" s="189"/>
      <c r="M56" s="190"/>
      <c r="N56" s="191"/>
      <c r="O56" s="192">
        <f>R35</f>
        <v>0</v>
      </c>
      <c r="P56" s="193"/>
      <c r="Q56" s="194">
        <f>O59/100 * 20</f>
        <v>0</v>
      </c>
      <c r="R56" s="195"/>
    </row>
    <row r="57" spans="1:18" s="184" customFormat="1" ht="45" customHeight="1" x14ac:dyDescent="0.7">
      <c r="A57" s="177"/>
      <c r="B57" s="185"/>
      <c r="C57" s="187" t="s">
        <v>156</v>
      </c>
      <c r="D57" s="187"/>
      <c r="E57" s="187"/>
      <c r="F57" s="187"/>
      <c r="G57" s="187"/>
      <c r="H57" s="187"/>
      <c r="I57" s="187"/>
      <c r="J57" s="187"/>
      <c r="K57" s="187"/>
      <c r="L57" s="190"/>
      <c r="M57" s="190"/>
      <c r="N57" s="191"/>
      <c r="O57" s="192">
        <f>I50</f>
        <v>0</v>
      </c>
      <c r="P57" s="193"/>
      <c r="Q57" s="196"/>
      <c r="R57" s="197"/>
    </row>
    <row r="58" spans="1:18" s="184" customFormat="1" ht="45" customHeight="1" x14ac:dyDescent="0.7">
      <c r="A58" s="177"/>
      <c r="B58" s="185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I54</f>
        <v>0</v>
      </c>
      <c r="P58" s="193"/>
      <c r="Q58" s="196"/>
      <c r="R58" s="197"/>
    </row>
    <row r="59" spans="1:18" s="184" customFormat="1" ht="45" customHeight="1" x14ac:dyDescent="0.7">
      <c r="A59" s="177"/>
      <c r="B59" s="198"/>
      <c r="C59" s="186" t="s">
        <v>158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SUM(O56:P58)</f>
        <v>0</v>
      </c>
      <c r="P59" s="193"/>
      <c r="Q59" s="199"/>
      <c r="R59" s="200"/>
    </row>
    <row r="60" spans="1:18" s="184" customFormat="1" ht="64.900000000000006" customHeight="1" x14ac:dyDescent="0.7">
      <c r="A60" s="177"/>
      <c r="B60" s="201" t="s">
        <v>159</v>
      </c>
      <c r="C60" s="201"/>
      <c r="D60" s="201"/>
      <c r="E60" s="201"/>
      <c r="F60" s="201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s="184" customFormat="1" ht="64.900000000000006" customHeight="1" x14ac:dyDescent="0.7">
      <c r="A61" s="177"/>
      <c r="B61" s="204" t="s">
        <v>160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5"/>
    </row>
    <row r="62" spans="1:18" s="184" customFormat="1" ht="48.75" customHeight="1" x14ac:dyDescent="0.7">
      <c r="A62" s="177"/>
      <c r="B62" s="206" t="s">
        <v>161</v>
      </c>
      <c r="C62" s="206"/>
      <c r="D62" s="206"/>
      <c r="E62" s="206"/>
      <c r="F62" s="206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8"/>
    </row>
    <row r="63" spans="1:18" s="184" customFormat="1" ht="45.75" x14ac:dyDescent="0.7">
      <c r="A63" s="177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5"/>
    </row>
    <row r="64" spans="1:18" s="122" customFormat="1" ht="31.5" customHeight="1" x14ac:dyDescent="0.55000000000000004">
      <c r="A64" s="209" t="s">
        <v>162</v>
      </c>
      <c r="B64" s="210"/>
      <c r="C64" s="211"/>
      <c r="D64" s="212"/>
      <c r="E64" s="213" t="s">
        <v>163</v>
      </c>
      <c r="F64" s="214"/>
      <c r="G64" s="210" t="s">
        <v>164</v>
      </c>
      <c r="H64" s="211"/>
      <c r="I64" s="211"/>
      <c r="J64" s="211"/>
      <c r="K64" s="215"/>
      <c r="L64" s="136"/>
      <c r="M64" s="216"/>
      <c r="N64" s="216"/>
      <c r="O64" s="216"/>
      <c r="P64" s="216"/>
      <c r="Q64" s="216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17"/>
      <c r="B66" s="218"/>
      <c r="C66" s="219"/>
      <c r="D66" s="220"/>
      <c r="E66" s="221"/>
      <c r="F66" s="222"/>
      <c r="G66" s="218"/>
      <c r="H66" s="219"/>
      <c r="I66" s="219"/>
      <c r="J66" s="219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24"/>
      <c r="B67" s="225"/>
      <c r="C67" s="226"/>
      <c r="D67" s="227"/>
      <c r="E67" s="228"/>
      <c r="F67" s="229"/>
      <c r="G67" s="225"/>
      <c r="H67" s="226"/>
      <c r="I67" s="226"/>
      <c r="J67" s="226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0" t="s">
        <v>129</v>
      </c>
      <c r="B68" s="231"/>
      <c r="C68" s="211"/>
      <c r="D68" s="212"/>
      <c r="E68" s="232" t="s">
        <v>165</v>
      </c>
      <c r="F68" s="214"/>
      <c r="G68" s="231" t="s">
        <v>165</v>
      </c>
      <c r="H68" s="211"/>
      <c r="I68" s="211"/>
      <c r="J68" s="211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19"/>
      <c r="D69" s="220"/>
      <c r="E69" s="235"/>
      <c r="F69" s="222"/>
      <c r="G69" s="234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33"/>
      <c r="B70" s="234"/>
      <c r="C70" s="226"/>
      <c r="D70" s="227"/>
      <c r="E70" s="236"/>
      <c r="F70" s="229"/>
      <c r="G70" s="237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 t="s">
        <v>130</v>
      </c>
      <c r="B71" s="218"/>
      <c r="C71" s="211"/>
      <c r="D71" s="212"/>
      <c r="E71" s="213" t="s">
        <v>166</v>
      </c>
      <c r="F71" s="214"/>
      <c r="G71" s="210" t="s">
        <v>166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17"/>
      <c r="B72" s="218"/>
      <c r="C72" s="226"/>
      <c r="D72" s="227"/>
      <c r="E72" s="228"/>
      <c r="F72" s="229"/>
      <c r="G72" s="225"/>
      <c r="H72" s="226"/>
      <c r="I72" s="226"/>
      <c r="J72" s="226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thickBot="1" x14ac:dyDescent="0.6">
      <c r="A73" s="238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1"/>
      <c r="M73" s="242"/>
      <c r="N73" s="242"/>
      <c r="O73" s="242"/>
      <c r="P73" s="242"/>
      <c r="Q73" s="242"/>
      <c r="R73" s="243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E98E8FED-AF33-457C-ABCD-34D47F98D2DC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6479-0435-4631-B2DF-71AE6D008A56}">
  <sheetPr>
    <pageSetUpPr fitToPage="1"/>
  </sheetPr>
  <dimension ref="A1:R73"/>
  <sheetViews>
    <sheetView topLeftCell="H5"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167</v>
      </c>
      <c r="C5" s="16" t="s">
        <v>2</v>
      </c>
      <c r="D5" s="17" t="s">
        <v>168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>
        <v>88649</v>
      </c>
      <c r="D8" s="258" t="s">
        <v>12</v>
      </c>
      <c r="E8" s="259"/>
      <c r="F8" s="258" t="s">
        <v>13</v>
      </c>
      <c r="G8" s="260"/>
      <c r="H8" s="258" t="s">
        <v>14</v>
      </c>
      <c r="I8" s="261" t="s">
        <v>15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17</v>
      </c>
      <c r="D10" s="266" t="s">
        <v>6</v>
      </c>
      <c r="E10" s="265" t="s">
        <v>18</v>
      </c>
      <c r="F10" s="266" t="s">
        <v>8</v>
      </c>
      <c r="G10" s="267" t="s">
        <v>19</v>
      </c>
      <c r="H10" s="266" t="s">
        <v>9</v>
      </c>
      <c r="I10" s="268" t="s">
        <v>20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21</v>
      </c>
      <c r="F11" s="274" t="s">
        <v>13</v>
      </c>
      <c r="G11" s="276" t="s">
        <v>22</v>
      </c>
      <c r="H11" s="274" t="s">
        <v>14</v>
      </c>
      <c r="I11" s="277" t="s">
        <v>15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28</v>
      </c>
      <c r="F14" s="46" t="s">
        <v>13</v>
      </c>
      <c r="G14" s="280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46</v>
      </c>
      <c r="C19" s="283">
        <f>0.1 *8.59335038363171</f>
        <v>0.85933503836317104</v>
      </c>
      <c r="D19" s="81" t="s">
        <v>47</v>
      </c>
      <c r="E19" s="82">
        <f>C19/5</f>
        <v>0.17186700767263421</v>
      </c>
      <c r="F19" s="82">
        <f>E19/$E$34 * 100</f>
        <v>1.8300653594771228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3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51</v>
      </c>
      <c r="E20" s="82">
        <f>C19/5</f>
        <v>0.17186700767263421</v>
      </c>
      <c r="F20" s="82">
        <f t="shared" ref="F20:F33" si="2">E20/$E$34 * 100</f>
        <v>1.8300653594771228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53</v>
      </c>
      <c r="E21" s="82">
        <f>C19/5</f>
        <v>0.17186700767263421</v>
      </c>
      <c r="F21" s="82">
        <f t="shared" si="2"/>
        <v>1.8300653594771228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55</v>
      </c>
      <c r="E22" s="82">
        <f>C19/5</f>
        <v>0.17186700767263421</v>
      </c>
      <c r="F22" s="82">
        <f t="shared" si="2"/>
        <v>1.8300653594771228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59</v>
      </c>
      <c r="E23" s="82">
        <f>C19/5</f>
        <v>0.17186700767263421</v>
      </c>
      <c r="F23" s="82">
        <f t="shared" si="2"/>
        <v>1.8300653594771228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61</v>
      </c>
      <c r="C24" s="283">
        <f>0.1 *57.2122762148338</f>
        <v>5.7212276214833802</v>
      </c>
      <c r="D24" s="94" t="s">
        <v>62</v>
      </c>
      <c r="E24" s="82">
        <f>C24/6</f>
        <v>0.95353793691389666</v>
      </c>
      <c r="F24" s="82">
        <f t="shared" si="2"/>
        <v>10.153413217138709</v>
      </c>
      <c r="G24" s="83" t="s">
        <v>63</v>
      </c>
      <c r="H24" s="93">
        <v>0.8</v>
      </c>
      <c r="I24" s="92" t="s">
        <v>49</v>
      </c>
      <c r="J24" s="86" t="s">
        <v>64</v>
      </c>
      <c r="K24" s="87">
        <v>80</v>
      </c>
      <c r="L24" s="87">
        <v>75</v>
      </c>
      <c r="M24" s="87">
        <v>70</v>
      </c>
      <c r="N24" s="87">
        <v>50</v>
      </c>
      <c r="O24" s="87" t="s">
        <v>65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66</v>
      </c>
      <c r="E25" s="82">
        <f>C24/6</f>
        <v>0.95353793691389666</v>
      </c>
      <c r="F25" s="82">
        <f t="shared" si="2"/>
        <v>10.153413217138709</v>
      </c>
      <c r="G25" s="83" t="s">
        <v>67</v>
      </c>
      <c r="H25" s="93">
        <v>0.8</v>
      </c>
      <c r="I25" s="92" t="s">
        <v>49</v>
      </c>
      <c r="J25" s="86" t="s">
        <v>64</v>
      </c>
      <c r="K25" s="87">
        <v>80</v>
      </c>
      <c r="L25" s="87">
        <v>75</v>
      </c>
      <c r="M25" s="87">
        <v>70</v>
      </c>
      <c r="N25" s="87">
        <v>50</v>
      </c>
      <c r="O25" s="87" t="s">
        <v>65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68</v>
      </c>
      <c r="E26" s="82">
        <f>C24/6</f>
        <v>0.95353793691389666</v>
      </c>
      <c r="F26" s="82">
        <f t="shared" si="2"/>
        <v>10.153413217138709</v>
      </c>
      <c r="G26" s="83" t="s">
        <v>69</v>
      </c>
      <c r="H26" s="93">
        <v>0.8</v>
      </c>
      <c r="I26" s="92" t="s">
        <v>49</v>
      </c>
      <c r="J26" s="86" t="s">
        <v>64</v>
      </c>
      <c r="K26" s="87">
        <v>80</v>
      </c>
      <c r="L26" s="87">
        <v>75</v>
      </c>
      <c r="M26" s="87">
        <v>70</v>
      </c>
      <c r="N26" s="87">
        <v>50</v>
      </c>
      <c r="O26" s="87" t="s">
        <v>65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70</v>
      </c>
      <c r="E27" s="82">
        <f>C24/6</f>
        <v>0.95353793691389666</v>
      </c>
      <c r="F27" s="82">
        <f t="shared" si="2"/>
        <v>10.153413217138709</v>
      </c>
      <c r="G27" s="83" t="s">
        <v>71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72</v>
      </c>
      <c r="E28" s="82">
        <f>C24/6</f>
        <v>0.95353793691389666</v>
      </c>
      <c r="F28" s="82">
        <f t="shared" si="2"/>
        <v>10.153413217138709</v>
      </c>
      <c r="G28" s="83" t="s">
        <v>73</v>
      </c>
      <c r="H28" s="93">
        <v>0.9</v>
      </c>
      <c r="I28" s="92" t="s">
        <v>49</v>
      </c>
      <c r="J28" s="86" t="s">
        <v>74</v>
      </c>
      <c r="K28" s="87">
        <v>90</v>
      </c>
      <c r="L28" s="87">
        <v>80</v>
      </c>
      <c r="M28" s="87">
        <v>70</v>
      </c>
      <c r="N28" s="87">
        <v>50</v>
      </c>
      <c r="O28" s="87" t="s">
        <v>65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75</v>
      </c>
      <c r="E29" s="82">
        <f>C24/6</f>
        <v>0.95353793691389666</v>
      </c>
      <c r="F29" s="82">
        <f t="shared" si="2"/>
        <v>10.153413217138709</v>
      </c>
      <c r="G29" s="83" t="s">
        <v>76</v>
      </c>
      <c r="H29" s="93">
        <v>0.8</v>
      </c>
      <c r="I29" s="92" t="s">
        <v>49</v>
      </c>
      <c r="J29" s="86" t="s">
        <v>64</v>
      </c>
      <c r="K29" s="87">
        <v>80</v>
      </c>
      <c r="L29" s="87">
        <v>75</v>
      </c>
      <c r="M29" s="87">
        <v>70</v>
      </c>
      <c r="N29" s="87">
        <v>50</v>
      </c>
      <c r="O29" s="87" t="s">
        <v>65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0">
        <v>3</v>
      </c>
      <c r="B30" s="291" t="s">
        <v>77</v>
      </c>
      <c r="C30" s="292">
        <f>0.1 *0.895140664961637</f>
        <v>8.9514066496163711E-2</v>
      </c>
      <c r="D30" s="81" t="s">
        <v>78</v>
      </c>
      <c r="E30" s="82">
        <f>C30</f>
        <v>8.9514066496163711E-2</v>
      </c>
      <c r="F30" s="82">
        <f t="shared" si="2"/>
        <v>0.95315904139433527</v>
      </c>
      <c r="G30" s="83" t="s">
        <v>79</v>
      </c>
      <c r="H30" s="92">
        <v>5</v>
      </c>
      <c r="I30" s="85" t="s">
        <v>57</v>
      </c>
      <c r="J30" s="86" t="s">
        <v>58</v>
      </c>
      <c r="K30" s="87">
        <v>5</v>
      </c>
      <c r="L30" s="87">
        <v>4</v>
      </c>
      <c r="M30" s="87">
        <v>3</v>
      </c>
      <c r="N30" s="87">
        <v>2</v>
      </c>
      <c r="O30" s="87">
        <v>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90">
        <v>4</v>
      </c>
      <c r="B31" s="291" t="s">
        <v>80</v>
      </c>
      <c r="C31" s="292">
        <f>0.1 *14.3222506393862</f>
        <v>1.43222506393862</v>
      </c>
      <c r="D31" s="81" t="s">
        <v>81</v>
      </c>
      <c r="E31" s="82">
        <f>C31</f>
        <v>1.43222506393862</v>
      </c>
      <c r="F31" s="82">
        <f t="shared" si="2"/>
        <v>15.250544662309373</v>
      </c>
      <c r="G31" s="83" t="s">
        <v>82</v>
      </c>
      <c r="H31" s="93">
        <v>0.8</v>
      </c>
      <c r="I31" s="92" t="s">
        <v>49</v>
      </c>
      <c r="J31" s="86" t="s">
        <v>64</v>
      </c>
      <c r="K31" s="87">
        <v>80</v>
      </c>
      <c r="L31" s="87">
        <v>75</v>
      </c>
      <c r="M31" s="87">
        <v>70</v>
      </c>
      <c r="N31" s="87">
        <v>50</v>
      </c>
      <c r="O31" s="87" t="s">
        <v>65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5</v>
      </c>
      <c r="B32" s="81" t="s">
        <v>83</v>
      </c>
      <c r="C32" s="95">
        <f>0.1 *5.72890025575448</f>
        <v>0.57289002557544799</v>
      </c>
      <c r="D32" s="291" t="s">
        <v>84</v>
      </c>
      <c r="E32" s="82">
        <f>C32</f>
        <v>0.57289002557544799</v>
      </c>
      <c r="F32" s="82">
        <f t="shared" si="2"/>
        <v>6.1002178649237484</v>
      </c>
      <c r="G32" s="83" t="s">
        <v>85</v>
      </c>
      <c r="H32" s="84">
        <v>0.7</v>
      </c>
      <c r="I32" s="92" t="s">
        <v>49</v>
      </c>
      <c r="J32" s="86" t="s">
        <v>86</v>
      </c>
      <c r="K32" s="87">
        <v>70</v>
      </c>
      <c r="L32" s="87">
        <v>60</v>
      </c>
      <c r="M32" s="87">
        <v>50</v>
      </c>
      <c r="N32" s="87">
        <v>40</v>
      </c>
      <c r="O32" s="87" t="s">
        <v>87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1" t="s">
        <v>88</v>
      </c>
      <c r="C33" s="95">
        <f>0.1 *7.16112531969309</f>
        <v>0.71611253196930902</v>
      </c>
      <c r="D33" s="83" t="s">
        <v>89</v>
      </c>
      <c r="E33" s="82">
        <f>C33</f>
        <v>0.71611253196930902</v>
      </c>
      <c r="F33" s="82">
        <f t="shared" si="2"/>
        <v>7.625272331154676</v>
      </c>
      <c r="G33" s="83" t="s">
        <v>90</v>
      </c>
      <c r="H33" s="84">
        <v>0.5</v>
      </c>
      <c r="I33" s="85" t="s">
        <v>49</v>
      </c>
      <c r="J33" s="86" t="s">
        <v>91</v>
      </c>
      <c r="K33" s="87">
        <v>50</v>
      </c>
      <c r="L33" s="87">
        <v>45</v>
      </c>
      <c r="M33" s="87">
        <v>40</v>
      </c>
      <c r="N33" s="87">
        <v>25</v>
      </c>
      <c r="O33" s="87" t="s">
        <v>92</v>
      </c>
      <c r="P33" s="88"/>
      <c r="Q33" s="89">
        <f t="shared" si="0"/>
        <v>0</v>
      </c>
      <c r="R33" s="90">
        <f t="shared" si="1"/>
        <v>0</v>
      </c>
    </row>
    <row r="34" spans="1:18" s="106" customFormat="1" ht="44.25" x14ac:dyDescent="0.25">
      <c r="A34" s="96"/>
      <c r="B34" s="97" t="s">
        <v>93</v>
      </c>
      <c r="C34" s="98">
        <f>SUM(C19:C33)</f>
        <v>9.3913043478260914</v>
      </c>
      <c r="D34" s="97"/>
      <c r="E34" s="98">
        <f>SUM(E19:E33)</f>
        <v>9.3913043478260914</v>
      </c>
      <c r="F34" s="98">
        <f>SUM(F19:F33)</f>
        <v>100</v>
      </c>
      <c r="G34" s="99"/>
      <c r="H34" s="100"/>
      <c r="I34" s="101"/>
      <c r="J34" s="102"/>
      <c r="K34" s="102"/>
      <c r="L34" s="102"/>
      <c r="M34" s="102"/>
      <c r="N34" s="102"/>
      <c r="O34" s="102"/>
      <c r="P34" s="103"/>
      <c r="Q34" s="104"/>
      <c r="R34" s="105">
        <f>SUM(R19:R33)</f>
        <v>0</v>
      </c>
    </row>
    <row r="35" spans="1:18" s="108" customFormat="1" ht="66" customHeight="1" x14ac:dyDescent="0.7">
      <c r="A35" s="107"/>
      <c r="G35" s="109"/>
      <c r="H35" s="109"/>
      <c r="I35" s="110" t="s">
        <v>143</v>
      </c>
      <c r="J35" s="111"/>
      <c r="K35" s="111"/>
      <c r="L35" s="111"/>
      <c r="M35" s="111"/>
      <c r="N35" s="111"/>
      <c r="O35" s="111"/>
      <c r="P35" s="111"/>
      <c r="Q35" s="112"/>
      <c r="R35" s="113">
        <f>R34/100 * 70</f>
        <v>0</v>
      </c>
    </row>
    <row r="36" spans="1:18" s="122" customFormat="1" ht="36" x14ac:dyDescent="0.55000000000000004">
      <c r="A36" s="114" t="s">
        <v>94</v>
      </c>
      <c r="B36" s="115"/>
      <c r="C36" s="115"/>
      <c r="D36" s="115"/>
      <c r="E36" s="115"/>
      <c r="F36" s="115"/>
      <c r="G36" s="116"/>
      <c r="H36" s="117"/>
      <c r="I36" s="117"/>
      <c r="J36" s="117"/>
      <c r="K36" s="117"/>
      <c r="L36" s="71" t="s">
        <v>99</v>
      </c>
      <c r="M36" s="118" t="s">
        <v>95</v>
      </c>
      <c r="N36" s="118"/>
      <c r="O36" s="118"/>
      <c r="P36" s="119"/>
      <c r="Q36" s="120"/>
      <c r="R36" s="121"/>
    </row>
    <row r="37" spans="1:18" s="122" customFormat="1" ht="31.5" customHeight="1" x14ac:dyDescent="0.55000000000000004">
      <c r="A37" s="123"/>
      <c r="B37" s="124"/>
      <c r="C37" s="125" t="s">
        <v>96</v>
      </c>
      <c r="D37" s="125"/>
      <c r="E37" s="125"/>
      <c r="F37" s="125"/>
      <c r="G37" s="125"/>
      <c r="H37" s="126" t="s">
        <v>144</v>
      </c>
      <c r="I37" s="126" t="s">
        <v>145</v>
      </c>
      <c r="J37" s="126"/>
      <c r="K37" s="127"/>
      <c r="L37" s="79"/>
      <c r="M37" s="128"/>
      <c r="N37" s="128"/>
      <c r="O37" s="128"/>
      <c r="P37" s="129"/>
      <c r="Q37" s="120"/>
      <c r="R37" s="121"/>
    </row>
    <row r="38" spans="1:18" s="122" customFormat="1" ht="36" customHeight="1" x14ac:dyDescent="0.55000000000000004">
      <c r="A38" s="130">
        <v>1</v>
      </c>
      <c r="B38" s="131" t="s">
        <v>100</v>
      </c>
      <c r="C38" s="132"/>
      <c r="D38" s="133"/>
      <c r="E38" s="133"/>
      <c r="F38" s="133"/>
      <c r="G38" s="134"/>
      <c r="H38" s="135"/>
      <c r="I38" s="135"/>
      <c r="J38" s="135"/>
      <c r="K38" s="135"/>
      <c r="L38" s="136"/>
      <c r="M38" s="137" t="s">
        <v>40</v>
      </c>
      <c r="N38" s="138" t="s">
        <v>101</v>
      </c>
      <c r="O38" s="139"/>
      <c r="P38" s="129"/>
      <c r="Q38" s="120"/>
      <c r="R38" s="121"/>
    </row>
    <row r="39" spans="1:18" s="122" customFormat="1" ht="84.75" customHeight="1" x14ac:dyDescent="0.55000000000000004">
      <c r="A39" s="140" t="s">
        <v>102</v>
      </c>
      <c r="B39" s="141" t="s">
        <v>146</v>
      </c>
      <c r="C39" s="142"/>
      <c r="D39" s="143"/>
      <c r="E39" s="143"/>
      <c r="F39" s="143"/>
      <c r="G39" s="144"/>
      <c r="H39" s="145">
        <v>4</v>
      </c>
      <c r="I39" s="146"/>
      <c r="J39" s="145"/>
      <c r="K39" s="145"/>
      <c r="L39" s="136"/>
      <c r="M39" s="137" t="s">
        <v>41</v>
      </c>
      <c r="N39" s="138" t="s">
        <v>103</v>
      </c>
      <c r="O39" s="139"/>
      <c r="P39" s="129"/>
      <c r="Q39" s="120"/>
      <c r="R39" s="121"/>
    </row>
    <row r="40" spans="1:18" s="122" customFormat="1" ht="82.5" customHeight="1" x14ac:dyDescent="0.55000000000000004">
      <c r="A40" s="140" t="s">
        <v>104</v>
      </c>
      <c r="B40" s="141" t="s">
        <v>147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42</v>
      </c>
      <c r="N40" s="138" t="s">
        <v>105</v>
      </c>
      <c r="O40" s="139"/>
      <c r="P40" s="129"/>
      <c r="Q40" s="120"/>
      <c r="R40" s="121"/>
    </row>
    <row r="41" spans="1:18" s="122" customFormat="1" ht="78.75" customHeight="1" x14ac:dyDescent="0.55000000000000004">
      <c r="A41" s="140" t="s">
        <v>106</v>
      </c>
      <c r="B41" s="141" t="s">
        <v>107</v>
      </c>
      <c r="C41" s="142"/>
      <c r="D41" s="143"/>
      <c r="E41" s="143"/>
      <c r="F41" s="143"/>
      <c r="G41" s="144"/>
      <c r="H41" s="145">
        <v>2</v>
      </c>
      <c r="I41" s="146"/>
      <c r="J41" s="145"/>
      <c r="K41" s="145"/>
      <c r="L41" s="136"/>
      <c r="M41" s="137" t="s">
        <v>43</v>
      </c>
      <c r="N41" s="138" t="s">
        <v>108</v>
      </c>
      <c r="O41" s="139"/>
      <c r="P41" s="129"/>
      <c r="Q41" s="120"/>
      <c r="R41" s="121"/>
    </row>
    <row r="42" spans="1:18" s="122" customFormat="1" ht="36" x14ac:dyDescent="0.55000000000000004">
      <c r="A42" s="147">
        <v>2</v>
      </c>
      <c r="B42" s="148" t="s">
        <v>109</v>
      </c>
      <c r="C42" s="149"/>
      <c r="D42" s="150"/>
      <c r="E42" s="150"/>
      <c r="F42" s="150"/>
      <c r="G42" s="151"/>
      <c r="H42" s="145"/>
      <c r="I42" s="146"/>
      <c r="J42" s="145"/>
      <c r="K42" s="145"/>
      <c r="L42" s="136"/>
      <c r="M42" s="137" t="s">
        <v>44</v>
      </c>
      <c r="N42" s="138" t="s">
        <v>110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102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37" t="s">
        <v>45</v>
      </c>
      <c r="N43" s="138" t="s">
        <v>111</v>
      </c>
      <c r="O43" s="139"/>
      <c r="P43" s="156"/>
      <c r="Q43" s="120"/>
      <c r="R43" s="121"/>
    </row>
    <row r="44" spans="1:18" s="122" customFormat="1" ht="114.75" customHeight="1" x14ac:dyDescent="0.55000000000000004">
      <c r="A44" s="140" t="s">
        <v>104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99</v>
      </c>
      <c r="N44" s="157" t="s">
        <v>112</v>
      </c>
      <c r="O44" s="158"/>
      <c r="P44" s="156"/>
      <c r="Q44" s="120"/>
      <c r="R44" s="121"/>
    </row>
    <row r="45" spans="1:18" s="122" customFormat="1" ht="72" customHeight="1" x14ac:dyDescent="0.55000000000000004">
      <c r="A45" s="140" t="s">
        <v>106</v>
      </c>
      <c r="B45" s="152" t="s">
        <v>150</v>
      </c>
      <c r="C45" s="153"/>
      <c r="D45" s="154"/>
      <c r="E45" s="154"/>
      <c r="F45" s="154"/>
      <c r="G45" s="155"/>
      <c r="H45" s="145">
        <v>2</v>
      </c>
      <c r="I45" s="146"/>
      <c r="J45" s="145"/>
      <c r="K45" s="145"/>
      <c r="L45" s="136"/>
      <c r="M45" s="129" t="s">
        <v>113</v>
      </c>
      <c r="N45" s="157" t="s">
        <v>114</v>
      </c>
      <c r="O45" s="158"/>
      <c r="P45" s="156"/>
      <c r="Q45" s="120"/>
      <c r="R45" s="121"/>
    </row>
    <row r="46" spans="1:18" s="122" customFormat="1" ht="66" customHeight="1" x14ac:dyDescent="0.55000000000000004">
      <c r="A46" s="147">
        <v>3</v>
      </c>
      <c r="B46" s="148" t="s">
        <v>115</v>
      </c>
      <c r="C46" s="149"/>
      <c r="D46" s="150"/>
      <c r="E46" s="150"/>
      <c r="F46" s="150"/>
      <c r="G46" s="151"/>
      <c r="H46" s="145"/>
      <c r="I46" s="146"/>
      <c r="J46" s="145"/>
      <c r="K46" s="145"/>
      <c r="L46" s="136"/>
      <c r="M46" s="129" t="s">
        <v>97</v>
      </c>
      <c r="N46" s="157" t="s">
        <v>116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102</v>
      </c>
      <c r="B47" s="152" t="s">
        <v>117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98</v>
      </c>
      <c r="N47" s="157" t="s">
        <v>118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104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29" t="s">
        <v>119</v>
      </c>
      <c r="N48" s="157" t="s">
        <v>120</v>
      </c>
      <c r="O48" s="158"/>
      <c r="P48" s="156"/>
      <c r="Q48" s="120"/>
      <c r="R48" s="121"/>
    </row>
    <row r="49" spans="1:18" s="122" customFormat="1" ht="44.25" customHeight="1" x14ac:dyDescent="0.55000000000000004">
      <c r="A49" s="140" t="s">
        <v>106</v>
      </c>
      <c r="B49" s="152" t="s">
        <v>152</v>
      </c>
      <c r="C49" s="159"/>
      <c r="D49" s="160"/>
      <c r="E49" s="160"/>
      <c r="F49" s="160"/>
      <c r="G49" s="161"/>
      <c r="H49" s="145">
        <v>2</v>
      </c>
      <c r="I49" s="146"/>
      <c r="J49" s="145"/>
      <c r="K49" s="145"/>
      <c r="L49" s="136"/>
      <c r="M49" s="162"/>
      <c r="N49" s="162"/>
      <c r="O49" s="162"/>
      <c r="P49" s="163"/>
      <c r="Q49" s="120"/>
      <c r="R49" s="121"/>
    </row>
    <row r="50" spans="1:18" s="122" customFormat="1" ht="31.5" customHeight="1" x14ac:dyDescent="0.55000000000000004">
      <c r="A50" s="164" t="s">
        <v>121</v>
      </c>
      <c r="B50" s="165"/>
      <c r="C50" s="165"/>
      <c r="D50" s="165"/>
      <c r="E50" s="165"/>
      <c r="F50" s="165"/>
      <c r="G50" s="165"/>
      <c r="H50" s="166">
        <f>SUM(H39:H49)</f>
        <v>20</v>
      </c>
      <c r="I50" s="166">
        <f>SUM(I39:I49)</f>
        <v>0</v>
      </c>
      <c r="J50" s="166"/>
      <c r="K50" s="167"/>
      <c r="L50" s="136"/>
      <c r="M50" s="162"/>
      <c r="N50" s="162"/>
      <c r="O50" s="162"/>
      <c r="P50" s="163"/>
      <c r="Q50" s="120"/>
      <c r="R50" s="121"/>
    </row>
    <row r="51" spans="1:18" s="122" customFormat="1" ht="36" customHeight="1" x14ac:dyDescent="0.55000000000000004">
      <c r="A51" s="168" t="s">
        <v>102</v>
      </c>
      <c r="B51" s="169" t="s">
        <v>122</v>
      </c>
      <c r="C51" s="153" t="s">
        <v>123</v>
      </c>
      <c r="D51" s="154"/>
      <c r="E51" s="154"/>
      <c r="F51" s="154"/>
      <c r="G51" s="155"/>
      <c r="H51" s="170">
        <v>4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129" customHeight="1" x14ac:dyDescent="0.55000000000000004">
      <c r="A52" s="168" t="s">
        <v>104</v>
      </c>
      <c r="B52" s="169" t="s">
        <v>124</v>
      </c>
      <c r="C52" s="153" t="s">
        <v>125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69" customHeight="1" x14ac:dyDescent="0.55000000000000004">
      <c r="A53" s="168" t="s">
        <v>104</v>
      </c>
      <c r="B53" s="169" t="s">
        <v>126</v>
      </c>
      <c r="C53" s="153" t="s">
        <v>127</v>
      </c>
      <c r="D53" s="154"/>
      <c r="E53" s="154"/>
      <c r="F53" s="154"/>
      <c r="G53" s="155"/>
      <c r="H53" s="170">
        <v>3</v>
      </c>
      <c r="I53" s="171"/>
      <c r="J53" s="170"/>
      <c r="K53" s="172"/>
      <c r="L53" s="136"/>
      <c r="M53" s="162"/>
      <c r="N53" s="162"/>
      <c r="O53" s="162"/>
      <c r="P53" s="163"/>
      <c r="Q53" s="120"/>
      <c r="R53" s="121"/>
    </row>
    <row r="54" spans="1:18" s="122" customFormat="1" ht="46.5" customHeight="1" x14ac:dyDescent="0.55000000000000004">
      <c r="A54" s="173"/>
      <c r="B54" s="174" t="s">
        <v>128</v>
      </c>
      <c r="C54" s="174"/>
      <c r="D54" s="174"/>
      <c r="E54" s="175"/>
      <c r="F54" s="175"/>
      <c r="G54" s="175"/>
      <c r="H54" s="166">
        <f>SUM(H51:H53)</f>
        <v>10</v>
      </c>
      <c r="I54" s="166">
        <f>SUM(I51:I53)</f>
        <v>0</v>
      </c>
      <c r="J54" s="175"/>
      <c r="K54" s="176"/>
      <c r="L54" s="162"/>
      <c r="M54" s="162"/>
      <c r="N54" s="162"/>
      <c r="O54" s="162"/>
      <c r="P54" s="163"/>
      <c r="Q54" s="120"/>
      <c r="R54" s="121"/>
    </row>
    <row r="55" spans="1:18" s="184" customFormat="1" ht="45" customHeight="1" x14ac:dyDescent="0.7">
      <c r="A55" s="177"/>
      <c r="B55" s="178"/>
      <c r="C55" s="179"/>
      <c r="D55" s="179"/>
      <c r="E55" s="179"/>
      <c r="F55" s="180"/>
      <c r="G55" s="180"/>
      <c r="H55" s="180"/>
      <c r="I55" s="180"/>
      <c r="J55" s="180"/>
      <c r="K55" s="179"/>
      <c r="L55" s="179"/>
      <c r="M55" s="179"/>
      <c r="N55" s="179"/>
      <c r="O55" s="181" t="s">
        <v>153</v>
      </c>
      <c r="P55" s="182"/>
      <c r="Q55" s="181" t="s">
        <v>154</v>
      </c>
      <c r="R55" s="183"/>
    </row>
    <row r="56" spans="1:18" s="184" customFormat="1" ht="45" customHeight="1" x14ac:dyDescent="0.7">
      <c r="A56" s="177"/>
      <c r="B56" s="185"/>
      <c r="C56" s="186" t="s">
        <v>155</v>
      </c>
      <c r="D56" s="187"/>
      <c r="E56" s="187"/>
      <c r="F56" s="187"/>
      <c r="G56" s="187"/>
      <c r="H56" s="187"/>
      <c r="I56" s="187"/>
      <c r="J56" s="187"/>
      <c r="K56" s="188"/>
      <c r="L56" s="189"/>
      <c r="M56" s="190"/>
      <c r="N56" s="191"/>
      <c r="O56" s="192">
        <f>R35</f>
        <v>0</v>
      </c>
      <c r="P56" s="193"/>
      <c r="Q56" s="194">
        <f>O59/100 * 20</f>
        <v>0</v>
      </c>
      <c r="R56" s="195"/>
    </row>
    <row r="57" spans="1:18" s="184" customFormat="1" ht="45" customHeight="1" x14ac:dyDescent="0.7">
      <c r="A57" s="177"/>
      <c r="B57" s="185"/>
      <c r="C57" s="187" t="s">
        <v>156</v>
      </c>
      <c r="D57" s="187"/>
      <c r="E57" s="187"/>
      <c r="F57" s="187"/>
      <c r="G57" s="187"/>
      <c r="H57" s="187"/>
      <c r="I57" s="187"/>
      <c r="J57" s="187"/>
      <c r="K57" s="187"/>
      <c r="L57" s="190"/>
      <c r="M57" s="190"/>
      <c r="N57" s="191"/>
      <c r="O57" s="192">
        <f>I50</f>
        <v>0</v>
      </c>
      <c r="P57" s="193"/>
      <c r="Q57" s="196"/>
      <c r="R57" s="197"/>
    </row>
    <row r="58" spans="1:18" s="184" customFormat="1" ht="45" customHeight="1" x14ac:dyDescent="0.7">
      <c r="A58" s="177"/>
      <c r="B58" s="185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I54</f>
        <v>0</v>
      </c>
      <c r="P58" s="193"/>
      <c r="Q58" s="196"/>
      <c r="R58" s="197"/>
    </row>
    <row r="59" spans="1:18" s="184" customFormat="1" ht="45" customHeight="1" x14ac:dyDescent="0.7">
      <c r="A59" s="177"/>
      <c r="B59" s="198"/>
      <c r="C59" s="186" t="s">
        <v>158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SUM(O56:P58)</f>
        <v>0</v>
      </c>
      <c r="P59" s="193"/>
      <c r="Q59" s="199"/>
      <c r="R59" s="200"/>
    </row>
    <row r="60" spans="1:18" s="184" customFormat="1" ht="64.900000000000006" customHeight="1" x14ac:dyDescent="0.7">
      <c r="A60" s="177"/>
      <c r="B60" s="201" t="s">
        <v>159</v>
      </c>
      <c r="C60" s="201"/>
      <c r="D60" s="201"/>
      <c r="E60" s="201"/>
      <c r="F60" s="201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s="184" customFormat="1" ht="64.900000000000006" customHeight="1" x14ac:dyDescent="0.7">
      <c r="A61" s="177"/>
      <c r="B61" s="204" t="s">
        <v>160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5"/>
    </row>
    <row r="62" spans="1:18" s="184" customFormat="1" ht="48.75" customHeight="1" x14ac:dyDescent="0.7">
      <c r="A62" s="177"/>
      <c r="B62" s="206" t="s">
        <v>161</v>
      </c>
      <c r="C62" s="206"/>
      <c r="D62" s="206"/>
      <c r="E62" s="206"/>
      <c r="F62" s="206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8"/>
    </row>
    <row r="63" spans="1:18" s="184" customFormat="1" ht="45.75" x14ac:dyDescent="0.7">
      <c r="A63" s="177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5"/>
    </row>
    <row r="64" spans="1:18" s="122" customFormat="1" ht="31.5" customHeight="1" x14ac:dyDescent="0.55000000000000004">
      <c r="A64" s="209" t="s">
        <v>162</v>
      </c>
      <c r="B64" s="210"/>
      <c r="C64" s="211"/>
      <c r="D64" s="212"/>
      <c r="E64" s="213" t="s">
        <v>163</v>
      </c>
      <c r="F64" s="214"/>
      <c r="G64" s="210" t="s">
        <v>164</v>
      </c>
      <c r="H64" s="211"/>
      <c r="I64" s="211"/>
      <c r="J64" s="211"/>
      <c r="K64" s="215"/>
      <c r="L64" s="136"/>
      <c r="M64" s="216"/>
      <c r="N64" s="216"/>
      <c r="O64" s="216"/>
      <c r="P64" s="216"/>
      <c r="Q64" s="216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17"/>
      <c r="B66" s="218"/>
      <c r="C66" s="219"/>
      <c r="D66" s="220"/>
      <c r="E66" s="221"/>
      <c r="F66" s="222"/>
      <c r="G66" s="218"/>
      <c r="H66" s="219"/>
      <c r="I66" s="219"/>
      <c r="J66" s="219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24"/>
      <c r="B67" s="225"/>
      <c r="C67" s="226"/>
      <c r="D67" s="227"/>
      <c r="E67" s="228"/>
      <c r="F67" s="229"/>
      <c r="G67" s="225"/>
      <c r="H67" s="226"/>
      <c r="I67" s="226"/>
      <c r="J67" s="226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0" t="s">
        <v>129</v>
      </c>
      <c r="B68" s="231"/>
      <c r="C68" s="211"/>
      <c r="D68" s="212"/>
      <c r="E68" s="232" t="s">
        <v>165</v>
      </c>
      <c r="F68" s="214"/>
      <c r="G68" s="231" t="s">
        <v>165</v>
      </c>
      <c r="H68" s="211"/>
      <c r="I68" s="211"/>
      <c r="J68" s="211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19"/>
      <c r="D69" s="220"/>
      <c r="E69" s="235"/>
      <c r="F69" s="222"/>
      <c r="G69" s="234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33"/>
      <c r="B70" s="234"/>
      <c r="C70" s="226"/>
      <c r="D70" s="227"/>
      <c r="E70" s="236"/>
      <c r="F70" s="229"/>
      <c r="G70" s="237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 t="s">
        <v>130</v>
      </c>
      <c r="B71" s="218"/>
      <c r="C71" s="211"/>
      <c r="D71" s="212"/>
      <c r="E71" s="213" t="s">
        <v>166</v>
      </c>
      <c r="F71" s="214"/>
      <c r="G71" s="210" t="s">
        <v>166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17"/>
      <c r="B72" s="218"/>
      <c r="C72" s="226"/>
      <c r="D72" s="227"/>
      <c r="E72" s="228"/>
      <c r="F72" s="229"/>
      <c r="G72" s="225"/>
      <c r="H72" s="226"/>
      <c r="I72" s="226"/>
      <c r="J72" s="226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thickBot="1" x14ac:dyDescent="0.6">
      <c r="A73" s="238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1"/>
      <c r="M73" s="242"/>
      <c r="N73" s="242"/>
      <c r="O73" s="242"/>
      <c r="P73" s="242"/>
      <c r="Q73" s="242"/>
      <c r="R73" s="243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742367CF-82BB-428E-B767-C58EE0D84BC7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DF4E-AD11-40C7-978C-273E24AE3A8B}">
  <sheetPr>
    <pageSetUpPr fitToPage="1"/>
  </sheetPr>
  <dimension ref="A1:R73"/>
  <sheetViews>
    <sheetView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169</v>
      </c>
      <c r="C5" s="16" t="s">
        <v>2</v>
      </c>
      <c r="D5" s="17" t="s">
        <v>170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>
        <v>88649</v>
      </c>
      <c r="D8" s="258" t="s">
        <v>12</v>
      </c>
      <c r="E8" s="259"/>
      <c r="F8" s="258" t="s">
        <v>13</v>
      </c>
      <c r="G8" s="260"/>
      <c r="H8" s="258" t="s">
        <v>14</v>
      </c>
      <c r="I8" s="261" t="s">
        <v>15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17</v>
      </c>
      <c r="D10" s="266" t="s">
        <v>6</v>
      </c>
      <c r="E10" s="265" t="s">
        <v>18</v>
      </c>
      <c r="F10" s="266" t="s">
        <v>8</v>
      </c>
      <c r="G10" s="267" t="s">
        <v>19</v>
      </c>
      <c r="H10" s="266" t="s">
        <v>9</v>
      </c>
      <c r="I10" s="268" t="s">
        <v>20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21</v>
      </c>
      <c r="F11" s="274" t="s">
        <v>13</v>
      </c>
      <c r="G11" s="276" t="s">
        <v>22</v>
      </c>
      <c r="H11" s="274" t="s">
        <v>14</v>
      </c>
      <c r="I11" s="277" t="s">
        <v>15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28</v>
      </c>
      <c r="F14" s="46" t="s">
        <v>13</v>
      </c>
      <c r="G14" s="280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46</v>
      </c>
      <c r="C19" s="283">
        <f>0.1 *8.59335038363171</f>
        <v>0.85933503836317104</v>
      </c>
      <c r="D19" s="81" t="s">
        <v>47</v>
      </c>
      <c r="E19" s="82">
        <f>C19/5</f>
        <v>0.17186700767263421</v>
      </c>
      <c r="F19" s="82">
        <f>E19/$E$34 * 100</f>
        <v>1.8300653594771228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3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51</v>
      </c>
      <c r="E20" s="82">
        <f>C19/5</f>
        <v>0.17186700767263421</v>
      </c>
      <c r="F20" s="82">
        <f t="shared" ref="F20:F33" si="2">E20/$E$34 * 100</f>
        <v>1.8300653594771228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53</v>
      </c>
      <c r="E21" s="82">
        <f>C19/5</f>
        <v>0.17186700767263421</v>
      </c>
      <c r="F21" s="82">
        <f t="shared" si="2"/>
        <v>1.8300653594771228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55</v>
      </c>
      <c r="E22" s="82">
        <f>C19/5</f>
        <v>0.17186700767263421</v>
      </c>
      <c r="F22" s="82">
        <f t="shared" si="2"/>
        <v>1.8300653594771228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59</v>
      </c>
      <c r="E23" s="82">
        <f>C19/5</f>
        <v>0.17186700767263421</v>
      </c>
      <c r="F23" s="82">
        <f t="shared" si="2"/>
        <v>1.8300653594771228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61</v>
      </c>
      <c r="C24" s="283">
        <f>0.1 *57.2122762148338</f>
        <v>5.7212276214833802</v>
      </c>
      <c r="D24" s="94" t="s">
        <v>62</v>
      </c>
      <c r="E24" s="82">
        <f>C24/6</f>
        <v>0.95353793691389666</v>
      </c>
      <c r="F24" s="82">
        <f t="shared" si="2"/>
        <v>10.153413217138709</v>
      </c>
      <c r="G24" s="83" t="s">
        <v>63</v>
      </c>
      <c r="H24" s="93">
        <v>0.8</v>
      </c>
      <c r="I24" s="92" t="s">
        <v>49</v>
      </c>
      <c r="J24" s="86" t="s">
        <v>64</v>
      </c>
      <c r="K24" s="87">
        <v>80</v>
      </c>
      <c r="L24" s="87">
        <v>75</v>
      </c>
      <c r="M24" s="87">
        <v>70</v>
      </c>
      <c r="N24" s="87">
        <v>50</v>
      </c>
      <c r="O24" s="87" t="s">
        <v>65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66</v>
      </c>
      <c r="E25" s="82">
        <f>C24/6</f>
        <v>0.95353793691389666</v>
      </c>
      <c r="F25" s="82">
        <f t="shared" si="2"/>
        <v>10.153413217138709</v>
      </c>
      <c r="G25" s="83" t="s">
        <v>67</v>
      </c>
      <c r="H25" s="93">
        <v>0.8</v>
      </c>
      <c r="I25" s="92" t="s">
        <v>49</v>
      </c>
      <c r="J25" s="86" t="s">
        <v>64</v>
      </c>
      <c r="K25" s="87">
        <v>80</v>
      </c>
      <c r="L25" s="87">
        <v>75</v>
      </c>
      <c r="M25" s="87">
        <v>70</v>
      </c>
      <c r="N25" s="87">
        <v>50</v>
      </c>
      <c r="O25" s="87" t="s">
        <v>65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68</v>
      </c>
      <c r="E26" s="82">
        <f>C24/6</f>
        <v>0.95353793691389666</v>
      </c>
      <c r="F26" s="82">
        <f t="shared" si="2"/>
        <v>10.153413217138709</v>
      </c>
      <c r="G26" s="83" t="s">
        <v>69</v>
      </c>
      <c r="H26" s="93">
        <v>0.8</v>
      </c>
      <c r="I26" s="92" t="s">
        <v>49</v>
      </c>
      <c r="J26" s="86" t="s">
        <v>64</v>
      </c>
      <c r="K26" s="87">
        <v>80</v>
      </c>
      <c r="L26" s="87">
        <v>75</v>
      </c>
      <c r="M26" s="87">
        <v>70</v>
      </c>
      <c r="N26" s="87">
        <v>50</v>
      </c>
      <c r="O26" s="87" t="s">
        <v>65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70</v>
      </c>
      <c r="E27" s="82">
        <f>C24/6</f>
        <v>0.95353793691389666</v>
      </c>
      <c r="F27" s="82">
        <f t="shared" si="2"/>
        <v>10.153413217138709</v>
      </c>
      <c r="G27" s="83" t="s">
        <v>71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72</v>
      </c>
      <c r="E28" s="82">
        <f>C24/6</f>
        <v>0.95353793691389666</v>
      </c>
      <c r="F28" s="82">
        <f t="shared" si="2"/>
        <v>10.153413217138709</v>
      </c>
      <c r="G28" s="83" t="s">
        <v>73</v>
      </c>
      <c r="H28" s="93">
        <v>0.9</v>
      </c>
      <c r="I28" s="92" t="s">
        <v>49</v>
      </c>
      <c r="J28" s="86" t="s">
        <v>74</v>
      </c>
      <c r="K28" s="87">
        <v>90</v>
      </c>
      <c r="L28" s="87">
        <v>80</v>
      </c>
      <c r="M28" s="87">
        <v>70</v>
      </c>
      <c r="N28" s="87">
        <v>50</v>
      </c>
      <c r="O28" s="87" t="s">
        <v>65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75</v>
      </c>
      <c r="E29" s="82">
        <f>C24/6</f>
        <v>0.95353793691389666</v>
      </c>
      <c r="F29" s="82">
        <f t="shared" si="2"/>
        <v>10.153413217138709</v>
      </c>
      <c r="G29" s="83" t="s">
        <v>76</v>
      </c>
      <c r="H29" s="93">
        <v>0.8</v>
      </c>
      <c r="I29" s="92" t="s">
        <v>49</v>
      </c>
      <c r="J29" s="86" t="s">
        <v>64</v>
      </c>
      <c r="K29" s="87">
        <v>80</v>
      </c>
      <c r="L29" s="87">
        <v>75</v>
      </c>
      <c r="M29" s="87">
        <v>70</v>
      </c>
      <c r="N29" s="87">
        <v>50</v>
      </c>
      <c r="O29" s="87" t="s">
        <v>65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0">
        <v>3</v>
      </c>
      <c r="B30" s="291" t="s">
        <v>77</v>
      </c>
      <c r="C30" s="292">
        <f>0.1 *0.895140664961637</f>
        <v>8.9514066496163711E-2</v>
      </c>
      <c r="D30" s="81" t="s">
        <v>78</v>
      </c>
      <c r="E30" s="82">
        <f>C30</f>
        <v>8.9514066496163711E-2</v>
      </c>
      <c r="F30" s="82">
        <f t="shared" si="2"/>
        <v>0.95315904139433527</v>
      </c>
      <c r="G30" s="83" t="s">
        <v>79</v>
      </c>
      <c r="H30" s="92">
        <v>5</v>
      </c>
      <c r="I30" s="85" t="s">
        <v>57</v>
      </c>
      <c r="J30" s="86" t="s">
        <v>58</v>
      </c>
      <c r="K30" s="87">
        <v>5</v>
      </c>
      <c r="L30" s="87">
        <v>4</v>
      </c>
      <c r="M30" s="87">
        <v>3</v>
      </c>
      <c r="N30" s="87">
        <v>2</v>
      </c>
      <c r="O30" s="87">
        <v>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90">
        <v>4</v>
      </c>
      <c r="B31" s="291" t="s">
        <v>80</v>
      </c>
      <c r="C31" s="292">
        <f>0.1 *14.3222506393862</f>
        <v>1.43222506393862</v>
      </c>
      <c r="D31" s="81" t="s">
        <v>81</v>
      </c>
      <c r="E31" s="82">
        <f>C31</f>
        <v>1.43222506393862</v>
      </c>
      <c r="F31" s="82">
        <f t="shared" si="2"/>
        <v>15.250544662309373</v>
      </c>
      <c r="G31" s="83" t="s">
        <v>82</v>
      </c>
      <c r="H31" s="93">
        <v>0.8</v>
      </c>
      <c r="I31" s="92" t="s">
        <v>49</v>
      </c>
      <c r="J31" s="86" t="s">
        <v>64</v>
      </c>
      <c r="K31" s="87">
        <v>80</v>
      </c>
      <c r="L31" s="87">
        <v>75</v>
      </c>
      <c r="M31" s="87">
        <v>70</v>
      </c>
      <c r="N31" s="87">
        <v>50</v>
      </c>
      <c r="O31" s="87" t="s">
        <v>65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5</v>
      </c>
      <c r="B32" s="81" t="s">
        <v>83</v>
      </c>
      <c r="C32" s="95">
        <f>0.1 *5.72890025575448</f>
        <v>0.57289002557544799</v>
      </c>
      <c r="D32" s="291" t="s">
        <v>84</v>
      </c>
      <c r="E32" s="82">
        <f>C32</f>
        <v>0.57289002557544799</v>
      </c>
      <c r="F32" s="82">
        <f t="shared" si="2"/>
        <v>6.1002178649237484</v>
      </c>
      <c r="G32" s="83" t="s">
        <v>85</v>
      </c>
      <c r="H32" s="84">
        <v>0.7</v>
      </c>
      <c r="I32" s="92" t="s">
        <v>49</v>
      </c>
      <c r="J32" s="86" t="s">
        <v>86</v>
      </c>
      <c r="K32" s="87">
        <v>70</v>
      </c>
      <c r="L32" s="87">
        <v>60</v>
      </c>
      <c r="M32" s="87">
        <v>50</v>
      </c>
      <c r="N32" s="87">
        <v>40</v>
      </c>
      <c r="O32" s="87" t="s">
        <v>87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1" t="s">
        <v>88</v>
      </c>
      <c r="C33" s="95">
        <f>0.1 *7.16112531969309</f>
        <v>0.71611253196930902</v>
      </c>
      <c r="D33" s="83" t="s">
        <v>89</v>
      </c>
      <c r="E33" s="82">
        <f>C33</f>
        <v>0.71611253196930902</v>
      </c>
      <c r="F33" s="82">
        <f t="shared" si="2"/>
        <v>7.625272331154676</v>
      </c>
      <c r="G33" s="83" t="s">
        <v>90</v>
      </c>
      <c r="H33" s="84">
        <v>0.5</v>
      </c>
      <c r="I33" s="85" t="s">
        <v>49</v>
      </c>
      <c r="J33" s="86" t="s">
        <v>91</v>
      </c>
      <c r="K33" s="87">
        <v>50</v>
      </c>
      <c r="L33" s="87">
        <v>45</v>
      </c>
      <c r="M33" s="87">
        <v>40</v>
      </c>
      <c r="N33" s="87">
        <v>25</v>
      </c>
      <c r="O33" s="87" t="s">
        <v>92</v>
      </c>
      <c r="P33" s="88"/>
      <c r="Q33" s="89">
        <f t="shared" si="0"/>
        <v>0</v>
      </c>
      <c r="R33" s="90">
        <f t="shared" si="1"/>
        <v>0</v>
      </c>
    </row>
    <row r="34" spans="1:18" s="106" customFormat="1" ht="44.25" x14ac:dyDescent="0.25">
      <c r="A34" s="96"/>
      <c r="B34" s="97" t="s">
        <v>93</v>
      </c>
      <c r="C34" s="98">
        <f>SUM(C19:C33)</f>
        <v>9.3913043478260914</v>
      </c>
      <c r="D34" s="97"/>
      <c r="E34" s="98">
        <f>SUM(E19:E33)</f>
        <v>9.3913043478260914</v>
      </c>
      <c r="F34" s="98">
        <f>SUM(F19:F33)</f>
        <v>100</v>
      </c>
      <c r="G34" s="99"/>
      <c r="H34" s="100"/>
      <c r="I34" s="101"/>
      <c r="J34" s="102"/>
      <c r="K34" s="102"/>
      <c r="L34" s="102"/>
      <c r="M34" s="102"/>
      <c r="N34" s="102"/>
      <c r="O34" s="102"/>
      <c r="P34" s="103"/>
      <c r="Q34" s="104"/>
      <c r="R34" s="105">
        <f>SUM(R19:R33)</f>
        <v>0</v>
      </c>
    </row>
    <row r="35" spans="1:18" s="108" customFormat="1" ht="66" customHeight="1" x14ac:dyDescent="0.7">
      <c r="A35" s="107"/>
      <c r="G35" s="109"/>
      <c r="H35" s="109"/>
      <c r="I35" s="110" t="s">
        <v>143</v>
      </c>
      <c r="J35" s="111"/>
      <c r="K35" s="111"/>
      <c r="L35" s="111"/>
      <c r="M35" s="111"/>
      <c r="N35" s="111"/>
      <c r="O35" s="111"/>
      <c r="P35" s="111"/>
      <c r="Q35" s="112"/>
      <c r="R35" s="113">
        <f>R34/100 * 70</f>
        <v>0</v>
      </c>
    </row>
    <row r="36" spans="1:18" s="122" customFormat="1" ht="36" x14ac:dyDescent="0.55000000000000004">
      <c r="A36" s="114" t="s">
        <v>94</v>
      </c>
      <c r="B36" s="115"/>
      <c r="C36" s="115"/>
      <c r="D36" s="115"/>
      <c r="E36" s="115"/>
      <c r="F36" s="115"/>
      <c r="G36" s="116"/>
      <c r="H36" s="117"/>
      <c r="I36" s="117"/>
      <c r="J36" s="117"/>
      <c r="K36" s="117"/>
      <c r="L36" s="71" t="s">
        <v>99</v>
      </c>
      <c r="M36" s="118" t="s">
        <v>95</v>
      </c>
      <c r="N36" s="118"/>
      <c r="O36" s="118"/>
      <c r="P36" s="119"/>
      <c r="Q36" s="120"/>
      <c r="R36" s="121"/>
    </row>
    <row r="37" spans="1:18" s="122" customFormat="1" ht="31.5" customHeight="1" x14ac:dyDescent="0.55000000000000004">
      <c r="A37" s="123"/>
      <c r="B37" s="124"/>
      <c r="C37" s="125" t="s">
        <v>96</v>
      </c>
      <c r="D37" s="125"/>
      <c r="E37" s="125"/>
      <c r="F37" s="125"/>
      <c r="G37" s="125"/>
      <c r="H37" s="126" t="s">
        <v>144</v>
      </c>
      <c r="I37" s="126" t="s">
        <v>145</v>
      </c>
      <c r="J37" s="126"/>
      <c r="K37" s="127"/>
      <c r="L37" s="79"/>
      <c r="M37" s="128"/>
      <c r="N37" s="128"/>
      <c r="O37" s="128"/>
      <c r="P37" s="129"/>
      <c r="Q37" s="120"/>
      <c r="R37" s="121"/>
    </row>
    <row r="38" spans="1:18" s="122" customFormat="1" ht="36" customHeight="1" x14ac:dyDescent="0.55000000000000004">
      <c r="A38" s="130">
        <v>1</v>
      </c>
      <c r="B38" s="131" t="s">
        <v>100</v>
      </c>
      <c r="C38" s="132"/>
      <c r="D38" s="133"/>
      <c r="E38" s="133"/>
      <c r="F38" s="133"/>
      <c r="G38" s="134"/>
      <c r="H38" s="135"/>
      <c r="I38" s="135"/>
      <c r="J38" s="135"/>
      <c r="K38" s="135"/>
      <c r="L38" s="136"/>
      <c r="M38" s="137" t="s">
        <v>40</v>
      </c>
      <c r="N38" s="138" t="s">
        <v>101</v>
      </c>
      <c r="O38" s="139"/>
      <c r="P38" s="129"/>
      <c r="Q38" s="120"/>
      <c r="R38" s="121"/>
    </row>
    <row r="39" spans="1:18" s="122" customFormat="1" ht="84.75" customHeight="1" x14ac:dyDescent="0.55000000000000004">
      <c r="A39" s="140" t="s">
        <v>102</v>
      </c>
      <c r="B39" s="141" t="s">
        <v>146</v>
      </c>
      <c r="C39" s="142"/>
      <c r="D39" s="143"/>
      <c r="E39" s="143"/>
      <c r="F39" s="143"/>
      <c r="G39" s="144"/>
      <c r="H39" s="145">
        <v>4</v>
      </c>
      <c r="I39" s="146"/>
      <c r="J39" s="145"/>
      <c r="K39" s="145"/>
      <c r="L39" s="136"/>
      <c r="M39" s="137" t="s">
        <v>41</v>
      </c>
      <c r="N39" s="138" t="s">
        <v>103</v>
      </c>
      <c r="O39" s="139"/>
      <c r="P39" s="129"/>
      <c r="Q39" s="120"/>
      <c r="R39" s="121"/>
    </row>
    <row r="40" spans="1:18" s="122" customFormat="1" ht="82.5" customHeight="1" x14ac:dyDescent="0.55000000000000004">
      <c r="A40" s="140" t="s">
        <v>104</v>
      </c>
      <c r="B40" s="141" t="s">
        <v>147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42</v>
      </c>
      <c r="N40" s="138" t="s">
        <v>105</v>
      </c>
      <c r="O40" s="139"/>
      <c r="P40" s="129"/>
      <c r="Q40" s="120"/>
      <c r="R40" s="121"/>
    </row>
    <row r="41" spans="1:18" s="122" customFormat="1" ht="78.75" customHeight="1" x14ac:dyDescent="0.55000000000000004">
      <c r="A41" s="140" t="s">
        <v>106</v>
      </c>
      <c r="B41" s="141" t="s">
        <v>107</v>
      </c>
      <c r="C41" s="142"/>
      <c r="D41" s="143"/>
      <c r="E41" s="143"/>
      <c r="F41" s="143"/>
      <c r="G41" s="144"/>
      <c r="H41" s="145">
        <v>2</v>
      </c>
      <c r="I41" s="146"/>
      <c r="J41" s="145"/>
      <c r="K41" s="145"/>
      <c r="L41" s="136"/>
      <c r="M41" s="137" t="s">
        <v>43</v>
      </c>
      <c r="N41" s="138" t="s">
        <v>108</v>
      </c>
      <c r="O41" s="139"/>
      <c r="P41" s="129"/>
      <c r="Q41" s="120"/>
      <c r="R41" s="121"/>
    </row>
    <row r="42" spans="1:18" s="122" customFormat="1" ht="36" x14ac:dyDescent="0.55000000000000004">
      <c r="A42" s="147">
        <v>2</v>
      </c>
      <c r="B42" s="148" t="s">
        <v>109</v>
      </c>
      <c r="C42" s="149"/>
      <c r="D42" s="150"/>
      <c r="E42" s="150"/>
      <c r="F42" s="150"/>
      <c r="G42" s="151"/>
      <c r="H42" s="145"/>
      <c r="I42" s="146"/>
      <c r="J42" s="145"/>
      <c r="K42" s="145"/>
      <c r="L42" s="136"/>
      <c r="M42" s="137" t="s">
        <v>44</v>
      </c>
      <c r="N42" s="138" t="s">
        <v>110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102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37" t="s">
        <v>45</v>
      </c>
      <c r="N43" s="138" t="s">
        <v>111</v>
      </c>
      <c r="O43" s="139"/>
      <c r="P43" s="156"/>
      <c r="Q43" s="120"/>
      <c r="R43" s="121"/>
    </row>
    <row r="44" spans="1:18" s="122" customFormat="1" ht="114.75" customHeight="1" x14ac:dyDescent="0.55000000000000004">
      <c r="A44" s="140" t="s">
        <v>104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99</v>
      </c>
      <c r="N44" s="157" t="s">
        <v>112</v>
      </c>
      <c r="O44" s="158"/>
      <c r="P44" s="156"/>
      <c r="Q44" s="120"/>
      <c r="R44" s="121"/>
    </row>
    <row r="45" spans="1:18" s="122" customFormat="1" ht="72" customHeight="1" x14ac:dyDescent="0.55000000000000004">
      <c r="A45" s="140" t="s">
        <v>106</v>
      </c>
      <c r="B45" s="152" t="s">
        <v>150</v>
      </c>
      <c r="C45" s="153"/>
      <c r="D45" s="154"/>
      <c r="E45" s="154"/>
      <c r="F45" s="154"/>
      <c r="G45" s="155"/>
      <c r="H45" s="145">
        <v>2</v>
      </c>
      <c r="I45" s="146"/>
      <c r="J45" s="145"/>
      <c r="K45" s="145"/>
      <c r="L45" s="136"/>
      <c r="M45" s="129" t="s">
        <v>113</v>
      </c>
      <c r="N45" s="157" t="s">
        <v>114</v>
      </c>
      <c r="O45" s="158"/>
      <c r="P45" s="156"/>
      <c r="Q45" s="120"/>
      <c r="R45" s="121"/>
    </row>
    <row r="46" spans="1:18" s="122" customFormat="1" ht="66" customHeight="1" x14ac:dyDescent="0.55000000000000004">
      <c r="A46" s="147">
        <v>3</v>
      </c>
      <c r="B46" s="148" t="s">
        <v>115</v>
      </c>
      <c r="C46" s="149"/>
      <c r="D46" s="150"/>
      <c r="E46" s="150"/>
      <c r="F46" s="150"/>
      <c r="G46" s="151"/>
      <c r="H46" s="145"/>
      <c r="I46" s="146"/>
      <c r="J46" s="145"/>
      <c r="K46" s="145"/>
      <c r="L46" s="136"/>
      <c r="M46" s="129" t="s">
        <v>97</v>
      </c>
      <c r="N46" s="157" t="s">
        <v>116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102</v>
      </c>
      <c r="B47" s="152" t="s">
        <v>117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98</v>
      </c>
      <c r="N47" s="157" t="s">
        <v>118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104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29" t="s">
        <v>119</v>
      </c>
      <c r="N48" s="157" t="s">
        <v>120</v>
      </c>
      <c r="O48" s="158"/>
      <c r="P48" s="156"/>
      <c r="Q48" s="120"/>
      <c r="R48" s="121"/>
    </row>
    <row r="49" spans="1:18" s="122" customFormat="1" ht="44.25" customHeight="1" x14ac:dyDescent="0.55000000000000004">
      <c r="A49" s="140" t="s">
        <v>106</v>
      </c>
      <c r="B49" s="152" t="s">
        <v>152</v>
      </c>
      <c r="C49" s="159"/>
      <c r="D49" s="160"/>
      <c r="E49" s="160"/>
      <c r="F49" s="160"/>
      <c r="G49" s="161"/>
      <c r="H49" s="145">
        <v>2</v>
      </c>
      <c r="I49" s="146"/>
      <c r="J49" s="145"/>
      <c r="K49" s="145"/>
      <c r="L49" s="136"/>
      <c r="M49" s="162"/>
      <c r="N49" s="162"/>
      <c r="O49" s="162"/>
      <c r="P49" s="163"/>
      <c r="Q49" s="120"/>
      <c r="R49" s="121"/>
    </row>
    <row r="50" spans="1:18" s="122" customFormat="1" ht="31.5" customHeight="1" x14ac:dyDescent="0.55000000000000004">
      <c r="A50" s="164" t="s">
        <v>121</v>
      </c>
      <c r="B50" s="165"/>
      <c r="C50" s="165"/>
      <c r="D50" s="165"/>
      <c r="E50" s="165"/>
      <c r="F50" s="165"/>
      <c r="G50" s="165"/>
      <c r="H50" s="166">
        <f>SUM(H39:H49)</f>
        <v>20</v>
      </c>
      <c r="I50" s="166">
        <f>SUM(I39:I49)</f>
        <v>0</v>
      </c>
      <c r="J50" s="166"/>
      <c r="K50" s="167"/>
      <c r="L50" s="136"/>
      <c r="M50" s="162"/>
      <c r="N50" s="162"/>
      <c r="O50" s="162"/>
      <c r="P50" s="163"/>
      <c r="Q50" s="120"/>
      <c r="R50" s="121"/>
    </row>
    <row r="51" spans="1:18" s="122" customFormat="1" ht="36" customHeight="1" x14ac:dyDescent="0.55000000000000004">
      <c r="A51" s="168" t="s">
        <v>102</v>
      </c>
      <c r="B51" s="169" t="s">
        <v>122</v>
      </c>
      <c r="C51" s="153" t="s">
        <v>123</v>
      </c>
      <c r="D51" s="154"/>
      <c r="E51" s="154"/>
      <c r="F51" s="154"/>
      <c r="G51" s="155"/>
      <c r="H51" s="170">
        <v>4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129" customHeight="1" x14ac:dyDescent="0.55000000000000004">
      <c r="A52" s="168" t="s">
        <v>104</v>
      </c>
      <c r="B52" s="169" t="s">
        <v>124</v>
      </c>
      <c r="C52" s="153" t="s">
        <v>125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69" customHeight="1" x14ac:dyDescent="0.55000000000000004">
      <c r="A53" s="168" t="s">
        <v>104</v>
      </c>
      <c r="B53" s="169" t="s">
        <v>126</v>
      </c>
      <c r="C53" s="153" t="s">
        <v>127</v>
      </c>
      <c r="D53" s="154"/>
      <c r="E53" s="154"/>
      <c r="F53" s="154"/>
      <c r="G53" s="155"/>
      <c r="H53" s="170">
        <v>3</v>
      </c>
      <c r="I53" s="171"/>
      <c r="J53" s="170"/>
      <c r="K53" s="172"/>
      <c r="L53" s="136"/>
      <c r="M53" s="162"/>
      <c r="N53" s="162"/>
      <c r="O53" s="162"/>
      <c r="P53" s="163"/>
      <c r="Q53" s="120"/>
      <c r="R53" s="121"/>
    </row>
    <row r="54" spans="1:18" s="122" customFormat="1" ht="46.5" customHeight="1" x14ac:dyDescent="0.55000000000000004">
      <c r="A54" s="173"/>
      <c r="B54" s="174" t="s">
        <v>128</v>
      </c>
      <c r="C54" s="174"/>
      <c r="D54" s="174"/>
      <c r="E54" s="175"/>
      <c r="F54" s="175"/>
      <c r="G54" s="175"/>
      <c r="H54" s="166">
        <f>SUM(H51:H53)</f>
        <v>10</v>
      </c>
      <c r="I54" s="166">
        <f>SUM(I51:I53)</f>
        <v>0</v>
      </c>
      <c r="J54" s="175"/>
      <c r="K54" s="176"/>
      <c r="L54" s="162"/>
      <c r="M54" s="162"/>
      <c r="N54" s="162"/>
      <c r="O54" s="162"/>
      <c r="P54" s="163"/>
      <c r="Q54" s="120"/>
      <c r="R54" s="121"/>
    </row>
    <row r="55" spans="1:18" s="184" customFormat="1" ht="45" customHeight="1" x14ac:dyDescent="0.7">
      <c r="A55" s="177"/>
      <c r="B55" s="178"/>
      <c r="C55" s="179"/>
      <c r="D55" s="179"/>
      <c r="E55" s="179"/>
      <c r="F55" s="180"/>
      <c r="G55" s="180"/>
      <c r="H55" s="180"/>
      <c r="I55" s="180"/>
      <c r="J55" s="180"/>
      <c r="K55" s="179"/>
      <c r="L55" s="179"/>
      <c r="M55" s="179"/>
      <c r="N55" s="179"/>
      <c r="O55" s="181" t="s">
        <v>153</v>
      </c>
      <c r="P55" s="182"/>
      <c r="Q55" s="181" t="s">
        <v>154</v>
      </c>
      <c r="R55" s="183"/>
    </row>
    <row r="56" spans="1:18" s="184" customFormat="1" ht="45" customHeight="1" x14ac:dyDescent="0.7">
      <c r="A56" s="177"/>
      <c r="B56" s="185"/>
      <c r="C56" s="186" t="s">
        <v>155</v>
      </c>
      <c r="D56" s="187"/>
      <c r="E56" s="187"/>
      <c r="F56" s="187"/>
      <c r="G56" s="187"/>
      <c r="H56" s="187"/>
      <c r="I56" s="187"/>
      <c r="J56" s="187"/>
      <c r="K56" s="188"/>
      <c r="L56" s="189"/>
      <c r="M56" s="190"/>
      <c r="N56" s="191"/>
      <c r="O56" s="192">
        <f>R35</f>
        <v>0</v>
      </c>
      <c r="P56" s="193"/>
      <c r="Q56" s="194">
        <f>O59/100 * 20</f>
        <v>0</v>
      </c>
      <c r="R56" s="195"/>
    </row>
    <row r="57" spans="1:18" s="184" customFormat="1" ht="45" customHeight="1" x14ac:dyDescent="0.7">
      <c r="A57" s="177"/>
      <c r="B57" s="185"/>
      <c r="C57" s="187" t="s">
        <v>156</v>
      </c>
      <c r="D57" s="187"/>
      <c r="E57" s="187"/>
      <c r="F57" s="187"/>
      <c r="G57" s="187"/>
      <c r="H57" s="187"/>
      <c r="I57" s="187"/>
      <c r="J57" s="187"/>
      <c r="K57" s="187"/>
      <c r="L57" s="190"/>
      <c r="M57" s="190"/>
      <c r="N57" s="191"/>
      <c r="O57" s="192">
        <f>I50</f>
        <v>0</v>
      </c>
      <c r="P57" s="193"/>
      <c r="Q57" s="196"/>
      <c r="R57" s="197"/>
    </row>
    <row r="58" spans="1:18" s="184" customFormat="1" ht="45" customHeight="1" x14ac:dyDescent="0.7">
      <c r="A58" s="177"/>
      <c r="B58" s="185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I54</f>
        <v>0</v>
      </c>
      <c r="P58" s="193"/>
      <c r="Q58" s="196"/>
      <c r="R58" s="197"/>
    </row>
    <row r="59" spans="1:18" s="184" customFormat="1" ht="45" customHeight="1" x14ac:dyDescent="0.7">
      <c r="A59" s="177"/>
      <c r="B59" s="198"/>
      <c r="C59" s="186" t="s">
        <v>158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SUM(O56:P58)</f>
        <v>0</v>
      </c>
      <c r="P59" s="193"/>
      <c r="Q59" s="199"/>
      <c r="R59" s="200"/>
    </row>
    <row r="60" spans="1:18" s="184" customFormat="1" ht="64.900000000000006" customHeight="1" x14ac:dyDescent="0.7">
      <c r="A60" s="177"/>
      <c r="B60" s="201" t="s">
        <v>159</v>
      </c>
      <c r="C60" s="201"/>
      <c r="D60" s="201"/>
      <c r="E60" s="201"/>
      <c r="F60" s="201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s="184" customFormat="1" ht="64.900000000000006" customHeight="1" x14ac:dyDescent="0.7">
      <c r="A61" s="177"/>
      <c r="B61" s="204" t="s">
        <v>160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5"/>
    </row>
    <row r="62" spans="1:18" s="184" customFormat="1" ht="48.75" customHeight="1" x14ac:dyDescent="0.7">
      <c r="A62" s="177"/>
      <c r="B62" s="206" t="s">
        <v>161</v>
      </c>
      <c r="C62" s="206"/>
      <c r="D62" s="206"/>
      <c r="E62" s="206"/>
      <c r="F62" s="206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8"/>
    </row>
    <row r="63" spans="1:18" s="184" customFormat="1" ht="45.75" x14ac:dyDescent="0.7">
      <c r="A63" s="177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5"/>
    </row>
    <row r="64" spans="1:18" s="122" customFormat="1" ht="31.5" customHeight="1" x14ac:dyDescent="0.55000000000000004">
      <c r="A64" s="209" t="s">
        <v>162</v>
      </c>
      <c r="B64" s="210"/>
      <c r="C64" s="211"/>
      <c r="D64" s="212"/>
      <c r="E64" s="213" t="s">
        <v>163</v>
      </c>
      <c r="F64" s="214"/>
      <c r="G64" s="210" t="s">
        <v>164</v>
      </c>
      <c r="H64" s="211"/>
      <c r="I64" s="211"/>
      <c r="J64" s="211"/>
      <c r="K64" s="215"/>
      <c r="L64" s="136"/>
      <c r="M64" s="216"/>
      <c r="N64" s="216"/>
      <c r="O64" s="216"/>
      <c r="P64" s="216"/>
      <c r="Q64" s="216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17"/>
      <c r="B66" s="218"/>
      <c r="C66" s="219"/>
      <c r="D66" s="220"/>
      <c r="E66" s="221"/>
      <c r="F66" s="222"/>
      <c r="G66" s="218"/>
      <c r="H66" s="219"/>
      <c r="I66" s="219"/>
      <c r="J66" s="219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24"/>
      <c r="B67" s="225"/>
      <c r="C67" s="226"/>
      <c r="D67" s="227"/>
      <c r="E67" s="228"/>
      <c r="F67" s="229"/>
      <c r="G67" s="225"/>
      <c r="H67" s="226"/>
      <c r="I67" s="226"/>
      <c r="J67" s="226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0" t="s">
        <v>129</v>
      </c>
      <c r="B68" s="231"/>
      <c r="C68" s="211"/>
      <c r="D68" s="212"/>
      <c r="E68" s="232" t="s">
        <v>165</v>
      </c>
      <c r="F68" s="214"/>
      <c r="G68" s="231" t="s">
        <v>165</v>
      </c>
      <c r="H68" s="211"/>
      <c r="I68" s="211"/>
      <c r="J68" s="211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19"/>
      <c r="D69" s="220"/>
      <c r="E69" s="235"/>
      <c r="F69" s="222"/>
      <c r="G69" s="234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33"/>
      <c r="B70" s="234"/>
      <c r="C70" s="226"/>
      <c r="D70" s="227"/>
      <c r="E70" s="236"/>
      <c r="F70" s="229"/>
      <c r="G70" s="237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 t="s">
        <v>130</v>
      </c>
      <c r="B71" s="218"/>
      <c r="C71" s="211"/>
      <c r="D71" s="212"/>
      <c r="E71" s="213" t="s">
        <v>166</v>
      </c>
      <c r="F71" s="214"/>
      <c r="G71" s="210" t="s">
        <v>166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17"/>
      <c r="B72" s="218"/>
      <c r="C72" s="226"/>
      <c r="D72" s="227"/>
      <c r="E72" s="228"/>
      <c r="F72" s="229"/>
      <c r="G72" s="225"/>
      <c r="H72" s="226"/>
      <c r="I72" s="226"/>
      <c r="J72" s="226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thickBot="1" x14ac:dyDescent="0.6">
      <c r="A73" s="238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1"/>
      <c r="M73" s="242"/>
      <c r="N73" s="242"/>
      <c r="O73" s="242"/>
      <c r="P73" s="242"/>
      <c r="Q73" s="242"/>
      <c r="R73" s="243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13A56983-450B-4A40-B60A-238951CAB3B9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90EB-5FE7-40FB-A2ED-6A2708515C91}">
  <sheetPr>
    <pageSetUpPr fitToPage="1"/>
  </sheetPr>
  <dimension ref="A1:R73"/>
  <sheetViews>
    <sheetView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171</v>
      </c>
      <c r="C5" s="16" t="s">
        <v>2</v>
      </c>
      <c r="D5" s="17" t="s">
        <v>172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>
        <v>88649</v>
      </c>
      <c r="D8" s="258" t="s">
        <v>12</v>
      </c>
      <c r="E8" s="259"/>
      <c r="F8" s="258" t="s">
        <v>13</v>
      </c>
      <c r="G8" s="260"/>
      <c r="H8" s="258" t="s">
        <v>14</v>
      </c>
      <c r="I8" s="261" t="s">
        <v>15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17</v>
      </c>
      <c r="D10" s="266" t="s">
        <v>6</v>
      </c>
      <c r="E10" s="265" t="s">
        <v>18</v>
      </c>
      <c r="F10" s="266" t="s">
        <v>8</v>
      </c>
      <c r="G10" s="267" t="s">
        <v>19</v>
      </c>
      <c r="H10" s="266" t="s">
        <v>9</v>
      </c>
      <c r="I10" s="268" t="s">
        <v>20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21</v>
      </c>
      <c r="F11" s="274" t="s">
        <v>13</v>
      </c>
      <c r="G11" s="276" t="s">
        <v>22</v>
      </c>
      <c r="H11" s="274" t="s">
        <v>14</v>
      </c>
      <c r="I11" s="277" t="s">
        <v>15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28</v>
      </c>
      <c r="F14" s="46" t="s">
        <v>13</v>
      </c>
      <c r="G14" s="280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46</v>
      </c>
      <c r="C19" s="283">
        <f>0.1 *8.59335038363171</f>
        <v>0.85933503836317104</v>
      </c>
      <c r="D19" s="81" t="s">
        <v>47</v>
      </c>
      <c r="E19" s="82">
        <f>C19/5</f>
        <v>0.17186700767263421</v>
      </c>
      <c r="F19" s="82">
        <f>E19/$E$34 * 100</f>
        <v>1.8300653594771228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3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51</v>
      </c>
      <c r="E20" s="82">
        <f>C19/5</f>
        <v>0.17186700767263421</v>
      </c>
      <c r="F20" s="82">
        <f t="shared" ref="F20:F33" si="2">E20/$E$34 * 100</f>
        <v>1.8300653594771228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53</v>
      </c>
      <c r="E21" s="82">
        <f>C19/5</f>
        <v>0.17186700767263421</v>
      </c>
      <c r="F21" s="82">
        <f t="shared" si="2"/>
        <v>1.8300653594771228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55</v>
      </c>
      <c r="E22" s="82">
        <f>C19/5</f>
        <v>0.17186700767263421</v>
      </c>
      <c r="F22" s="82">
        <f t="shared" si="2"/>
        <v>1.8300653594771228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59</v>
      </c>
      <c r="E23" s="82">
        <f>C19/5</f>
        <v>0.17186700767263421</v>
      </c>
      <c r="F23" s="82">
        <f t="shared" si="2"/>
        <v>1.8300653594771228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61</v>
      </c>
      <c r="C24" s="283">
        <f>0.1 *57.2122762148338</f>
        <v>5.7212276214833802</v>
      </c>
      <c r="D24" s="94" t="s">
        <v>62</v>
      </c>
      <c r="E24" s="82">
        <f>C24/6</f>
        <v>0.95353793691389666</v>
      </c>
      <c r="F24" s="82">
        <f t="shared" si="2"/>
        <v>10.153413217138709</v>
      </c>
      <c r="G24" s="83" t="s">
        <v>63</v>
      </c>
      <c r="H24" s="93">
        <v>0.8</v>
      </c>
      <c r="I24" s="92" t="s">
        <v>49</v>
      </c>
      <c r="J24" s="86" t="s">
        <v>64</v>
      </c>
      <c r="K24" s="87">
        <v>80</v>
      </c>
      <c r="L24" s="87">
        <v>75</v>
      </c>
      <c r="M24" s="87">
        <v>70</v>
      </c>
      <c r="N24" s="87">
        <v>50</v>
      </c>
      <c r="O24" s="87" t="s">
        <v>65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66</v>
      </c>
      <c r="E25" s="82">
        <f>C24/6</f>
        <v>0.95353793691389666</v>
      </c>
      <c r="F25" s="82">
        <f t="shared" si="2"/>
        <v>10.153413217138709</v>
      </c>
      <c r="G25" s="83" t="s">
        <v>67</v>
      </c>
      <c r="H25" s="93">
        <v>0.8</v>
      </c>
      <c r="I25" s="92" t="s">
        <v>49</v>
      </c>
      <c r="J25" s="86" t="s">
        <v>64</v>
      </c>
      <c r="K25" s="87">
        <v>80</v>
      </c>
      <c r="L25" s="87">
        <v>75</v>
      </c>
      <c r="M25" s="87">
        <v>70</v>
      </c>
      <c r="N25" s="87">
        <v>50</v>
      </c>
      <c r="O25" s="87" t="s">
        <v>65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68</v>
      </c>
      <c r="E26" s="82">
        <f>C24/6</f>
        <v>0.95353793691389666</v>
      </c>
      <c r="F26" s="82">
        <f t="shared" si="2"/>
        <v>10.153413217138709</v>
      </c>
      <c r="G26" s="83" t="s">
        <v>69</v>
      </c>
      <c r="H26" s="93">
        <v>0.8</v>
      </c>
      <c r="I26" s="92" t="s">
        <v>49</v>
      </c>
      <c r="J26" s="86" t="s">
        <v>64</v>
      </c>
      <c r="K26" s="87">
        <v>80</v>
      </c>
      <c r="L26" s="87">
        <v>75</v>
      </c>
      <c r="M26" s="87">
        <v>70</v>
      </c>
      <c r="N26" s="87">
        <v>50</v>
      </c>
      <c r="O26" s="87" t="s">
        <v>65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70</v>
      </c>
      <c r="E27" s="82">
        <f>C24/6</f>
        <v>0.95353793691389666</v>
      </c>
      <c r="F27" s="82">
        <f t="shared" si="2"/>
        <v>10.153413217138709</v>
      </c>
      <c r="G27" s="83" t="s">
        <v>71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72</v>
      </c>
      <c r="E28" s="82">
        <f>C24/6</f>
        <v>0.95353793691389666</v>
      </c>
      <c r="F28" s="82">
        <f t="shared" si="2"/>
        <v>10.153413217138709</v>
      </c>
      <c r="G28" s="83" t="s">
        <v>73</v>
      </c>
      <c r="H28" s="93">
        <v>0.9</v>
      </c>
      <c r="I28" s="92" t="s">
        <v>49</v>
      </c>
      <c r="J28" s="86" t="s">
        <v>74</v>
      </c>
      <c r="K28" s="87">
        <v>90</v>
      </c>
      <c r="L28" s="87">
        <v>80</v>
      </c>
      <c r="M28" s="87">
        <v>70</v>
      </c>
      <c r="N28" s="87">
        <v>50</v>
      </c>
      <c r="O28" s="87" t="s">
        <v>65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75</v>
      </c>
      <c r="E29" s="82">
        <f>C24/6</f>
        <v>0.95353793691389666</v>
      </c>
      <c r="F29" s="82">
        <f t="shared" si="2"/>
        <v>10.153413217138709</v>
      </c>
      <c r="G29" s="83" t="s">
        <v>76</v>
      </c>
      <c r="H29" s="93">
        <v>0.8</v>
      </c>
      <c r="I29" s="92" t="s">
        <v>49</v>
      </c>
      <c r="J29" s="86" t="s">
        <v>64</v>
      </c>
      <c r="K29" s="87">
        <v>80</v>
      </c>
      <c r="L29" s="87">
        <v>75</v>
      </c>
      <c r="M29" s="87">
        <v>70</v>
      </c>
      <c r="N29" s="87">
        <v>50</v>
      </c>
      <c r="O29" s="87" t="s">
        <v>65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0">
        <v>3</v>
      </c>
      <c r="B30" s="291" t="s">
        <v>77</v>
      </c>
      <c r="C30" s="292">
        <f>0.1 *0.895140664961637</f>
        <v>8.9514066496163711E-2</v>
      </c>
      <c r="D30" s="81" t="s">
        <v>78</v>
      </c>
      <c r="E30" s="82">
        <f>C30</f>
        <v>8.9514066496163711E-2</v>
      </c>
      <c r="F30" s="82">
        <f t="shared" si="2"/>
        <v>0.95315904139433527</v>
      </c>
      <c r="G30" s="83" t="s">
        <v>79</v>
      </c>
      <c r="H30" s="92">
        <v>5</v>
      </c>
      <c r="I30" s="85" t="s">
        <v>57</v>
      </c>
      <c r="J30" s="86" t="s">
        <v>58</v>
      </c>
      <c r="K30" s="87">
        <v>5</v>
      </c>
      <c r="L30" s="87">
        <v>4</v>
      </c>
      <c r="M30" s="87">
        <v>3</v>
      </c>
      <c r="N30" s="87">
        <v>2</v>
      </c>
      <c r="O30" s="87">
        <v>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90">
        <v>4</v>
      </c>
      <c r="B31" s="291" t="s">
        <v>80</v>
      </c>
      <c r="C31" s="292">
        <f>0.1 *14.3222506393862</f>
        <v>1.43222506393862</v>
      </c>
      <c r="D31" s="81" t="s">
        <v>81</v>
      </c>
      <c r="E31" s="82">
        <f>C31</f>
        <v>1.43222506393862</v>
      </c>
      <c r="F31" s="82">
        <f t="shared" si="2"/>
        <v>15.250544662309373</v>
      </c>
      <c r="G31" s="83" t="s">
        <v>82</v>
      </c>
      <c r="H31" s="93">
        <v>0.8</v>
      </c>
      <c r="I31" s="92" t="s">
        <v>49</v>
      </c>
      <c r="J31" s="86" t="s">
        <v>64</v>
      </c>
      <c r="K31" s="87">
        <v>80</v>
      </c>
      <c r="L31" s="87">
        <v>75</v>
      </c>
      <c r="M31" s="87">
        <v>70</v>
      </c>
      <c r="N31" s="87">
        <v>50</v>
      </c>
      <c r="O31" s="87" t="s">
        <v>65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5</v>
      </c>
      <c r="B32" s="81" t="s">
        <v>83</v>
      </c>
      <c r="C32" s="95">
        <f>0.1 *5.72890025575448</f>
        <v>0.57289002557544799</v>
      </c>
      <c r="D32" s="291" t="s">
        <v>84</v>
      </c>
      <c r="E32" s="82">
        <f>C32</f>
        <v>0.57289002557544799</v>
      </c>
      <c r="F32" s="82">
        <f t="shared" si="2"/>
        <v>6.1002178649237484</v>
      </c>
      <c r="G32" s="83" t="s">
        <v>85</v>
      </c>
      <c r="H32" s="84">
        <v>0.7</v>
      </c>
      <c r="I32" s="92" t="s">
        <v>49</v>
      </c>
      <c r="J32" s="86" t="s">
        <v>86</v>
      </c>
      <c r="K32" s="87">
        <v>70</v>
      </c>
      <c r="L32" s="87">
        <v>60</v>
      </c>
      <c r="M32" s="87">
        <v>50</v>
      </c>
      <c r="N32" s="87">
        <v>40</v>
      </c>
      <c r="O32" s="87" t="s">
        <v>87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1" t="s">
        <v>88</v>
      </c>
      <c r="C33" s="95">
        <f>0.1 *7.16112531969309</f>
        <v>0.71611253196930902</v>
      </c>
      <c r="D33" s="83" t="s">
        <v>89</v>
      </c>
      <c r="E33" s="82">
        <f>C33</f>
        <v>0.71611253196930902</v>
      </c>
      <c r="F33" s="82">
        <f t="shared" si="2"/>
        <v>7.625272331154676</v>
      </c>
      <c r="G33" s="83" t="s">
        <v>90</v>
      </c>
      <c r="H33" s="84">
        <v>0.5</v>
      </c>
      <c r="I33" s="85" t="s">
        <v>49</v>
      </c>
      <c r="J33" s="86" t="s">
        <v>91</v>
      </c>
      <c r="K33" s="87">
        <v>50</v>
      </c>
      <c r="L33" s="87">
        <v>45</v>
      </c>
      <c r="M33" s="87">
        <v>40</v>
      </c>
      <c r="N33" s="87">
        <v>25</v>
      </c>
      <c r="O33" s="87" t="s">
        <v>92</v>
      </c>
      <c r="P33" s="88"/>
      <c r="Q33" s="89">
        <f t="shared" si="0"/>
        <v>0</v>
      </c>
      <c r="R33" s="90">
        <f t="shared" si="1"/>
        <v>0</v>
      </c>
    </row>
    <row r="34" spans="1:18" s="106" customFormat="1" ht="44.25" x14ac:dyDescent="0.25">
      <c r="A34" s="96"/>
      <c r="B34" s="97" t="s">
        <v>93</v>
      </c>
      <c r="C34" s="98">
        <f>SUM(C19:C33)</f>
        <v>9.3913043478260914</v>
      </c>
      <c r="D34" s="97"/>
      <c r="E34" s="98">
        <f>SUM(E19:E33)</f>
        <v>9.3913043478260914</v>
      </c>
      <c r="F34" s="98">
        <f>SUM(F19:F33)</f>
        <v>100</v>
      </c>
      <c r="G34" s="99"/>
      <c r="H34" s="100"/>
      <c r="I34" s="101"/>
      <c r="J34" s="102"/>
      <c r="K34" s="102"/>
      <c r="L34" s="102"/>
      <c r="M34" s="102"/>
      <c r="N34" s="102"/>
      <c r="O34" s="102"/>
      <c r="P34" s="103"/>
      <c r="Q34" s="104"/>
      <c r="R34" s="105">
        <f>SUM(R19:R33)</f>
        <v>0</v>
      </c>
    </row>
    <row r="35" spans="1:18" s="108" customFormat="1" ht="66" customHeight="1" x14ac:dyDescent="0.7">
      <c r="A35" s="107"/>
      <c r="G35" s="109"/>
      <c r="H35" s="109"/>
      <c r="I35" s="110" t="s">
        <v>143</v>
      </c>
      <c r="J35" s="111"/>
      <c r="K35" s="111"/>
      <c r="L35" s="111"/>
      <c r="M35" s="111"/>
      <c r="N35" s="111"/>
      <c r="O35" s="111"/>
      <c r="P35" s="111"/>
      <c r="Q35" s="112"/>
      <c r="R35" s="113">
        <f>R34/100 * 70</f>
        <v>0</v>
      </c>
    </row>
    <row r="36" spans="1:18" s="122" customFormat="1" ht="36" x14ac:dyDescent="0.55000000000000004">
      <c r="A36" s="114" t="s">
        <v>94</v>
      </c>
      <c r="B36" s="115"/>
      <c r="C36" s="115"/>
      <c r="D36" s="115"/>
      <c r="E36" s="115"/>
      <c r="F36" s="115"/>
      <c r="G36" s="116"/>
      <c r="H36" s="117"/>
      <c r="I36" s="117"/>
      <c r="J36" s="117"/>
      <c r="K36" s="117"/>
      <c r="L36" s="71" t="s">
        <v>99</v>
      </c>
      <c r="M36" s="118" t="s">
        <v>95</v>
      </c>
      <c r="N36" s="118"/>
      <c r="O36" s="118"/>
      <c r="P36" s="119"/>
      <c r="Q36" s="120"/>
      <c r="R36" s="121"/>
    </row>
    <row r="37" spans="1:18" s="122" customFormat="1" ht="31.5" customHeight="1" x14ac:dyDescent="0.55000000000000004">
      <c r="A37" s="123"/>
      <c r="B37" s="124"/>
      <c r="C37" s="125" t="s">
        <v>96</v>
      </c>
      <c r="D37" s="125"/>
      <c r="E37" s="125"/>
      <c r="F37" s="125"/>
      <c r="G37" s="125"/>
      <c r="H37" s="126" t="s">
        <v>144</v>
      </c>
      <c r="I37" s="126" t="s">
        <v>145</v>
      </c>
      <c r="J37" s="126"/>
      <c r="K37" s="127"/>
      <c r="L37" s="79"/>
      <c r="M37" s="128"/>
      <c r="N37" s="128"/>
      <c r="O37" s="128"/>
      <c r="P37" s="129"/>
      <c r="Q37" s="120"/>
      <c r="R37" s="121"/>
    </row>
    <row r="38" spans="1:18" s="122" customFormat="1" ht="36" customHeight="1" x14ac:dyDescent="0.55000000000000004">
      <c r="A38" s="130">
        <v>1</v>
      </c>
      <c r="B38" s="131" t="s">
        <v>100</v>
      </c>
      <c r="C38" s="132"/>
      <c r="D38" s="133"/>
      <c r="E38" s="133"/>
      <c r="F38" s="133"/>
      <c r="G38" s="134"/>
      <c r="H38" s="135"/>
      <c r="I38" s="135"/>
      <c r="J38" s="135"/>
      <c r="K38" s="135"/>
      <c r="L38" s="136"/>
      <c r="M38" s="137" t="s">
        <v>40</v>
      </c>
      <c r="N38" s="138" t="s">
        <v>101</v>
      </c>
      <c r="O38" s="139"/>
      <c r="P38" s="129"/>
      <c r="Q38" s="120"/>
      <c r="R38" s="121"/>
    </row>
    <row r="39" spans="1:18" s="122" customFormat="1" ht="84.75" customHeight="1" x14ac:dyDescent="0.55000000000000004">
      <c r="A39" s="140" t="s">
        <v>102</v>
      </c>
      <c r="B39" s="141" t="s">
        <v>146</v>
      </c>
      <c r="C39" s="142"/>
      <c r="D39" s="143"/>
      <c r="E39" s="143"/>
      <c r="F39" s="143"/>
      <c r="G39" s="144"/>
      <c r="H39" s="145">
        <v>4</v>
      </c>
      <c r="I39" s="146"/>
      <c r="J39" s="145"/>
      <c r="K39" s="145"/>
      <c r="L39" s="136"/>
      <c r="M39" s="137" t="s">
        <v>41</v>
      </c>
      <c r="N39" s="138" t="s">
        <v>103</v>
      </c>
      <c r="O39" s="139"/>
      <c r="P39" s="129"/>
      <c r="Q39" s="120"/>
      <c r="R39" s="121"/>
    </row>
    <row r="40" spans="1:18" s="122" customFormat="1" ht="82.5" customHeight="1" x14ac:dyDescent="0.55000000000000004">
      <c r="A40" s="140" t="s">
        <v>104</v>
      </c>
      <c r="B40" s="141" t="s">
        <v>147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42</v>
      </c>
      <c r="N40" s="138" t="s">
        <v>105</v>
      </c>
      <c r="O40" s="139"/>
      <c r="P40" s="129"/>
      <c r="Q40" s="120"/>
      <c r="R40" s="121"/>
    </row>
    <row r="41" spans="1:18" s="122" customFormat="1" ht="78.75" customHeight="1" x14ac:dyDescent="0.55000000000000004">
      <c r="A41" s="140" t="s">
        <v>106</v>
      </c>
      <c r="B41" s="141" t="s">
        <v>107</v>
      </c>
      <c r="C41" s="142"/>
      <c r="D41" s="143"/>
      <c r="E41" s="143"/>
      <c r="F41" s="143"/>
      <c r="G41" s="144"/>
      <c r="H41" s="145">
        <v>2</v>
      </c>
      <c r="I41" s="146"/>
      <c r="J41" s="145"/>
      <c r="K41" s="145"/>
      <c r="L41" s="136"/>
      <c r="M41" s="137" t="s">
        <v>43</v>
      </c>
      <c r="N41" s="138" t="s">
        <v>108</v>
      </c>
      <c r="O41" s="139"/>
      <c r="P41" s="129"/>
      <c r="Q41" s="120"/>
      <c r="R41" s="121"/>
    </row>
    <row r="42" spans="1:18" s="122" customFormat="1" ht="36" x14ac:dyDescent="0.55000000000000004">
      <c r="A42" s="147">
        <v>2</v>
      </c>
      <c r="B42" s="148" t="s">
        <v>109</v>
      </c>
      <c r="C42" s="149"/>
      <c r="D42" s="150"/>
      <c r="E42" s="150"/>
      <c r="F42" s="150"/>
      <c r="G42" s="151"/>
      <c r="H42" s="145"/>
      <c r="I42" s="146"/>
      <c r="J42" s="145"/>
      <c r="K42" s="145"/>
      <c r="L42" s="136"/>
      <c r="M42" s="137" t="s">
        <v>44</v>
      </c>
      <c r="N42" s="138" t="s">
        <v>110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102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37" t="s">
        <v>45</v>
      </c>
      <c r="N43" s="138" t="s">
        <v>111</v>
      </c>
      <c r="O43" s="139"/>
      <c r="P43" s="156"/>
      <c r="Q43" s="120"/>
      <c r="R43" s="121"/>
    </row>
    <row r="44" spans="1:18" s="122" customFormat="1" ht="114.75" customHeight="1" x14ac:dyDescent="0.55000000000000004">
      <c r="A44" s="140" t="s">
        <v>104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99</v>
      </c>
      <c r="N44" s="157" t="s">
        <v>112</v>
      </c>
      <c r="O44" s="158"/>
      <c r="P44" s="156"/>
      <c r="Q44" s="120"/>
      <c r="R44" s="121"/>
    </row>
    <row r="45" spans="1:18" s="122" customFormat="1" ht="72" customHeight="1" x14ac:dyDescent="0.55000000000000004">
      <c r="A45" s="140" t="s">
        <v>106</v>
      </c>
      <c r="B45" s="152" t="s">
        <v>150</v>
      </c>
      <c r="C45" s="153"/>
      <c r="D45" s="154"/>
      <c r="E45" s="154"/>
      <c r="F45" s="154"/>
      <c r="G45" s="155"/>
      <c r="H45" s="145">
        <v>2</v>
      </c>
      <c r="I45" s="146"/>
      <c r="J45" s="145"/>
      <c r="K45" s="145"/>
      <c r="L45" s="136"/>
      <c r="M45" s="129" t="s">
        <v>113</v>
      </c>
      <c r="N45" s="157" t="s">
        <v>114</v>
      </c>
      <c r="O45" s="158"/>
      <c r="P45" s="156"/>
      <c r="Q45" s="120"/>
      <c r="R45" s="121"/>
    </row>
    <row r="46" spans="1:18" s="122" customFormat="1" ht="66" customHeight="1" x14ac:dyDescent="0.55000000000000004">
      <c r="A46" s="147">
        <v>3</v>
      </c>
      <c r="B46" s="148" t="s">
        <v>115</v>
      </c>
      <c r="C46" s="149"/>
      <c r="D46" s="150"/>
      <c r="E46" s="150"/>
      <c r="F46" s="150"/>
      <c r="G46" s="151"/>
      <c r="H46" s="145"/>
      <c r="I46" s="146"/>
      <c r="J46" s="145"/>
      <c r="K46" s="145"/>
      <c r="L46" s="136"/>
      <c r="M46" s="129" t="s">
        <v>97</v>
      </c>
      <c r="N46" s="157" t="s">
        <v>116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102</v>
      </c>
      <c r="B47" s="152" t="s">
        <v>117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98</v>
      </c>
      <c r="N47" s="157" t="s">
        <v>118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104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29" t="s">
        <v>119</v>
      </c>
      <c r="N48" s="157" t="s">
        <v>120</v>
      </c>
      <c r="O48" s="158"/>
      <c r="P48" s="156"/>
      <c r="Q48" s="120"/>
      <c r="R48" s="121"/>
    </row>
    <row r="49" spans="1:18" s="122" customFormat="1" ht="44.25" customHeight="1" x14ac:dyDescent="0.55000000000000004">
      <c r="A49" s="140" t="s">
        <v>106</v>
      </c>
      <c r="B49" s="152" t="s">
        <v>152</v>
      </c>
      <c r="C49" s="159"/>
      <c r="D49" s="160"/>
      <c r="E49" s="160"/>
      <c r="F49" s="160"/>
      <c r="G49" s="161"/>
      <c r="H49" s="145">
        <v>2</v>
      </c>
      <c r="I49" s="146"/>
      <c r="J49" s="145"/>
      <c r="K49" s="145"/>
      <c r="L49" s="136"/>
      <c r="M49" s="162"/>
      <c r="N49" s="162"/>
      <c r="O49" s="162"/>
      <c r="P49" s="163"/>
      <c r="Q49" s="120"/>
      <c r="R49" s="121"/>
    </row>
    <row r="50" spans="1:18" s="122" customFormat="1" ht="31.5" customHeight="1" x14ac:dyDescent="0.55000000000000004">
      <c r="A50" s="164" t="s">
        <v>121</v>
      </c>
      <c r="B50" s="165"/>
      <c r="C50" s="165"/>
      <c r="D50" s="165"/>
      <c r="E50" s="165"/>
      <c r="F50" s="165"/>
      <c r="G50" s="165"/>
      <c r="H50" s="166">
        <f>SUM(H39:H49)</f>
        <v>20</v>
      </c>
      <c r="I50" s="166">
        <f>SUM(I39:I49)</f>
        <v>0</v>
      </c>
      <c r="J50" s="166"/>
      <c r="K50" s="167"/>
      <c r="L50" s="136"/>
      <c r="M50" s="162"/>
      <c r="N50" s="162"/>
      <c r="O50" s="162"/>
      <c r="P50" s="163"/>
      <c r="Q50" s="120"/>
      <c r="R50" s="121"/>
    </row>
    <row r="51" spans="1:18" s="122" customFormat="1" ht="36" customHeight="1" x14ac:dyDescent="0.55000000000000004">
      <c r="A51" s="168" t="s">
        <v>102</v>
      </c>
      <c r="B51" s="169" t="s">
        <v>122</v>
      </c>
      <c r="C51" s="153" t="s">
        <v>123</v>
      </c>
      <c r="D51" s="154"/>
      <c r="E51" s="154"/>
      <c r="F51" s="154"/>
      <c r="G51" s="155"/>
      <c r="H51" s="170">
        <v>4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129" customHeight="1" x14ac:dyDescent="0.55000000000000004">
      <c r="A52" s="168" t="s">
        <v>104</v>
      </c>
      <c r="B52" s="169" t="s">
        <v>124</v>
      </c>
      <c r="C52" s="153" t="s">
        <v>125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69" customHeight="1" x14ac:dyDescent="0.55000000000000004">
      <c r="A53" s="168" t="s">
        <v>104</v>
      </c>
      <c r="B53" s="169" t="s">
        <v>126</v>
      </c>
      <c r="C53" s="153" t="s">
        <v>127</v>
      </c>
      <c r="D53" s="154"/>
      <c r="E53" s="154"/>
      <c r="F53" s="154"/>
      <c r="G53" s="155"/>
      <c r="H53" s="170">
        <v>3</v>
      </c>
      <c r="I53" s="171"/>
      <c r="J53" s="170"/>
      <c r="K53" s="172"/>
      <c r="L53" s="136"/>
      <c r="M53" s="162"/>
      <c r="N53" s="162"/>
      <c r="O53" s="162"/>
      <c r="P53" s="163"/>
      <c r="Q53" s="120"/>
      <c r="R53" s="121"/>
    </row>
    <row r="54" spans="1:18" s="122" customFormat="1" ht="46.5" customHeight="1" x14ac:dyDescent="0.55000000000000004">
      <c r="A54" s="173"/>
      <c r="B54" s="174" t="s">
        <v>128</v>
      </c>
      <c r="C54" s="174"/>
      <c r="D54" s="174"/>
      <c r="E54" s="175"/>
      <c r="F54" s="175"/>
      <c r="G54" s="175"/>
      <c r="H54" s="166">
        <f>SUM(H51:H53)</f>
        <v>10</v>
      </c>
      <c r="I54" s="166">
        <f>SUM(I51:I53)</f>
        <v>0</v>
      </c>
      <c r="J54" s="175"/>
      <c r="K54" s="176"/>
      <c r="L54" s="162"/>
      <c r="M54" s="162"/>
      <c r="N54" s="162"/>
      <c r="O54" s="162"/>
      <c r="P54" s="163"/>
      <c r="Q54" s="120"/>
      <c r="R54" s="121"/>
    </row>
    <row r="55" spans="1:18" s="184" customFormat="1" ht="45" customHeight="1" x14ac:dyDescent="0.7">
      <c r="A55" s="177"/>
      <c r="B55" s="178"/>
      <c r="C55" s="179"/>
      <c r="D55" s="179"/>
      <c r="E55" s="179"/>
      <c r="F55" s="180"/>
      <c r="G55" s="180"/>
      <c r="H55" s="180"/>
      <c r="I55" s="180"/>
      <c r="J55" s="180"/>
      <c r="K55" s="179"/>
      <c r="L55" s="179"/>
      <c r="M55" s="179"/>
      <c r="N55" s="179"/>
      <c r="O55" s="181" t="s">
        <v>153</v>
      </c>
      <c r="P55" s="182"/>
      <c r="Q55" s="181" t="s">
        <v>154</v>
      </c>
      <c r="R55" s="183"/>
    </row>
    <row r="56" spans="1:18" s="184" customFormat="1" ht="45" customHeight="1" x14ac:dyDescent="0.7">
      <c r="A56" s="177"/>
      <c r="B56" s="185"/>
      <c r="C56" s="186" t="s">
        <v>155</v>
      </c>
      <c r="D56" s="187"/>
      <c r="E56" s="187"/>
      <c r="F56" s="187"/>
      <c r="G56" s="187"/>
      <c r="H56" s="187"/>
      <c r="I56" s="187"/>
      <c r="J56" s="187"/>
      <c r="K56" s="188"/>
      <c r="L56" s="189"/>
      <c r="M56" s="190"/>
      <c r="N56" s="191"/>
      <c r="O56" s="192">
        <f>R35</f>
        <v>0</v>
      </c>
      <c r="P56" s="193"/>
      <c r="Q56" s="194">
        <f>O59/100 * 20</f>
        <v>0</v>
      </c>
      <c r="R56" s="195"/>
    </row>
    <row r="57" spans="1:18" s="184" customFormat="1" ht="45" customHeight="1" x14ac:dyDescent="0.7">
      <c r="A57" s="177"/>
      <c r="B57" s="185"/>
      <c r="C57" s="187" t="s">
        <v>156</v>
      </c>
      <c r="D57" s="187"/>
      <c r="E57" s="187"/>
      <c r="F57" s="187"/>
      <c r="G57" s="187"/>
      <c r="H57" s="187"/>
      <c r="I57" s="187"/>
      <c r="J57" s="187"/>
      <c r="K57" s="187"/>
      <c r="L57" s="190"/>
      <c r="M57" s="190"/>
      <c r="N57" s="191"/>
      <c r="O57" s="192">
        <f>I50</f>
        <v>0</v>
      </c>
      <c r="P57" s="193"/>
      <c r="Q57" s="196"/>
      <c r="R57" s="197"/>
    </row>
    <row r="58" spans="1:18" s="184" customFormat="1" ht="45" customHeight="1" x14ac:dyDescent="0.7">
      <c r="A58" s="177"/>
      <c r="B58" s="185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I54</f>
        <v>0</v>
      </c>
      <c r="P58" s="193"/>
      <c r="Q58" s="196"/>
      <c r="R58" s="197"/>
    </row>
    <row r="59" spans="1:18" s="184" customFormat="1" ht="45" customHeight="1" x14ac:dyDescent="0.7">
      <c r="A59" s="177"/>
      <c r="B59" s="198"/>
      <c r="C59" s="186" t="s">
        <v>158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SUM(O56:P58)</f>
        <v>0</v>
      </c>
      <c r="P59" s="193"/>
      <c r="Q59" s="199"/>
      <c r="R59" s="200"/>
    </row>
    <row r="60" spans="1:18" s="184" customFormat="1" ht="64.900000000000006" customHeight="1" x14ac:dyDescent="0.7">
      <c r="A60" s="177"/>
      <c r="B60" s="201" t="s">
        <v>159</v>
      </c>
      <c r="C60" s="201"/>
      <c r="D60" s="201"/>
      <c r="E60" s="201"/>
      <c r="F60" s="201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s="184" customFormat="1" ht="64.900000000000006" customHeight="1" x14ac:dyDescent="0.7">
      <c r="A61" s="177"/>
      <c r="B61" s="204" t="s">
        <v>160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5"/>
    </row>
    <row r="62" spans="1:18" s="184" customFormat="1" ht="48.75" customHeight="1" x14ac:dyDescent="0.7">
      <c r="A62" s="177"/>
      <c r="B62" s="206" t="s">
        <v>161</v>
      </c>
      <c r="C62" s="206"/>
      <c r="D62" s="206"/>
      <c r="E62" s="206"/>
      <c r="F62" s="206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8"/>
    </row>
    <row r="63" spans="1:18" s="184" customFormat="1" ht="45.75" x14ac:dyDescent="0.7">
      <c r="A63" s="177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5"/>
    </row>
    <row r="64" spans="1:18" s="122" customFormat="1" ht="31.5" customHeight="1" x14ac:dyDescent="0.55000000000000004">
      <c r="A64" s="209" t="s">
        <v>162</v>
      </c>
      <c r="B64" s="210"/>
      <c r="C64" s="211"/>
      <c r="D64" s="212"/>
      <c r="E64" s="213" t="s">
        <v>163</v>
      </c>
      <c r="F64" s="214"/>
      <c r="G64" s="210" t="s">
        <v>164</v>
      </c>
      <c r="H64" s="211"/>
      <c r="I64" s="211"/>
      <c r="J64" s="211"/>
      <c r="K64" s="215"/>
      <c r="L64" s="136"/>
      <c r="M64" s="216"/>
      <c r="N64" s="216"/>
      <c r="O64" s="216"/>
      <c r="P64" s="216"/>
      <c r="Q64" s="216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17"/>
      <c r="B66" s="218"/>
      <c r="C66" s="219"/>
      <c r="D66" s="220"/>
      <c r="E66" s="221"/>
      <c r="F66" s="222"/>
      <c r="G66" s="218"/>
      <c r="H66" s="219"/>
      <c r="I66" s="219"/>
      <c r="J66" s="219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24"/>
      <c r="B67" s="225"/>
      <c r="C67" s="226"/>
      <c r="D67" s="227"/>
      <c r="E67" s="228"/>
      <c r="F67" s="229"/>
      <c r="G67" s="225"/>
      <c r="H67" s="226"/>
      <c r="I67" s="226"/>
      <c r="J67" s="226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0" t="s">
        <v>129</v>
      </c>
      <c r="B68" s="231"/>
      <c r="C68" s="211"/>
      <c r="D68" s="212"/>
      <c r="E68" s="232" t="s">
        <v>165</v>
      </c>
      <c r="F68" s="214"/>
      <c r="G68" s="231" t="s">
        <v>165</v>
      </c>
      <c r="H68" s="211"/>
      <c r="I68" s="211"/>
      <c r="J68" s="211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19"/>
      <c r="D69" s="220"/>
      <c r="E69" s="235"/>
      <c r="F69" s="222"/>
      <c r="G69" s="234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33"/>
      <c r="B70" s="234"/>
      <c r="C70" s="226"/>
      <c r="D70" s="227"/>
      <c r="E70" s="236"/>
      <c r="F70" s="229"/>
      <c r="G70" s="237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 t="s">
        <v>130</v>
      </c>
      <c r="B71" s="218"/>
      <c r="C71" s="211"/>
      <c r="D71" s="212"/>
      <c r="E71" s="213" t="s">
        <v>166</v>
      </c>
      <c r="F71" s="214"/>
      <c r="G71" s="210" t="s">
        <v>166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17"/>
      <c r="B72" s="218"/>
      <c r="C72" s="226"/>
      <c r="D72" s="227"/>
      <c r="E72" s="228"/>
      <c r="F72" s="229"/>
      <c r="G72" s="225"/>
      <c r="H72" s="226"/>
      <c r="I72" s="226"/>
      <c r="J72" s="226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thickBot="1" x14ac:dyDescent="0.6">
      <c r="A73" s="238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1"/>
      <c r="M73" s="242"/>
      <c r="N73" s="242"/>
      <c r="O73" s="242"/>
      <c r="P73" s="242"/>
      <c r="Q73" s="242"/>
      <c r="R73" s="243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99E3F0B2-AF15-4EA9-9EF3-59D834D518DE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2026-04-09T09:55:20Z</dcterms:created>
  <dcterms:modified xsi:type="dcterms:W3CDTF">2026-04-09T20:11:04Z</dcterms:modified>
</cp:coreProperties>
</file>