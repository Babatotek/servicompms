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ADMIN\"/>
    </mc:Choice>
  </mc:AlternateContent>
  <xr:revisionPtr revIDLastSave="0" documentId="13_ncr:1_{AF6ED462-A8FD-4769-BDD3-21835A325D14}" xr6:coauthVersionLast="47" xr6:coauthVersionMax="47" xr10:uidLastSave="{00000000-0000-0000-0000-000000000000}"/>
  <bookViews>
    <workbookView xWindow="-120" yWindow="-120" windowWidth="20730" windowHeight="11040" xr2:uid="{34E21840-76AD-4909-AC3D-088A618488CF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QUARTER'!$A$1:$R$72</definedName>
    <definedName name="_xlnm.Print_Area" localSheetId="3">'FOURTH QUARTER'!$A$1:$R$72</definedName>
    <definedName name="_xlnm.Print_Area" localSheetId="1">'SECOND QUARTER'!$A$1:$R$72</definedName>
    <definedName name="_xlnm.Print_Area" localSheetId="2">'THIRD QUARTER'!$A$1:$R$72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3" l="1"/>
  <c r="F21" i="3"/>
  <c r="F22" i="3"/>
  <c r="F23" i="3"/>
  <c r="F24" i="3"/>
  <c r="F25" i="3"/>
  <c r="F26" i="3"/>
  <c r="F27" i="3"/>
  <c r="F28" i="3"/>
  <c r="F29" i="3"/>
  <c r="F30" i="3"/>
  <c r="F31" i="3"/>
  <c r="F32" i="3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19" i="3"/>
  <c r="F19" i="4"/>
  <c r="F19" i="5"/>
  <c r="F19" i="2"/>
  <c r="C32" i="3"/>
  <c r="E32" i="3" s="1"/>
  <c r="C31" i="3"/>
  <c r="E31" i="3" s="1"/>
  <c r="C30" i="3"/>
  <c r="E30" i="3" s="1"/>
  <c r="R30" i="3" s="1"/>
  <c r="C28" i="3"/>
  <c r="E28" i="3" s="1"/>
  <c r="E24" i="3"/>
  <c r="R24" i="3" s="1"/>
  <c r="C24" i="3"/>
  <c r="E26" i="3" s="1"/>
  <c r="C19" i="3"/>
  <c r="E23" i="3" s="1"/>
  <c r="C32" i="4"/>
  <c r="E32" i="4" s="1"/>
  <c r="R32" i="4" s="1"/>
  <c r="C31" i="4"/>
  <c r="E31" i="4" s="1"/>
  <c r="C30" i="4"/>
  <c r="E30" i="4" s="1"/>
  <c r="C28" i="4"/>
  <c r="E29" i="4" s="1"/>
  <c r="E26" i="4"/>
  <c r="R26" i="4" s="1"/>
  <c r="E25" i="4"/>
  <c r="E24" i="4"/>
  <c r="C24" i="4"/>
  <c r="E27" i="4" s="1"/>
  <c r="C19" i="4"/>
  <c r="E22" i="4" s="1"/>
  <c r="R22" i="4" s="1"/>
  <c r="C32" i="5"/>
  <c r="E32" i="5" s="1"/>
  <c r="C31" i="5"/>
  <c r="E31" i="5" s="1"/>
  <c r="E30" i="5"/>
  <c r="R30" i="5" s="1"/>
  <c r="C30" i="5"/>
  <c r="C28" i="5"/>
  <c r="E28" i="5" s="1"/>
  <c r="E25" i="5"/>
  <c r="C24" i="5"/>
  <c r="E26" i="5" s="1"/>
  <c r="C19" i="5"/>
  <c r="E23" i="5" s="1"/>
  <c r="E32" i="2"/>
  <c r="C32" i="2"/>
  <c r="C31" i="2"/>
  <c r="E31" i="2" s="1"/>
  <c r="C30" i="2"/>
  <c r="E30" i="2" s="1"/>
  <c r="C28" i="2"/>
  <c r="E29" i="2" s="1"/>
  <c r="R29" i="2" s="1"/>
  <c r="E24" i="2"/>
  <c r="C24" i="2"/>
  <c r="E27" i="2" s="1"/>
  <c r="C19" i="2"/>
  <c r="E22" i="2" s="1"/>
  <c r="O56" i="5"/>
  <c r="I53" i="5"/>
  <c r="O57" i="5" s="1"/>
  <c r="H53" i="5"/>
  <c r="I49" i="5"/>
  <c r="H49" i="5"/>
  <c r="C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53" i="4"/>
  <c r="O57" i="4" s="1"/>
  <c r="H53" i="4"/>
  <c r="I49" i="4"/>
  <c r="O56" i="4" s="1"/>
  <c r="H49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I53" i="3"/>
  <c r="O57" i="3" s="1"/>
  <c r="H53" i="3"/>
  <c r="I49" i="3"/>
  <c r="O56" i="3" s="1"/>
  <c r="H49" i="3"/>
  <c r="C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O57" i="2"/>
  <c r="O56" i="2"/>
  <c r="I53" i="2"/>
  <c r="H53" i="2"/>
  <c r="I49" i="2"/>
  <c r="H49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R25" i="5" l="1"/>
  <c r="R32" i="2"/>
  <c r="R32" i="5"/>
  <c r="R22" i="2"/>
  <c r="R27" i="2"/>
  <c r="R30" i="2"/>
  <c r="R23" i="5"/>
  <c r="E27" i="5"/>
  <c r="R27" i="5" s="1"/>
  <c r="R31" i="5"/>
  <c r="R27" i="4"/>
  <c r="R29" i="4"/>
  <c r="E25" i="3"/>
  <c r="R25" i="3" s="1"/>
  <c r="R24" i="2"/>
  <c r="R31" i="2"/>
  <c r="R26" i="5"/>
  <c r="R28" i="5"/>
  <c r="R24" i="4"/>
  <c r="R30" i="4"/>
  <c r="R23" i="3"/>
  <c r="E27" i="3"/>
  <c r="R27" i="3" s="1"/>
  <c r="R31" i="3"/>
  <c r="C33" i="2"/>
  <c r="E26" i="2"/>
  <c r="R26" i="2" s="1"/>
  <c r="E24" i="5"/>
  <c r="R24" i="5" s="1"/>
  <c r="R25" i="4"/>
  <c r="R31" i="4"/>
  <c r="R26" i="3"/>
  <c r="R28" i="3"/>
  <c r="R32" i="3"/>
  <c r="E19" i="2"/>
  <c r="E21" i="2"/>
  <c r="R21" i="2" s="1"/>
  <c r="E23" i="2"/>
  <c r="R23" i="2" s="1"/>
  <c r="E28" i="2"/>
  <c r="R28" i="2" s="1"/>
  <c r="E20" i="5"/>
  <c r="R20" i="5" s="1"/>
  <c r="E22" i="5"/>
  <c r="R22" i="5" s="1"/>
  <c r="E29" i="5"/>
  <c r="R29" i="5" s="1"/>
  <c r="E19" i="4"/>
  <c r="E21" i="4"/>
  <c r="R21" i="4" s="1"/>
  <c r="E23" i="4"/>
  <c r="R23" i="4" s="1"/>
  <c r="E28" i="4"/>
  <c r="R28" i="4" s="1"/>
  <c r="E20" i="3"/>
  <c r="R20" i="3" s="1"/>
  <c r="E22" i="3"/>
  <c r="R22" i="3" s="1"/>
  <c r="E29" i="3"/>
  <c r="R29" i="3" s="1"/>
  <c r="C33" i="4"/>
  <c r="E25" i="2"/>
  <c r="R25" i="2" s="1"/>
  <c r="E20" i="2"/>
  <c r="R20" i="2" s="1"/>
  <c r="E19" i="5"/>
  <c r="E21" i="5"/>
  <c r="R21" i="5" s="1"/>
  <c r="E20" i="4"/>
  <c r="R20" i="4" s="1"/>
  <c r="E19" i="3"/>
  <c r="E21" i="3"/>
  <c r="R21" i="3" s="1"/>
  <c r="E33" i="4" l="1"/>
  <c r="E33" i="5"/>
  <c r="E33" i="3"/>
  <c r="E33" i="2"/>
  <c r="R19" i="5" l="1"/>
  <c r="R33" i="5" s="1"/>
  <c r="R34" i="5" s="1"/>
  <c r="O55" i="5" s="1"/>
  <c r="O58" i="5" s="1"/>
  <c r="Q55" i="5" s="1"/>
  <c r="F33" i="5"/>
  <c r="F33" i="3"/>
  <c r="R19" i="3"/>
  <c r="R33" i="3" s="1"/>
  <c r="R34" i="3" s="1"/>
  <c r="O55" i="3" s="1"/>
  <c r="O58" i="3" s="1"/>
  <c r="Q55" i="3" s="1"/>
  <c r="R19" i="4"/>
  <c r="R33" i="4" s="1"/>
  <c r="R34" i="4" s="1"/>
  <c r="O55" i="4" s="1"/>
  <c r="O58" i="4" s="1"/>
  <c r="Q55" i="4" s="1"/>
  <c r="F33" i="4"/>
  <c r="R19" i="2"/>
  <c r="R33" i="2" s="1"/>
  <c r="R34" i="2" s="1"/>
  <c r="O55" i="2" s="1"/>
  <c r="O58" i="2" s="1"/>
  <c r="Q55" i="2" s="1"/>
  <c r="F33" i="2"/>
</calcChain>
</file>

<file path=xl/sharedStrings.xml><?xml version="1.0" encoding="utf-8"?>
<sst xmlns="http://schemas.openxmlformats.org/spreadsheetml/2006/main" count="880" uniqueCount="172">
  <si>
    <t>PERFORMANCE APPRAISAL PERIOD:</t>
  </si>
  <si>
    <t>FROM</t>
  </si>
  <si>
    <t>To</t>
  </si>
  <si>
    <t>SECTION 1: EMPLOYEE INFORMATION</t>
  </si>
  <si>
    <t>Surname:</t>
  </si>
  <si>
    <t>AMOS</t>
  </si>
  <si>
    <t>Firstname</t>
  </si>
  <si>
    <t>OBINNA</t>
  </si>
  <si>
    <t>Othername</t>
  </si>
  <si>
    <t>Designation</t>
  </si>
  <si>
    <t>CCO</t>
  </si>
  <si>
    <t>IPPIS No.</t>
  </si>
  <si>
    <t>Email</t>
  </si>
  <si>
    <t>OBINNAAMOS58@GMAIL.COM</t>
  </si>
  <si>
    <t>Phone No.</t>
  </si>
  <si>
    <t>07031304242</t>
  </si>
  <si>
    <t>Department</t>
  </si>
  <si>
    <t>ADMINISTRATION UNIT</t>
  </si>
  <si>
    <t>SECTION 2: SUPERVISOR INFORMATION</t>
  </si>
  <si>
    <t>NWABUA</t>
  </si>
  <si>
    <t>CHINYERE</t>
  </si>
  <si>
    <t>VIRGINIA</t>
  </si>
  <si>
    <t>ASST. CHIEF CONFIDENTIAL SECRETARY</t>
  </si>
  <si>
    <t>nwabuachinyere@gmail.com</t>
  </si>
  <si>
    <t>08033369953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</si>
  <si>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</si>
  <si>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</si>
  <si>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</si>
  <si>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</si>
  <si>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</si>
  <si>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</si>
  <si>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</si>
  <si>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</si>
  <si>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</si>
  <si>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</si>
  <si>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</si>
  <si>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</si>
  <si>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</si>
  <si>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</si>
  <si>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</si>
  <si>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</si>
  <si>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</si>
  <si>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</si>
  <si>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</si>
  <si>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</si>
  <si>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</si>
  <si>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</si>
  <si>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</si>
  <si>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</si>
  <si>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</si>
  <si>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</si>
  <si>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</si>
  <si>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</si>
  <si>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</si>
  <si>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</si>
  <si>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</si>
  <si>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</si>
  <si>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</si>
  <si>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</si>
  <si>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</si>
  <si>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</si>
  <si>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</si>
  <si>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</si>
  <si>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Correspondence &amp; Mail Management</t>
  </si>
  <si>
    <t>Receive, record, and dispatch incoming and outgoing mails</t>
  </si>
  <si>
    <t>Percentage of mails recorded and dispatched accurately</t>
  </si>
  <si>
    <t>&gt;80</t>
  </si>
  <si>
    <t>&lt;50</t>
  </si>
  <si>
    <t>Ensure timely delivery of official correspondence</t>
  </si>
  <si>
    <t>Percentage of mails delivered within stipulated timelines</t>
  </si>
  <si>
    <t>Maintain dispatch register/logbook</t>
  </si>
  <si>
    <t>Percentage of dispatch records updated daily</t>
  </si>
  <si>
    <t>Sort and route correspondence to appropriate units</t>
  </si>
  <si>
    <t>Percentage of mails correctly routed without errors</t>
  </si>
  <si>
    <t>Service Innovation And Improvement</t>
  </si>
  <si>
    <t>Identify gaps or inefficiencies in existing service delivery processes</t>
  </si>
  <si>
    <t>Percentage of service processes reviewed vs total assigned</t>
  </si>
  <si>
    <t>Identify areas for service improvement within the unit or agency</t>
  </si>
  <si>
    <t>Number of improvement opportunities identified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</si>
  <si>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</si>
  <si>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</si>
  <si>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</si>
  <si>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</si>
  <si>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</si>
  <si>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</si>
  <si>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</si>
  <si>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</si>
  <si>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</si>
  <si>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</si>
  <si>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</si>
  <si>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&gt;50</t>
  </si>
  <si>
    <t>&lt;25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</si>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</sst>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u/>
      <sz val="30"/>
      <color theme="10"/>
      <name val="Calibri"/>
      <family val="2"/>
      <charset val="1"/>
      <scheme val="minor"/>
    </font>
    <font>
      <u/>
      <sz val="30"/>
      <color theme="1"/>
      <name val="Calibri"/>
      <family val="2"/>
      <charset val="1"/>
      <scheme val="minor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95">
    <xf numFmtId="0" fontId="0" fillId="0" borderId="0" xfId="0"/>
    <xf numFmtId="0" fontId="8" fillId="0" borderId="18" xfId="8" applyFont="1" applyBorder="1" applyAlignment="1">
      <alignment horizontal="center" vertical="center"/>
    </xf>
    <xf numFmtId="0" fontId="8" fillId="0" borderId="19" xfId="8" applyFont="1" applyBorder="1" applyAlignment="1">
      <alignment horizontal="center" vertical="center"/>
    </xf>
    <xf numFmtId="0" fontId="8" fillId="0" borderId="20" xfId="8" applyFont="1" applyBorder="1" applyAlignment="1">
      <alignment horizontal="center" vertical="center"/>
    </xf>
    <xf numFmtId="0" fontId="1" fillId="0" borderId="0" xfId="8" applyAlignment="1">
      <alignment vertical="top"/>
    </xf>
    <xf numFmtId="0" fontId="8" fillId="0" borderId="10" xfId="8" applyFont="1" applyBorder="1" applyAlignment="1">
      <alignment horizontal="center" vertical="center"/>
    </xf>
    <xf numFmtId="0" fontId="8" fillId="0" borderId="0" xfId="8" applyFont="1" applyAlignment="1">
      <alignment horizontal="center" vertical="center"/>
    </xf>
    <xf numFmtId="0" fontId="8" fillId="0" borderId="12" xfId="8" applyFont="1" applyBorder="1" applyAlignment="1">
      <alignment horizontal="center" vertical="center"/>
    </xf>
    <xf numFmtId="0" fontId="9" fillId="2" borderId="18" xfId="8" applyFont="1" applyFill="1" applyBorder="1" applyAlignment="1">
      <alignment horizontal="left" vertical="top" wrapText="1"/>
    </xf>
    <xf numFmtId="0" fontId="9" fillId="2" borderId="19" xfId="8" applyFont="1" applyFill="1" applyBorder="1" applyAlignment="1">
      <alignment horizontal="left" vertical="top" wrapText="1"/>
    </xf>
    <xf numFmtId="0" fontId="10" fillId="2" borderId="18" xfId="8" applyFont="1" applyFill="1" applyBorder="1" applyAlignment="1">
      <alignment horizontal="center" vertical="top" wrapText="1"/>
    </xf>
    <xf numFmtId="0" fontId="10" fillId="2" borderId="19" xfId="8" applyFont="1" applyFill="1" applyBorder="1" applyAlignment="1">
      <alignment horizontal="center" vertical="top" wrapText="1"/>
    </xf>
    <xf numFmtId="0" fontId="10" fillId="2" borderId="20" xfId="8" applyFont="1" applyFill="1" applyBorder="1" applyAlignment="1">
      <alignment horizontal="center" vertical="top" wrapText="1"/>
    </xf>
    <xf numFmtId="0" fontId="11" fillId="0" borderId="0" xfId="8" applyFont="1" applyAlignment="1">
      <alignment vertical="top"/>
    </xf>
    <xf numFmtId="0" fontId="12" fillId="3" borderId="10" xfId="2" applyFont="1" applyFill="1" applyBorder="1" applyAlignment="1">
      <alignment vertical="center"/>
    </xf>
    <xf numFmtId="49" fontId="12" fillId="4" borderId="0" xfId="2" applyNumberFormat="1" applyFont="1" applyFill="1" applyAlignment="1">
      <alignment vertical="center"/>
    </xf>
    <xf numFmtId="0" fontId="12" fillId="3" borderId="0" xfId="2" applyFont="1" applyFill="1" applyAlignment="1">
      <alignment horizontal="center" vertical="center"/>
    </xf>
    <xf numFmtId="49" fontId="12" fillId="0" borderId="9" xfId="2" applyNumberFormat="1" applyFont="1" applyBorder="1" applyAlignment="1">
      <alignment horizontal="center"/>
    </xf>
    <xf numFmtId="0" fontId="13" fillId="2" borderId="0" xfId="2" applyFont="1" applyFill="1" applyAlignment="1">
      <alignment horizontal="center"/>
    </xf>
    <xf numFmtId="0" fontId="13" fillId="2" borderId="0" xfId="2" applyFont="1" applyFill="1" applyAlignment="1">
      <alignment horizontal="center"/>
    </xf>
    <xf numFmtId="0" fontId="14" fillId="2" borderId="0" xfId="2" applyFont="1" applyFill="1"/>
    <xf numFmtId="0" fontId="10" fillId="2" borderId="10" xfId="8" applyFont="1" applyFill="1" applyBorder="1" applyAlignment="1">
      <alignment horizontal="center" vertical="top" wrapText="1"/>
    </xf>
    <xf numFmtId="0" fontId="10" fillId="2" borderId="0" xfId="8" applyFont="1" applyFill="1" applyAlignment="1">
      <alignment horizontal="center" vertical="top" wrapText="1"/>
    </xf>
    <xf numFmtId="0" fontId="10" fillId="2" borderId="12" xfId="8" applyFont="1" applyFill="1" applyBorder="1" applyAlignment="1">
      <alignment horizontal="center" vertical="top" wrapText="1"/>
    </xf>
    <xf numFmtId="0" fontId="14" fillId="0" borderId="0" xfId="2" applyFont="1"/>
    <xf numFmtId="0" fontId="15" fillId="2" borderId="10" xfId="9" applyFont="1" applyFill="1" applyBorder="1" applyAlignment="1">
      <alignment horizontal="left"/>
    </xf>
    <xf numFmtId="0" fontId="15" fillId="2" borderId="0" xfId="9" applyFont="1" applyFill="1" applyAlignment="1">
      <alignment horizontal="left"/>
    </xf>
    <xf numFmtId="0" fontId="15" fillId="2" borderId="0" xfId="9" applyFont="1" applyFill="1" applyAlignment="1">
      <alignment horizontal="left"/>
    </xf>
    <xf numFmtId="0" fontId="3" fillId="2" borderId="0" xfId="9" applyFont="1" applyFill="1"/>
    <xf numFmtId="0" fontId="3" fillId="0" borderId="0" xfId="9" applyFont="1"/>
    <xf numFmtId="0" fontId="18" fillId="2" borderId="0" xfId="2" applyFont="1" applyFill="1" applyAlignment="1">
      <alignment horizontal="left"/>
    </xf>
    <xf numFmtId="0" fontId="18" fillId="2" borderId="0" xfId="2" applyFont="1" applyFill="1" applyAlignment="1">
      <alignment horizontal="left"/>
    </xf>
    <xf numFmtId="0" fontId="19" fillId="0" borderId="0" xfId="2" applyFont="1" applyAlignment="1">
      <alignment horizontal="left"/>
    </xf>
    <xf numFmtId="0" fontId="18" fillId="3" borderId="0" xfId="5" applyFont="1" applyFill="1" applyAlignment="1">
      <alignment horizontal="left" vertical="center"/>
    </xf>
    <xf numFmtId="0" fontId="18" fillId="3" borderId="5" xfId="5" applyFont="1" applyFill="1" applyBorder="1" applyAlignment="1">
      <alignment horizontal="left" vertical="center"/>
    </xf>
    <xf numFmtId="0" fontId="18" fillId="0" borderId="8" xfId="5" applyFont="1" applyBorder="1" applyAlignment="1">
      <alignment horizontal="left"/>
    </xf>
    <xf numFmtId="0" fontId="18" fillId="3" borderId="11" xfId="5" applyFont="1" applyFill="1" applyBorder="1" applyAlignment="1">
      <alignment horizontal="left"/>
    </xf>
    <xf numFmtId="0" fontId="18" fillId="3" borderId="6" xfId="5" applyFont="1" applyFill="1" applyBorder="1" applyAlignment="1">
      <alignment horizontal="left"/>
    </xf>
    <xf numFmtId="0" fontId="18" fillId="0" borderId="6" xfId="5" applyFont="1" applyBorder="1" applyAlignment="1">
      <alignment horizontal="left"/>
    </xf>
    <xf numFmtId="0" fontId="18" fillId="0" borderId="7" xfId="6" applyFont="1" applyBorder="1" applyAlignment="1">
      <alignment horizontal="left"/>
    </xf>
    <xf numFmtId="0" fontId="18" fillId="0" borderId="8" xfId="6" applyFont="1" applyBorder="1" applyAlignment="1">
      <alignment horizontal="left"/>
    </xf>
    <xf numFmtId="0" fontId="17" fillId="0" borderId="0" xfId="5" applyFont="1"/>
    <xf numFmtId="0" fontId="18" fillId="3" borderId="0" xfId="5" applyFont="1" applyFill="1" applyAlignment="1">
      <alignment horizontal="left"/>
    </xf>
    <xf numFmtId="0" fontId="18" fillId="3" borderId="5" xfId="5" applyFont="1" applyFill="1" applyBorder="1" applyAlignment="1">
      <alignment horizontal="left"/>
    </xf>
    <xf numFmtId="0" fontId="18" fillId="0" borderId="13" xfId="5" applyFont="1" applyBorder="1" applyAlignment="1">
      <alignment horizontal="left"/>
    </xf>
    <xf numFmtId="0" fontId="18" fillId="3" borderId="14" xfId="5" applyFont="1" applyFill="1" applyBorder="1" applyAlignment="1">
      <alignment horizontal="left"/>
    </xf>
    <xf numFmtId="0" fontId="18" fillId="3" borderId="9" xfId="5" applyFont="1" applyFill="1" applyBorder="1" applyAlignment="1">
      <alignment horizontal="left"/>
    </xf>
    <xf numFmtId="0" fontId="18" fillId="0" borderId="9" xfId="6" applyFont="1" applyBorder="1" applyAlignment="1">
      <alignment horizontal="left"/>
    </xf>
    <xf numFmtId="0" fontId="18" fillId="0" borderId="13" xfId="6" applyFont="1" applyBorder="1" applyAlignment="1">
      <alignment horizontal="left"/>
    </xf>
    <xf numFmtId="0" fontId="20" fillId="2" borderId="10" xfId="2" applyFont="1" applyFill="1" applyBorder="1"/>
    <xf numFmtId="0" fontId="20" fillId="2" borderId="0" xfId="2" applyFont="1" applyFill="1"/>
    <xf numFmtId="0" fontId="21" fillId="2" borderId="0" xfId="2" applyFont="1" applyFill="1" applyAlignment="1">
      <alignment horizontal="center"/>
    </xf>
    <xf numFmtId="0" fontId="10" fillId="2" borderId="21" xfId="8" applyFont="1" applyFill="1" applyBorder="1" applyAlignment="1">
      <alignment horizontal="center" vertical="top" wrapText="1"/>
    </xf>
    <xf numFmtId="0" fontId="10" fillId="2" borderId="22" xfId="8" applyFont="1" applyFill="1" applyBorder="1" applyAlignment="1">
      <alignment horizontal="center" vertical="top" wrapText="1"/>
    </xf>
    <xf numFmtId="0" fontId="10" fillId="2" borderId="23" xfId="8" applyFont="1" applyFill="1" applyBorder="1" applyAlignment="1">
      <alignment horizontal="center" vertical="top" wrapText="1"/>
    </xf>
    <xf numFmtId="0" fontId="11" fillId="0" borderId="0" xfId="2" applyFont="1"/>
    <xf numFmtId="0" fontId="9" fillId="3" borderId="24" xfId="2" applyFont="1" applyFill="1" applyBorder="1" applyAlignment="1">
      <alignment horizontal="left"/>
    </xf>
    <xf numFmtId="0" fontId="9" fillId="3" borderId="2" xfId="2" applyFont="1" applyFill="1" applyBorder="1" applyAlignment="1">
      <alignment horizontal="left"/>
    </xf>
    <xf numFmtId="0" fontId="9" fillId="3" borderId="0" xfId="2" applyFont="1" applyFill="1" applyAlignment="1">
      <alignment horizontal="left"/>
    </xf>
    <xf numFmtId="0" fontId="21" fillId="3" borderId="0" xfId="2" applyFont="1" applyFill="1"/>
    <xf numFmtId="0" fontId="22" fillId="3" borderId="0" xfId="2" applyFont="1" applyFill="1"/>
    <xf numFmtId="0" fontId="11" fillId="3" borderId="0" xfId="2" applyFont="1" applyFill="1"/>
    <xf numFmtId="0" fontId="11" fillId="3" borderId="12" xfId="2" applyFont="1" applyFill="1" applyBorder="1"/>
    <xf numFmtId="0" fontId="5" fillId="2" borderId="25" xfId="2" applyFont="1" applyFill="1" applyBorder="1" applyAlignment="1">
      <alignment horizontal="center" vertical="center"/>
    </xf>
    <xf numFmtId="0" fontId="5" fillId="2" borderId="17" xfId="2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/>
    </xf>
    <xf numFmtId="0" fontId="5" fillId="2" borderId="16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3" fillId="2" borderId="9" xfId="8" applyFont="1" applyFill="1" applyBorder="1" applyAlignment="1">
      <alignment horizontal="center" vertical="center" wrapText="1"/>
    </xf>
    <xf numFmtId="0" fontId="23" fillId="2" borderId="15" xfId="8" applyFont="1" applyFill="1" applyBorder="1" applyAlignment="1">
      <alignment horizontal="center" vertical="center" wrapText="1"/>
    </xf>
    <xf numFmtId="0" fontId="23" fillId="2" borderId="13" xfId="8" applyFont="1" applyFill="1" applyBorder="1" applyAlignment="1">
      <alignment horizontal="center" vertical="center" wrapText="1"/>
    </xf>
    <xf numFmtId="0" fontId="23" fillId="2" borderId="16" xfId="8" applyFont="1" applyFill="1" applyBorder="1" applyAlignment="1">
      <alignment horizontal="center" vertical="center" wrapText="1"/>
    </xf>
    <xf numFmtId="2" fontId="23" fillId="2" borderId="26" xfId="8" applyNumberFormat="1" applyFont="1" applyFill="1" applyBorder="1" applyAlignment="1">
      <alignment horizontal="center" vertical="center" wrapText="1"/>
    </xf>
    <xf numFmtId="0" fontId="24" fillId="0" borderId="0" xfId="8" applyFont="1" applyAlignment="1">
      <alignment vertical="top"/>
    </xf>
    <xf numFmtId="0" fontId="5" fillId="2" borderId="27" xfId="2" applyFont="1" applyFill="1" applyBorder="1" applyAlignment="1">
      <alignment horizontal="center" vertical="center"/>
    </xf>
    <xf numFmtId="0" fontId="5" fillId="2" borderId="17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/>
    </xf>
    <xf numFmtId="0" fontId="23" fillId="2" borderId="16" xfId="8" applyFont="1" applyFill="1" applyBorder="1" applyAlignment="1">
      <alignment horizontal="center" vertical="center"/>
    </xf>
    <xf numFmtId="0" fontId="23" fillId="2" borderId="16" xfId="8" applyFont="1" applyFill="1" applyBorder="1" applyAlignment="1">
      <alignment horizontal="center" vertical="center" wrapText="1"/>
    </xf>
    <xf numFmtId="0" fontId="23" fillId="2" borderId="11" xfId="8" applyFont="1" applyFill="1" applyBorder="1" applyAlignment="1">
      <alignment horizontal="center" vertical="center" wrapText="1"/>
    </xf>
    <xf numFmtId="2" fontId="23" fillId="2" borderId="28" xfId="8" applyNumberFormat="1" applyFont="1" applyFill="1" applyBorder="1" applyAlignment="1">
      <alignment horizontal="center" vertical="center" wrapText="1"/>
    </xf>
    <xf numFmtId="0" fontId="25" fillId="0" borderId="14" xfId="2" applyFont="1" applyBorder="1" applyAlignment="1">
      <alignment vertical="center" wrapText="1"/>
    </xf>
    <xf numFmtId="2" fontId="25" fillId="0" borderId="14" xfId="0" applyNumberFormat="1" applyFont="1" applyBorder="1" applyAlignment="1">
      <alignment horizontal="center" vertical="center"/>
    </xf>
    <xf numFmtId="0" fontId="25" fillId="0" borderId="14" xfId="2" applyFont="1" applyBorder="1" applyAlignment="1">
      <alignment horizontal="left" vertical="center" wrapText="1"/>
    </xf>
    <xf numFmtId="9" fontId="25" fillId="0" borderId="14" xfId="2" applyNumberFormat="1" applyFont="1" applyBorder="1" applyAlignment="1">
      <alignment horizontal="center" vertical="center" wrapText="1"/>
    </xf>
    <xf numFmtId="0" fontId="25" fillId="0" borderId="14" xfId="7" applyFont="1" applyBorder="1" applyAlignment="1">
      <alignment horizontal="center" vertical="center" wrapText="1"/>
    </xf>
    <xf numFmtId="0" fontId="25" fillId="0" borderId="14" xfId="8" applyFont="1" applyBorder="1" applyAlignment="1">
      <alignment horizontal="center" vertical="center" wrapText="1"/>
    </xf>
    <xf numFmtId="0" fontId="17" fillId="0" borderId="14" xfId="8" applyFont="1" applyBorder="1" applyAlignment="1">
      <alignment horizontal="center" vertical="center"/>
    </xf>
    <xf numFmtId="0" fontId="27" fillId="0" borderId="14" xfId="11" applyFont="1" applyBorder="1" applyAlignment="1">
      <alignment horizontal="center" vertical="center"/>
    </xf>
    <xf numFmtId="0" fontId="4" fillId="2" borderId="14" xfId="8" applyFont="1" applyFill="1" applyBorder="1" applyAlignment="1">
      <alignment horizontal="center" vertical="center"/>
    </xf>
    <xf numFmtId="2" fontId="4" fillId="2" borderId="14" xfId="8" applyNumberFormat="1" applyFont="1" applyFill="1" applyBorder="1" applyAlignment="1">
      <alignment horizontal="center" vertical="center"/>
    </xf>
    <xf numFmtId="0" fontId="28" fillId="0" borderId="0" xfId="8" applyFont="1" applyAlignment="1">
      <alignment horizontal="left" vertical="top" wrapText="1"/>
    </xf>
    <xf numFmtId="0" fontId="25" fillId="0" borderId="14" xfId="2" applyFont="1" applyBorder="1" applyAlignment="1">
      <alignment horizontal="center" vertical="center"/>
    </xf>
    <xf numFmtId="9" fontId="25" fillId="0" borderId="14" xfId="2" applyNumberFormat="1" applyFont="1" applyBorder="1" applyAlignment="1">
      <alignment horizontal="center" vertical="center"/>
    </xf>
    <xf numFmtId="2" fontId="25" fillId="0" borderId="14" xfId="2" applyNumberFormat="1" applyFont="1" applyBorder="1" applyAlignment="1">
      <alignment vertical="center" wrapText="1"/>
    </xf>
    <xf numFmtId="2" fontId="25" fillId="0" borderId="14" xfId="2" applyNumberFormat="1" applyFont="1" applyBorder="1" applyAlignment="1">
      <alignment horizontal="center" vertical="center" wrapText="1"/>
    </xf>
    <xf numFmtId="0" fontId="29" fillId="0" borderId="29" xfId="12" applyFont="1" applyBorder="1" applyAlignment="1">
      <alignment horizontal="center" vertical="center"/>
    </xf>
    <xf numFmtId="0" fontId="30" fillId="0" borderId="11" xfId="8" applyFont="1" applyBorder="1" applyAlignment="1">
      <alignment horizontal="center" vertical="center" wrapText="1"/>
    </xf>
    <xf numFmtId="2" fontId="30" fillId="0" borderId="11" xfId="8" applyNumberFormat="1" applyFont="1" applyBorder="1" applyAlignment="1">
      <alignment horizontal="center" vertical="center" wrapText="1"/>
    </xf>
    <xf numFmtId="2" fontId="29" fillId="0" borderId="11" xfId="12" applyNumberFormat="1" applyFont="1" applyBorder="1" applyAlignment="1">
      <alignment horizontal="left" vertical="center" wrapText="1"/>
    </xf>
    <xf numFmtId="9" fontId="29" fillId="0" borderId="11" xfId="12" applyNumberFormat="1" applyFont="1" applyBorder="1" applyAlignment="1">
      <alignment horizontal="center" vertical="center"/>
    </xf>
    <xf numFmtId="0" fontId="31" fillId="0" borderId="6" xfId="9" applyFont="1" applyBorder="1" applyAlignment="1">
      <alignment vertical="center"/>
    </xf>
    <xf numFmtId="49" fontId="31" fillId="0" borderId="7" xfId="9" applyNumberFormat="1" applyFont="1" applyBorder="1" applyAlignment="1">
      <alignment horizontal="center" vertical="center"/>
    </xf>
    <xf numFmtId="0" fontId="30" fillId="0" borderId="15" xfId="8" applyFont="1" applyBorder="1" applyAlignment="1" applyProtection="1">
      <alignment horizontal="center" vertical="center"/>
      <protection locked="0"/>
    </xf>
    <xf numFmtId="2" fontId="32" fillId="2" borderId="14" xfId="8" applyNumberFormat="1" applyFont="1" applyFill="1" applyBorder="1" applyAlignment="1">
      <alignment horizontal="center" vertical="center"/>
    </xf>
    <xf numFmtId="2" fontId="32" fillId="2" borderId="30" xfId="8" applyNumberFormat="1" applyFont="1" applyFill="1" applyBorder="1" applyAlignment="1">
      <alignment horizontal="center" vertical="center"/>
    </xf>
    <xf numFmtId="0" fontId="28" fillId="0" borderId="0" xfId="13" applyFont="1" applyAlignment="1">
      <alignment horizontal="left" vertical="top" wrapText="1"/>
    </xf>
    <xf numFmtId="0" fontId="33" fillId="0" borderId="31" xfId="8" applyFont="1" applyBorder="1" applyAlignment="1">
      <alignment vertical="center" wrapText="1"/>
    </xf>
    <xf numFmtId="0" fontId="34" fillId="0" borderId="0" xfId="8" applyFont="1" applyAlignment="1">
      <alignment vertical="top" wrapText="1"/>
    </xf>
    <xf numFmtId="0" fontId="35" fillId="0" borderId="11" xfId="8" applyFont="1" applyBorder="1" applyAlignment="1">
      <alignment horizontal="center" vertical="center" wrapText="1"/>
    </xf>
    <xf numFmtId="0" fontId="36" fillId="5" borderId="9" xfId="8" applyFont="1" applyFill="1" applyBorder="1" applyAlignment="1">
      <alignment horizontal="center"/>
    </xf>
    <xf numFmtId="0" fontId="36" fillId="5" borderId="15" xfId="8" applyFont="1" applyFill="1" applyBorder="1" applyAlignment="1">
      <alignment horizontal="center"/>
    </xf>
    <xf numFmtId="0" fontId="36" fillId="5" borderId="13" xfId="8" applyFont="1" applyFill="1" applyBorder="1" applyAlignment="1">
      <alignment horizontal="center"/>
    </xf>
    <xf numFmtId="2" fontId="37" fillId="6" borderId="30" xfId="14" applyNumberFormat="1" applyFont="1" applyFill="1" applyBorder="1" applyAlignment="1" applyProtection="1">
      <alignment horizontal="center"/>
    </xf>
    <xf numFmtId="0" fontId="15" fillId="2" borderId="24" xfId="8" applyFont="1" applyFill="1" applyBorder="1" applyAlignment="1">
      <alignment horizontal="right" vertical="top" wrapText="1"/>
    </xf>
    <xf numFmtId="0" fontId="15" fillId="2" borderId="2" xfId="8" applyFont="1" applyFill="1" applyBorder="1" applyAlignment="1">
      <alignment horizontal="right" vertical="top" wrapText="1"/>
    </xf>
    <xf numFmtId="0" fontId="15" fillId="2" borderId="3" xfId="8" applyFont="1" applyFill="1" applyBorder="1" applyAlignment="1">
      <alignment horizontal="right" vertical="top" wrapText="1"/>
    </xf>
    <xf numFmtId="0" fontId="15" fillId="2" borderId="14" xfId="8" applyFont="1" applyFill="1" applyBorder="1" applyAlignment="1">
      <alignment horizontal="center" vertical="top" wrapText="1"/>
    </xf>
    <xf numFmtId="0" fontId="23" fillId="2" borderId="2" xfId="8" applyFont="1" applyFill="1" applyBorder="1" applyAlignment="1">
      <alignment horizontal="center" vertical="top" wrapText="1"/>
    </xf>
    <xf numFmtId="0" fontId="23" fillId="2" borderId="8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/>
    </xf>
    <xf numFmtId="2" fontId="3" fillId="3" borderId="12" xfId="8" applyNumberFormat="1" applyFont="1" applyFill="1" applyBorder="1" applyAlignment="1">
      <alignment horizontal="center"/>
    </xf>
    <xf numFmtId="0" fontId="28" fillId="0" borderId="0" xfId="8" applyFont="1" applyAlignment="1">
      <alignment vertical="top" wrapText="1"/>
    </xf>
    <xf numFmtId="0" fontId="3" fillId="2" borderId="10" xfId="8" applyFont="1" applyFill="1" applyBorder="1" applyAlignment="1">
      <alignment horizontal="right" vertical="top" wrapText="1"/>
    </xf>
    <xf numFmtId="0" fontId="38" fillId="2" borderId="0" xfId="8" applyFont="1" applyFill="1" applyAlignment="1">
      <alignment horizontal="right" vertical="top" wrapText="1"/>
    </xf>
    <xf numFmtId="0" fontId="15" fillId="3" borderId="0" xfId="8" applyFont="1" applyFill="1" applyAlignment="1">
      <alignment horizontal="right" vertical="top" wrapText="1"/>
    </xf>
    <xf numFmtId="0" fontId="15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top" wrapText="1"/>
    </xf>
    <xf numFmtId="0" fontId="23" fillId="2" borderId="7" xfId="8" applyFont="1" applyFill="1" applyBorder="1" applyAlignment="1">
      <alignment horizontal="center" vertical="top" wrapText="1"/>
    </xf>
    <xf numFmtId="0" fontId="39" fillId="2" borderId="14" xfId="8" applyFont="1" applyFill="1" applyBorder="1" applyAlignment="1">
      <alignment horizontal="center" vertical="top" wrapText="1"/>
    </xf>
    <xf numFmtId="0" fontId="5" fillId="0" borderId="29" xfId="2" applyFont="1" applyBorder="1" applyAlignment="1">
      <alignment horizontal="center" vertical="center"/>
    </xf>
    <xf numFmtId="0" fontId="5" fillId="0" borderId="14" xfId="2" applyFont="1" applyBorder="1" applyAlignment="1">
      <alignment horizontal="left" vertical="center"/>
    </xf>
    <xf numFmtId="0" fontId="6" fillId="0" borderId="6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8" xfId="2" applyFont="1" applyBorder="1" applyAlignment="1">
      <alignment vertical="center"/>
    </xf>
    <xf numFmtId="0" fontId="40" fillId="0" borderId="11" xfId="8" applyFont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41" fillId="2" borderId="14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3" xfId="8" applyFont="1" applyFill="1" applyBorder="1" applyAlignment="1">
      <alignment horizontal="left" vertical="top" wrapText="1"/>
    </xf>
    <xf numFmtId="0" fontId="6" fillId="0" borderId="31" xfId="2" applyFont="1" applyBorder="1" applyAlignment="1">
      <alignment horizontal="center" vertical="center"/>
    </xf>
    <xf numFmtId="0" fontId="6" fillId="0" borderId="14" xfId="2" applyFont="1" applyBorder="1" applyAlignment="1">
      <alignment vertical="center" wrapText="1"/>
    </xf>
    <xf numFmtId="0" fontId="38" fillId="0" borderId="9" xfId="11" applyFont="1" applyBorder="1" applyAlignment="1">
      <alignment horizontal="left" vertical="center" wrapText="1"/>
    </xf>
    <xf numFmtId="0" fontId="38" fillId="0" borderId="15" xfId="11" applyFont="1" applyBorder="1" applyAlignment="1">
      <alignment horizontal="left" vertical="center" wrapText="1"/>
    </xf>
    <xf numFmtId="0" fontId="38" fillId="0" borderId="13" xfId="11" applyFont="1" applyBorder="1" applyAlignment="1">
      <alignment horizontal="left" vertical="center" wrapText="1"/>
    </xf>
    <xf numFmtId="0" fontId="40" fillId="0" borderId="14" xfId="8" applyFont="1" applyBorder="1" applyAlignment="1">
      <alignment horizontal="center" vertical="top" wrapText="1"/>
    </xf>
    <xf numFmtId="0" fontId="40" fillId="0" borderId="14" xfId="8" applyFont="1" applyBorder="1" applyAlignment="1" applyProtection="1">
      <alignment horizontal="center" vertical="top" wrapText="1"/>
      <protection locked="0"/>
    </xf>
    <xf numFmtId="0" fontId="5" fillId="0" borderId="31" xfId="2" applyFont="1" applyBorder="1" applyAlignment="1">
      <alignment horizontal="center" vertical="center"/>
    </xf>
    <xf numFmtId="0" fontId="5" fillId="0" borderId="14" xfId="2" applyFont="1" applyBorder="1" applyAlignment="1">
      <alignment horizontal="left" vertical="center" wrapText="1"/>
    </xf>
    <xf numFmtId="0" fontId="6" fillId="0" borderId="9" xfId="2" applyFont="1" applyBorder="1" applyAlignment="1">
      <alignment vertical="center"/>
    </xf>
    <xf numFmtId="0" fontId="6" fillId="0" borderId="15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0" fontId="6" fillId="0" borderId="14" xfId="2" applyFont="1" applyBorder="1" applyAlignment="1">
      <alignment horizontal="left" vertical="center" wrapText="1"/>
    </xf>
    <xf numFmtId="0" fontId="38" fillId="0" borderId="9" xfId="11" applyFont="1" applyBorder="1" applyAlignment="1">
      <alignment vertical="center" wrapText="1"/>
    </xf>
    <xf numFmtId="0" fontId="38" fillId="0" borderId="15" xfId="11" applyFont="1" applyBorder="1" applyAlignment="1">
      <alignment vertical="center" wrapText="1"/>
    </xf>
    <xf numFmtId="0" fontId="38" fillId="0" borderId="13" xfId="11" applyFont="1" applyBorder="1" applyAlignment="1">
      <alignment vertical="center" wrapText="1"/>
    </xf>
    <xf numFmtId="0" fontId="39" fillId="2" borderId="13" xfId="8" applyFont="1" applyFill="1" applyBorder="1" applyAlignment="1">
      <alignment horizontal="center" vertical="top" wrapText="1"/>
    </xf>
    <xf numFmtId="0" fontId="39" fillId="2" borderId="9" xfId="8" applyFont="1" applyFill="1" applyBorder="1" applyAlignment="1">
      <alignment horizontal="left" vertical="top" wrapText="1"/>
    </xf>
    <xf numFmtId="0" fontId="39" fillId="2" borderId="13" xfId="8" applyFont="1" applyFill="1" applyBorder="1" applyAlignment="1">
      <alignment horizontal="left" vertical="top" wrapText="1"/>
    </xf>
    <xf numFmtId="0" fontId="6" fillId="0" borderId="9" xfId="2" applyFont="1" applyBorder="1" applyAlignment="1">
      <alignment horizontal="left" vertical="center" wrapText="1"/>
    </xf>
    <xf numFmtId="0" fontId="6" fillId="0" borderId="15" xfId="2" applyFont="1" applyBorder="1" applyAlignment="1">
      <alignment horizontal="left" vertical="center" wrapText="1"/>
    </xf>
    <xf numFmtId="0" fontId="6" fillId="0" borderId="13" xfId="2" applyFont="1" applyBorder="1" applyAlignment="1">
      <alignment horizontal="left" vertical="center" wrapText="1"/>
    </xf>
    <xf numFmtId="0" fontId="3" fillId="2" borderId="0" xfId="8" applyFont="1" applyFill="1" applyAlignment="1">
      <alignment horizontal="center" vertical="top" wrapText="1"/>
    </xf>
    <xf numFmtId="0" fontId="15" fillId="2" borderId="5" xfId="8" applyFont="1" applyFill="1" applyBorder="1" applyAlignment="1">
      <alignment horizontal="center" vertical="center" wrapText="1"/>
    </xf>
    <xf numFmtId="0" fontId="5" fillId="2" borderId="32" xfId="2" applyFont="1" applyFill="1" applyBorder="1" applyAlignment="1">
      <alignment horizontal="left" vertical="center"/>
    </xf>
    <xf numFmtId="0" fontId="5" fillId="2" borderId="15" xfId="2" applyFont="1" applyFill="1" applyBorder="1" applyAlignment="1">
      <alignment horizontal="left" vertical="center"/>
    </xf>
    <xf numFmtId="0" fontId="15" fillId="2" borderId="15" xfId="8" applyFont="1" applyFill="1" applyBorder="1" applyAlignment="1">
      <alignment horizontal="center" vertical="top" wrapText="1"/>
    </xf>
    <xf numFmtId="0" fontId="15" fillId="2" borderId="13" xfId="8" applyFont="1" applyFill="1" applyBorder="1" applyAlignment="1">
      <alignment horizontal="center" vertical="top" wrapText="1"/>
    </xf>
    <xf numFmtId="0" fontId="6" fillId="0" borderId="31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38" fillId="0" borderId="14" xfId="8" applyFont="1" applyBorder="1" applyAlignment="1">
      <alignment horizontal="center" vertical="top" wrapText="1"/>
    </xf>
    <xf numFmtId="0" fontId="15" fillId="0" borderId="14" xfId="8" applyFont="1" applyBorder="1" applyAlignment="1" applyProtection="1">
      <alignment horizontal="center" vertical="top" wrapText="1"/>
      <protection locked="0"/>
    </xf>
    <xf numFmtId="0" fontId="15" fillId="0" borderId="14" xfId="8" applyFont="1" applyBorder="1" applyAlignment="1">
      <alignment horizontal="center" vertical="top" wrapText="1"/>
    </xf>
    <xf numFmtId="0" fontId="15" fillId="2" borderId="32" xfId="8" applyFont="1" applyFill="1" applyBorder="1" applyAlignment="1">
      <alignment vertical="top" wrapText="1"/>
    </xf>
    <xf numFmtId="0" fontId="15" fillId="2" borderId="15" xfId="8" applyFont="1" applyFill="1" applyBorder="1" applyAlignment="1">
      <alignment horizontal="left" vertical="top" wrapText="1"/>
    </xf>
    <xf numFmtId="0" fontId="15" fillId="2" borderId="15" xfId="8" applyFont="1" applyFill="1" applyBorder="1" applyAlignment="1">
      <alignment vertical="top" wrapText="1"/>
    </xf>
    <xf numFmtId="0" fontId="42" fillId="2" borderId="0" xfId="8" applyFont="1" applyFill="1" applyAlignment="1">
      <alignment horizontal="center" vertical="top" wrapText="1"/>
    </xf>
    <xf numFmtId="0" fontId="11" fillId="7" borderId="10" xfId="8" applyFont="1" applyFill="1" applyBorder="1"/>
    <xf numFmtId="0" fontId="11" fillId="7" borderId="2" xfId="8" applyFont="1" applyFill="1" applyBorder="1" applyAlignment="1">
      <alignment horizontal="center"/>
    </xf>
    <xf numFmtId="0" fontId="43" fillId="2" borderId="2" xfId="8" applyFont="1" applyFill="1" applyBorder="1" applyAlignment="1">
      <alignment vertical="center" wrapText="1"/>
    </xf>
    <xf numFmtId="0" fontId="43" fillId="2" borderId="15" xfId="8" applyFont="1" applyFill="1" applyBorder="1" applyAlignment="1">
      <alignment horizontal="center" vertical="center" wrapText="1"/>
    </xf>
    <xf numFmtId="0" fontId="43" fillId="8" borderId="9" xfId="8" applyFont="1" applyFill="1" applyBorder="1" applyAlignment="1">
      <alignment horizontal="center" vertical="center" wrapText="1"/>
    </xf>
    <xf numFmtId="0" fontId="43" fillId="8" borderId="13" xfId="8" applyFont="1" applyFill="1" applyBorder="1" applyAlignment="1">
      <alignment horizontal="center" vertical="center" wrapText="1"/>
    </xf>
    <xf numFmtId="0" fontId="43" fillId="8" borderId="33" xfId="8" applyFont="1" applyFill="1" applyBorder="1" applyAlignment="1">
      <alignment horizontal="center" vertical="center" wrapText="1"/>
    </xf>
    <xf numFmtId="0" fontId="11" fillId="0" borderId="0" xfId="8" applyFont="1"/>
    <xf numFmtId="0" fontId="11" fillId="7" borderId="0" xfId="8" applyFont="1" applyFill="1" applyAlignment="1">
      <alignment horizontal="center"/>
    </xf>
    <xf numFmtId="0" fontId="43" fillId="0" borderId="9" xfId="8" applyFont="1" applyBorder="1" applyAlignment="1">
      <alignment horizontal="left" vertical="center" wrapText="1"/>
    </xf>
    <xf numFmtId="0" fontId="43" fillId="0" borderId="15" xfId="8" applyFont="1" applyBorder="1" applyAlignment="1">
      <alignment horizontal="left" vertical="center" wrapText="1"/>
    </xf>
    <xf numFmtId="0" fontId="43" fillId="0" borderId="13" xfId="8" applyFont="1" applyBorder="1" applyAlignment="1">
      <alignment horizontal="left" vertical="center" wrapText="1"/>
    </xf>
    <xf numFmtId="0" fontId="43" fillId="0" borderId="9" xfId="8" applyFont="1" applyBorder="1" applyAlignment="1">
      <alignment horizontal="center" vertical="center" wrapText="1"/>
    </xf>
    <xf numFmtId="0" fontId="43" fillId="0" borderId="15" xfId="8" applyFont="1" applyBorder="1" applyAlignment="1">
      <alignment horizontal="center" vertical="center" wrapText="1"/>
    </xf>
    <xf numFmtId="0" fontId="43" fillId="0" borderId="13" xfId="8" applyFont="1" applyBorder="1" applyAlignment="1">
      <alignment horizontal="center" vertical="center" wrapText="1"/>
    </xf>
    <xf numFmtId="2" fontId="43" fillId="8" borderId="9" xfId="8" applyNumberFormat="1" applyFont="1" applyFill="1" applyBorder="1" applyAlignment="1">
      <alignment horizontal="center" vertical="center" wrapText="1"/>
    </xf>
    <xf numFmtId="2" fontId="43" fillId="8" borderId="13" xfId="8" applyNumberFormat="1" applyFont="1" applyFill="1" applyBorder="1" applyAlignment="1">
      <alignment horizontal="center" vertical="center" wrapText="1"/>
    </xf>
    <xf numFmtId="2" fontId="44" fillId="2" borderId="1" xfId="14" applyNumberFormat="1" applyFont="1" applyFill="1" applyBorder="1" applyAlignment="1" applyProtection="1">
      <alignment horizontal="center" vertical="center" wrapText="1"/>
    </xf>
    <xf numFmtId="2" fontId="44" fillId="2" borderId="34" xfId="14" applyNumberFormat="1" applyFont="1" applyFill="1" applyBorder="1" applyAlignment="1" applyProtection="1">
      <alignment horizontal="center" vertical="center" wrapText="1"/>
    </xf>
    <xf numFmtId="2" fontId="44" fillId="2" borderId="4" xfId="14" applyNumberFormat="1" applyFont="1" applyFill="1" applyBorder="1" applyAlignment="1" applyProtection="1">
      <alignment horizontal="center" vertical="center" wrapText="1"/>
    </xf>
    <xf numFmtId="2" fontId="44" fillId="2" borderId="12" xfId="14" applyNumberFormat="1" applyFont="1" applyFill="1" applyBorder="1" applyAlignment="1" applyProtection="1">
      <alignment horizontal="center" vertical="center" wrapText="1"/>
    </xf>
    <xf numFmtId="0" fontId="11" fillId="7" borderId="7" xfId="8" applyFont="1" applyFill="1" applyBorder="1" applyAlignment="1">
      <alignment horizontal="center"/>
    </xf>
    <xf numFmtId="2" fontId="44" fillId="2" borderId="6" xfId="14" applyNumberFormat="1" applyFont="1" applyFill="1" applyBorder="1" applyAlignment="1" applyProtection="1">
      <alignment horizontal="center" vertical="center" wrapText="1"/>
    </xf>
    <xf numFmtId="2" fontId="44" fillId="2" borderId="35" xfId="14" applyNumberFormat="1" applyFont="1" applyFill="1" applyBorder="1" applyAlignment="1" applyProtection="1">
      <alignment horizontal="center" vertical="center" wrapText="1"/>
    </xf>
    <xf numFmtId="0" fontId="43" fillId="2" borderId="14" xfId="8" applyFont="1" applyFill="1" applyBorder="1" applyAlignment="1">
      <alignment horizontal="center" vertical="center" wrapText="1"/>
    </xf>
    <xf numFmtId="0" fontId="43" fillId="4" borderId="14" xfId="8" applyFont="1" applyFill="1" applyBorder="1" applyAlignment="1">
      <alignment vertical="center" wrapText="1"/>
    </xf>
    <xf numFmtId="0" fontId="43" fillId="4" borderId="30" xfId="8" applyFont="1" applyFill="1" applyBorder="1" applyAlignment="1">
      <alignment vertical="center" wrapText="1"/>
    </xf>
    <xf numFmtId="0" fontId="45" fillId="4" borderId="14" xfId="8" applyFont="1" applyFill="1" applyBorder="1" applyAlignment="1">
      <alignment horizontal="center" vertical="center" wrapText="1"/>
    </xf>
    <xf numFmtId="0" fontId="45" fillId="4" borderId="30" xfId="8" applyFont="1" applyFill="1" applyBorder="1" applyAlignment="1">
      <alignment horizontal="center" vertical="center" wrapText="1"/>
    </xf>
    <xf numFmtId="0" fontId="43" fillId="2" borderId="14" xfId="8" applyFont="1" applyFill="1" applyBorder="1" applyAlignment="1">
      <alignment horizontal="left" vertical="center" wrapText="1"/>
    </xf>
    <xf numFmtId="0" fontId="43" fillId="0" borderId="14" xfId="8" applyFont="1" applyBorder="1" applyAlignment="1">
      <alignment vertical="center" wrapText="1"/>
    </xf>
    <xf numFmtId="0" fontId="43" fillId="0" borderId="30" xfId="8" applyFont="1" applyBorder="1" applyAlignment="1">
      <alignment vertical="center" wrapText="1"/>
    </xf>
    <xf numFmtId="0" fontId="15" fillId="2" borderId="24" xfId="8" applyFont="1" applyFill="1" applyBorder="1" applyAlignment="1">
      <alignment vertical="center" wrapText="1"/>
    </xf>
    <xf numFmtId="0" fontId="15" fillId="2" borderId="3" xfId="8" applyFont="1" applyFill="1" applyBorder="1" applyAlignment="1">
      <alignment vertical="center" wrapText="1"/>
    </xf>
    <xf numFmtId="0" fontId="38" fillId="0" borderId="2" xfId="8" applyFont="1" applyBorder="1" applyAlignment="1">
      <alignment vertical="center" wrapText="1"/>
    </xf>
    <xf numFmtId="0" fontId="38" fillId="0" borderId="3" xfId="8" applyFont="1" applyBorder="1" applyAlignment="1">
      <alignment vertical="center" wrapText="1"/>
    </xf>
    <xf numFmtId="0" fontId="15" fillId="2" borderId="1" xfId="8" applyFont="1" applyFill="1" applyBorder="1" applyAlignment="1">
      <alignment vertical="center" wrapText="1"/>
    </xf>
    <xf numFmtId="0" fontId="38" fillId="0" borderId="2" xfId="8" applyFont="1" applyBorder="1" applyAlignment="1">
      <alignment horizontal="center" vertical="center" wrapText="1"/>
    </xf>
    <xf numFmtId="0" fontId="40" fillId="3" borderId="0" xfId="8" applyFont="1" applyFill="1" applyAlignment="1">
      <alignment horizontal="center" vertical="top" wrapText="1"/>
    </xf>
    <xf numFmtId="0" fontId="3" fillId="3" borderId="2" xfId="8" applyFont="1" applyFill="1" applyBorder="1" applyAlignment="1">
      <alignment horizontal="center" vertical="top" wrapText="1"/>
    </xf>
    <xf numFmtId="0" fontId="15" fillId="2" borderId="10" xfId="8" applyFont="1" applyFill="1" applyBorder="1" applyAlignment="1">
      <alignment vertical="center" wrapText="1"/>
    </xf>
    <xf numFmtId="0" fontId="15" fillId="2" borderId="5" xfId="8" applyFont="1" applyFill="1" applyBorder="1" applyAlignment="1">
      <alignment vertical="center" wrapText="1"/>
    </xf>
    <xf numFmtId="0" fontId="38" fillId="0" borderId="0" xfId="8" applyFont="1" applyAlignment="1">
      <alignment vertical="center" wrapText="1"/>
    </xf>
    <xf numFmtId="0" fontId="38" fillId="0" borderId="5" xfId="8" applyFont="1" applyBorder="1" applyAlignment="1">
      <alignment vertical="center" wrapText="1"/>
    </xf>
    <xf numFmtId="0" fontId="15" fillId="2" borderId="4" xfId="8" applyFont="1" applyFill="1" applyBorder="1" applyAlignment="1">
      <alignment vertical="center" wrapText="1"/>
    </xf>
    <xf numFmtId="0" fontId="38" fillId="0" borderId="0" xfId="8" applyFont="1" applyAlignment="1">
      <alignment horizontal="center" vertical="center" wrapText="1"/>
    </xf>
    <xf numFmtId="0" fontId="3" fillId="3" borderId="0" xfId="8" applyFont="1" applyFill="1" applyAlignment="1">
      <alignment horizontal="center" vertical="top" wrapText="1"/>
    </xf>
    <xf numFmtId="0" fontId="15" fillId="2" borderId="36" xfId="8" applyFont="1" applyFill="1" applyBorder="1" applyAlignment="1">
      <alignment vertical="center" wrapText="1"/>
    </xf>
    <xf numFmtId="0" fontId="15" fillId="2" borderId="8" xfId="8" applyFont="1" applyFill="1" applyBorder="1" applyAlignment="1">
      <alignment vertical="center" wrapText="1"/>
    </xf>
    <xf numFmtId="0" fontId="38" fillId="0" borderId="7" xfId="8" applyFont="1" applyBorder="1" applyAlignment="1">
      <alignment vertical="center" wrapText="1"/>
    </xf>
    <xf numFmtId="0" fontId="38" fillId="0" borderId="8" xfId="8" applyFont="1" applyBorder="1" applyAlignment="1">
      <alignment vertical="center" wrapText="1"/>
    </xf>
    <xf numFmtId="0" fontId="15" fillId="2" borderId="6" xfId="8" applyFont="1" applyFill="1" applyBorder="1" applyAlignment="1">
      <alignment vertical="center" wrapText="1"/>
    </xf>
    <xf numFmtId="0" fontId="38" fillId="0" borderId="7" xfId="8" applyFont="1" applyBorder="1" applyAlignment="1">
      <alignment horizontal="center" vertical="center" wrapText="1"/>
    </xf>
    <xf numFmtId="0" fontId="15" fillId="3" borderId="24" xfId="8" applyFont="1" applyFill="1" applyBorder="1" applyAlignment="1">
      <alignment vertical="center" wrapText="1"/>
    </xf>
    <xf numFmtId="0" fontId="15" fillId="3" borderId="3" xfId="8" applyFont="1" applyFill="1" applyBorder="1" applyAlignment="1">
      <alignment vertical="center" wrapText="1"/>
    </xf>
    <xf numFmtId="0" fontId="15" fillId="3" borderId="1" xfId="8" applyFont="1" applyFill="1" applyBorder="1" applyAlignment="1">
      <alignment vertical="center" wrapText="1"/>
    </xf>
    <xf numFmtId="0" fontId="15" fillId="3" borderId="10" xfId="8" applyFont="1" applyFill="1" applyBorder="1" applyAlignment="1">
      <alignment vertical="center" wrapText="1"/>
    </xf>
    <xf numFmtId="0" fontId="15" fillId="3" borderId="5" xfId="8" applyFont="1" applyFill="1" applyBorder="1" applyAlignment="1">
      <alignment vertical="center" wrapText="1"/>
    </xf>
    <xf numFmtId="0" fontId="15" fillId="3" borderId="4" xfId="8" applyFont="1" applyFill="1" applyBorder="1" applyAlignment="1">
      <alignment vertical="center" wrapText="1"/>
    </xf>
    <xf numFmtId="0" fontId="15" fillId="3" borderId="6" xfId="8" applyFont="1" applyFill="1" applyBorder="1" applyAlignment="1">
      <alignment vertical="center" wrapText="1"/>
    </xf>
    <xf numFmtId="0" fontId="15" fillId="3" borderId="8" xfId="8" applyFont="1" applyFill="1" applyBorder="1" applyAlignment="1">
      <alignment vertical="center" wrapText="1"/>
    </xf>
    <xf numFmtId="0" fontId="28" fillId="3" borderId="21" xfId="8" applyFont="1" applyFill="1" applyBorder="1" applyAlignment="1">
      <alignment vertical="center" wrapText="1"/>
    </xf>
    <xf numFmtId="0" fontId="28" fillId="3" borderId="22" xfId="8" applyFont="1" applyFill="1" applyBorder="1" applyAlignment="1">
      <alignment vertical="center" wrapText="1"/>
    </xf>
    <xf numFmtId="0" fontId="7" fillId="3" borderId="22" xfId="8" applyFont="1" applyFill="1" applyBorder="1" applyAlignment="1">
      <alignment horizontal="center" vertical="top" wrapText="1"/>
    </xf>
    <xf numFmtId="0" fontId="28" fillId="3" borderId="22" xfId="8" applyFont="1" applyFill="1" applyBorder="1" applyAlignment="1">
      <alignment horizontal="center" vertical="top" wrapText="1"/>
    </xf>
    <xf numFmtId="0" fontId="3" fillId="3" borderId="22" xfId="8" applyFont="1" applyFill="1" applyBorder="1" applyAlignment="1">
      <alignment horizontal="center" vertical="top" wrapText="1"/>
    </xf>
    <xf numFmtId="2" fontId="3" fillId="3" borderId="23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3" fillId="0" borderId="0" xfId="8" applyFont="1" applyAlignment="1">
      <alignment horizontal="center"/>
    </xf>
    <xf numFmtId="2" fontId="3" fillId="0" borderId="0" xfId="8" applyNumberFormat="1" applyFont="1" applyAlignment="1">
      <alignment horizontal="center"/>
    </xf>
    <xf numFmtId="0" fontId="16" fillId="3" borderId="10" xfId="3" applyFont="1" applyFill="1" applyBorder="1" applyAlignment="1">
      <alignment horizontal="left" vertical="center"/>
    </xf>
    <xf numFmtId="0" fontId="16" fillId="3" borderId="5" xfId="3" applyFont="1" applyFill="1" applyBorder="1" applyAlignment="1">
      <alignment horizontal="left" vertical="center"/>
    </xf>
    <xf numFmtId="0" fontId="16" fillId="0" borderId="8" xfId="3" applyFont="1" applyBorder="1" applyAlignment="1">
      <alignment horizontal="left"/>
    </xf>
    <xf numFmtId="0" fontId="16" fillId="3" borderId="11" xfId="3" applyFont="1" applyFill="1" applyBorder="1" applyAlignment="1">
      <alignment horizontal="left"/>
    </xf>
    <xf numFmtId="0" fontId="16" fillId="0" borderId="6" xfId="3" applyFont="1" applyBorder="1" applyAlignment="1">
      <alignment horizontal="left"/>
    </xf>
    <xf numFmtId="0" fontId="16" fillId="0" borderId="7" xfId="3" applyFont="1" applyBorder="1" applyAlignment="1">
      <alignment horizontal="left"/>
    </xf>
    <xf numFmtId="0" fontId="16" fillId="0" borderId="8" xfId="3" applyFont="1" applyBorder="1" applyAlignment="1">
      <alignment horizontal="left"/>
    </xf>
    <xf numFmtId="0" fontId="19" fillId="0" borderId="0" xfId="3" applyFont="1" applyAlignment="1">
      <alignment horizontal="left"/>
    </xf>
    <xf numFmtId="0" fontId="16" fillId="3" borderId="10" xfId="3" applyFont="1" applyFill="1" applyBorder="1" applyAlignment="1">
      <alignment horizontal="left"/>
    </xf>
    <xf numFmtId="0" fontId="16" fillId="3" borderId="5" xfId="3" applyFont="1" applyFill="1" applyBorder="1" applyAlignment="1">
      <alignment horizontal="left"/>
    </xf>
    <xf numFmtId="0" fontId="16" fillId="0" borderId="13" xfId="3" applyFont="1" applyBorder="1" applyAlignment="1">
      <alignment horizontal="left"/>
    </xf>
    <xf numFmtId="0" fontId="16" fillId="3" borderId="14" xfId="3" applyFont="1" applyFill="1" applyBorder="1" applyAlignment="1">
      <alignment horizontal="left"/>
    </xf>
    <xf numFmtId="0" fontId="46" fillId="0" borderId="13" xfId="1" applyFont="1" applyBorder="1" applyAlignment="1">
      <alignment horizontal="left"/>
    </xf>
    <xf numFmtId="0" fontId="16" fillId="0" borderId="9" xfId="3" quotePrefix="1" applyFont="1" applyBorder="1" applyAlignment="1">
      <alignment horizontal="left"/>
    </xf>
    <xf numFmtId="0" fontId="16" fillId="0" borderId="15" xfId="3" applyFont="1" applyBorder="1" applyAlignment="1">
      <alignment horizontal="left"/>
    </xf>
    <xf numFmtId="0" fontId="16" fillId="0" borderId="13" xfId="3" applyFont="1" applyBorder="1" applyAlignment="1">
      <alignment horizontal="left"/>
    </xf>
    <xf numFmtId="0" fontId="18" fillId="3" borderId="0" xfId="4" applyFont="1" applyFill="1" applyAlignment="1">
      <alignment horizontal="left" vertical="center"/>
    </xf>
    <xf numFmtId="0" fontId="18" fillId="3" borderId="5" xfId="4" applyFont="1" applyFill="1" applyBorder="1" applyAlignment="1">
      <alignment horizontal="left" vertical="center"/>
    </xf>
    <xf numFmtId="0" fontId="18" fillId="0" borderId="8" xfId="4" applyFont="1" applyBorder="1" applyAlignment="1">
      <alignment horizontal="left"/>
    </xf>
    <xf numFmtId="0" fontId="18" fillId="3" borderId="11" xfId="4" applyFont="1" applyFill="1" applyBorder="1" applyAlignment="1">
      <alignment horizontal="left"/>
    </xf>
    <xf numFmtId="0" fontId="18" fillId="0" borderId="6" xfId="4" applyFont="1" applyBorder="1" applyAlignment="1">
      <alignment horizontal="left"/>
    </xf>
    <xf numFmtId="0" fontId="18" fillId="0" borderId="7" xfId="4" applyFont="1" applyBorder="1" applyAlignment="1">
      <alignment horizontal="left"/>
    </xf>
    <xf numFmtId="0" fontId="18" fillId="0" borderId="8" xfId="4" applyFont="1" applyBorder="1" applyAlignment="1">
      <alignment horizontal="left"/>
    </xf>
    <xf numFmtId="0" fontId="19" fillId="0" borderId="0" xfId="4" applyFont="1" applyAlignment="1">
      <alignment horizontal="left"/>
    </xf>
    <xf numFmtId="0" fontId="18" fillId="3" borderId="0" xfId="4" applyFont="1" applyFill="1" applyAlignment="1">
      <alignment horizontal="left"/>
    </xf>
    <xf numFmtId="0" fontId="18" fillId="3" borderId="5" xfId="4" applyFont="1" applyFill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18" fillId="3" borderId="14" xfId="4" applyFont="1" applyFill="1" applyBorder="1" applyAlignment="1">
      <alignment horizontal="left"/>
    </xf>
    <xf numFmtId="0" fontId="47" fillId="0" borderId="13" xfId="1" applyFont="1" applyBorder="1" applyAlignment="1">
      <alignment horizontal="left"/>
    </xf>
    <xf numFmtId="49" fontId="18" fillId="0" borderId="9" xfId="4" applyNumberFormat="1" applyFont="1" applyBorder="1" applyAlignment="1">
      <alignment horizontal="left"/>
    </xf>
    <xf numFmtId="0" fontId="18" fillId="0" borderId="15" xfId="4" applyFont="1" applyBorder="1" applyAlignment="1">
      <alignment horizontal="left"/>
    </xf>
    <xf numFmtId="0" fontId="18" fillId="0" borderId="13" xfId="4" applyFont="1" applyBorder="1" applyAlignment="1">
      <alignment horizontal="left"/>
    </xf>
    <xf numFmtId="0" fontId="48" fillId="0" borderId="13" xfId="1" quotePrefix="1" applyFont="1" applyBorder="1" applyAlignment="1">
      <alignment horizontal="left"/>
    </xf>
    <xf numFmtId="0" fontId="25" fillId="0" borderId="9" xfId="5" applyFont="1" applyBorder="1" applyAlignment="1">
      <alignment horizontal="left"/>
    </xf>
    <xf numFmtId="0" fontId="25" fillId="0" borderId="16" xfId="2" applyFont="1" applyBorder="1" applyAlignment="1">
      <alignment horizontal="center" vertical="center"/>
    </xf>
    <xf numFmtId="0" fontId="25" fillId="0" borderId="16" xfId="2" applyFont="1" applyBorder="1" applyAlignment="1">
      <alignment horizontal="left" vertical="center" wrapText="1"/>
    </xf>
    <xf numFmtId="2" fontId="25" fillId="0" borderId="16" xfId="2" applyNumberFormat="1" applyFont="1" applyBorder="1" applyAlignment="1">
      <alignment horizontal="center" vertical="center"/>
    </xf>
    <xf numFmtId="0" fontId="25" fillId="0" borderId="17" xfId="2" applyFont="1" applyBorder="1" applyAlignment="1">
      <alignment horizontal="center" vertical="center"/>
    </xf>
    <xf numFmtId="0" fontId="25" fillId="0" borderId="17" xfId="2" applyFont="1" applyBorder="1" applyAlignment="1">
      <alignment horizontal="left" vertical="center" wrapText="1"/>
    </xf>
    <xf numFmtId="2" fontId="25" fillId="0" borderId="17" xfId="2" applyNumberFormat="1" applyFont="1" applyBorder="1" applyAlignment="1">
      <alignment horizontal="center" vertical="center"/>
    </xf>
    <xf numFmtId="0" fontId="25" fillId="0" borderId="11" xfId="2" applyFont="1" applyBorder="1" applyAlignment="1">
      <alignment horizontal="center" vertical="center"/>
    </xf>
    <xf numFmtId="0" fontId="25" fillId="0" borderId="11" xfId="2" applyFont="1" applyBorder="1" applyAlignment="1">
      <alignment horizontal="left" vertical="center" wrapText="1"/>
    </xf>
    <xf numFmtId="2" fontId="25" fillId="0" borderId="11" xfId="2" applyNumberFormat="1" applyFont="1" applyBorder="1" applyAlignment="1">
      <alignment horizontal="center" vertical="center"/>
    </xf>
    <xf numFmtId="2" fontId="25" fillId="0" borderId="16" xfId="2" applyNumberFormat="1" applyFont="1" applyBorder="1" applyAlignment="1">
      <alignment horizontal="center" vertical="center" wrapText="1"/>
    </xf>
    <xf numFmtId="2" fontId="25" fillId="0" borderId="11" xfId="2" applyNumberFormat="1" applyFont="1" applyBorder="1" applyAlignment="1">
      <alignment horizontal="center" vertical="center" wrapText="1"/>
    </xf>
    <xf numFmtId="0" fontId="25" fillId="0" borderId="16" xfId="2" applyFont="1" applyBorder="1" applyAlignment="1">
      <alignment horizontal="center" vertical="center"/>
    </xf>
    <xf numFmtId="0" fontId="25" fillId="0" borderId="16" xfId="2" applyFont="1" applyBorder="1" applyAlignment="1">
      <alignment horizontal="left" vertical="center" wrapText="1"/>
    </xf>
    <xf numFmtId="2" fontId="25" fillId="0" borderId="16" xfId="2" applyNumberFormat="1" applyFont="1" applyBorder="1" applyAlignment="1">
      <alignment horizontal="center" vertical="center" wrapText="1"/>
    </xf>
  </cellXfs>
  <cellStyles count="15">
    <cellStyle name="Hyperlink" xfId="1" builtinId="8"/>
    <cellStyle name="Normal" xfId="0" builtinId="0"/>
    <cellStyle name="Normal 2 2" xfId="11" xr:uid="{C086119C-4E54-4095-82E1-1BBD595D2042}"/>
    <cellStyle name="Normal 2 2 3 2" xfId="13" xr:uid="{68FCFC95-D282-47EC-A641-384AC59B061B}"/>
    <cellStyle name="Normal 2 3" xfId="2" xr:uid="{334CA867-7A03-48E5-9AF1-5E8604B69D49}"/>
    <cellStyle name="Normal 2 3 2" xfId="6" xr:uid="{8387CFA8-3EE8-48BF-9A4C-AFC7D4ABEA91}"/>
    <cellStyle name="Normal 2 3 3" xfId="4" xr:uid="{EAEB304F-9AB0-4EBA-8DB3-B910ACF6E50C}"/>
    <cellStyle name="Normal 2 3 5" xfId="10" xr:uid="{70FDD784-4200-43AE-A0CE-7CDDD55B5101}"/>
    <cellStyle name="Normal 2 4 2" xfId="5" xr:uid="{48A5EEE2-98AD-4354-BBE5-E4A54834F400}"/>
    <cellStyle name="Normal 2 5" xfId="3" xr:uid="{B4B5F996-D708-4D47-9CC6-45108CE0A62D}"/>
    <cellStyle name="Normal 2 5 2 2" xfId="9" xr:uid="{60937BBB-02E2-40A9-86B2-BD8103EC4E13}"/>
    <cellStyle name="Normal 2 7" xfId="12" xr:uid="{62E07A5D-0B55-45C7-8F66-ECD66EFA32FD}"/>
    <cellStyle name="Normal 4 2 2 2 2" xfId="8" xr:uid="{10463497-AA63-4505-BBEC-D011E7061916}"/>
    <cellStyle name="Normal 5 2 2" xfId="7" xr:uid="{6A260B3A-8F8A-4E6E-905A-F4A3BE0C73CE}"/>
    <cellStyle name="Percent 2 2" xfId="14" xr:uid="{E0E796DE-864C-49B0-9E89-071087F0BC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F5B2371D-1FCB-4701-B573-B91CDED72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6A8AA78B-0B28-4241-AB49-7D653C3BD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C45B335D-32CB-47B1-AAB6-6B9888EA9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F24196C5-F96A-4E6D-9256-4CEC16B98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BINNAAMOS58@GMAIL.COM" TargetMode="External"/><Relationship Id="rId1" Type="http://schemas.openxmlformats.org/officeDocument/2006/relationships/hyperlink" Target="mailto:nwabuachinyere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OBINNAAMOS58@GMAIL.COM" TargetMode="External"/><Relationship Id="rId1" Type="http://schemas.openxmlformats.org/officeDocument/2006/relationships/hyperlink" Target="mailto:nwabuachinyere@g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OBINNAAMOS58@GMAIL.COM" TargetMode="External"/><Relationship Id="rId1" Type="http://schemas.openxmlformats.org/officeDocument/2006/relationships/hyperlink" Target="mailto:nwabuachinyere@gmail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OBINNAAMOS58@GMAIL.COM" TargetMode="External"/><Relationship Id="rId1" Type="http://schemas.openxmlformats.org/officeDocument/2006/relationships/hyperlink" Target="mailto:nwabuachinyere@gmail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02FF-EB41-4A96-A8CB-2C8250CF0F0E}">
  <sheetPr>
    <pageSetUpPr fitToPage="1"/>
  </sheetPr>
  <dimension ref="A1:R72"/>
  <sheetViews>
    <sheetView tabSelected="1" zoomScale="30" zoomScaleNormal="30" workbookViewId="0">
      <selection activeCell="A19" sqref="A19:O32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131</v>
      </c>
      <c r="C5" s="16" t="s">
        <v>2</v>
      </c>
      <c r="D5" s="17" t="s">
        <v>132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/>
      <c r="H7" s="250" t="s">
        <v>9</v>
      </c>
      <c r="I7" s="252" t="s">
        <v>10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11</v>
      </c>
      <c r="B8" s="256"/>
      <c r="C8" s="257">
        <v>88650</v>
      </c>
      <c r="D8" s="258" t="s">
        <v>12</v>
      </c>
      <c r="E8" s="259" t="s">
        <v>13</v>
      </c>
      <c r="F8" s="258" t="s">
        <v>14</v>
      </c>
      <c r="G8" s="260" t="s">
        <v>15</v>
      </c>
      <c r="H8" s="258" t="s">
        <v>16</v>
      </c>
      <c r="I8" s="261" t="s">
        <v>17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19</v>
      </c>
      <c r="D10" s="266" t="s">
        <v>6</v>
      </c>
      <c r="E10" s="265" t="s">
        <v>20</v>
      </c>
      <c r="F10" s="266" t="s">
        <v>8</v>
      </c>
      <c r="G10" s="267" t="s">
        <v>21</v>
      </c>
      <c r="H10" s="266" t="s">
        <v>9</v>
      </c>
      <c r="I10" s="268" t="s">
        <v>22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11</v>
      </c>
      <c r="B11" s="272"/>
      <c r="C11" s="273">
        <v>64218</v>
      </c>
      <c r="D11" s="274" t="s">
        <v>12</v>
      </c>
      <c r="E11" s="275" t="s">
        <v>23</v>
      </c>
      <c r="F11" s="274" t="s">
        <v>14</v>
      </c>
      <c r="G11" s="276" t="s">
        <v>24</v>
      </c>
      <c r="H11" s="274" t="s">
        <v>16</v>
      </c>
      <c r="I11" s="277" t="s">
        <v>17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25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26</v>
      </c>
      <c r="D13" s="36" t="s">
        <v>6</v>
      </c>
      <c r="E13" s="35" t="s">
        <v>27</v>
      </c>
      <c r="F13" s="37" t="s">
        <v>8</v>
      </c>
      <c r="G13" s="38" t="s">
        <v>28</v>
      </c>
      <c r="H13" s="36" t="s">
        <v>9</v>
      </c>
      <c r="I13" s="39" t="s">
        <v>29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79" t="s">
        <v>30</v>
      </c>
      <c r="F14" s="46" t="s">
        <v>14</v>
      </c>
      <c r="G14" s="280"/>
      <c r="H14" s="45" t="s">
        <v>16</v>
      </c>
      <c r="I14" s="47" t="s">
        <v>31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32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33</v>
      </c>
      <c r="B17" s="64" t="s">
        <v>34</v>
      </c>
      <c r="C17" s="65" t="s">
        <v>35</v>
      </c>
      <c r="D17" s="65" t="s">
        <v>36</v>
      </c>
      <c r="E17" s="65" t="s">
        <v>35</v>
      </c>
      <c r="F17" s="66" t="s">
        <v>37</v>
      </c>
      <c r="G17" s="66" t="s">
        <v>38</v>
      </c>
      <c r="H17" s="67" t="s">
        <v>39</v>
      </c>
      <c r="I17" s="66" t="s">
        <v>40</v>
      </c>
      <c r="J17" s="68" t="s">
        <v>41</v>
      </c>
      <c r="K17" s="69"/>
      <c r="L17" s="69"/>
      <c r="M17" s="69"/>
      <c r="N17" s="69"/>
      <c r="O17" s="70"/>
      <c r="P17" s="71" t="s">
        <v>133</v>
      </c>
      <c r="Q17" s="71" t="s">
        <v>134</v>
      </c>
      <c r="R17" s="72" t="s">
        <v>135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136</v>
      </c>
      <c r="K18" s="78" t="s">
        <v>137</v>
      </c>
      <c r="L18" s="78" t="s">
        <v>138</v>
      </c>
      <c r="M18" s="77" t="s">
        <v>139</v>
      </c>
      <c r="N18" s="77" t="s">
        <v>140</v>
      </c>
      <c r="O18" s="77" t="s">
        <v>141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48</v>
      </c>
      <c r="C19" s="283">
        <f>0.15 *8.59335038363171</f>
        <v>1.2890025575447566</v>
      </c>
      <c r="D19" s="81" t="s">
        <v>49</v>
      </c>
      <c r="E19" s="82">
        <f>C19/5</f>
        <v>0.25780051150895134</v>
      </c>
      <c r="F19" s="82">
        <f>E19/$E$33* 100</f>
        <v>1.8300653594771226</v>
      </c>
      <c r="G19" s="83" t="s">
        <v>50</v>
      </c>
      <c r="H19" s="84">
        <v>1</v>
      </c>
      <c r="I19" s="85" t="s">
        <v>51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52</v>
      </c>
      <c r="P19" s="88"/>
      <c r="Q19" s="89">
        <f t="shared" ref="Q19:Q32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2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53</v>
      </c>
      <c r="E20" s="82">
        <f>C19/5</f>
        <v>0.25780051150895134</v>
      </c>
      <c r="F20" s="82">
        <f t="shared" ref="F20:F32" si="2">E20/$E$33* 100</f>
        <v>1.8300653594771226</v>
      </c>
      <c r="G20" s="83" t="s">
        <v>54</v>
      </c>
      <c r="H20" s="84">
        <v>1</v>
      </c>
      <c r="I20" s="85" t="s">
        <v>51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52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55</v>
      </c>
      <c r="E21" s="82">
        <f>C19/5</f>
        <v>0.25780051150895134</v>
      </c>
      <c r="F21" s="82">
        <f t="shared" si="2"/>
        <v>1.8300653594771226</v>
      </c>
      <c r="G21" s="83" t="s">
        <v>56</v>
      </c>
      <c r="H21" s="84">
        <v>1</v>
      </c>
      <c r="I21" s="85" t="s">
        <v>51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52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57</v>
      </c>
      <c r="E22" s="82">
        <f>C19/5</f>
        <v>0.25780051150895134</v>
      </c>
      <c r="F22" s="82">
        <f t="shared" si="2"/>
        <v>1.8300653594771226</v>
      </c>
      <c r="G22" s="83" t="s">
        <v>58</v>
      </c>
      <c r="H22" s="92">
        <v>5</v>
      </c>
      <c r="I22" s="85" t="s">
        <v>59</v>
      </c>
      <c r="J22" s="86" t="s">
        <v>60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61</v>
      </c>
      <c r="E23" s="82">
        <f>C19/5</f>
        <v>0.25780051150895134</v>
      </c>
      <c r="F23" s="82">
        <f t="shared" si="2"/>
        <v>1.8300653594771226</v>
      </c>
      <c r="G23" s="83" t="s">
        <v>62</v>
      </c>
      <c r="H23" s="84">
        <v>1</v>
      </c>
      <c r="I23" s="85" t="s">
        <v>51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52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63</v>
      </c>
      <c r="C24" s="283">
        <f>0.15 *57.2122762148338</f>
        <v>8.5818414322250689</v>
      </c>
      <c r="D24" s="94" t="s">
        <v>64</v>
      </c>
      <c r="E24" s="82">
        <f>C24/4</f>
        <v>2.1454603580562672</v>
      </c>
      <c r="F24" s="82">
        <f t="shared" si="2"/>
        <v>15.23011982570806</v>
      </c>
      <c r="G24" s="83" t="s">
        <v>65</v>
      </c>
      <c r="H24" s="93">
        <v>0.8</v>
      </c>
      <c r="I24" s="92" t="s">
        <v>51</v>
      </c>
      <c r="J24" s="86" t="s">
        <v>66</v>
      </c>
      <c r="K24" s="87">
        <v>80</v>
      </c>
      <c r="L24" s="87">
        <v>75</v>
      </c>
      <c r="M24" s="87">
        <v>70</v>
      </c>
      <c r="N24" s="87">
        <v>50</v>
      </c>
      <c r="O24" s="87" t="s">
        <v>67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4"/>
      <c r="B25" s="285"/>
      <c r="C25" s="286"/>
      <c r="D25" s="81" t="s">
        <v>68</v>
      </c>
      <c r="E25" s="82">
        <f>C24/4</f>
        <v>2.1454603580562672</v>
      </c>
      <c r="F25" s="82">
        <f t="shared" si="2"/>
        <v>15.23011982570806</v>
      </c>
      <c r="G25" s="83" t="s">
        <v>69</v>
      </c>
      <c r="H25" s="93">
        <v>0.8</v>
      </c>
      <c r="I25" s="92" t="s">
        <v>51</v>
      </c>
      <c r="J25" s="86" t="s">
        <v>66</v>
      </c>
      <c r="K25" s="87">
        <v>80</v>
      </c>
      <c r="L25" s="87">
        <v>75</v>
      </c>
      <c r="M25" s="87">
        <v>70</v>
      </c>
      <c r="N25" s="87">
        <v>50</v>
      </c>
      <c r="O25" s="87" t="s">
        <v>67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4"/>
      <c r="B26" s="285"/>
      <c r="C26" s="286"/>
      <c r="D26" s="81" t="s">
        <v>70</v>
      </c>
      <c r="E26" s="82">
        <f>C24/4</f>
        <v>2.1454603580562672</v>
      </c>
      <c r="F26" s="82">
        <f t="shared" si="2"/>
        <v>15.23011982570806</v>
      </c>
      <c r="G26" s="83" t="s">
        <v>71</v>
      </c>
      <c r="H26" s="93">
        <v>0.8</v>
      </c>
      <c r="I26" s="92" t="s">
        <v>51</v>
      </c>
      <c r="J26" s="86" t="s">
        <v>66</v>
      </c>
      <c r="K26" s="87">
        <v>80</v>
      </c>
      <c r="L26" s="87">
        <v>75</v>
      </c>
      <c r="M26" s="87">
        <v>70</v>
      </c>
      <c r="N26" s="87">
        <v>50</v>
      </c>
      <c r="O26" s="87" t="s">
        <v>67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7"/>
      <c r="B27" s="288"/>
      <c r="C27" s="289"/>
      <c r="D27" s="81" t="s">
        <v>72</v>
      </c>
      <c r="E27" s="82">
        <f>C24/4</f>
        <v>2.1454603580562672</v>
      </c>
      <c r="F27" s="82">
        <f t="shared" si="2"/>
        <v>15.23011982570806</v>
      </c>
      <c r="G27" s="83" t="s">
        <v>73</v>
      </c>
      <c r="H27" s="93">
        <v>1</v>
      </c>
      <c r="I27" s="85" t="s">
        <v>51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52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1">
        <v>3</v>
      </c>
      <c r="B28" s="282" t="s">
        <v>74</v>
      </c>
      <c r="C28" s="290">
        <f>0.15 *0.895140664961637</f>
        <v>0.13427109974424556</v>
      </c>
      <c r="D28" s="81" t="s">
        <v>75</v>
      </c>
      <c r="E28" s="82">
        <f>C28/2</f>
        <v>6.7135549872122779E-2</v>
      </c>
      <c r="F28" s="82">
        <f t="shared" si="2"/>
        <v>0.47657952069716764</v>
      </c>
      <c r="G28" s="83" t="s">
        <v>76</v>
      </c>
      <c r="H28" s="93">
        <v>1</v>
      </c>
      <c r="I28" s="85" t="s">
        <v>51</v>
      </c>
      <c r="J28" s="86">
        <v>100</v>
      </c>
      <c r="K28" s="87">
        <v>95</v>
      </c>
      <c r="L28" s="87">
        <v>90</v>
      </c>
      <c r="M28" s="87">
        <v>85</v>
      </c>
      <c r="N28" s="87">
        <v>80</v>
      </c>
      <c r="O28" s="87" t="s">
        <v>52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91"/>
      <c r="D29" s="81" t="s">
        <v>77</v>
      </c>
      <c r="E29" s="82">
        <f>C28/2</f>
        <v>6.7135549872122779E-2</v>
      </c>
      <c r="F29" s="82">
        <f t="shared" si="2"/>
        <v>0.47657952069716764</v>
      </c>
      <c r="G29" s="83" t="s">
        <v>78</v>
      </c>
      <c r="H29" s="92">
        <v>5</v>
      </c>
      <c r="I29" s="85" t="s">
        <v>59</v>
      </c>
      <c r="J29" s="86" t="s">
        <v>60</v>
      </c>
      <c r="K29" s="87">
        <v>5</v>
      </c>
      <c r="L29" s="87">
        <v>4</v>
      </c>
      <c r="M29" s="87">
        <v>3</v>
      </c>
      <c r="N29" s="87">
        <v>2</v>
      </c>
      <c r="O29" s="87">
        <v>1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92">
        <v>4</v>
      </c>
      <c r="B30" s="293" t="s">
        <v>79</v>
      </c>
      <c r="C30" s="294">
        <f>0.15 *14.3222506393862</f>
        <v>2.1483375959079298</v>
      </c>
      <c r="D30" s="81" t="s">
        <v>80</v>
      </c>
      <c r="E30" s="82">
        <f>C30</f>
        <v>2.1483375959079298</v>
      </c>
      <c r="F30" s="82">
        <f t="shared" si="2"/>
        <v>15.25054466230937</v>
      </c>
      <c r="G30" s="83" t="s">
        <v>81</v>
      </c>
      <c r="H30" s="93">
        <v>0.8</v>
      </c>
      <c r="I30" s="92" t="s">
        <v>51</v>
      </c>
      <c r="J30" s="86" t="s">
        <v>66</v>
      </c>
      <c r="K30" s="87">
        <v>80</v>
      </c>
      <c r="L30" s="87">
        <v>75</v>
      </c>
      <c r="M30" s="87">
        <v>70</v>
      </c>
      <c r="N30" s="87">
        <v>50</v>
      </c>
      <c r="O30" s="87" t="s">
        <v>67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92">
        <v>5</v>
      </c>
      <c r="B31" s="81" t="s">
        <v>82</v>
      </c>
      <c r="C31" s="95">
        <f>0.15 *5.72890025575448</f>
        <v>0.85933503836317204</v>
      </c>
      <c r="D31" s="293" t="s">
        <v>83</v>
      </c>
      <c r="E31" s="82">
        <f>C31</f>
        <v>0.85933503836317204</v>
      </c>
      <c r="F31" s="82">
        <f t="shared" si="2"/>
        <v>6.1002178649237484</v>
      </c>
      <c r="G31" s="83" t="s">
        <v>84</v>
      </c>
      <c r="H31" s="84">
        <v>0.7</v>
      </c>
      <c r="I31" s="92" t="s">
        <v>51</v>
      </c>
      <c r="J31" s="86" t="s">
        <v>85</v>
      </c>
      <c r="K31" s="87">
        <v>70</v>
      </c>
      <c r="L31" s="87">
        <v>60</v>
      </c>
      <c r="M31" s="87">
        <v>50</v>
      </c>
      <c r="N31" s="87">
        <v>40</v>
      </c>
      <c r="O31" s="87" t="s">
        <v>86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92">
        <v>6</v>
      </c>
      <c r="B32" s="81" t="s">
        <v>87</v>
      </c>
      <c r="C32" s="95">
        <f>0.15 *7.16112531969309</f>
        <v>1.0741687979539634</v>
      </c>
      <c r="D32" s="83" t="s">
        <v>88</v>
      </c>
      <c r="E32" s="82">
        <f>C32</f>
        <v>1.0741687979539634</v>
      </c>
      <c r="F32" s="82">
        <f t="shared" si="2"/>
        <v>7.6252723311546742</v>
      </c>
      <c r="G32" s="83" t="s">
        <v>89</v>
      </c>
      <c r="H32" s="84">
        <v>0.5</v>
      </c>
      <c r="I32" s="85" t="s">
        <v>51</v>
      </c>
      <c r="J32" s="86" t="s">
        <v>90</v>
      </c>
      <c r="K32" s="87">
        <v>50</v>
      </c>
      <c r="L32" s="87">
        <v>45</v>
      </c>
      <c r="M32" s="87">
        <v>40</v>
      </c>
      <c r="N32" s="87">
        <v>25</v>
      </c>
      <c r="O32" s="87" t="s">
        <v>91</v>
      </c>
      <c r="P32" s="88"/>
      <c r="Q32" s="89">
        <f t="shared" si="0"/>
        <v>0</v>
      </c>
      <c r="R32" s="90">
        <f t="shared" si="1"/>
        <v>0</v>
      </c>
    </row>
    <row r="33" spans="1:18" s="106" customFormat="1" ht="44.25" x14ac:dyDescent="0.25">
      <c r="A33" s="96"/>
      <c r="B33" s="97" t="s">
        <v>92</v>
      </c>
      <c r="C33" s="98">
        <f>SUM(C19:C32)</f>
        <v>14.086956521739134</v>
      </c>
      <c r="D33" s="97"/>
      <c r="E33" s="98">
        <f>SUM(E19:E32)</f>
        <v>14.086956521739138</v>
      </c>
      <c r="F33" s="98">
        <f>SUM(F19:F32)</f>
        <v>99.999999999999986</v>
      </c>
      <c r="G33" s="99"/>
      <c r="H33" s="100"/>
      <c r="I33" s="101"/>
      <c r="J33" s="102"/>
      <c r="K33" s="102"/>
      <c r="L33" s="102"/>
      <c r="M33" s="102"/>
      <c r="N33" s="102"/>
      <c r="O33" s="102"/>
      <c r="P33" s="103"/>
      <c r="Q33" s="104"/>
      <c r="R33" s="105">
        <f>SUM(R19:R32)</f>
        <v>0</v>
      </c>
    </row>
    <row r="34" spans="1:18" s="108" customFormat="1" ht="66" customHeight="1" x14ac:dyDescent="0.7">
      <c r="A34" s="107"/>
      <c r="G34" s="109"/>
      <c r="H34" s="109"/>
      <c r="I34" s="110" t="s">
        <v>142</v>
      </c>
      <c r="J34" s="111"/>
      <c r="K34" s="111"/>
      <c r="L34" s="111"/>
      <c r="M34" s="111"/>
      <c r="N34" s="111"/>
      <c r="O34" s="111"/>
      <c r="P34" s="111"/>
      <c r="Q34" s="112"/>
      <c r="R34" s="113">
        <f>R33/100 * 70</f>
        <v>0</v>
      </c>
    </row>
    <row r="35" spans="1:18" s="122" customFormat="1" ht="36" x14ac:dyDescent="0.55000000000000004">
      <c r="A35" s="114" t="s">
        <v>93</v>
      </c>
      <c r="B35" s="115"/>
      <c r="C35" s="115"/>
      <c r="D35" s="115"/>
      <c r="E35" s="115"/>
      <c r="F35" s="115"/>
      <c r="G35" s="116"/>
      <c r="H35" s="117"/>
      <c r="I35" s="117"/>
      <c r="J35" s="117"/>
      <c r="K35" s="117"/>
      <c r="L35" s="71" t="s">
        <v>98</v>
      </c>
      <c r="M35" s="118" t="s">
        <v>94</v>
      </c>
      <c r="N35" s="118"/>
      <c r="O35" s="118"/>
      <c r="P35" s="119"/>
      <c r="Q35" s="120"/>
      <c r="R35" s="121"/>
    </row>
    <row r="36" spans="1:18" s="122" customFormat="1" ht="31.5" customHeight="1" x14ac:dyDescent="0.55000000000000004">
      <c r="A36" s="123"/>
      <c r="B36" s="124"/>
      <c r="C36" s="125" t="s">
        <v>95</v>
      </c>
      <c r="D36" s="125"/>
      <c r="E36" s="125"/>
      <c r="F36" s="125"/>
      <c r="G36" s="125"/>
      <c r="H36" s="126" t="s">
        <v>143</v>
      </c>
      <c r="I36" s="126" t="s">
        <v>144</v>
      </c>
      <c r="J36" s="126"/>
      <c r="K36" s="127"/>
      <c r="L36" s="79"/>
      <c r="M36" s="128"/>
      <c r="N36" s="128"/>
      <c r="O36" s="128"/>
      <c r="P36" s="129"/>
      <c r="Q36" s="120"/>
      <c r="R36" s="121"/>
    </row>
    <row r="37" spans="1:18" s="122" customFormat="1" ht="36" customHeight="1" x14ac:dyDescent="0.55000000000000004">
      <c r="A37" s="130">
        <v>1</v>
      </c>
      <c r="B37" s="131" t="s">
        <v>99</v>
      </c>
      <c r="C37" s="132"/>
      <c r="D37" s="133"/>
      <c r="E37" s="133"/>
      <c r="F37" s="133"/>
      <c r="G37" s="134"/>
      <c r="H37" s="135"/>
      <c r="I37" s="135"/>
      <c r="J37" s="135"/>
      <c r="K37" s="135"/>
      <c r="L37" s="136"/>
      <c r="M37" s="137" t="s">
        <v>42</v>
      </c>
      <c r="N37" s="138" t="s">
        <v>100</v>
      </c>
      <c r="O37" s="139"/>
      <c r="P37" s="129"/>
      <c r="Q37" s="120"/>
      <c r="R37" s="121"/>
    </row>
    <row r="38" spans="1:18" s="122" customFormat="1" ht="84.75" customHeight="1" x14ac:dyDescent="0.55000000000000004">
      <c r="A38" s="140" t="s">
        <v>101</v>
      </c>
      <c r="B38" s="141" t="s">
        <v>145</v>
      </c>
      <c r="C38" s="142"/>
      <c r="D38" s="143"/>
      <c r="E38" s="143"/>
      <c r="F38" s="143"/>
      <c r="G38" s="144"/>
      <c r="H38" s="145">
        <v>4</v>
      </c>
      <c r="I38" s="146"/>
      <c r="J38" s="145"/>
      <c r="K38" s="145"/>
      <c r="L38" s="136"/>
      <c r="M38" s="137" t="s">
        <v>43</v>
      </c>
      <c r="N38" s="138" t="s">
        <v>102</v>
      </c>
      <c r="O38" s="139"/>
      <c r="P38" s="129"/>
      <c r="Q38" s="120"/>
      <c r="R38" s="121"/>
    </row>
    <row r="39" spans="1:18" s="122" customFormat="1" ht="82.5" customHeight="1" x14ac:dyDescent="0.55000000000000004">
      <c r="A39" s="140" t="s">
        <v>103</v>
      </c>
      <c r="B39" s="141" t="s">
        <v>146</v>
      </c>
      <c r="C39" s="142"/>
      <c r="D39" s="143"/>
      <c r="E39" s="143"/>
      <c r="F39" s="143"/>
      <c r="G39" s="144"/>
      <c r="H39" s="145">
        <v>2</v>
      </c>
      <c r="I39" s="146"/>
      <c r="J39" s="145"/>
      <c r="K39" s="145"/>
      <c r="L39" s="136"/>
      <c r="M39" s="137" t="s">
        <v>44</v>
      </c>
      <c r="N39" s="138" t="s">
        <v>104</v>
      </c>
      <c r="O39" s="139"/>
      <c r="P39" s="129"/>
      <c r="Q39" s="120"/>
      <c r="R39" s="121"/>
    </row>
    <row r="40" spans="1:18" s="122" customFormat="1" ht="78.75" customHeight="1" x14ac:dyDescent="0.55000000000000004">
      <c r="A40" s="140" t="s">
        <v>105</v>
      </c>
      <c r="B40" s="141" t="s">
        <v>106</v>
      </c>
      <c r="C40" s="142"/>
      <c r="D40" s="143"/>
      <c r="E40" s="143"/>
      <c r="F40" s="143"/>
      <c r="G40" s="144"/>
      <c r="H40" s="145">
        <v>2</v>
      </c>
      <c r="I40" s="146"/>
      <c r="J40" s="145"/>
      <c r="K40" s="145"/>
      <c r="L40" s="136"/>
      <c r="M40" s="137" t="s">
        <v>45</v>
      </c>
      <c r="N40" s="138" t="s">
        <v>107</v>
      </c>
      <c r="O40" s="139"/>
      <c r="P40" s="129"/>
      <c r="Q40" s="120"/>
      <c r="R40" s="121"/>
    </row>
    <row r="41" spans="1:18" s="122" customFormat="1" ht="36" x14ac:dyDescent="0.55000000000000004">
      <c r="A41" s="147">
        <v>2</v>
      </c>
      <c r="B41" s="148" t="s">
        <v>108</v>
      </c>
      <c r="C41" s="149"/>
      <c r="D41" s="150"/>
      <c r="E41" s="150"/>
      <c r="F41" s="150"/>
      <c r="G41" s="151"/>
      <c r="H41" s="145"/>
      <c r="I41" s="146"/>
      <c r="J41" s="145"/>
      <c r="K41" s="145"/>
      <c r="L41" s="136"/>
      <c r="M41" s="137" t="s">
        <v>46</v>
      </c>
      <c r="N41" s="138" t="s">
        <v>109</v>
      </c>
      <c r="O41" s="139"/>
      <c r="P41" s="129"/>
      <c r="Q41" s="120"/>
      <c r="R41" s="121"/>
    </row>
    <row r="42" spans="1:18" s="122" customFormat="1" ht="82.5" customHeight="1" x14ac:dyDescent="0.55000000000000004">
      <c r="A42" s="140" t="s">
        <v>101</v>
      </c>
      <c r="B42" s="152" t="s">
        <v>147</v>
      </c>
      <c r="C42" s="153"/>
      <c r="D42" s="154"/>
      <c r="E42" s="154"/>
      <c r="F42" s="154"/>
      <c r="G42" s="155"/>
      <c r="H42" s="145">
        <v>2</v>
      </c>
      <c r="I42" s="146"/>
      <c r="J42" s="145"/>
      <c r="K42" s="145"/>
      <c r="L42" s="136"/>
      <c r="M42" s="137" t="s">
        <v>47</v>
      </c>
      <c r="N42" s="138" t="s">
        <v>110</v>
      </c>
      <c r="O42" s="139"/>
      <c r="P42" s="156"/>
      <c r="Q42" s="120"/>
      <c r="R42" s="121"/>
    </row>
    <row r="43" spans="1:18" s="122" customFormat="1" ht="114.75" customHeight="1" x14ac:dyDescent="0.55000000000000004">
      <c r="A43" s="140" t="s">
        <v>103</v>
      </c>
      <c r="B43" s="152" t="s">
        <v>148</v>
      </c>
      <c r="C43" s="153"/>
      <c r="D43" s="154"/>
      <c r="E43" s="154"/>
      <c r="F43" s="154"/>
      <c r="G43" s="155"/>
      <c r="H43" s="145">
        <v>2</v>
      </c>
      <c r="I43" s="146"/>
      <c r="J43" s="145"/>
      <c r="K43" s="145"/>
      <c r="L43" s="136"/>
      <c r="M43" s="129" t="s">
        <v>98</v>
      </c>
      <c r="N43" s="157" t="s">
        <v>111</v>
      </c>
      <c r="O43" s="158"/>
      <c r="P43" s="156"/>
      <c r="Q43" s="120"/>
      <c r="R43" s="121"/>
    </row>
    <row r="44" spans="1:18" s="122" customFormat="1" ht="72" customHeight="1" x14ac:dyDescent="0.55000000000000004">
      <c r="A44" s="140" t="s">
        <v>105</v>
      </c>
      <c r="B44" s="152" t="s">
        <v>149</v>
      </c>
      <c r="C44" s="153"/>
      <c r="D44" s="154"/>
      <c r="E44" s="154"/>
      <c r="F44" s="154"/>
      <c r="G44" s="155"/>
      <c r="H44" s="145">
        <v>2</v>
      </c>
      <c r="I44" s="146"/>
      <c r="J44" s="145"/>
      <c r="K44" s="145"/>
      <c r="L44" s="136"/>
      <c r="M44" s="129" t="s">
        <v>112</v>
      </c>
      <c r="N44" s="157" t="s">
        <v>113</v>
      </c>
      <c r="O44" s="158"/>
      <c r="P44" s="156"/>
      <c r="Q44" s="120"/>
      <c r="R44" s="121"/>
    </row>
    <row r="45" spans="1:18" s="122" customFormat="1" ht="66" customHeight="1" x14ac:dyDescent="0.55000000000000004">
      <c r="A45" s="147">
        <v>3</v>
      </c>
      <c r="B45" s="148" t="s">
        <v>114</v>
      </c>
      <c r="C45" s="149"/>
      <c r="D45" s="150"/>
      <c r="E45" s="150"/>
      <c r="F45" s="150"/>
      <c r="G45" s="151"/>
      <c r="H45" s="145"/>
      <c r="I45" s="146"/>
      <c r="J45" s="145"/>
      <c r="K45" s="145"/>
      <c r="L45" s="136"/>
      <c r="M45" s="129" t="s">
        <v>96</v>
      </c>
      <c r="N45" s="157" t="s">
        <v>115</v>
      </c>
      <c r="O45" s="158"/>
      <c r="P45" s="156"/>
      <c r="Q45" s="120"/>
      <c r="R45" s="121"/>
    </row>
    <row r="46" spans="1:18" s="122" customFormat="1" ht="72" customHeight="1" x14ac:dyDescent="0.55000000000000004">
      <c r="A46" s="140" t="s">
        <v>101</v>
      </c>
      <c r="B46" s="152" t="s">
        <v>116</v>
      </c>
      <c r="C46" s="159"/>
      <c r="D46" s="160"/>
      <c r="E46" s="160"/>
      <c r="F46" s="160"/>
      <c r="G46" s="161"/>
      <c r="H46" s="145">
        <v>2</v>
      </c>
      <c r="I46" s="146"/>
      <c r="J46" s="145"/>
      <c r="K46" s="145"/>
      <c r="L46" s="136"/>
      <c r="M46" s="129" t="s">
        <v>97</v>
      </c>
      <c r="N46" s="157" t="s">
        <v>117</v>
      </c>
      <c r="O46" s="158"/>
      <c r="P46" s="156"/>
      <c r="Q46" s="120"/>
      <c r="R46" s="121"/>
    </row>
    <row r="47" spans="1:18" s="122" customFormat="1" ht="72" customHeight="1" x14ac:dyDescent="0.55000000000000004">
      <c r="A47" s="140" t="s">
        <v>103</v>
      </c>
      <c r="B47" s="152" t="s">
        <v>150</v>
      </c>
      <c r="C47" s="159"/>
      <c r="D47" s="160"/>
      <c r="E47" s="160"/>
      <c r="F47" s="160"/>
      <c r="G47" s="161"/>
      <c r="H47" s="145">
        <v>2</v>
      </c>
      <c r="I47" s="146"/>
      <c r="J47" s="145"/>
      <c r="K47" s="145"/>
      <c r="L47" s="136"/>
      <c r="M47" s="129" t="s">
        <v>118</v>
      </c>
      <c r="N47" s="157" t="s">
        <v>119</v>
      </c>
      <c r="O47" s="158"/>
      <c r="P47" s="156"/>
      <c r="Q47" s="120"/>
      <c r="R47" s="121"/>
    </row>
    <row r="48" spans="1:18" s="122" customFormat="1" ht="44.25" customHeight="1" x14ac:dyDescent="0.55000000000000004">
      <c r="A48" s="140" t="s">
        <v>105</v>
      </c>
      <c r="B48" s="152" t="s">
        <v>151</v>
      </c>
      <c r="C48" s="159"/>
      <c r="D48" s="160"/>
      <c r="E48" s="160"/>
      <c r="F48" s="160"/>
      <c r="G48" s="161"/>
      <c r="H48" s="145">
        <v>2</v>
      </c>
      <c r="I48" s="146"/>
      <c r="J48" s="145"/>
      <c r="K48" s="145"/>
      <c r="L48" s="136"/>
      <c r="M48" s="162"/>
      <c r="N48" s="162"/>
      <c r="O48" s="162"/>
      <c r="P48" s="163"/>
      <c r="Q48" s="120"/>
      <c r="R48" s="121"/>
    </row>
    <row r="49" spans="1:18" s="122" customFormat="1" ht="31.5" customHeight="1" x14ac:dyDescent="0.55000000000000004">
      <c r="A49" s="164" t="s">
        <v>120</v>
      </c>
      <c r="B49" s="165"/>
      <c r="C49" s="165"/>
      <c r="D49" s="165"/>
      <c r="E49" s="165"/>
      <c r="F49" s="165"/>
      <c r="G49" s="165"/>
      <c r="H49" s="166">
        <f>SUM(H38:H48)</f>
        <v>20</v>
      </c>
      <c r="I49" s="166">
        <f>SUM(I38:I48)</f>
        <v>0</v>
      </c>
      <c r="J49" s="166"/>
      <c r="K49" s="167"/>
      <c r="L49" s="136"/>
      <c r="M49" s="162"/>
      <c r="N49" s="162"/>
      <c r="O49" s="162"/>
      <c r="P49" s="163"/>
      <c r="Q49" s="120"/>
      <c r="R49" s="121"/>
    </row>
    <row r="50" spans="1:18" s="122" customFormat="1" ht="36" customHeight="1" x14ac:dyDescent="0.55000000000000004">
      <c r="A50" s="168" t="s">
        <v>101</v>
      </c>
      <c r="B50" s="169" t="s">
        <v>121</v>
      </c>
      <c r="C50" s="153" t="s">
        <v>122</v>
      </c>
      <c r="D50" s="154"/>
      <c r="E50" s="154"/>
      <c r="F50" s="154"/>
      <c r="G50" s="155"/>
      <c r="H50" s="170">
        <v>4</v>
      </c>
      <c r="I50" s="171"/>
      <c r="J50" s="170"/>
      <c r="K50" s="172"/>
      <c r="L50" s="136"/>
      <c r="M50" s="162"/>
      <c r="N50" s="162"/>
      <c r="O50" s="162"/>
      <c r="P50" s="163"/>
      <c r="Q50" s="120"/>
      <c r="R50" s="121"/>
    </row>
    <row r="51" spans="1:18" s="122" customFormat="1" ht="129" customHeight="1" x14ac:dyDescent="0.55000000000000004">
      <c r="A51" s="168" t="s">
        <v>103</v>
      </c>
      <c r="B51" s="169" t="s">
        <v>123</v>
      </c>
      <c r="C51" s="153" t="s">
        <v>124</v>
      </c>
      <c r="D51" s="154"/>
      <c r="E51" s="154"/>
      <c r="F51" s="154"/>
      <c r="G51" s="155"/>
      <c r="H51" s="170">
        <v>3</v>
      </c>
      <c r="I51" s="171"/>
      <c r="J51" s="170"/>
      <c r="K51" s="172"/>
      <c r="L51" s="136"/>
      <c r="M51" s="162"/>
      <c r="N51" s="162"/>
      <c r="O51" s="162"/>
      <c r="P51" s="163"/>
      <c r="Q51" s="120"/>
      <c r="R51" s="121"/>
    </row>
    <row r="52" spans="1:18" s="122" customFormat="1" ht="69" customHeight="1" x14ac:dyDescent="0.55000000000000004">
      <c r="A52" s="168" t="s">
        <v>103</v>
      </c>
      <c r="B52" s="169" t="s">
        <v>125</v>
      </c>
      <c r="C52" s="153" t="s">
        <v>126</v>
      </c>
      <c r="D52" s="154"/>
      <c r="E52" s="154"/>
      <c r="F52" s="154"/>
      <c r="G52" s="155"/>
      <c r="H52" s="170">
        <v>3</v>
      </c>
      <c r="I52" s="171"/>
      <c r="J52" s="170"/>
      <c r="K52" s="172"/>
      <c r="L52" s="136"/>
      <c r="M52" s="162"/>
      <c r="N52" s="162"/>
      <c r="O52" s="162"/>
      <c r="P52" s="163"/>
      <c r="Q52" s="120"/>
      <c r="R52" s="121"/>
    </row>
    <row r="53" spans="1:18" s="122" customFormat="1" ht="46.5" customHeight="1" x14ac:dyDescent="0.55000000000000004">
      <c r="A53" s="173"/>
      <c r="B53" s="174" t="s">
        <v>127</v>
      </c>
      <c r="C53" s="174"/>
      <c r="D53" s="174"/>
      <c r="E53" s="175"/>
      <c r="F53" s="175"/>
      <c r="G53" s="175"/>
      <c r="H53" s="166">
        <f>SUM(H50:H52)</f>
        <v>10</v>
      </c>
      <c r="I53" s="166">
        <f>SUM(I50:I52)</f>
        <v>0</v>
      </c>
      <c r="J53" s="175"/>
      <c r="K53" s="176"/>
      <c r="L53" s="162"/>
      <c r="M53" s="162"/>
      <c r="N53" s="162"/>
      <c r="O53" s="162"/>
      <c r="P53" s="163"/>
      <c r="Q53" s="120"/>
      <c r="R53" s="121"/>
    </row>
    <row r="54" spans="1:18" s="184" customFormat="1" ht="45" customHeight="1" x14ac:dyDescent="0.7">
      <c r="A54" s="177"/>
      <c r="B54" s="178"/>
      <c r="C54" s="179"/>
      <c r="D54" s="179"/>
      <c r="E54" s="179"/>
      <c r="F54" s="180"/>
      <c r="G54" s="180"/>
      <c r="H54" s="180"/>
      <c r="I54" s="180"/>
      <c r="J54" s="180"/>
      <c r="K54" s="179"/>
      <c r="L54" s="179"/>
      <c r="M54" s="179"/>
      <c r="N54" s="179"/>
      <c r="O54" s="181" t="s">
        <v>152</v>
      </c>
      <c r="P54" s="182"/>
      <c r="Q54" s="181" t="s">
        <v>153</v>
      </c>
      <c r="R54" s="183"/>
    </row>
    <row r="55" spans="1:18" s="184" customFormat="1" ht="45" customHeight="1" x14ac:dyDescent="0.7">
      <c r="A55" s="177"/>
      <c r="B55" s="185"/>
      <c r="C55" s="186" t="s">
        <v>154</v>
      </c>
      <c r="D55" s="187"/>
      <c r="E55" s="187"/>
      <c r="F55" s="187"/>
      <c r="G55" s="187"/>
      <c r="H55" s="187"/>
      <c r="I55" s="187"/>
      <c r="J55" s="187"/>
      <c r="K55" s="188"/>
      <c r="L55" s="189"/>
      <c r="M55" s="190"/>
      <c r="N55" s="191"/>
      <c r="O55" s="192">
        <f>R34</f>
        <v>0</v>
      </c>
      <c r="P55" s="193"/>
      <c r="Q55" s="194">
        <f>O58/100 * 20</f>
        <v>0</v>
      </c>
      <c r="R55" s="195"/>
    </row>
    <row r="56" spans="1:18" s="184" customFormat="1" ht="45" customHeight="1" x14ac:dyDescent="0.7">
      <c r="A56" s="177"/>
      <c r="B56" s="185"/>
      <c r="C56" s="187" t="s">
        <v>155</v>
      </c>
      <c r="D56" s="187"/>
      <c r="E56" s="187"/>
      <c r="F56" s="187"/>
      <c r="G56" s="187"/>
      <c r="H56" s="187"/>
      <c r="I56" s="187"/>
      <c r="J56" s="187"/>
      <c r="K56" s="187"/>
      <c r="L56" s="190"/>
      <c r="M56" s="190"/>
      <c r="N56" s="191"/>
      <c r="O56" s="192">
        <f>I49</f>
        <v>0</v>
      </c>
      <c r="P56" s="193"/>
      <c r="Q56" s="196"/>
      <c r="R56" s="197"/>
    </row>
    <row r="57" spans="1:18" s="184" customFormat="1" ht="45" customHeight="1" x14ac:dyDescent="0.7">
      <c r="A57" s="177"/>
      <c r="B57" s="185"/>
      <c r="C57" s="186" t="s">
        <v>156</v>
      </c>
      <c r="D57" s="187"/>
      <c r="E57" s="187"/>
      <c r="F57" s="187"/>
      <c r="G57" s="187"/>
      <c r="H57" s="187"/>
      <c r="I57" s="187"/>
      <c r="J57" s="187"/>
      <c r="K57" s="188"/>
      <c r="L57" s="189"/>
      <c r="M57" s="190"/>
      <c r="N57" s="191"/>
      <c r="O57" s="192">
        <f>I53</f>
        <v>0</v>
      </c>
      <c r="P57" s="193"/>
      <c r="Q57" s="196"/>
      <c r="R57" s="197"/>
    </row>
    <row r="58" spans="1:18" s="184" customFormat="1" ht="45" customHeight="1" x14ac:dyDescent="0.7">
      <c r="A58" s="177"/>
      <c r="B58" s="198"/>
      <c r="C58" s="186" t="s">
        <v>157</v>
      </c>
      <c r="D58" s="187"/>
      <c r="E58" s="187"/>
      <c r="F58" s="187"/>
      <c r="G58" s="187"/>
      <c r="H58" s="187"/>
      <c r="I58" s="187"/>
      <c r="J58" s="187"/>
      <c r="K58" s="188"/>
      <c r="L58" s="189"/>
      <c r="M58" s="190"/>
      <c r="N58" s="191"/>
      <c r="O58" s="192">
        <f>SUM(O55:P57)</f>
        <v>0</v>
      </c>
      <c r="P58" s="193"/>
      <c r="Q58" s="199"/>
      <c r="R58" s="200"/>
    </row>
    <row r="59" spans="1:18" s="184" customFormat="1" ht="64.900000000000006" customHeight="1" x14ac:dyDescent="0.7">
      <c r="A59" s="177"/>
      <c r="B59" s="201" t="s">
        <v>158</v>
      </c>
      <c r="C59" s="201"/>
      <c r="D59" s="201"/>
      <c r="E59" s="201"/>
      <c r="F59" s="201"/>
      <c r="G59" s="201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3"/>
    </row>
    <row r="60" spans="1:18" s="184" customFormat="1" ht="64.900000000000006" customHeight="1" x14ac:dyDescent="0.7">
      <c r="A60" s="177"/>
      <c r="B60" s="204" t="s">
        <v>159</v>
      </c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5"/>
    </row>
    <row r="61" spans="1:18" s="184" customFormat="1" ht="48.75" customHeight="1" x14ac:dyDescent="0.7">
      <c r="A61" s="177"/>
      <c r="B61" s="206" t="s">
        <v>160</v>
      </c>
      <c r="C61" s="206"/>
      <c r="D61" s="206"/>
      <c r="E61" s="206"/>
      <c r="F61" s="206"/>
      <c r="G61" s="206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8"/>
    </row>
    <row r="62" spans="1:18" s="184" customFormat="1" ht="45.75" x14ac:dyDescent="0.7">
      <c r="A62" s="177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5"/>
    </row>
    <row r="63" spans="1:18" s="122" customFormat="1" ht="31.5" customHeight="1" x14ac:dyDescent="0.55000000000000004">
      <c r="A63" s="209" t="s">
        <v>161</v>
      </c>
      <c r="B63" s="210"/>
      <c r="C63" s="211"/>
      <c r="D63" s="212"/>
      <c r="E63" s="213" t="s">
        <v>162</v>
      </c>
      <c r="F63" s="214"/>
      <c r="G63" s="210" t="s">
        <v>163</v>
      </c>
      <c r="H63" s="211"/>
      <c r="I63" s="211"/>
      <c r="J63" s="211"/>
      <c r="K63" s="215"/>
      <c r="L63" s="136"/>
      <c r="M63" s="216"/>
      <c r="N63" s="216"/>
      <c r="O63" s="216"/>
      <c r="P63" s="216"/>
      <c r="Q63" s="216"/>
      <c r="R63" s="121"/>
    </row>
    <row r="64" spans="1:18" s="122" customFormat="1" ht="31.5" customHeight="1" x14ac:dyDescent="0.55000000000000004">
      <c r="A64" s="217"/>
      <c r="B64" s="218"/>
      <c r="C64" s="219"/>
      <c r="D64" s="220"/>
      <c r="E64" s="221"/>
      <c r="F64" s="222"/>
      <c r="G64" s="218"/>
      <c r="H64" s="219"/>
      <c r="I64" s="219"/>
      <c r="J64" s="219"/>
      <c r="K64" s="215"/>
      <c r="L64" s="136"/>
      <c r="M64" s="223"/>
      <c r="N64" s="223"/>
      <c r="O64" s="223"/>
      <c r="P64" s="223"/>
      <c r="Q64" s="223"/>
      <c r="R64" s="121"/>
    </row>
    <row r="65" spans="1:18" s="122" customFormat="1" ht="31.5" customHeight="1" x14ac:dyDescent="0.55000000000000004">
      <c r="A65" s="217"/>
      <c r="B65" s="218"/>
      <c r="C65" s="219"/>
      <c r="D65" s="220"/>
      <c r="E65" s="221"/>
      <c r="F65" s="222"/>
      <c r="G65" s="218"/>
      <c r="H65" s="219"/>
      <c r="I65" s="219"/>
      <c r="J65" s="219"/>
      <c r="K65" s="215"/>
      <c r="L65" s="136"/>
      <c r="M65" s="223"/>
      <c r="N65" s="223"/>
      <c r="O65" s="223"/>
      <c r="P65" s="223"/>
      <c r="Q65" s="223"/>
      <c r="R65" s="121"/>
    </row>
    <row r="66" spans="1:18" s="122" customFormat="1" ht="31.5" customHeight="1" x14ac:dyDescent="0.55000000000000004">
      <c r="A66" s="224"/>
      <c r="B66" s="225"/>
      <c r="C66" s="226"/>
      <c r="D66" s="227"/>
      <c r="E66" s="228"/>
      <c r="F66" s="229"/>
      <c r="G66" s="225"/>
      <c r="H66" s="226"/>
      <c r="I66" s="226"/>
      <c r="J66" s="226"/>
      <c r="K66" s="215"/>
      <c r="L66" s="136"/>
      <c r="M66" s="223"/>
      <c r="N66" s="223"/>
      <c r="O66" s="223"/>
      <c r="P66" s="223"/>
      <c r="Q66" s="223"/>
      <c r="R66" s="121"/>
    </row>
    <row r="67" spans="1:18" s="122" customFormat="1" ht="31.5" customHeight="1" x14ac:dyDescent="0.55000000000000004">
      <c r="A67" s="230" t="s">
        <v>128</v>
      </c>
      <c r="B67" s="231"/>
      <c r="C67" s="211"/>
      <c r="D67" s="212"/>
      <c r="E67" s="232" t="s">
        <v>164</v>
      </c>
      <c r="F67" s="214"/>
      <c r="G67" s="231" t="s">
        <v>164</v>
      </c>
      <c r="H67" s="211"/>
      <c r="I67" s="211"/>
      <c r="J67" s="211"/>
      <c r="K67" s="215"/>
      <c r="L67" s="136"/>
      <c r="M67" s="223"/>
      <c r="N67" s="223"/>
      <c r="O67" s="223"/>
      <c r="P67" s="223"/>
      <c r="Q67" s="223"/>
      <c r="R67" s="121"/>
    </row>
    <row r="68" spans="1:18" s="122" customFormat="1" ht="31.5" customHeight="1" x14ac:dyDescent="0.55000000000000004">
      <c r="A68" s="233"/>
      <c r="B68" s="234"/>
      <c r="C68" s="219"/>
      <c r="D68" s="220"/>
      <c r="E68" s="235"/>
      <c r="F68" s="222"/>
      <c r="G68" s="234"/>
      <c r="H68" s="219"/>
      <c r="I68" s="219"/>
      <c r="J68" s="219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33"/>
      <c r="B69" s="234"/>
      <c r="C69" s="226"/>
      <c r="D69" s="227"/>
      <c r="E69" s="236"/>
      <c r="F69" s="229"/>
      <c r="G69" s="237"/>
      <c r="H69" s="226"/>
      <c r="I69" s="226"/>
      <c r="J69" s="226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17" t="s">
        <v>129</v>
      </c>
      <c r="B70" s="218"/>
      <c r="C70" s="211"/>
      <c r="D70" s="212"/>
      <c r="E70" s="213" t="s">
        <v>165</v>
      </c>
      <c r="F70" s="214"/>
      <c r="G70" s="210" t="s">
        <v>165</v>
      </c>
      <c r="H70" s="211"/>
      <c r="I70" s="211"/>
      <c r="J70" s="211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17"/>
      <c r="B71" s="218"/>
      <c r="C71" s="226"/>
      <c r="D71" s="227"/>
      <c r="E71" s="228"/>
      <c r="F71" s="229"/>
      <c r="G71" s="225"/>
      <c r="H71" s="226"/>
      <c r="I71" s="226"/>
      <c r="J71" s="226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thickBot="1" x14ac:dyDescent="0.6">
      <c r="A72" s="238"/>
      <c r="B72" s="239"/>
      <c r="C72" s="239"/>
      <c r="D72" s="239"/>
      <c r="E72" s="239"/>
      <c r="F72" s="239"/>
      <c r="G72" s="239"/>
      <c r="H72" s="239"/>
      <c r="I72" s="239"/>
      <c r="J72" s="239"/>
      <c r="K72" s="240"/>
      <c r="L72" s="241"/>
      <c r="M72" s="242"/>
      <c r="N72" s="242"/>
      <c r="O72" s="242"/>
      <c r="P72" s="242"/>
      <c r="Q72" s="242"/>
      <c r="R72" s="243"/>
    </row>
  </sheetData>
  <mergeCells count="112">
    <mergeCell ref="A72:J72"/>
    <mergeCell ref="A19:A23"/>
    <mergeCell ref="B19:B23"/>
    <mergeCell ref="C19:C23"/>
    <mergeCell ref="A24:A27"/>
    <mergeCell ref="B24:B27"/>
    <mergeCell ref="C24:C27"/>
    <mergeCell ref="A28:A29"/>
    <mergeCell ref="B28:B29"/>
    <mergeCell ref="C28:C29"/>
    <mergeCell ref="A70:B71"/>
    <mergeCell ref="C70:D71"/>
    <mergeCell ref="E70:E71"/>
    <mergeCell ref="F70:F71"/>
    <mergeCell ref="G70:G71"/>
    <mergeCell ref="H70:J71"/>
    <mergeCell ref="A67:B69"/>
    <mergeCell ref="C67:D69"/>
    <mergeCell ref="E67:E69"/>
    <mergeCell ref="F67:F69"/>
    <mergeCell ref="G67:G69"/>
    <mergeCell ref="H67:J69"/>
    <mergeCell ref="B60:R60"/>
    <mergeCell ref="B61:G61"/>
    <mergeCell ref="B62:R62"/>
    <mergeCell ref="A63:B66"/>
    <mergeCell ref="C63:D66"/>
    <mergeCell ref="E63:E66"/>
    <mergeCell ref="F63:F66"/>
    <mergeCell ref="G63:G66"/>
    <mergeCell ref="H63:J66"/>
    <mergeCell ref="M63:Q72"/>
    <mergeCell ref="L57:N57"/>
    <mergeCell ref="O57:P57"/>
    <mergeCell ref="C58:K58"/>
    <mergeCell ref="L58:N58"/>
    <mergeCell ref="O58:P58"/>
    <mergeCell ref="B59:G59"/>
    <mergeCell ref="O54:P54"/>
    <mergeCell ref="Q54:R54"/>
    <mergeCell ref="C55:K55"/>
    <mergeCell ref="L55:N55"/>
    <mergeCell ref="O55:P55"/>
    <mergeCell ref="Q55:R58"/>
    <mergeCell ref="C56:K56"/>
    <mergeCell ref="L56:N56"/>
    <mergeCell ref="O56:P56"/>
    <mergeCell ref="C57:K57"/>
    <mergeCell ref="A49:G49"/>
    <mergeCell ref="C50:G50"/>
    <mergeCell ref="C51:G51"/>
    <mergeCell ref="C52:G52"/>
    <mergeCell ref="B53:D53"/>
    <mergeCell ref="B54:B58"/>
    <mergeCell ref="F54:J54"/>
    <mergeCell ref="C43:G43"/>
    <mergeCell ref="C44:G44"/>
    <mergeCell ref="C45:G45"/>
    <mergeCell ref="C46:G46"/>
    <mergeCell ref="C47:G47"/>
    <mergeCell ref="C48:G48"/>
    <mergeCell ref="C40:G40"/>
    <mergeCell ref="N40:O40"/>
    <mergeCell ref="C41:G41"/>
    <mergeCell ref="N41:O41"/>
    <mergeCell ref="C42:G42"/>
    <mergeCell ref="N42:O42"/>
    <mergeCell ref="C37:G37"/>
    <mergeCell ref="N37:O37"/>
    <mergeCell ref="C38:G38"/>
    <mergeCell ref="N38:O38"/>
    <mergeCell ref="C39:G39"/>
    <mergeCell ref="N39:O39"/>
    <mergeCell ref="R17:R18"/>
    <mergeCell ref="I34:Q34"/>
    <mergeCell ref="A35:G35"/>
    <mergeCell ref="H35:K35"/>
    <mergeCell ref="L35:L36"/>
    <mergeCell ref="C36:G36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CCDA1B1B-6612-4F0C-9F94-B0F280137D83}"/>
    <hyperlink ref="E8" r:id="rId2" xr:uid="{7A028BB8-40AB-432A-BAF7-EECAE3F38F41}"/>
  </hyperlinks>
  <pageMargins left="0.7" right="0.7" top="0.75" bottom="0.75" header="0.3" footer="0.3"/>
  <pageSetup scale="14"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A1FA-8546-4246-BB1B-B19D93FEBC61}">
  <sheetPr>
    <pageSetUpPr fitToPage="1"/>
  </sheetPr>
  <dimension ref="A1:R72"/>
  <sheetViews>
    <sheetView topLeftCell="H5" zoomScale="30" zoomScaleNormal="30" workbookViewId="0">
      <selection activeCell="A19" sqref="A19:O32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166</v>
      </c>
      <c r="C5" s="16" t="s">
        <v>2</v>
      </c>
      <c r="D5" s="17" t="s">
        <v>167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/>
      <c r="H7" s="250" t="s">
        <v>9</v>
      </c>
      <c r="I7" s="252" t="s">
        <v>10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11</v>
      </c>
      <c r="B8" s="256"/>
      <c r="C8" s="257">
        <v>88650</v>
      </c>
      <c r="D8" s="258" t="s">
        <v>12</v>
      </c>
      <c r="E8" s="259" t="s">
        <v>13</v>
      </c>
      <c r="F8" s="258" t="s">
        <v>14</v>
      </c>
      <c r="G8" s="260" t="s">
        <v>15</v>
      </c>
      <c r="H8" s="258" t="s">
        <v>16</v>
      </c>
      <c r="I8" s="261" t="s">
        <v>17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19</v>
      </c>
      <c r="D10" s="266" t="s">
        <v>6</v>
      </c>
      <c r="E10" s="265" t="s">
        <v>20</v>
      </c>
      <c r="F10" s="266" t="s">
        <v>8</v>
      </c>
      <c r="G10" s="267" t="s">
        <v>21</v>
      </c>
      <c r="H10" s="266" t="s">
        <v>9</v>
      </c>
      <c r="I10" s="268" t="s">
        <v>22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11</v>
      </c>
      <c r="B11" s="272"/>
      <c r="C11" s="273">
        <v>64218</v>
      </c>
      <c r="D11" s="274" t="s">
        <v>12</v>
      </c>
      <c r="E11" s="275" t="s">
        <v>23</v>
      </c>
      <c r="F11" s="274" t="s">
        <v>14</v>
      </c>
      <c r="G11" s="276" t="s">
        <v>24</v>
      </c>
      <c r="H11" s="274" t="s">
        <v>16</v>
      </c>
      <c r="I11" s="277" t="s">
        <v>17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25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26</v>
      </c>
      <c r="D13" s="36" t="s">
        <v>6</v>
      </c>
      <c r="E13" s="35" t="s">
        <v>27</v>
      </c>
      <c r="F13" s="37" t="s">
        <v>8</v>
      </c>
      <c r="G13" s="38" t="s">
        <v>28</v>
      </c>
      <c r="H13" s="36" t="s">
        <v>9</v>
      </c>
      <c r="I13" s="39" t="s">
        <v>29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79" t="s">
        <v>30</v>
      </c>
      <c r="F14" s="46" t="s">
        <v>14</v>
      </c>
      <c r="G14" s="280"/>
      <c r="H14" s="45" t="s">
        <v>16</v>
      </c>
      <c r="I14" s="47" t="s">
        <v>31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32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33</v>
      </c>
      <c r="B17" s="64" t="s">
        <v>34</v>
      </c>
      <c r="C17" s="65" t="s">
        <v>35</v>
      </c>
      <c r="D17" s="65" t="s">
        <v>36</v>
      </c>
      <c r="E17" s="65" t="s">
        <v>35</v>
      </c>
      <c r="F17" s="66" t="s">
        <v>37</v>
      </c>
      <c r="G17" s="66" t="s">
        <v>38</v>
      </c>
      <c r="H17" s="67" t="s">
        <v>39</v>
      </c>
      <c r="I17" s="66" t="s">
        <v>40</v>
      </c>
      <c r="J17" s="68" t="s">
        <v>41</v>
      </c>
      <c r="K17" s="69"/>
      <c r="L17" s="69"/>
      <c r="M17" s="69"/>
      <c r="N17" s="69"/>
      <c r="O17" s="70"/>
      <c r="P17" s="71" t="s">
        <v>133</v>
      </c>
      <c r="Q17" s="71" t="s">
        <v>134</v>
      </c>
      <c r="R17" s="72" t="s">
        <v>135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136</v>
      </c>
      <c r="K18" s="78" t="s">
        <v>137</v>
      </c>
      <c r="L18" s="78" t="s">
        <v>138</v>
      </c>
      <c r="M18" s="77" t="s">
        <v>139</v>
      </c>
      <c r="N18" s="77" t="s">
        <v>140</v>
      </c>
      <c r="O18" s="77" t="s">
        <v>141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48</v>
      </c>
      <c r="C19" s="283">
        <f>0.15 *8.59335038363171</f>
        <v>1.2890025575447566</v>
      </c>
      <c r="D19" s="81" t="s">
        <v>49</v>
      </c>
      <c r="E19" s="82">
        <f>C19/5</f>
        <v>0.25780051150895134</v>
      </c>
      <c r="F19" s="82">
        <f>E19/$E$33* 100</f>
        <v>1.8300653594771226</v>
      </c>
      <c r="G19" s="83" t="s">
        <v>50</v>
      </c>
      <c r="H19" s="84">
        <v>1</v>
      </c>
      <c r="I19" s="85" t="s">
        <v>51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52</v>
      </c>
      <c r="P19" s="88"/>
      <c r="Q19" s="89">
        <f t="shared" ref="Q19:Q32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2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53</v>
      </c>
      <c r="E20" s="82">
        <f>C19/5</f>
        <v>0.25780051150895134</v>
      </c>
      <c r="F20" s="82">
        <f t="shared" ref="F20:F32" si="2">E20/$E$33* 100</f>
        <v>1.8300653594771226</v>
      </c>
      <c r="G20" s="83" t="s">
        <v>54</v>
      </c>
      <c r="H20" s="84">
        <v>1</v>
      </c>
      <c r="I20" s="85" t="s">
        <v>51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52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55</v>
      </c>
      <c r="E21" s="82">
        <f>C19/5</f>
        <v>0.25780051150895134</v>
      </c>
      <c r="F21" s="82">
        <f t="shared" si="2"/>
        <v>1.8300653594771226</v>
      </c>
      <c r="G21" s="83" t="s">
        <v>56</v>
      </c>
      <c r="H21" s="84">
        <v>1</v>
      </c>
      <c r="I21" s="85" t="s">
        <v>51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52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57</v>
      </c>
      <c r="E22" s="82">
        <f>C19/5</f>
        <v>0.25780051150895134</v>
      </c>
      <c r="F22" s="82">
        <f t="shared" si="2"/>
        <v>1.8300653594771226</v>
      </c>
      <c r="G22" s="83" t="s">
        <v>58</v>
      </c>
      <c r="H22" s="92">
        <v>5</v>
      </c>
      <c r="I22" s="85" t="s">
        <v>59</v>
      </c>
      <c r="J22" s="86" t="s">
        <v>60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61</v>
      </c>
      <c r="E23" s="82">
        <f>C19/5</f>
        <v>0.25780051150895134</v>
      </c>
      <c r="F23" s="82">
        <f t="shared" si="2"/>
        <v>1.8300653594771226</v>
      </c>
      <c r="G23" s="83" t="s">
        <v>62</v>
      </c>
      <c r="H23" s="84">
        <v>1</v>
      </c>
      <c r="I23" s="85" t="s">
        <v>51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52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63</v>
      </c>
      <c r="C24" s="283">
        <f>0.15 *57.2122762148338</f>
        <v>8.5818414322250689</v>
      </c>
      <c r="D24" s="94" t="s">
        <v>64</v>
      </c>
      <c r="E24" s="82">
        <f>C24/4</f>
        <v>2.1454603580562672</v>
      </c>
      <c r="F24" s="82">
        <f t="shared" si="2"/>
        <v>15.23011982570806</v>
      </c>
      <c r="G24" s="83" t="s">
        <v>65</v>
      </c>
      <c r="H24" s="93">
        <v>0.8</v>
      </c>
      <c r="I24" s="92" t="s">
        <v>51</v>
      </c>
      <c r="J24" s="86" t="s">
        <v>66</v>
      </c>
      <c r="K24" s="87">
        <v>80</v>
      </c>
      <c r="L24" s="87">
        <v>75</v>
      </c>
      <c r="M24" s="87">
        <v>70</v>
      </c>
      <c r="N24" s="87">
        <v>50</v>
      </c>
      <c r="O24" s="87" t="s">
        <v>67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4"/>
      <c r="B25" s="285"/>
      <c r="C25" s="286"/>
      <c r="D25" s="81" t="s">
        <v>68</v>
      </c>
      <c r="E25" s="82">
        <f>C24/4</f>
        <v>2.1454603580562672</v>
      </c>
      <c r="F25" s="82">
        <f t="shared" si="2"/>
        <v>15.23011982570806</v>
      </c>
      <c r="G25" s="83" t="s">
        <v>69</v>
      </c>
      <c r="H25" s="93">
        <v>0.8</v>
      </c>
      <c r="I25" s="92" t="s">
        <v>51</v>
      </c>
      <c r="J25" s="86" t="s">
        <v>66</v>
      </c>
      <c r="K25" s="87">
        <v>80</v>
      </c>
      <c r="L25" s="87">
        <v>75</v>
      </c>
      <c r="M25" s="87">
        <v>70</v>
      </c>
      <c r="N25" s="87">
        <v>50</v>
      </c>
      <c r="O25" s="87" t="s">
        <v>67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4"/>
      <c r="B26" s="285"/>
      <c r="C26" s="286"/>
      <c r="D26" s="81" t="s">
        <v>70</v>
      </c>
      <c r="E26" s="82">
        <f>C24/4</f>
        <v>2.1454603580562672</v>
      </c>
      <c r="F26" s="82">
        <f t="shared" si="2"/>
        <v>15.23011982570806</v>
      </c>
      <c r="G26" s="83" t="s">
        <v>71</v>
      </c>
      <c r="H26" s="93">
        <v>0.8</v>
      </c>
      <c r="I26" s="92" t="s">
        <v>51</v>
      </c>
      <c r="J26" s="86" t="s">
        <v>66</v>
      </c>
      <c r="K26" s="87">
        <v>80</v>
      </c>
      <c r="L26" s="87">
        <v>75</v>
      </c>
      <c r="M26" s="87">
        <v>70</v>
      </c>
      <c r="N26" s="87">
        <v>50</v>
      </c>
      <c r="O26" s="87" t="s">
        <v>67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7"/>
      <c r="B27" s="288"/>
      <c r="C27" s="289"/>
      <c r="D27" s="81" t="s">
        <v>72</v>
      </c>
      <c r="E27" s="82">
        <f>C24/4</f>
        <v>2.1454603580562672</v>
      </c>
      <c r="F27" s="82">
        <f t="shared" si="2"/>
        <v>15.23011982570806</v>
      </c>
      <c r="G27" s="83" t="s">
        <v>73</v>
      </c>
      <c r="H27" s="93">
        <v>1</v>
      </c>
      <c r="I27" s="85" t="s">
        <v>51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52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1">
        <v>3</v>
      </c>
      <c r="B28" s="282" t="s">
        <v>74</v>
      </c>
      <c r="C28" s="290">
        <f>0.15 *0.895140664961637</f>
        <v>0.13427109974424556</v>
      </c>
      <c r="D28" s="81" t="s">
        <v>75</v>
      </c>
      <c r="E28" s="82">
        <f>C28/2</f>
        <v>6.7135549872122779E-2</v>
      </c>
      <c r="F28" s="82">
        <f t="shared" si="2"/>
        <v>0.47657952069716764</v>
      </c>
      <c r="G28" s="83" t="s">
        <v>76</v>
      </c>
      <c r="H28" s="93">
        <v>1</v>
      </c>
      <c r="I28" s="85" t="s">
        <v>51</v>
      </c>
      <c r="J28" s="86">
        <v>100</v>
      </c>
      <c r="K28" s="87">
        <v>95</v>
      </c>
      <c r="L28" s="87">
        <v>90</v>
      </c>
      <c r="M28" s="87">
        <v>85</v>
      </c>
      <c r="N28" s="87">
        <v>80</v>
      </c>
      <c r="O28" s="87" t="s">
        <v>52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91"/>
      <c r="D29" s="81" t="s">
        <v>77</v>
      </c>
      <c r="E29" s="82">
        <f>C28/2</f>
        <v>6.7135549872122779E-2</v>
      </c>
      <c r="F29" s="82">
        <f t="shared" si="2"/>
        <v>0.47657952069716764</v>
      </c>
      <c r="G29" s="83" t="s">
        <v>78</v>
      </c>
      <c r="H29" s="92">
        <v>5</v>
      </c>
      <c r="I29" s="85" t="s">
        <v>59</v>
      </c>
      <c r="J29" s="86" t="s">
        <v>60</v>
      </c>
      <c r="K29" s="87">
        <v>5</v>
      </c>
      <c r="L29" s="87">
        <v>4</v>
      </c>
      <c r="M29" s="87">
        <v>3</v>
      </c>
      <c r="N29" s="87">
        <v>2</v>
      </c>
      <c r="O29" s="87">
        <v>1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92">
        <v>4</v>
      </c>
      <c r="B30" s="293" t="s">
        <v>79</v>
      </c>
      <c r="C30" s="294">
        <f>0.15 *14.3222506393862</f>
        <v>2.1483375959079298</v>
      </c>
      <c r="D30" s="81" t="s">
        <v>80</v>
      </c>
      <c r="E30" s="82">
        <f>C30</f>
        <v>2.1483375959079298</v>
      </c>
      <c r="F30" s="82">
        <f t="shared" si="2"/>
        <v>15.25054466230937</v>
      </c>
      <c r="G30" s="83" t="s">
        <v>81</v>
      </c>
      <c r="H30" s="93">
        <v>0.8</v>
      </c>
      <c r="I30" s="92" t="s">
        <v>51</v>
      </c>
      <c r="J30" s="86" t="s">
        <v>66</v>
      </c>
      <c r="K30" s="87">
        <v>80</v>
      </c>
      <c r="L30" s="87">
        <v>75</v>
      </c>
      <c r="M30" s="87">
        <v>70</v>
      </c>
      <c r="N30" s="87">
        <v>50</v>
      </c>
      <c r="O30" s="87" t="s">
        <v>67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92">
        <v>5</v>
      </c>
      <c r="B31" s="81" t="s">
        <v>82</v>
      </c>
      <c r="C31" s="95">
        <f>0.15 *5.72890025575448</f>
        <v>0.85933503836317204</v>
      </c>
      <c r="D31" s="293" t="s">
        <v>83</v>
      </c>
      <c r="E31" s="82">
        <f>C31</f>
        <v>0.85933503836317204</v>
      </c>
      <c r="F31" s="82">
        <f t="shared" si="2"/>
        <v>6.1002178649237484</v>
      </c>
      <c r="G31" s="83" t="s">
        <v>84</v>
      </c>
      <c r="H31" s="84">
        <v>0.7</v>
      </c>
      <c r="I31" s="92" t="s">
        <v>51</v>
      </c>
      <c r="J31" s="86" t="s">
        <v>85</v>
      </c>
      <c r="K31" s="87">
        <v>70</v>
      </c>
      <c r="L31" s="87">
        <v>60</v>
      </c>
      <c r="M31" s="87">
        <v>50</v>
      </c>
      <c r="N31" s="87">
        <v>40</v>
      </c>
      <c r="O31" s="87" t="s">
        <v>86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92">
        <v>6</v>
      </c>
      <c r="B32" s="81" t="s">
        <v>87</v>
      </c>
      <c r="C32" s="95">
        <f>0.15 *7.16112531969309</f>
        <v>1.0741687979539634</v>
      </c>
      <c r="D32" s="83" t="s">
        <v>88</v>
      </c>
      <c r="E32" s="82">
        <f>C32</f>
        <v>1.0741687979539634</v>
      </c>
      <c r="F32" s="82">
        <f t="shared" si="2"/>
        <v>7.6252723311546742</v>
      </c>
      <c r="G32" s="83" t="s">
        <v>89</v>
      </c>
      <c r="H32" s="84">
        <v>0.5</v>
      </c>
      <c r="I32" s="85" t="s">
        <v>51</v>
      </c>
      <c r="J32" s="86" t="s">
        <v>90</v>
      </c>
      <c r="K32" s="87">
        <v>50</v>
      </c>
      <c r="L32" s="87">
        <v>45</v>
      </c>
      <c r="M32" s="87">
        <v>40</v>
      </c>
      <c r="N32" s="87">
        <v>25</v>
      </c>
      <c r="O32" s="87" t="s">
        <v>91</v>
      </c>
      <c r="P32" s="88"/>
      <c r="Q32" s="89">
        <f t="shared" si="0"/>
        <v>0</v>
      </c>
      <c r="R32" s="90">
        <f t="shared" si="1"/>
        <v>0</v>
      </c>
    </row>
    <row r="33" spans="1:18" s="106" customFormat="1" ht="44.25" x14ac:dyDescent="0.25">
      <c r="A33" s="96"/>
      <c r="B33" s="97" t="s">
        <v>92</v>
      </c>
      <c r="C33" s="98">
        <f>SUM(C19:C32)</f>
        <v>14.086956521739134</v>
      </c>
      <c r="D33" s="97"/>
      <c r="E33" s="98">
        <f>SUM(E19:E32)</f>
        <v>14.086956521739138</v>
      </c>
      <c r="F33" s="98">
        <f>SUM(F19:F32)</f>
        <v>99.999999999999986</v>
      </c>
      <c r="G33" s="99"/>
      <c r="H33" s="100"/>
      <c r="I33" s="101"/>
      <c r="J33" s="102"/>
      <c r="K33" s="102"/>
      <c r="L33" s="102"/>
      <c r="M33" s="102"/>
      <c r="N33" s="102"/>
      <c r="O33" s="102"/>
      <c r="P33" s="103"/>
      <c r="Q33" s="104"/>
      <c r="R33" s="105">
        <f>SUM(R19:R32)</f>
        <v>0</v>
      </c>
    </row>
    <row r="34" spans="1:18" s="108" customFormat="1" ht="66" customHeight="1" x14ac:dyDescent="0.7">
      <c r="A34" s="107"/>
      <c r="G34" s="109"/>
      <c r="H34" s="109"/>
      <c r="I34" s="110" t="s">
        <v>142</v>
      </c>
      <c r="J34" s="111"/>
      <c r="K34" s="111"/>
      <c r="L34" s="111"/>
      <c r="M34" s="111"/>
      <c r="N34" s="111"/>
      <c r="O34" s="111"/>
      <c r="P34" s="111"/>
      <c r="Q34" s="112"/>
      <c r="R34" s="113">
        <f>R33/100 * 70</f>
        <v>0</v>
      </c>
    </row>
    <row r="35" spans="1:18" s="122" customFormat="1" ht="36" x14ac:dyDescent="0.55000000000000004">
      <c r="A35" s="114" t="s">
        <v>93</v>
      </c>
      <c r="B35" s="115"/>
      <c r="C35" s="115"/>
      <c r="D35" s="115"/>
      <c r="E35" s="115"/>
      <c r="F35" s="115"/>
      <c r="G35" s="116"/>
      <c r="H35" s="117"/>
      <c r="I35" s="117"/>
      <c r="J35" s="117"/>
      <c r="K35" s="117"/>
      <c r="L35" s="71" t="s">
        <v>98</v>
      </c>
      <c r="M35" s="118" t="s">
        <v>94</v>
      </c>
      <c r="N35" s="118"/>
      <c r="O35" s="118"/>
      <c r="P35" s="119"/>
      <c r="Q35" s="120"/>
      <c r="R35" s="121"/>
    </row>
    <row r="36" spans="1:18" s="122" customFormat="1" ht="31.5" customHeight="1" x14ac:dyDescent="0.55000000000000004">
      <c r="A36" s="123"/>
      <c r="B36" s="124"/>
      <c r="C36" s="125" t="s">
        <v>95</v>
      </c>
      <c r="D36" s="125"/>
      <c r="E36" s="125"/>
      <c r="F36" s="125"/>
      <c r="G36" s="125"/>
      <c r="H36" s="126" t="s">
        <v>143</v>
      </c>
      <c r="I36" s="126" t="s">
        <v>144</v>
      </c>
      <c r="J36" s="126"/>
      <c r="K36" s="127"/>
      <c r="L36" s="79"/>
      <c r="M36" s="128"/>
      <c r="N36" s="128"/>
      <c r="O36" s="128"/>
      <c r="P36" s="129"/>
      <c r="Q36" s="120"/>
      <c r="R36" s="121"/>
    </row>
    <row r="37" spans="1:18" s="122" customFormat="1" ht="36" customHeight="1" x14ac:dyDescent="0.55000000000000004">
      <c r="A37" s="130">
        <v>1</v>
      </c>
      <c r="B37" s="131" t="s">
        <v>99</v>
      </c>
      <c r="C37" s="132"/>
      <c r="D37" s="133"/>
      <c r="E37" s="133"/>
      <c r="F37" s="133"/>
      <c r="G37" s="134"/>
      <c r="H37" s="135"/>
      <c r="I37" s="135"/>
      <c r="J37" s="135"/>
      <c r="K37" s="135"/>
      <c r="L37" s="136"/>
      <c r="M37" s="137" t="s">
        <v>42</v>
      </c>
      <c r="N37" s="138" t="s">
        <v>100</v>
      </c>
      <c r="O37" s="139"/>
      <c r="P37" s="129"/>
      <c r="Q37" s="120"/>
      <c r="R37" s="121"/>
    </row>
    <row r="38" spans="1:18" s="122" customFormat="1" ht="84.75" customHeight="1" x14ac:dyDescent="0.55000000000000004">
      <c r="A38" s="140" t="s">
        <v>101</v>
      </c>
      <c r="B38" s="141" t="s">
        <v>145</v>
      </c>
      <c r="C38" s="142"/>
      <c r="D38" s="143"/>
      <c r="E38" s="143"/>
      <c r="F38" s="143"/>
      <c r="G38" s="144"/>
      <c r="H38" s="145">
        <v>4</v>
      </c>
      <c r="I38" s="146"/>
      <c r="J38" s="145"/>
      <c r="K38" s="145"/>
      <c r="L38" s="136"/>
      <c r="M38" s="137" t="s">
        <v>43</v>
      </c>
      <c r="N38" s="138" t="s">
        <v>102</v>
      </c>
      <c r="O38" s="139"/>
      <c r="P38" s="129"/>
      <c r="Q38" s="120"/>
      <c r="R38" s="121"/>
    </row>
    <row r="39" spans="1:18" s="122" customFormat="1" ht="82.5" customHeight="1" x14ac:dyDescent="0.55000000000000004">
      <c r="A39" s="140" t="s">
        <v>103</v>
      </c>
      <c r="B39" s="141" t="s">
        <v>146</v>
      </c>
      <c r="C39" s="142"/>
      <c r="D39" s="143"/>
      <c r="E39" s="143"/>
      <c r="F39" s="143"/>
      <c r="G39" s="144"/>
      <c r="H39" s="145">
        <v>2</v>
      </c>
      <c r="I39" s="146"/>
      <c r="J39" s="145"/>
      <c r="K39" s="145"/>
      <c r="L39" s="136"/>
      <c r="M39" s="137" t="s">
        <v>44</v>
      </c>
      <c r="N39" s="138" t="s">
        <v>104</v>
      </c>
      <c r="O39" s="139"/>
      <c r="P39" s="129"/>
      <c r="Q39" s="120"/>
      <c r="R39" s="121"/>
    </row>
    <row r="40" spans="1:18" s="122" customFormat="1" ht="78.75" customHeight="1" x14ac:dyDescent="0.55000000000000004">
      <c r="A40" s="140" t="s">
        <v>105</v>
      </c>
      <c r="B40" s="141" t="s">
        <v>106</v>
      </c>
      <c r="C40" s="142"/>
      <c r="D40" s="143"/>
      <c r="E40" s="143"/>
      <c r="F40" s="143"/>
      <c r="G40" s="144"/>
      <c r="H40" s="145">
        <v>2</v>
      </c>
      <c r="I40" s="146"/>
      <c r="J40" s="145"/>
      <c r="K40" s="145"/>
      <c r="L40" s="136"/>
      <c r="M40" s="137" t="s">
        <v>45</v>
      </c>
      <c r="N40" s="138" t="s">
        <v>107</v>
      </c>
      <c r="O40" s="139"/>
      <c r="P40" s="129"/>
      <c r="Q40" s="120"/>
      <c r="R40" s="121"/>
    </row>
    <row r="41" spans="1:18" s="122" customFormat="1" ht="36" x14ac:dyDescent="0.55000000000000004">
      <c r="A41" s="147">
        <v>2</v>
      </c>
      <c r="B41" s="148" t="s">
        <v>108</v>
      </c>
      <c r="C41" s="149"/>
      <c r="D41" s="150"/>
      <c r="E41" s="150"/>
      <c r="F41" s="150"/>
      <c r="G41" s="151"/>
      <c r="H41" s="145"/>
      <c r="I41" s="146"/>
      <c r="J41" s="145"/>
      <c r="K41" s="145"/>
      <c r="L41" s="136"/>
      <c r="M41" s="137" t="s">
        <v>46</v>
      </c>
      <c r="N41" s="138" t="s">
        <v>109</v>
      </c>
      <c r="O41" s="139"/>
      <c r="P41" s="129"/>
      <c r="Q41" s="120"/>
      <c r="R41" s="121"/>
    </row>
    <row r="42" spans="1:18" s="122" customFormat="1" ht="82.5" customHeight="1" x14ac:dyDescent="0.55000000000000004">
      <c r="A42" s="140" t="s">
        <v>101</v>
      </c>
      <c r="B42" s="152" t="s">
        <v>147</v>
      </c>
      <c r="C42" s="153"/>
      <c r="D42" s="154"/>
      <c r="E42" s="154"/>
      <c r="F42" s="154"/>
      <c r="G42" s="155"/>
      <c r="H42" s="145">
        <v>2</v>
      </c>
      <c r="I42" s="146"/>
      <c r="J42" s="145"/>
      <c r="K42" s="145"/>
      <c r="L42" s="136"/>
      <c r="M42" s="137" t="s">
        <v>47</v>
      </c>
      <c r="N42" s="138" t="s">
        <v>110</v>
      </c>
      <c r="O42" s="139"/>
      <c r="P42" s="156"/>
      <c r="Q42" s="120"/>
      <c r="R42" s="121"/>
    </row>
    <row r="43" spans="1:18" s="122" customFormat="1" ht="114.75" customHeight="1" x14ac:dyDescent="0.55000000000000004">
      <c r="A43" s="140" t="s">
        <v>103</v>
      </c>
      <c r="B43" s="152" t="s">
        <v>148</v>
      </c>
      <c r="C43" s="153"/>
      <c r="D43" s="154"/>
      <c r="E43" s="154"/>
      <c r="F43" s="154"/>
      <c r="G43" s="155"/>
      <c r="H43" s="145">
        <v>2</v>
      </c>
      <c r="I43" s="146"/>
      <c r="J43" s="145"/>
      <c r="K43" s="145"/>
      <c r="L43" s="136"/>
      <c r="M43" s="129" t="s">
        <v>98</v>
      </c>
      <c r="N43" s="157" t="s">
        <v>111</v>
      </c>
      <c r="O43" s="158"/>
      <c r="P43" s="156"/>
      <c r="Q43" s="120"/>
      <c r="R43" s="121"/>
    </row>
    <row r="44" spans="1:18" s="122" customFormat="1" ht="72" customHeight="1" x14ac:dyDescent="0.55000000000000004">
      <c r="A44" s="140" t="s">
        <v>105</v>
      </c>
      <c r="B44" s="152" t="s">
        <v>149</v>
      </c>
      <c r="C44" s="153"/>
      <c r="D44" s="154"/>
      <c r="E44" s="154"/>
      <c r="F44" s="154"/>
      <c r="G44" s="155"/>
      <c r="H44" s="145">
        <v>2</v>
      </c>
      <c r="I44" s="146"/>
      <c r="J44" s="145"/>
      <c r="K44" s="145"/>
      <c r="L44" s="136"/>
      <c r="M44" s="129" t="s">
        <v>112</v>
      </c>
      <c r="N44" s="157" t="s">
        <v>113</v>
      </c>
      <c r="O44" s="158"/>
      <c r="P44" s="156"/>
      <c r="Q44" s="120"/>
      <c r="R44" s="121"/>
    </row>
    <row r="45" spans="1:18" s="122" customFormat="1" ht="66" customHeight="1" x14ac:dyDescent="0.55000000000000004">
      <c r="A45" s="147">
        <v>3</v>
      </c>
      <c r="B45" s="148" t="s">
        <v>114</v>
      </c>
      <c r="C45" s="149"/>
      <c r="D45" s="150"/>
      <c r="E45" s="150"/>
      <c r="F45" s="150"/>
      <c r="G45" s="151"/>
      <c r="H45" s="145"/>
      <c r="I45" s="146"/>
      <c r="J45" s="145"/>
      <c r="K45" s="145"/>
      <c r="L45" s="136"/>
      <c r="M45" s="129" t="s">
        <v>96</v>
      </c>
      <c r="N45" s="157" t="s">
        <v>115</v>
      </c>
      <c r="O45" s="158"/>
      <c r="P45" s="156"/>
      <c r="Q45" s="120"/>
      <c r="R45" s="121"/>
    </row>
    <row r="46" spans="1:18" s="122" customFormat="1" ht="72" customHeight="1" x14ac:dyDescent="0.55000000000000004">
      <c r="A46" s="140" t="s">
        <v>101</v>
      </c>
      <c r="B46" s="152" t="s">
        <v>116</v>
      </c>
      <c r="C46" s="159"/>
      <c r="D46" s="160"/>
      <c r="E46" s="160"/>
      <c r="F46" s="160"/>
      <c r="G46" s="161"/>
      <c r="H46" s="145">
        <v>2</v>
      </c>
      <c r="I46" s="146"/>
      <c r="J46" s="145"/>
      <c r="K46" s="145"/>
      <c r="L46" s="136"/>
      <c r="M46" s="129" t="s">
        <v>97</v>
      </c>
      <c r="N46" s="157" t="s">
        <v>117</v>
      </c>
      <c r="O46" s="158"/>
      <c r="P46" s="156"/>
      <c r="Q46" s="120"/>
      <c r="R46" s="121"/>
    </row>
    <row r="47" spans="1:18" s="122" customFormat="1" ht="72" customHeight="1" x14ac:dyDescent="0.55000000000000004">
      <c r="A47" s="140" t="s">
        <v>103</v>
      </c>
      <c r="B47" s="152" t="s">
        <v>150</v>
      </c>
      <c r="C47" s="159"/>
      <c r="D47" s="160"/>
      <c r="E47" s="160"/>
      <c r="F47" s="160"/>
      <c r="G47" s="161"/>
      <c r="H47" s="145">
        <v>2</v>
      </c>
      <c r="I47" s="146"/>
      <c r="J47" s="145"/>
      <c r="K47" s="145"/>
      <c r="L47" s="136"/>
      <c r="M47" s="129" t="s">
        <v>118</v>
      </c>
      <c r="N47" s="157" t="s">
        <v>119</v>
      </c>
      <c r="O47" s="158"/>
      <c r="P47" s="156"/>
      <c r="Q47" s="120"/>
      <c r="R47" s="121"/>
    </row>
    <row r="48" spans="1:18" s="122" customFormat="1" ht="44.25" customHeight="1" x14ac:dyDescent="0.55000000000000004">
      <c r="A48" s="140" t="s">
        <v>105</v>
      </c>
      <c r="B48" s="152" t="s">
        <v>151</v>
      </c>
      <c r="C48" s="159"/>
      <c r="D48" s="160"/>
      <c r="E48" s="160"/>
      <c r="F48" s="160"/>
      <c r="G48" s="161"/>
      <c r="H48" s="145">
        <v>2</v>
      </c>
      <c r="I48" s="146"/>
      <c r="J48" s="145"/>
      <c r="K48" s="145"/>
      <c r="L48" s="136"/>
      <c r="M48" s="162"/>
      <c r="N48" s="162"/>
      <c r="O48" s="162"/>
      <c r="P48" s="163"/>
      <c r="Q48" s="120"/>
      <c r="R48" s="121"/>
    </row>
    <row r="49" spans="1:18" s="122" customFormat="1" ht="31.5" customHeight="1" x14ac:dyDescent="0.55000000000000004">
      <c r="A49" s="164" t="s">
        <v>120</v>
      </c>
      <c r="B49" s="165"/>
      <c r="C49" s="165"/>
      <c r="D49" s="165"/>
      <c r="E49" s="165"/>
      <c r="F49" s="165"/>
      <c r="G49" s="165"/>
      <c r="H49" s="166">
        <f>SUM(H38:H48)</f>
        <v>20</v>
      </c>
      <c r="I49" s="166">
        <f>SUM(I38:I48)</f>
        <v>0</v>
      </c>
      <c r="J49" s="166"/>
      <c r="K49" s="167"/>
      <c r="L49" s="136"/>
      <c r="M49" s="162"/>
      <c r="N49" s="162"/>
      <c r="O49" s="162"/>
      <c r="P49" s="163"/>
      <c r="Q49" s="120"/>
      <c r="R49" s="121"/>
    </row>
    <row r="50" spans="1:18" s="122" customFormat="1" ht="36" customHeight="1" x14ac:dyDescent="0.55000000000000004">
      <c r="A50" s="168" t="s">
        <v>101</v>
      </c>
      <c r="B50" s="169" t="s">
        <v>121</v>
      </c>
      <c r="C50" s="153" t="s">
        <v>122</v>
      </c>
      <c r="D50" s="154"/>
      <c r="E50" s="154"/>
      <c r="F50" s="154"/>
      <c r="G50" s="155"/>
      <c r="H50" s="170">
        <v>4</v>
      </c>
      <c r="I50" s="171"/>
      <c r="J50" s="170"/>
      <c r="K50" s="172"/>
      <c r="L50" s="136"/>
      <c r="M50" s="162"/>
      <c r="N50" s="162"/>
      <c r="O50" s="162"/>
      <c r="P50" s="163"/>
      <c r="Q50" s="120"/>
      <c r="R50" s="121"/>
    </row>
    <row r="51" spans="1:18" s="122" customFormat="1" ht="129" customHeight="1" x14ac:dyDescent="0.55000000000000004">
      <c r="A51" s="168" t="s">
        <v>103</v>
      </c>
      <c r="B51" s="169" t="s">
        <v>123</v>
      </c>
      <c r="C51" s="153" t="s">
        <v>124</v>
      </c>
      <c r="D51" s="154"/>
      <c r="E51" s="154"/>
      <c r="F51" s="154"/>
      <c r="G51" s="155"/>
      <c r="H51" s="170">
        <v>3</v>
      </c>
      <c r="I51" s="171"/>
      <c r="J51" s="170"/>
      <c r="K51" s="172"/>
      <c r="L51" s="136"/>
      <c r="M51" s="162"/>
      <c r="N51" s="162"/>
      <c r="O51" s="162"/>
      <c r="P51" s="163"/>
      <c r="Q51" s="120"/>
      <c r="R51" s="121"/>
    </row>
    <row r="52" spans="1:18" s="122" customFormat="1" ht="69" customHeight="1" x14ac:dyDescent="0.55000000000000004">
      <c r="A52" s="168" t="s">
        <v>103</v>
      </c>
      <c r="B52" s="169" t="s">
        <v>125</v>
      </c>
      <c r="C52" s="153" t="s">
        <v>126</v>
      </c>
      <c r="D52" s="154"/>
      <c r="E52" s="154"/>
      <c r="F52" s="154"/>
      <c r="G52" s="155"/>
      <c r="H52" s="170">
        <v>3</v>
      </c>
      <c r="I52" s="171"/>
      <c r="J52" s="170"/>
      <c r="K52" s="172"/>
      <c r="L52" s="136"/>
      <c r="M52" s="162"/>
      <c r="N52" s="162"/>
      <c r="O52" s="162"/>
      <c r="P52" s="163"/>
      <c r="Q52" s="120"/>
      <c r="R52" s="121"/>
    </row>
    <row r="53" spans="1:18" s="122" customFormat="1" ht="46.5" customHeight="1" x14ac:dyDescent="0.55000000000000004">
      <c r="A53" s="173"/>
      <c r="B53" s="174" t="s">
        <v>127</v>
      </c>
      <c r="C53" s="174"/>
      <c r="D53" s="174"/>
      <c r="E53" s="175"/>
      <c r="F53" s="175"/>
      <c r="G53" s="175"/>
      <c r="H53" s="166">
        <f>SUM(H50:H52)</f>
        <v>10</v>
      </c>
      <c r="I53" s="166">
        <f>SUM(I50:I52)</f>
        <v>0</v>
      </c>
      <c r="J53" s="175"/>
      <c r="K53" s="176"/>
      <c r="L53" s="162"/>
      <c r="M53" s="162"/>
      <c r="N53" s="162"/>
      <c r="O53" s="162"/>
      <c r="P53" s="163"/>
      <c r="Q53" s="120"/>
      <c r="R53" s="121"/>
    </row>
    <row r="54" spans="1:18" s="184" customFormat="1" ht="45" customHeight="1" x14ac:dyDescent="0.7">
      <c r="A54" s="177"/>
      <c r="B54" s="178"/>
      <c r="C54" s="179"/>
      <c r="D54" s="179"/>
      <c r="E54" s="179"/>
      <c r="F54" s="180"/>
      <c r="G54" s="180"/>
      <c r="H54" s="180"/>
      <c r="I54" s="180"/>
      <c r="J54" s="180"/>
      <c r="K54" s="179"/>
      <c r="L54" s="179"/>
      <c r="M54" s="179"/>
      <c r="N54" s="179"/>
      <c r="O54" s="181" t="s">
        <v>152</v>
      </c>
      <c r="P54" s="182"/>
      <c r="Q54" s="181" t="s">
        <v>153</v>
      </c>
      <c r="R54" s="183"/>
    </row>
    <row r="55" spans="1:18" s="184" customFormat="1" ht="45" customHeight="1" x14ac:dyDescent="0.7">
      <c r="A55" s="177"/>
      <c r="B55" s="185"/>
      <c r="C55" s="186" t="s">
        <v>154</v>
      </c>
      <c r="D55" s="187"/>
      <c r="E55" s="187"/>
      <c r="F55" s="187"/>
      <c r="G55" s="187"/>
      <c r="H55" s="187"/>
      <c r="I55" s="187"/>
      <c r="J55" s="187"/>
      <c r="K55" s="188"/>
      <c r="L55" s="189"/>
      <c r="M55" s="190"/>
      <c r="N55" s="191"/>
      <c r="O55" s="192">
        <f>R34</f>
        <v>0</v>
      </c>
      <c r="P55" s="193"/>
      <c r="Q55" s="194">
        <f>O58/100 * 20</f>
        <v>0</v>
      </c>
      <c r="R55" s="195"/>
    </row>
    <row r="56" spans="1:18" s="184" customFormat="1" ht="45" customHeight="1" x14ac:dyDescent="0.7">
      <c r="A56" s="177"/>
      <c r="B56" s="185"/>
      <c r="C56" s="187" t="s">
        <v>155</v>
      </c>
      <c r="D56" s="187"/>
      <c r="E56" s="187"/>
      <c r="F56" s="187"/>
      <c r="G56" s="187"/>
      <c r="H56" s="187"/>
      <c r="I56" s="187"/>
      <c r="J56" s="187"/>
      <c r="K56" s="187"/>
      <c r="L56" s="190"/>
      <c r="M56" s="190"/>
      <c r="N56" s="191"/>
      <c r="O56" s="192">
        <f>I49</f>
        <v>0</v>
      </c>
      <c r="P56" s="193"/>
      <c r="Q56" s="196"/>
      <c r="R56" s="197"/>
    </row>
    <row r="57" spans="1:18" s="184" customFormat="1" ht="45" customHeight="1" x14ac:dyDescent="0.7">
      <c r="A57" s="177"/>
      <c r="B57" s="185"/>
      <c r="C57" s="186" t="s">
        <v>156</v>
      </c>
      <c r="D57" s="187"/>
      <c r="E57" s="187"/>
      <c r="F57" s="187"/>
      <c r="G57" s="187"/>
      <c r="H57" s="187"/>
      <c r="I57" s="187"/>
      <c r="J57" s="187"/>
      <c r="K57" s="188"/>
      <c r="L57" s="189"/>
      <c r="M57" s="190"/>
      <c r="N57" s="191"/>
      <c r="O57" s="192">
        <f>I53</f>
        <v>0</v>
      </c>
      <c r="P57" s="193"/>
      <c r="Q57" s="196"/>
      <c r="R57" s="197"/>
    </row>
    <row r="58" spans="1:18" s="184" customFormat="1" ht="45" customHeight="1" x14ac:dyDescent="0.7">
      <c r="A58" s="177"/>
      <c r="B58" s="198"/>
      <c r="C58" s="186" t="s">
        <v>157</v>
      </c>
      <c r="D58" s="187"/>
      <c r="E58" s="187"/>
      <c r="F58" s="187"/>
      <c r="G58" s="187"/>
      <c r="H58" s="187"/>
      <c r="I58" s="187"/>
      <c r="J58" s="187"/>
      <c r="K58" s="188"/>
      <c r="L58" s="189"/>
      <c r="M58" s="190"/>
      <c r="N58" s="191"/>
      <c r="O58" s="192">
        <f>SUM(O55:P57)</f>
        <v>0</v>
      </c>
      <c r="P58" s="193"/>
      <c r="Q58" s="199"/>
      <c r="R58" s="200"/>
    </row>
    <row r="59" spans="1:18" s="184" customFormat="1" ht="64.900000000000006" customHeight="1" x14ac:dyDescent="0.7">
      <c r="A59" s="177"/>
      <c r="B59" s="201" t="s">
        <v>158</v>
      </c>
      <c r="C59" s="201"/>
      <c r="D59" s="201"/>
      <c r="E59" s="201"/>
      <c r="F59" s="201"/>
      <c r="G59" s="201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3"/>
    </row>
    <row r="60" spans="1:18" s="184" customFormat="1" ht="64.900000000000006" customHeight="1" x14ac:dyDescent="0.7">
      <c r="A60" s="177"/>
      <c r="B60" s="204" t="s">
        <v>159</v>
      </c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5"/>
    </row>
    <row r="61" spans="1:18" s="184" customFormat="1" ht="48.75" customHeight="1" x14ac:dyDescent="0.7">
      <c r="A61" s="177"/>
      <c r="B61" s="206" t="s">
        <v>160</v>
      </c>
      <c r="C61" s="206"/>
      <c r="D61" s="206"/>
      <c r="E61" s="206"/>
      <c r="F61" s="206"/>
      <c r="G61" s="206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8"/>
    </row>
    <row r="62" spans="1:18" s="184" customFormat="1" ht="45.75" x14ac:dyDescent="0.7">
      <c r="A62" s="177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5"/>
    </row>
    <row r="63" spans="1:18" s="122" customFormat="1" ht="31.5" customHeight="1" x14ac:dyDescent="0.55000000000000004">
      <c r="A63" s="209" t="s">
        <v>161</v>
      </c>
      <c r="B63" s="210"/>
      <c r="C63" s="211"/>
      <c r="D63" s="212"/>
      <c r="E63" s="213" t="s">
        <v>162</v>
      </c>
      <c r="F63" s="214"/>
      <c r="G63" s="210" t="s">
        <v>163</v>
      </c>
      <c r="H63" s="211"/>
      <c r="I63" s="211"/>
      <c r="J63" s="211"/>
      <c r="K63" s="215"/>
      <c r="L63" s="136"/>
      <c r="M63" s="216"/>
      <c r="N63" s="216"/>
      <c r="O63" s="216"/>
      <c r="P63" s="216"/>
      <c r="Q63" s="216"/>
      <c r="R63" s="121"/>
    </row>
    <row r="64" spans="1:18" s="122" customFormat="1" ht="31.5" customHeight="1" x14ac:dyDescent="0.55000000000000004">
      <c r="A64" s="217"/>
      <c r="B64" s="218"/>
      <c r="C64" s="219"/>
      <c r="D64" s="220"/>
      <c r="E64" s="221"/>
      <c r="F64" s="222"/>
      <c r="G64" s="218"/>
      <c r="H64" s="219"/>
      <c r="I64" s="219"/>
      <c r="J64" s="219"/>
      <c r="K64" s="215"/>
      <c r="L64" s="136"/>
      <c r="M64" s="223"/>
      <c r="N64" s="223"/>
      <c r="O64" s="223"/>
      <c r="P64" s="223"/>
      <c r="Q64" s="223"/>
      <c r="R64" s="121"/>
    </row>
    <row r="65" spans="1:18" s="122" customFormat="1" ht="31.5" customHeight="1" x14ac:dyDescent="0.55000000000000004">
      <c r="A65" s="217"/>
      <c r="B65" s="218"/>
      <c r="C65" s="219"/>
      <c r="D65" s="220"/>
      <c r="E65" s="221"/>
      <c r="F65" s="222"/>
      <c r="G65" s="218"/>
      <c r="H65" s="219"/>
      <c r="I65" s="219"/>
      <c r="J65" s="219"/>
      <c r="K65" s="215"/>
      <c r="L65" s="136"/>
      <c r="M65" s="223"/>
      <c r="N65" s="223"/>
      <c r="O65" s="223"/>
      <c r="P65" s="223"/>
      <c r="Q65" s="223"/>
      <c r="R65" s="121"/>
    </row>
    <row r="66" spans="1:18" s="122" customFormat="1" ht="31.5" customHeight="1" x14ac:dyDescent="0.55000000000000004">
      <c r="A66" s="224"/>
      <c r="B66" s="225"/>
      <c r="C66" s="226"/>
      <c r="D66" s="227"/>
      <c r="E66" s="228"/>
      <c r="F66" s="229"/>
      <c r="G66" s="225"/>
      <c r="H66" s="226"/>
      <c r="I66" s="226"/>
      <c r="J66" s="226"/>
      <c r="K66" s="215"/>
      <c r="L66" s="136"/>
      <c r="M66" s="223"/>
      <c r="N66" s="223"/>
      <c r="O66" s="223"/>
      <c r="P66" s="223"/>
      <c r="Q66" s="223"/>
      <c r="R66" s="121"/>
    </row>
    <row r="67" spans="1:18" s="122" customFormat="1" ht="31.5" customHeight="1" x14ac:dyDescent="0.55000000000000004">
      <c r="A67" s="230" t="s">
        <v>128</v>
      </c>
      <c r="B67" s="231"/>
      <c r="C67" s="211"/>
      <c r="D67" s="212"/>
      <c r="E67" s="232" t="s">
        <v>164</v>
      </c>
      <c r="F67" s="214"/>
      <c r="G67" s="231" t="s">
        <v>164</v>
      </c>
      <c r="H67" s="211"/>
      <c r="I67" s="211"/>
      <c r="J67" s="211"/>
      <c r="K67" s="215"/>
      <c r="L67" s="136"/>
      <c r="M67" s="223"/>
      <c r="N67" s="223"/>
      <c r="O67" s="223"/>
      <c r="P67" s="223"/>
      <c r="Q67" s="223"/>
      <c r="R67" s="121"/>
    </row>
    <row r="68" spans="1:18" s="122" customFormat="1" ht="31.5" customHeight="1" x14ac:dyDescent="0.55000000000000004">
      <c r="A68" s="233"/>
      <c r="B68" s="234"/>
      <c r="C68" s="219"/>
      <c r="D68" s="220"/>
      <c r="E68" s="235"/>
      <c r="F68" s="222"/>
      <c r="G68" s="234"/>
      <c r="H68" s="219"/>
      <c r="I68" s="219"/>
      <c r="J68" s="219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33"/>
      <c r="B69" s="234"/>
      <c r="C69" s="226"/>
      <c r="D69" s="227"/>
      <c r="E69" s="236"/>
      <c r="F69" s="229"/>
      <c r="G69" s="237"/>
      <c r="H69" s="226"/>
      <c r="I69" s="226"/>
      <c r="J69" s="226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17" t="s">
        <v>129</v>
      </c>
      <c r="B70" s="218"/>
      <c r="C70" s="211"/>
      <c r="D70" s="212"/>
      <c r="E70" s="213" t="s">
        <v>165</v>
      </c>
      <c r="F70" s="214"/>
      <c r="G70" s="210" t="s">
        <v>165</v>
      </c>
      <c r="H70" s="211"/>
      <c r="I70" s="211"/>
      <c r="J70" s="211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17"/>
      <c r="B71" s="218"/>
      <c r="C71" s="226"/>
      <c r="D71" s="227"/>
      <c r="E71" s="228"/>
      <c r="F71" s="229"/>
      <c r="G71" s="225"/>
      <c r="H71" s="226"/>
      <c r="I71" s="226"/>
      <c r="J71" s="226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thickBot="1" x14ac:dyDescent="0.6">
      <c r="A72" s="238"/>
      <c r="B72" s="239"/>
      <c r="C72" s="239"/>
      <c r="D72" s="239"/>
      <c r="E72" s="239"/>
      <c r="F72" s="239"/>
      <c r="G72" s="239"/>
      <c r="H72" s="239"/>
      <c r="I72" s="239"/>
      <c r="J72" s="239"/>
      <c r="K72" s="240"/>
      <c r="L72" s="241"/>
      <c r="M72" s="242"/>
      <c r="N72" s="242"/>
      <c r="O72" s="242"/>
      <c r="P72" s="242"/>
      <c r="Q72" s="242"/>
      <c r="R72" s="243"/>
    </row>
  </sheetData>
  <mergeCells count="112">
    <mergeCell ref="A72:J72"/>
    <mergeCell ref="A19:A23"/>
    <mergeCell ref="B19:B23"/>
    <mergeCell ref="C19:C23"/>
    <mergeCell ref="A24:A27"/>
    <mergeCell ref="B24:B27"/>
    <mergeCell ref="C24:C27"/>
    <mergeCell ref="A28:A29"/>
    <mergeCell ref="B28:B29"/>
    <mergeCell ref="C28:C29"/>
    <mergeCell ref="A70:B71"/>
    <mergeCell ref="C70:D71"/>
    <mergeCell ref="E70:E71"/>
    <mergeCell ref="F70:F71"/>
    <mergeCell ref="G70:G71"/>
    <mergeCell ref="H70:J71"/>
    <mergeCell ref="A67:B69"/>
    <mergeCell ref="C67:D69"/>
    <mergeCell ref="E67:E69"/>
    <mergeCell ref="F67:F69"/>
    <mergeCell ref="G67:G69"/>
    <mergeCell ref="H67:J69"/>
    <mergeCell ref="B60:R60"/>
    <mergeCell ref="B61:G61"/>
    <mergeCell ref="B62:R62"/>
    <mergeCell ref="A63:B66"/>
    <mergeCell ref="C63:D66"/>
    <mergeCell ref="E63:E66"/>
    <mergeCell ref="F63:F66"/>
    <mergeCell ref="G63:G66"/>
    <mergeCell ref="H63:J66"/>
    <mergeCell ref="M63:Q72"/>
    <mergeCell ref="L57:N57"/>
    <mergeCell ref="O57:P57"/>
    <mergeCell ref="C58:K58"/>
    <mergeCell ref="L58:N58"/>
    <mergeCell ref="O58:P58"/>
    <mergeCell ref="B59:G59"/>
    <mergeCell ref="O54:P54"/>
    <mergeCell ref="Q54:R54"/>
    <mergeCell ref="C55:K55"/>
    <mergeCell ref="L55:N55"/>
    <mergeCell ref="O55:P55"/>
    <mergeCell ref="Q55:R58"/>
    <mergeCell ref="C56:K56"/>
    <mergeCell ref="L56:N56"/>
    <mergeCell ref="O56:P56"/>
    <mergeCell ref="C57:K57"/>
    <mergeCell ref="A49:G49"/>
    <mergeCell ref="C50:G50"/>
    <mergeCell ref="C51:G51"/>
    <mergeCell ref="C52:G52"/>
    <mergeCell ref="B53:D53"/>
    <mergeCell ref="B54:B58"/>
    <mergeCell ref="F54:J54"/>
    <mergeCell ref="C43:G43"/>
    <mergeCell ref="C44:G44"/>
    <mergeCell ref="C45:G45"/>
    <mergeCell ref="C46:G46"/>
    <mergeCell ref="C47:G47"/>
    <mergeCell ref="C48:G48"/>
    <mergeCell ref="C40:G40"/>
    <mergeCell ref="N40:O40"/>
    <mergeCell ref="C41:G41"/>
    <mergeCell ref="N41:O41"/>
    <mergeCell ref="C42:G42"/>
    <mergeCell ref="N42:O42"/>
    <mergeCell ref="C37:G37"/>
    <mergeCell ref="N37:O37"/>
    <mergeCell ref="C38:G38"/>
    <mergeCell ref="N38:O38"/>
    <mergeCell ref="C39:G39"/>
    <mergeCell ref="N39:O39"/>
    <mergeCell ref="R17:R18"/>
    <mergeCell ref="I34:Q34"/>
    <mergeCell ref="A35:G35"/>
    <mergeCell ref="H35:K35"/>
    <mergeCell ref="L35:L36"/>
    <mergeCell ref="C36:G36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9DAE604D-D8F3-4A0C-8DCD-9551FB7C3BE5}"/>
    <hyperlink ref="E8" r:id="rId2" xr:uid="{D4A7AFE2-972F-427D-B33D-F02C870C7BC9}"/>
  </hyperlinks>
  <pageMargins left="0.7" right="0.7" top="0.75" bottom="0.75" header="0.3" footer="0.3"/>
  <pageSetup scale="14" fitToHeight="0"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54D2-6175-47A5-9F15-D745154BB422}">
  <sheetPr>
    <pageSetUpPr fitToPage="1"/>
  </sheetPr>
  <dimension ref="A1:R72"/>
  <sheetViews>
    <sheetView zoomScale="30" zoomScaleNormal="30" workbookViewId="0">
      <selection activeCell="A19" sqref="A19:O32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168</v>
      </c>
      <c r="C5" s="16" t="s">
        <v>2</v>
      </c>
      <c r="D5" s="17" t="s">
        <v>169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/>
      <c r="H7" s="250" t="s">
        <v>9</v>
      </c>
      <c r="I7" s="252" t="s">
        <v>10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11</v>
      </c>
      <c r="B8" s="256"/>
      <c r="C8" s="257">
        <v>88650</v>
      </c>
      <c r="D8" s="258" t="s">
        <v>12</v>
      </c>
      <c r="E8" s="259" t="s">
        <v>13</v>
      </c>
      <c r="F8" s="258" t="s">
        <v>14</v>
      </c>
      <c r="G8" s="260" t="s">
        <v>15</v>
      </c>
      <c r="H8" s="258" t="s">
        <v>16</v>
      </c>
      <c r="I8" s="261" t="s">
        <v>17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19</v>
      </c>
      <c r="D10" s="266" t="s">
        <v>6</v>
      </c>
      <c r="E10" s="265" t="s">
        <v>20</v>
      </c>
      <c r="F10" s="266" t="s">
        <v>8</v>
      </c>
      <c r="G10" s="267" t="s">
        <v>21</v>
      </c>
      <c r="H10" s="266" t="s">
        <v>9</v>
      </c>
      <c r="I10" s="268" t="s">
        <v>22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11</v>
      </c>
      <c r="B11" s="272"/>
      <c r="C11" s="273">
        <v>64218</v>
      </c>
      <c r="D11" s="274" t="s">
        <v>12</v>
      </c>
      <c r="E11" s="275" t="s">
        <v>23</v>
      </c>
      <c r="F11" s="274" t="s">
        <v>14</v>
      </c>
      <c r="G11" s="276" t="s">
        <v>24</v>
      </c>
      <c r="H11" s="274" t="s">
        <v>16</v>
      </c>
      <c r="I11" s="277" t="s">
        <v>17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25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26</v>
      </c>
      <c r="D13" s="36" t="s">
        <v>6</v>
      </c>
      <c r="E13" s="35" t="s">
        <v>27</v>
      </c>
      <c r="F13" s="37" t="s">
        <v>8</v>
      </c>
      <c r="G13" s="38" t="s">
        <v>28</v>
      </c>
      <c r="H13" s="36" t="s">
        <v>9</v>
      </c>
      <c r="I13" s="39" t="s">
        <v>29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79" t="s">
        <v>30</v>
      </c>
      <c r="F14" s="46" t="s">
        <v>14</v>
      </c>
      <c r="G14" s="280"/>
      <c r="H14" s="45" t="s">
        <v>16</v>
      </c>
      <c r="I14" s="47" t="s">
        <v>31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32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33</v>
      </c>
      <c r="B17" s="64" t="s">
        <v>34</v>
      </c>
      <c r="C17" s="65" t="s">
        <v>35</v>
      </c>
      <c r="D17" s="65" t="s">
        <v>36</v>
      </c>
      <c r="E17" s="65" t="s">
        <v>35</v>
      </c>
      <c r="F17" s="66" t="s">
        <v>37</v>
      </c>
      <c r="G17" s="66" t="s">
        <v>38</v>
      </c>
      <c r="H17" s="67" t="s">
        <v>39</v>
      </c>
      <c r="I17" s="66" t="s">
        <v>40</v>
      </c>
      <c r="J17" s="68" t="s">
        <v>41</v>
      </c>
      <c r="K17" s="69"/>
      <c r="L17" s="69"/>
      <c r="M17" s="69"/>
      <c r="N17" s="69"/>
      <c r="O17" s="70"/>
      <c r="P17" s="71" t="s">
        <v>133</v>
      </c>
      <c r="Q17" s="71" t="s">
        <v>134</v>
      </c>
      <c r="R17" s="72" t="s">
        <v>135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136</v>
      </c>
      <c r="K18" s="78" t="s">
        <v>137</v>
      </c>
      <c r="L18" s="78" t="s">
        <v>138</v>
      </c>
      <c r="M18" s="77" t="s">
        <v>139</v>
      </c>
      <c r="N18" s="77" t="s">
        <v>140</v>
      </c>
      <c r="O18" s="77" t="s">
        <v>141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48</v>
      </c>
      <c r="C19" s="283">
        <f>0.15 *8.59335038363171</f>
        <v>1.2890025575447566</v>
      </c>
      <c r="D19" s="81" t="s">
        <v>49</v>
      </c>
      <c r="E19" s="82">
        <f>C19/5</f>
        <v>0.25780051150895134</v>
      </c>
      <c r="F19" s="82">
        <f>E19/$E$33* 100</f>
        <v>1.8300653594771226</v>
      </c>
      <c r="G19" s="83" t="s">
        <v>50</v>
      </c>
      <c r="H19" s="84">
        <v>1</v>
      </c>
      <c r="I19" s="85" t="s">
        <v>51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52</v>
      </c>
      <c r="P19" s="88"/>
      <c r="Q19" s="89">
        <f t="shared" ref="Q19:Q32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2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53</v>
      </c>
      <c r="E20" s="82">
        <f>C19/5</f>
        <v>0.25780051150895134</v>
      </c>
      <c r="F20" s="82">
        <f t="shared" ref="F20:F32" si="2">E20/$E$33* 100</f>
        <v>1.8300653594771226</v>
      </c>
      <c r="G20" s="83" t="s">
        <v>54</v>
      </c>
      <c r="H20" s="84">
        <v>1</v>
      </c>
      <c r="I20" s="85" t="s">
        <v>51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52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55</v>
      </c>
      <c r="E21" s="82">
        <f>C19/5</f>
        <v>0.25780051150895134</v>
      </c>
      <c r="F21" s="82">
        <f t="shared" si="2"/>
        <v>1.8300653594771226</v>
      </c>
      <c r="G21" s="83" t="s">
        <v>56</v>
      </c>
      <c r="H21" s="84">
        <v>1</v>
      </c>
      <c r="I21" s="85" t="s">
        <v>51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52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57</v>
      </c>
      <c r="E22" s="82">
        <f>C19/5</f>
        <v>0.25780051150895134</v>
      </c>
      <c r="F22" s="82">
        <f t="shared" si="2"/>
        <v>1.8300653594771226</v>
      </c>
      <c r="G22" s="83" t="s">
        <v>58</v>
      </c>
      <c r="H22" s="92">
        <v>5</v>
      </c>
      <c r="I22" s="85" t="s">
        <v>59</v>
      </c>
      <c r="J22" s="86" t="s">
        <v>60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61</v>
      </c>
      <c r="E23" s="82">
        <f>C19/5</f>
        <v>0.25780051150895134</v>
      </c>
      <c r="F23" s="82">
        <f t="shared" si="2"/>
        <v>1.8300653594771226</v>
      </c>
      <c r="G23" s="83" t="s">
        <v>62</v>
      </c>
      <c r="H23" s="84">
        <v>1</v>
      </c>
      <c r="I23" s="85" t="s">
        <v>51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52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63</v>
      </c>
      <c r="C24" s="283">
        <f>0.15 *57.2122762148338</f>
        <v>8.5818414322250689</v>
      </c>
      <c r="D24" s="94" t="s">
        <v>64</v>
      </c>
      <c r="E24" s="82">
        <f>C24/4</f>
        <v>2.1454603580562672</v>
      </c>
      <c r="F24" s="82">
        <f t="shared" si="2"/>
        <v>15.23011982570806</v>
      </c>
      <c r="G24" s="83" t="s">
        <v>65</v>
      </c>
      <c r="H24" s="93">
        <v>0.8</v>
      </c>
      <c r="I24" s="92" t="s">
        <v>51</v>
      </c>
      <c r="J24" s="86" t="s">
        <v>66</v>
      </c>
      <c r="K24" s="87">
        <v>80</v>
      </c>
      <c r="L24" s="87">
        <v>75</v>
      </c>
      <c r="M24" s="87">
        <v>70</v>
      </c>
      <c r="N24" s="87">
        <v>50</v>
      </c>
      <c r="O24" s="87" t="s">
        <v>67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4"/>
      <c r="B25" s="285"/>
      <c r="C25" s="286"/>
      <c r="D25" s="81" t="s">
        <v>68</v>
      </c>
      <c r="E25" s="82">
        <f>C24/4</f>
        <v>2.1454603580562672</v>
      </c>
      <c r="F25" s="82">
        <f t="shared" si="2"/>
        <v>15.23011982570806</v>
      </c>
      <c r="G25" s="83" t="s">
        <v>69</v>
      </c>
      <c r="H25" s="93">
        <v>0.8</v>
      </c>
      <c r="I25" s="92" t="s">
        <v>51</v>
      </c>
      <c r="J25" s="86" t="s">
        <v>66</v>
      </c>
      <c r="K25" s="87">
        <v>80</v>
      </c>
      <c r="L25" s="87">
        <v>75</v>
      </c>
      <c r="M25" s="87">
        <v>70</v>
      </c>
      <c r="N25" s="87">
        <v>50</v>
      </c>
      <c r="O25" s="87" t="s">
        <v>67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4"/>
      <c r="B26" s="285"/>
      <c r="C26" s="286"/>
      <c r="D26" s="81" t="s">
        <v>70</v>
      </c>
      <c r="E26" s="82">
        <f>C24/4</f>
        <v>2.1454603580562672</v>
      </c>
      <c r="F26" s="82">
        <f t="shared" si="2"/>
        <v>15.23011982570806</v>
      </c>
      <c r="G26" s="83" t="s">
        <v>71</v>
      </c>
      <c r="H26" s="93">
        <v>0.8</v>
      </c>
      <c r="I26" s="92" t="s">
        <v>51</v>
      </c>
      <c r="J26" s="86" t="s">
        <v>66</v>
      </c>
      <c r="K26" s="87">
        <v>80</v>
      </c>
      <c r="L26" s="87">
        <v>75</v>
      </c>
      <c r="M26" s="87">
        <v>70</v>
      </c>
      <c r="N26" s="87">
        <v>50</v>
      </c>
      <c r="O26" s="87" t="s">
        <v>67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7"/>
      <c r="B27" s="288"/>
      <c r="C27" s="289"/>
      <c r="D27" s="81" t="s">
        <v>72</v>
      </c>
      <c r="E27" s="82">
        <f>C24/4</f>
        <v>2.1454603580562672</v>
      </c>
      <c r="F27" s="82">
        <f t="shared" si="2"/>
        <v>15.23011982570806</v>
      </c>
      <c r="G27" s="83" t="s">
        <v>73</v>
      </c>
      <c r="H27" s="93">
        <v>1</v>
      </c>
      <c r="I27" s="85" t="s">
        <v>51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52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1">
        <v>3</v>
      </c>
      <c r="B28" s="282" t="s">
        <v>74</v>
      </c>
      <c r="C28" s="290">
        <f>0.15 *0.895140664961637</f>
        <v>0.13427109974424556</v>
      </c>
      <c r="D28" s="81" t="s">
        <v>75</v>
      </c>
      <c r="E28" s="82">
        <f>C28/2</f>
        <v>6.7135549872122779E-2</v>
      </c>
      <c r="F28" s="82">
        <f t="shared" si="2"/>
        <v>0.47657952069716764</v>
      </c>
      <c r="G28" s="83" t="s">
        <v>76</v>
      </c>
      <c r="H28" s="93">
        <v>1</v>
      </c>
      <c r="I28" s="85" t="s">
        <v>51</v>
      </c>
      <c r="J28" s="86">
        <v>100</v>
      </c>
      <c r="K28" s="87">
        <v>95</v>
      </c>
      <c r="L28" s="87">
        <v>90</v>
      </c>
      <c r="M28" s="87">
        <v>85</v>
      </c>
      <c r="N28" s="87">
        <v>80</v>
      </c>
      <c r="O28" s="87" t="s">
        <v>52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91"/>
      <c r="D29" s="81" t="s">
        <v>77</v>
      </c>
      <c r="E29" s="82">
        <f>C28/2</f>
        <v>6.7135549872122779E-2</v>
      </c>
      <c r="F29" s="82">
        <f t="shared" si="2"/>
        <v>0.47657952069716764</v>
      </c>
      <c r="G29" s="83" t="s">
        <v>78</v>
      </c>
      <c r="H29" s="92">
        <v>5</v>
      </c>
      <c r="I29" s="85" t="s">
        <v>59</v>
      </c>
      <c r="J29" s="86" t="s">
        <v>60</v>
      </c>
      <c r="K29" s="87">
        <v>5</v>
      </c>
      <c r="L29" s="87">
        <v>4</v>
      </c>
      <c r="M29" s="87">
        <v>3</v>
      </c>
      <c r="N29" s="87">
        <v>2</v>
      </c>
      <c r="O29" s="87">
        <v>1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92">
        <v>4</v>
      </c>
      <c r="B30" s="293" t="s">
        <v>79</v>
      </c>
      <c r="C30" s="294">
        <f>0.15 *14.3222506393862</f>
        <v>2.1483375959079298</v>
      </c>
      <c r="D30" s="81" t="s">
        <v>80</v>
      </c>
      <c r="E30" s="82">
        <f>C30</f>
        <v>2.1483375959079298</v>
      </c>
      <c r="F30" s="82">
        <f t="shared" si="2"/>
        <v>15.25054466230937</v>
      </c>
      <c r="G30" s="83" t="s">
        <v>81</v>
      </c>
      <c r="H30" s="93">
        <v>0.8</v>
      </c>
      <c r="I30" s="92" t="s">
        <v>51</v>
      </c>
      <c r="J30" s="86" t="s">
        <v>66</v>
      </c>
      <c r="K30" s="87">
        <v>80</v>
      </c>
      <c r="L30" s="87">
        <v>75</v>
      </c>
      <c r="M30" s="87">
        <v>70</v>
      </c>
      <c r="N30" s="87">
        <v>50</v>
      </c>
      <c r="O30" s="87" t="s">
        <v>67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92">
        <v>5</v>
      </c>
      <c r="B31" s="81" t="s">
        <v>82</v>
      </c>
      <c r="C31" s="95">
        <f>0.15 *5.72890025575448</f>
        <v>0.85933503836317204</v>
      </c>
      <c r="D31" s="293" t="s">
        <v>83</v>
      </c>
      <c r="E31" s="82">
        <f>C31</f>
        <v>0.85933503836317204</v>
      </c>
      <c r="F31" s="82">
        <f t="shared" si="2"/>
        <v>6.1002178649237484</v>
      </c>
      <c r="G31" s="83" t="s">
        <v>84</v>
      </c>
      <c r="H31" s="84">
        <v>0.7</v>
      </c>
      <c r="I31" s="92" t="s">
        <v>51</v>
      </c>
      <c r="J31" s="86" t="s">
        <v>85</v>
      </c>
      <c r="K31" s="87">
        <v>70</v>
      </c>
      <c r="L31" s="87">
        <v>60</v>
      </c>
      <c r="M31" s="87">
        <v>50</v>
      </c>
      <c r="N31" s="87">
        <v>40</v>
      </c>
      <c r="O31" s="87" t="s">
        <v>86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92">
        <v>6</v>
      </c>
      <c r="B32" s="81" t="s">
        <v>87</v>
      </c>
      <c r="C32" s="95">
        <f>0.15 *7.16112531969309</f>
        <v>1.0741687979539634</v>
      </c>
      <c r="D32" s="83" t="s">
        <v>88</v>
      </c>
      <c r="E32" s="82">
        <f>C32</f>
        <v>1.0741687979539634</v>
      </c>
      <c r="F32" s="82">
        <f t="shared" si="2"/>
        <v>7.6252723311546742</v>
      </c>
      <c r="G32" s="83" t="s">
        <v>89</v>
      </c>
      <c r="H32" s="84">
        <v>0.5</v>
      </c>
      <c r="I32" s="85" t="s">
        <v>51</v>
      </c>
      <c r="J32" s="86" t="s">
        <v>90</v>
      </c>
      <c r="K32" s="87">
        <v>50</v>
      </c>
      <c r="L32" s="87">
        <v>45</v>
      </c>
      <c r="M32" s="87">
        <v>40</v>
      </c>
      <c r="N32" s="87">
        <v>25</v>
      </c>
      <c r="O32" s="87" t="s">
        <v>91</v>
      </c>
      <c r="P32" s="88"/>
      <c r="Q32" s="89">
        <f t="shared" si="0"/>
        <v>0</v>
      </c>
      <c r="R32" s="90">
        <f t="shared" si="1"/>
        <v>0</v>
      </c>
    </row>
    <row r="33" spans="1:18" s="106" customFormat="1" ht="44.25" x14ac:dyDescent="0.25">
      <c r="A33" s="96"/>
      <c r="B33" s="97" t="s">
        <v>92</v>
      </c>
      <c r="C33" s="98">
        <f>SUM(C19:C32)</f>
        <v>14.086956521739134</v>
      </c>
      <c r="D33" s="97"/>
      <c r="E33" s="98">
        <f>SUM(E19:E32)</f>
        <v>14.086956521739138</v>
      </c>
      <c r="F33" s="98">
        <f>SUM(F19:F32)</f>
        <v>99.999999999999986</v>
      </c>
      <c r="G33" s="99"/>
      <c r="H33" s="100"/>
      <c r="I33" s="101"/>
      <c r="J33" s="102"/>
      <c r="K33" s="102"/>
      <c r="L33" s="102"/>
      <c r="M33" s="102"/>
      <c r="N33" s="102"/>
      <c r="O33" s="102"/>
      <c r="P33" s="103"/>
      <c r="Q33" s="104"/>
      <c r="R33" s="105">
        <f>SUM(R19:R32)</f>
        <v>0</v>
      </c>
    </row>
    <row r="34" spans="1:18" s="108" customFormat="1" ht="66" customHeight="1" x14ac:dyDescent="0.7">
      <c r="A34" s="107"/>
      <c r="G34" s="109"/>
      <c r="H34" s="109"/>
      <c r="I34" s="110" t="s">
        <v>142</v>
      </c>
      <c r="J34" s="111"/>
      <c r="K34" s="111"/>
      <c r="L34" s="111"/>
      <c r="M34" s="111"/>
      <c r="N34" s="111"/>
      <c r="O34" s="111"/>
      <c r="P34" s="111"/>
      <c r="Q34" s="112"/>
      <c r="R34" s="113">
        <f>R33/100 * 70</f>
        <v>0</v>
      </c>
    </row>
    <row r="35" spans="1:18" s="122" customFormat="1" ht="36" x14ac:dyDescent="0.55000000000000004">
      <c r="A35" s="114" t="s">
        <v>93</v>
      </c>
      <c r="B35" s="115"/>
      <c r="C35" s="115"/>
      <c r="D35" s="115"/>
      <c r="E35" s="115"/>
      <c r="F35" s="115"/>
      <c r="G35" s="116"/>
      <c r="H35" s="117"/>
      <c r="I35" s="117"/>
      <c r="J35" s="117"/>
      <c r="K35" s="117"/>
      <c r="L35" s="71" t="s">
        <v>98</v>
      </c>
      <c r="M35" s="118" t="s">
        <v>94</v>
      </c>
      <c r="N35" s="118"/>
      <c r="O35" s="118"/>
      <c r="P35" s="119"/>
      <c r="Q35" s="120"/>
      <c r="R35" s="121"/>
    </row>
    <row r="36" spans="1:18" s="122" customFormat="1" ht="31.5" customHeight="1" x14ac:dyDescent="0.55000000000000004">
      <c r="A36" s="123"/>
      <c r="B36" s="124"/>
      <c r="C36" s="125" t="s">
        <v>95</v>
      </c>
      <c r="D36" s="125"/>
      <c r="E36" s="125"/>
      <c r="F36" s="125"/>
      <c r="G36" s="125"/>
      <c r="H36" s="126" t="s">
        <v>143</v>
      </c>
      <c r="I36" s="126" t="s">
        <v>144</v>
      </c>
      <c r="J36" s="126"/>
      <c r="K36" s="127"/>
      <c r="L36" s="79"/>
      <c r="M36" s="128"/>
      <c r="N36" s="128"/>
      <c r="O36" s="128"/>
      <c r="P36" s="129"/>
      <c r="Q36" s="120"/>
      <c r="R36" s="121"/>
    </row>
    <row r="37" spans="1:18" s="122" customFormat="1" ht="36" customHeight="1" x14ac:dyDescent="0.55000000000000004">
      <c r="A37" s="130">
        <v>1</v>
      </c>
      <c r="B37" s="131" t="s">
        <v>99</v>
      </c>
      <c r="C37" s="132"/>
      <c r="D37" s="133"/>
      <c r="E37" s="133"/>
      <c r="F37" s="133"/>
      <c r="G37" s="134"/>
      <c r="H37" s="135"/>
      <c r="I37" s="135"/>
      <c r="J37" s="135"/>
      <c r="K37" s="135"/>
      <c r="L37" s="136"/>
      <c r="M37" s="137" t="s">
        <v>42</v>
      </c>
      <c r="N37" s="138" t="s">
        <v>100</v>
      </c>
      <c r="O37" s="139"/>
      <c r="P37" s="129"/>
      <c r="Q37" s="120"/>
      <c r="R37" s="121"/>
    </row>
    <row r="38" spans="1:18" s="122" customFormat="1" ht="84.75" customHeight="1" x14ac:dyDescent="0.55000000000000004">
      <c r="A38" s="140" t="s">
        <v>101</v>
      </c>
      <c r="B38" s="141" t="s">
        <v>145</v>
      </c>
      <c r="C38" s="142"/>
      <c r="D38" s="143"/>
      <c r="E38" s="143"/>
      <c r="F38" s="143"/>
      <c r="G38" s="144"/>
      <c r="H38" s="145">
        <v>4</v>
      </c>
      <c r="I38" s="146"/>
      <c r="J38" s="145"/>
      <c r="K38" s="145"/>
      <c r="L38" s="136"/>
      <c r="M38" s="137" t="s">
        <v>43</v>
      </c>
      <c r="N38" s="138" t="s">
        <v>102</v>
      </c>
      <c r="O38" s="139"/>
      <c r="P38" s="129"/>
      <c r="Q38" s="120"/>
      <c r="R38" s="121"/>
    </row>
    <row r="39" spans="1:18" s="122" customFormat="1" ht="82.5" customHeight="1" x14ac:dyDescent="0.55000000000000004">
      <c r="A39" s="140" t="s">
        <v>103</v>
      </c>
      <c r="B39" s="141" t="s">
        <v>146</v>
      </c>
      <c r="C39" s="142"/>
      <c r="D39" s="143"/>
      <c r="E39" s="143"/>
      <c r="F39" s="143"/>
      <c r="G39" s="144"/>
      <c r="H39" s="145">
        <v>2</v>
      </c>
      <c r="I39" s="146"/>
      <c r="J39" s="145"/>
      <c r="K39" s="145"/>
      <c r="L39" s="136"/>
      <c r="M39" s="137" t="s">
        <v>44</v>
      </c>
      <c r="N39" s="138" t="s">
        <v>104</v>
      </c>
      <c r="O39" s="139"/>
      <c r="P39" s="129"/>
      <c r="Q39" s="120"/>
      <c r="R39" s="121"/>
    </row>
    <row r="40" spans="1:18" s="122" customFormat="1" ht="78.75" customHeight="1" x14ac:dyDescent="0.55000000000000004">
      <c r="A40" s="140" t="s">
        <v>105</v>
      </c>
      <c r="B40" s="141" t="s">
        <v>106</v>
      </c>
      <c r="C40" s="142"/>
      <c r="D40" s="143"/>
      <c r="E40" s="143"/>
      <c r="F40" s="143"/>
      <c r="G40" s="144"/>
      <c r="H40" s="145">
        <v>2</v>
      </c>
      <c r="I40" s="146"/>
      <c r="J40" s="145"/>
      <c r="K40" s="145"/>
      <c r="L40" s="136"/>
      <c r="M40" s="137" t="s">
        <v>45</v>
      </c>
      <c r="N40" s="138" t="s">
        <v>107</v>
      </c>
      <c r="O40" s="139"/>
      <c r="P40" s="129"/>
      <c r="Q40" s="120"/>
      <c r="R40" s="121"/>
    </row>
    <row r="41" spans="1:18" s="122" customFormat="1" ht="36" x14ac:dyDescent="0.55000000000000004">
      <c r="A41" s="147">
        <v>2</v>
      </c>
      <c r="B41" s="148" t="s">
        <v>108</v>
      </c>
      <c r="C41" s="149"/>
      <c r="D41" s="150"/>
      <c r="E41" s="150"/>
      <c r="F41" s="150"/>
      <c r="G41" s="151"/>
      <c r="H41" s="145"/>
      <c r="I41" s="146"/>
      <c r="J41" s="145"/>
      <c r="K41" s="145"/>
      <c r="L41" s="136"/>
      <c r="M41" s="137" t="s">
        <v>46</v>
      </c>
      <c r="N41" s="138" t="s">
        <v>109</v>
      </c>
      <c r="O41" s="139"/>
      <c r="P41" s="129"/>
      <c r="Q41" s="120"/>
      <c r="R41" s="121"/>
    </row>
    <row r="42" spans="1:18" s="122" customFormat="1" ht="82.5" customHeight="1" x14ac:dyDescent="0.55000000000000004">
      <c r="A42" s="140" t="s">
        <v>101</v>
      </c>
      <c r="B42" s="152" t="s">
        <v>147</v>
      </c>
      <c r="C42" s="153"/>
      <c r="D42" s="154"/>
      <c r="E42" s="154"/>
      <c r="F42" s="154"/>
      <c r="G42" s="155"/>
      <c r="H42" s="145">
        <v>2</v>
      </c>
      <c r="I42" s="146"/>
      <c r="J42" s="145"/>
      <c r="K42" s="145"/>
      <c r="L42" s="136"/>
      <c r="M42" s="137" t="s">
        <v>47</v>
      </c>
      <c r="N42" s="138" t="s">
        <v>110</v>
      </c>
      <c r="O42" s="139"/>
      <c r="P42" s="156"/>
      <c r="Q42" s="120"/>
      <c r="R42" s="121"/>
    </row>
    <row r="43" spans="1:18" s="122" customFormat="1" ht="114.75" customHeight="1" x14ac:dyDescent="0.55000000000000004">
      <c r="A43" s="140" t="s">
        <v>103</v>
      </c>
      <c r="B43" s="152" t="s">
        <v>148</v>
      </c>
      <c r="C43" s="153"/>
      <c r="D43" s="154"/>
      <c r="E43" s="154"/>
      <c r="F43" s="154"/>
      <c r="G43" s="155"/>
      <c r="H43" s="145">
        <v>2</v>
      </c>
      <c r="I43" s="146"/>
      <c r="J43" s="145"/>
      <c r="K43" s="145"/>
      <c r="L43" s="136"/>
      <c r="M43" s="129" t="s">
        <v>98</v>
      </c>
      <c r="N43" s="157" t="s">
        <v>111</v>
      </c>
      <c r="O43" s="158"/>
      <c r="P43" s="156"/>
      <c r="Q43" s="120"/>
      <c r="R43" s="121"/>
    </row>
    <row r="44" spans="1:18" s="122" customFormat="1" ht="72" customHeight="1" x14ac:dyDescent="0.55000000000000004">
      <c r="A44" s="140" t="s">
        <v>105</v>
      </c>
      <c r="B44" s="152" t="s">
        <v>149</v>
      </c>
      <c r="C44" s="153"/>
      <c r="D44" s="154"/>
      <c r="E44" s="154"/>
      <c r="F44" s="154"/>
      <c r="G44" s="155"/>
      <c r="H44" s="145">
        <v>2</v>
      </c>
      <c r="I44" s="146"/>
      <c r="J44" s="145"/>
      <c r="K44" s="145"/>
      <c r="L44" s="136"/>
      <c r="M44" s="129" t="s">
        <v>112</v>
      </c>
      <c r="N44" s="157" t="s">
        <v>113</v>
      </c>
      <c r="O44" s="158"/>
      <c r="P44" s="156"/>
      <c r="Q44" s="120"/>
      <c r="R44" s="121"/>
    </row>
    <row r="45" spans="1:18" s="122" customFormat="1" ht="66" customHeight="1" x14ac:dyDescent="0.55000000000000004">
      <c r="A45" s="147">
        <v>3</v>
      </c>
      <c r="B45" s="148" t="s">
        <v>114</v>
      </c>
      <c r="C45" s="149"/>
      <c r="D45" s="150"/>
      <c r="E45" s="150"/>
      <c r="F45" s="150"/>
      <c r="G45" s="151"/>
      <c r="H45" s="145"/>
      <c r="I45" s="146"/>
      <c r="J45" s="145"/>
      <c r="K45" s="145"/>
      <c r="L45" s="136"/>
      <c r="M45" s="129" t="s">
        <v>96</v>
      </c>
      <c r="N45" s="157" t="s">
        <v>115</v>
      </c>
      <c r="O45" s="158"/>
      <c r="P45" s="156"/>
      <c r="Q45" s="120"/>
      <c r="R45" s="121"/>
    </row>
    <row r="46" spans="1:18" s="122" customFormat="1" ht="72" customHeight="1" x14ac:dyDescent="0.55000000000000004">
      <c r="A46" s="140" t="s">
        <v>101</v>
      </c>
      <c r="B46" s="152" t="s">
        <v>116</v>
      </c>
      <c r="C46" s="159"/>
      <c r="D46" s="160"/>
      <c r="E46" s="160"/>
      <c r="F46" s="160"/>
      <c r="G46" s="161"/>
      <c r="H46" s="145">
        <v>2</v>
      </c>
      <c r="I46" s="146"/>
      <c r="J46" s="145"/>
      <c r="K46" s="145"/>
      <c r="L46" s="136"/>
      <c r="M46" s="129" t="s">
        <v>97</v>
      </c>
      <c r="N46" s="157" t="s">
        <v>117</v>
      </c>
      <c r="O46" s="158"/>
      <c r="P46" s="156"/>
      <c r="Q46" s="120"/>
      <c r="R46" s="121"/>
    </row>
    <row r="47" spans="1:18" s="122" customFormat="1" ht="72" customHeight="1" x14ac:dyDescent="0.55000000000000004">
      <c r="A47" s="140" t="s">
        <v>103</v>
      </c>
      <c r="B47" s="152" t="s">
        <v>150</v>
      </c>
      <c r="C47" s="159"/>
      <c r="D47" s="160"/>
      <c r="E47" s="160"/>
      <c r="F47" s="160"/>
      <c r="G47" s="161"/>
      <c r="H47" s="145">
        <v>2</v>
      </c>
      <c r="I47" s="146"/>
      <c r="J47" s="145"/>
      <c r="K47" s="145"/>
      <c r="L47" s="136"/>
      <c r="M47" s="129" t="s">
        <v>118</v>
      </c>
      <c r="N47" s="157" t="s">
        <v>119</v>
      </c>
      <c r="O47" s="158"/>
      <c r="P47" s="156"/>
      <c r="Q47" s="120"/>
      <c r="R47" s="121"/>
    </row>
    <row r="48" spans="1:18" s="122" customFormat="1" ht="44.25" customHeight="1" x14ac:dyDescent="0.55000000000000004">
      <c r="A48" s="140" t="s">
        <v>105</v>
      </c>
      <c r="B48" s="152" t="s">
        <v>151</v>
      </c>
      <c r="C48" s="159"/>
      <c r="D48" s="160"/>
      <c r="E48" s="160"/>
      <c r="F48" s="160"/>
      <c r="G48" s="161"/>
      <c r="H48" s="145">
        <v>2</v>
      </c>
      <c r="I48" s="146"/>
      <c r="J48" s="145"/>
      <c r="K48" s="145"/>
      <c r="L48" s="136"/>
      <c r="M48" s="162"/>
      <c r="N48" s="162"/>
      <c r="O48" s="162"/>
      <c r="P48" s="163"/>
      <c r="Q48" s="120"/>
      <c r="R48" s="121"/>
    </row>
    <row r="49" spans="1:18" s="122" customFormat="1" ht="31.5" customHeight="1" x14ac:dyDescent="0.55000000000000004">
      <c r="A49" s="164" t="s">
        <v>120</v>
      </c>
      <c r="B49" s="165"/>
      <c r="C49" s="165"/>
      <c r="D49" s="165"/>
      <c r="E49" s="165"/>
      <c r="F49" s="165"/>
      <c r="G49" s="165"/>
      <c r="H49" s="166">
        <f>SUM(H38:H48)</f>
        <v>20</v>
      </c>
      <c r="I49" s="166">
        <f>SUM(I38:I48)</f>
        <v>0</v>
      </c>
      <c r="J49" s="166"/>
      <c r="K49" s="167"/>
      <c r="L49" s="136"/>
      <c r="M49" s="162"/>
      <c r="N49" s="162"/>
      <c r="O49" s="162"/>
      <c r="P49" s="163"/>
      <c r="Q49" s="120"/>
      <c r="R49" s="121"/>
    </row>
    <row r="50" spans="1:18" s="122" customFormat="1" ht="36" customHeight="1" x14ac:dyDescent="0.55000000000000004">
      <c r="A50" s="168" t="s">
        <v>101</v>
      </c>
      <c r="B50" s="169" t="s">
        <v>121</v>
      </c>
      <c r="C50" s="153" t="s">
        <v>122</v>
      </c>
      <c r="D50" s="154"/>
      <c r="E50" s="154"/>
      <c r="F50" s="154"/>
      <c r="G50" s="155"/>
      <c r="H50" s="170">
        <v>4</v>
      </c>
      <c r="I50" s="171"/>
      <c r="J50" s="170"/>
      <c r="K50" s="172"/>
      <c r="L50" s="136"/>
      <c r="M50" s="162"/>
      <c r="N50" s="162"/>
      <c r="O50" s="162"/>
      <c r="P50" s="163"/>
      <c r="Q50" s="120"/>
      <c r="R50" s="121"/>
    </row>
    <row r="51" spans="1:18" s="122" customFormat="1" ht="129" customHeight="1" x14ac:dyDescent="0.55000000000000004">
      <c r="A51" s="168" t="s">
        <v>103</v>
      </c>
      <c r="B51" s="169" t="s">
        <v>123</v>
      </c>
      <c r="C51" s="153" t="s">
        <v>124</v>
      </c>
      <c r="D51" s="154"/>
      <c r="E51" s="154"/>
      <c r="F51" s="154"/>
      <c r="G51" s="155"/>
      <c r="H51" s="170">
        <v>3</v>
      </c>
      <c r="I51" s="171"/>
      <c r="J51" s="170"/>
      <c r="K51" s="172"/>
      <c r="L51" s="136"/>
      <c r="M51" s="162"/>
      <c r="N51" s="162"/>
      <c r="O51" s="162"/>
      <c r="P51" s="163"/>
      <c r="Q51" s="120"/>
      <c r="R51" s="121"/>
    </row>
    <row r="52" spans="1:18" s="122" customFormat="1" ht="69" customHeight="1" x14ac:dyDescent="0.55000000000000004">
      <c r="A52" s="168" t="s">
        <v>103</v>
      </c>
      <c r="B52" s="169" t="s">
        <v>125</v>
      </c>
      <c r="C52" s="153" t="s">
        <v>126</v>
      </c>
      <c r="D52" s="154"/>
      <c r="E52" s="154"/>
      <c r="F52" s="154"/>
      <c r="G52" s="155"/>
      <c r="H52" s="170">
        <v>3</v>
      </c>
      <c r="I52" s="171"/>
      <c r="J52" s="170"/>
      <c r="K52" s="172"/>
      <c r="L52" s="136"/>
      <c r="M52" s="162"/>
      <c r="N52" s="162"/>
      <c r="O52" s="162"/>
      <c r="P52" s="163"/>
      <c r="Q52" s="120"/>
      <c r="R52" s="121"/>
    </row>
    <row r="53" spans="1:18" s="122" customFormat="1" ht="46.5" customHeight="1" x14ac:dyDescent="0.55000000000000004">
      <c r="A53" s="173"/>
      <c r="B53" s="174" t="s">
        <v>127</v>
      </c>
      <c r="C53" s="174"/>
      <c r="D53" s="174"/>
      <c r="E53" s="175"/>
      <c r="F53" s="175"/>
      <c r="G53" s="175"/>
      <c r="H53" s="166">
        <f>SUM(H50:H52)</f>
        <v>10</v>
      </c>
      <c r="I53" s="166">
        <f>SUM(I50:I52)</f>
        <v>0</v>
      </c>
      <c r="J53" s="175"/>
      <c r="K53" s="176"/>
      <c r="L53" s="162"/>
      <c r="M53" s="162"/>
      <c r="N53" s="162"/>
      <c r="O53" s="162"/>
      <c r="P53" s="163"/>
      <c r="Q53" s="120"/>
      <c r="R53" s="121"/>
    </row>
    <row r="54" spans="1:18" s="184" customFormat="1" ht="45" customHeight="1" x14ac:dyDescent="0.7">
      <c r="A54" s="177"/>
      <c r="B54" s="178"/>
      <c r="C54" s="179"/>
      <c r="D54" s="179"/>
      <c r="E54" s="179"/>
      <c r="F54" s="180"/>
      <c r="G54" s="180"/>
      <c r="H54" s="180"/>
      <c r="I54" s="180"/>
      <c r="J54" s="180"/>
      <c r="K54" s="179"/>
      <c r="L54" s="179"/>
      <c r="M54" s="179"/>
      <c r="N54" s="179"/>
      <c r="O54" s="181" t="s">
        <v>152</v>
      </c>
      <c r="P54" s="182"/>
      <c r="Q54" s="181" t="s">
        <v>153</v>
      </c>
      <c r="R54" s="183"/>
    </row>
    <row r="55" spans="1:18" s="184" customFormat="1" ht="45" customHeight="1" x14ac:dyDescent="0.7">
      <c r="A55" s="177"/>
      <c r="B55" s="185"/>
      <c r="C55" s="186" t="s">
        <v>154</v>
      </c>
      <c r="D55" s="187"/>
      <c r="E55" s="187"/>
      <c r="F55" s="187"/>
      <c r="G55" s="187"/>
      <c r="H55" s="187"/>
      <c r="I55" s="187"/>
      <c r="J55" s="187"/>
      <c r="K55" s="188"/>
      <c r="L55" s="189"/>
      <c r="M55" s="190"/>
      <c r="N55" s="191"/>
      <c r="O55" s="192">
        <f>R34</f>
        <v>0</v>
      </c>
      <c r="P55" s="193"/>
      <c r="Q55" s="194">
        <f>O58/100 * 20</f>
        <v>0</v>
      </c>
      <c r="R55" s="195"/>
    </row>
    <row r="56" spans="1:18" s="184" customFormat="1" ht="45" customHeight="1" x14ac:dyDescent="0.7">
      <c r="A56" s="177"/>
      <c r="B56" s="185"/>
      <c r="C56" s="187" t="s">
        <v>155</v>
      </c>
      <c r="D56" s="187"/>
      <c r="E56" s="187"/>
      <c r="F56" s="187"/>
      <c r="G56" s="187"/>
      <c r="H56" s="187"/>
      <c r="I56" s="187"/>
      <c r="J56" s="187"/>
      <c r="K56" s="187"/>
      <c r="L56" s="190"/>
      <c r="M56" s="190"/>
      <c r="N56" s="191"/>
      <c r="O56" s="192">
        <f>I49</f>
        <v>0</v>
      </c>
      <c r="P56" s="193"/>
      <c r="Q56" s="196"/>
      <c r="R56" s="197"/>
    </row>
    <row r="57" spans="1:18" s="184" customFormat="1" ht="45" customHeight="1" x14ac:dyDescent="0.7">
      <c r="A57" s="177"/>
      <c r="B57" s="185"/>
      <c r="C57" s="186" t="s">
        <v>156</v>
      </c>
      <c r="D57" s="187"/>
      <c r="E57" s="187"/>
      <c r="F57" s="187"/>
      <c r="G57" s="187"/>
      <c r="H57" s="187"/>
      <c r="I57" s="187"/>
      <c r="J57" s="187"/>
      <c r="K57" s="188"/>
      <c r="L57" s="189"/>
      <c r="M57" s="190"/>
      <c r="N57" s="191"/>
      <c r="O57" s="192">
        <f>I53</f>
        <v>0</v>
      </c>
      <c r="P57" s="193"/>
      <c r="Q57" s="196"/>
      <c r="R57" s="197"/>
    </row>
    <row r="58" spans="1:18" s="184" customFormat="1" ht="45" customHeight="1" x14ac:dyDescent="0.7">
      <c r="A58" s="177"/>
      <c r="B58" s="198"/>
      <c r="C58" s="186" t="s">
        <v>157</v>
      </c>
      <c r="D58" s="187"/>
      <c r="E58" s="187"/>
      <c r="F58" s="187"/>
      <c r="G58" s="187"/>
      <c r="H58" s="187"/>
      <c r="I58" s="187"/>
      <c r="J58" s="187"/>
      <c r="K58" s="188"/>
      <c r="L58" s="189"/>
      <c r="M58" s="190"/>
      <c r="N58" s="191"/>
      <c r="O58" s="192">
        <f>SUM(O55:P57)</f>
        <v>0</v>
      </c>
      <c r="P58" s="193"/>
      <c r="Q58" s="199"/>
      <c r="R58" s="200"/>
    </row>
    <row r="59" spans="1:18" s="184" customFormat="1" ht="64.900000000000006" customHeight="1" x14ac:dyDescent="0.7">
      <c r="A59" s="177"/>
      <c r="B59" s="201" t="s">
        <v>158</v>
      </c>
      <c r="C59" s="201"/>
      <c r="D59" s="201"/>
      <c r="E59" s="201"/>
      <c r="F59" s="201"/>
      <c r="G59" s="201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3"/>
    </row>
    <row r="60" spans="1:18" s="184" customFormat="1" ht="64.900000000000006" customHeight="1" x14ac:dyDescent="0.7">
      <c r="A60" s="177"/>
      <c r="B60" s="204" t="s">
        <v>159</v>
      </c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5"/>
    </row>
    <row r="61" spans="1:18" s="184" customFormat="1" ht="48.75" customHeight="1" x14ac:dyDescent="0.7">
      <c r="A61" s="177"/>
      <c r="B61" s="206" t="s">
        <v>160</v>
      </c>
      <c r="C61" s="206"/>
      <c r="D61" s="206"/>
      <c r="E61" s="206"/>
      <c r="F61" s="206"/>
      <c r="G61" s="206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8"/>
    </row>
    <row r="62" spans="1:18" s="184" customFormat="1" ht="45.75" x14ac:dyDescent="0.7">
      <c r="A62" s="177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5"/>
    </row>
    <row r="63" spans="1:18" s="122" customFormat="1" ht="31.5" customHeight="1" x14ac:dyDescent="0.55000000000000004">
      <c r="A63" s="209" t="s">
        <v>161</v>
      </c>
      <c r="B63" s="210"/>
      <c r="C63" s="211"/>
      <c r="D63" s="212"/>
      <c r="E63" s="213" t="s">
        <v>162</v>
      </c>
      <c r="F63" s="214"/>
      <c r="G63" s="210" t="s">
        <v>163</v>
      </c>
      <c r="H63" s="211"/>
      <c r="I63" s="211"/>
      <c r="J63" s="211"/>
      <c r="K63" s="215"/>
      <c r="L63" s="136"/>
      <c r="M63" s="216"/>
      <c r="N63" s="216"/>
      <c r="O63" s="216"/>
      <c r="P63" s="216"/>
      <c r="Q63" s="216"/>
      <c r="R63" s="121"/>
    </row>
    <row r="64" spans="1:18" s="122" customFormat="1" ht="31.5" customHeight="1" x14ac:dyDescent="0.55000000000000004">
      <c r="A64" s="217"/>
      <c r="B64" s="218"/>
      <c r="C64" s="219"/>
      <c r="D64" s="220"/>
      <c r="E64" s="221"/>
      <c r="F64" s="222"/>
      <c r="G64" s="218"/>
      <c r="H64" s="219"/>
      <c r="I64" s="219"/>
      <c r="J64" s="219"/>
      <c r="K64" s="215"/>
      <c r="L64" s="136"/>
      <c r="M64" s="223"/>
      <c r="N64" s="223"/>
      <c r="O64" s="223"/>
      <c r="P64" s="223"/>
      <c r="Q64" s="223"/>
      <c r="R64" s="121"/>
    </row>
    <row r="65" spans="1:18" s="122" customFormat="1" ht="31.5" customHeight="1" x14ac:dyDescent="0.55000000000000004">
      <c r="A65" s="217"/>
      <c r="B65" s="218"/>
      <c r="C65" s="219"/>
      <c r="D65" s="220"/>
      <c r="E65" s="221"/>
      <c r="F65" s="222"/>
      <c r="G65" s="218"/>
      <c r="H65" s="219"/>
      <c r="I65" s="219"/>
      <c r="J65" s="219"/>
      <c r="K65" s="215"/>
      <c r="L65" s="136"/>
      <c r="M65" s="223"/>
      <c r="N65" s="223"/>
      <c r="O65" s="223"/>
      <c r="P65" s="223"/>
      <c r="Q65" s="223"/>
      <c r="R65" s="121"/>
    </row>
    <row r="66" spans="1:18" s="122" customFormat="1" ht="31.5" customHeight="1" x14ac:dyDescent="0.55000000000000004">
      <c r="A66" s="224"/>
      <c r="B66" s="225"/>
      <c r="C66" s="226"/>
      <c r="D66" s="227"/>
      <c r="E66" s="228"/>
      <c r="F66" s="229"/>
      <c r="G66" s="225"/>
      <c r="H66" s="226"/>
      <c r="I66" s="226"/>
      <c r="J66" s="226"/>
      <c r="K66" s="215"/>
      <c r="L66" s="136"/>
      <c r="M66" s="223"/>
      <c r="N66" s="223"/>
      <c r="O66" s="223"/>
      <c r="P66" s="223"/>
      <c r="Q66" s="223"/>
      <c r="R66" s="121"/>
    </row>
    <row r="67" spans="1:18" s="122" customFormat="1" ht="31.5" customHeight="1" x14ac:dyDescent="0.55000000000000004">
      <c r="A67" s="230" t="s">
        <v>128</v>
      </c>
      <c r="B67" s="231"/>
      <c r="C67" s="211"/>
      <c r="D67" s="212"/>
      <c r="E67" s="232" t="s">
        <v>164</v>
      </c>
      <c r="F67" s="214"/>
      <c r="G67" s="231" t="s">
        <v>164</v>
      </c>
      <c r="H67" s="211"/>
      <c r="I67" s="211"/>
      <c r="J67" s="211"/>
      <c r="K67" s="215"/>
      <c r="L67" s="136"/>
      <c r="M67" s="223"/>
      <c r="N67" s="223"/>
      <c r="O67" s="223"/>
      <c r="P67" s="223"/>
      <c r="Q67" s="223"/>
      <c r="R67" s="121"/>
    </row>
    <row r="68" spans="1:18" s="122" customFormat="1" ht="31.5" customHeight="1" x14ac:dyDescent="0.55000000000000004">
      <c r="A68" s="233"/>
      <c r="B68" s="234"/>
      <c r="C68" s="219"/>
      <c r="D68" s="220"/>
      <c r="E68" s="235"/>
      <c r="F68" s="222"/>
      <c r="G68" s="234"/>
      <c r="H68" s="219"/>
      <c r="I68" s="219"/>
      <c r="J68" s="219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33"/>
      <c r="B69" s="234"/>
      <c r="C69" s="226"/>
      <c r="D69" s="227"/>
      <c r="E69" s="236"/>
      <c r="F69" s="229"/>
      <c r="G69" s="237"/>
      <c r="H69" s="226"/>
      <c r="I69" s="226"/>
      <c r="J69" s="226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17" t="s">
        <v>129</v>
      </c>
      <c r="B70" s="218"/>
      <c r="C70" s="211"/>
      <c r="D70" s="212"/>
      <c r="E70" s="213" t="s">
        <v>165</v>
      </c>
      <c r="F70" s="214"/>
      <c r="G70" s="210" t="s">
        <v>165</v>
      </c>
      <c r="H70" s="211"/>
      <c r="I70" s="211"/>
      <c r="J70" s="211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17"/>
      <c r="B71" s="218"/>
      <c r="C71" s="226"/>
      <c r="D71" s="227"/>
      <c r="E71" s="228"/>
      <c r="F71" s="229"/>
      <c r="G71" s="225"/>
      <c r="H71" s="226"/>
      <c r="I71" s="226"/>
      <c r="J71" s="226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thickBot="1" x14ac:dyDescent="0.6">
      <c r="A72" s="238"/>
      <c r="B72" s="239"/>
      <c r="C72" s="239"/>
      <c r="D72" s="239"/>
      <c r="E72" s="239"/>
      <c r="F72" s="239"/>
      <c r="G72" s="239"/>
      <c r="H72" s="239"/>
      <c r="I72" s="239"/>
      <c r="J72" s="239"/>
      <c r="K72" s="240"/>
      <c r="L72" s="241"/>
      <c r="M72" s="242"/>
      <c r="N72" s="242"/>
      <c r="O72" s="242"/>
      <c r="P72" s="242"/>
      <c r="Q72" s="242"/>
      <c r="R72" s="243"/>
    </row>
  </sheetData>
  <mergeCells count="112">
    <mergeCell ref="A72:J72"/>
    <mergeCell ref="A19:A23"/>
    <mergeCell ref="B19:B23"/>
    <mergeCell ref="C19:C23"/>
    <mergeCell ref="A24:A27"/>
    <mergeCell ref="B24:B27"/>
    <mergeCell ref="C24:C27"/>
    <mergeCell ref="A28:A29"/>
    <mergeCell ref="B28:B29"/>
    <mergeCell ref="C28:C29"/>
    <mergeCell ref="A70:B71"/>
    <mergeCell ref="C70:D71"/>
    <mergeCell ref="E70:E71"/>
    <mergeCell ref="F70:F71"/>
    <mergeCell ref="G70:G71"/>
    <mergeCell ref="H70:J71"/>
    <mergeCell ref="A67:B69"/>
    <mergeCell ref="C67:D69"/>
    <mergeCell ref="E67:E69"/>
    <mergeCell ref="F67:F69"/>
    <mergeCell ref="G67:G69"/>
    <mergeCell ref="H67:J69"/>
    <mergeCell ref="B60:R60"/>
    <mergeCell ref="B61:G61"/>
    <mergeCell ref="B62:R62"/>
    <mergeCell ref="A63:B66"/>
    <mergeCell ref="C63:D66"/>
    <mergeCell ref="E63:E66"/>
    <mergeCell ref="F63:F66"/>
    <mergeCell ref="G63:G66"/>
    <mergeCell ref="H63:J66"/>
    <mergeCell ref="M63:Q72"/>
    <mergeCell ref="L57:N57"/>
    <mergeCell ref="O57:P57"/>
    <mergeCell ref="C58:K58"/>
    <mergeCell ref="L58:N58"/>
    <mergeCell ref="O58:P58"/>
    <mergeCell ref="B59:G59"/>
    <mergeCell ref="O54:P54"/>
    <mergeCell ref="Q54:R54"/>
    <mergeCell ref="C55:K55"/>
    <mergeCell ref="L55:N55"/>
    <mergeCell ref="O55:P55"/>
    <mergeCell ref="Q55:R58"/>
    <mergeCell ref="C56:K56"/>
    <mergeCell ref="L56:N56"/>
    <mergeCell ref="O56:P56"/>
    <mergeCell ref="C57:K57"/>
    <mergeCell ref="A49:G49"/>
    <mergeCell ref="C50:G50"/>
    <mergeCell ref="C51:G51"/>
    <mergeCell ref="C52:G52"/>
    <mergeCell ref="B53:D53"/>
    <mergeCell ref="B54:B58"/>
    <mergeCell ref="F54:J54"/>
    <mergeCell ref="C43:G43"/>
    <mergeCell ref="C44:G44"/>
    <mergeCell ref="C45:G45"/>
    <mergeCell ref="C46:G46"/>
    <mergeCell ref="C47:G47"/>
    <mergeCell ref="C48:G48"/>
    <mergeCell ref="C40:G40"/>
    <mergeCell ref="N40:O40"/>
    <mergeCell ref="C41:G41"/>
    <mergeCell ref="N41:O41"/>
    <mergeCell ref="C42:G42"/>
    <mergeCell ref="N42:O42"/>
    <mergeCell ref="C37:G37"/>
    <mergeCell ref="N37:O37"/>
    <mergeCell ref="C38:G38"/>
    <mergeCell ref="N38:O38"/>
    <mergeCell ref="C39:G39"/>
    <mergeCell ref="N39:O39"/>
    <mergeCell ref="R17:R18"/>
    <mergeCell ref="I34:Q34"/>
    <mergeCell ref="A35:G35"/>
    <mergeCell ref="H35:K35"/>
    <mergeCell ref="L35:L36"/>
    <mergeCell ref="C36:G36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3AD8775C-AD8B-415C-B3E9-F86A8E961D5B}"/>
    <hyperlink ref="E8" r:id="rId2" xr:uid="{59F665AE-3249-462B-AE7B-5067A339DA55}"/>
  </hyperlinks>
  <pageMargins left="0.7" right="0.7" top="0.75" bottom="0.75" header="0.3" footer="0.3"/>
  <pageSetup scale="14" fitToHeight="0" orientation="landscape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3E91-5192-499C-AA3B-FC825DCCEF94}">
  <sheetPr>
    <pageSetUpPr fitToPage="1"/>
  </sheetPr>
  <dimension ref="A1:R72"/>
  <sheetViews>
    <sheetView zoomScale="30" zoomScaleNormal="30" workbookViewId="0">
      <selection activeCell="A19" sqref="A19:O32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170</v>
      </c>
      <c r="C5" s="16" t="s">
        <v>2</v>
      </c>
      <c r="D5" s="17" t="s">
        <v>171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/>
      <c r="H7" s="250" t="s">
        <v>9</v>
      </c>
      <c r="I7" s="252" t="s">
        <v>10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254" customFormat="1" ht="39" x14ac:dyDescent="0.6">
      <c r="A8" s="255" t="s">
        <v>11</v>
      </c>
      <c r="B8" s="256"/>
      <c r="C8" s="257">
        <v>88650</v>
      </c>
      <c r="D8" s="258" t="s">
        <v>12</v>
      </c>
      <c r="E8" s="259" t="s">
        <v>13</v>
      </c>
      <c r="F8" s="258" t="s">
        <v>14</v>
      </c>
      <c r="G8" s="260" t="s">
        <v>15</v>
      </c>
      <c r="H8" s="258" t="s">
        <v>16</v>
      </c>
      <c r="I8" s="261" t="s">
        <v>17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18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70" customFormat="1" ht="39" x14ac:dyDescent="0.6">
      <c r="A10" s="263" t="s">
        <v>4</v>
      </c>
      <c r="B10" s="264"/>
      <c r="C10" s="265" t="s">
        <v>19</v>
      </c>
      <c r="D10" s="266" t="s">
        <v>6</v>
      </c>
      <c r="E10" s="265" t="s">
        <v>20</v>
      </c>
      <c r="F10" s="266" t="s">
        <v>8</v>
      </c>
      <c r="G10" s="267" t="s">
        <v>21</v>
      </c>
      <c r="H10" s="266" t="s">
        <v>9</v>
      </c>
      <c r="I10" s="268" t="s">
        <v>22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270" customFormat="1" ht="39" x14ac:dyDescent="0.6">
      <c r="A11" s="271" t="s">
        <v>11</v>
      </c>
      <c r="B11" s="272"/>
      <c r="C11" s="273">
        <v>64218</v>
      </c>
      <c r="D11" s="274" t="s">
        <v>12</v>
      </c>
      <c r="E11" s="275" t="s">
        <v>23</v>
      </c>
      <c r="F11" s="274" t="s">
        <v>14</v>
      </c>
      <c r="G11" s="276" t="s">
        <v>24</v>
      </c>
      <c r="H11" s="274" t="s">
        <v>16</v>
      </c>
      <c r="I11" s="277" t="s">
        <v>17</v>
      </c>
      <c r="J11" s="278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25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26</v>
      </c>
      <c r="D13" s="36" t="s">
        <v>6</v>
      </c>
      <c r="E13" s="35" t="s">
        <v>27</v>
      </c>
      <c r="F13" s="37" t="s">
        <v>8</v>
      </c>
      <c r="G13" s="38" t="s">
        <v>28</v>
      </c>
      <c r="H13" s="36" t="s">
        <v>9</v>
      </c>
      <c r="I13" s="39" t="s">
        <v>29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11</v>
      </c>
      <c r="B14" s="43"/>
      <c r="C14" s="44">
        <v>60529</v>
      </c>
      <c r="D14" s="45" t="s">
        <v>12</v>
      </c>
      <c r="E14" s="279" t="s">
        <v>30</v>
      </c>
      <c r="F14" s="46" t="s">
        <v>14</v>
      </c>
      <c r="G14" s="280"/>
      <c r="H14" s="45" t="s">
        <v>16</v>
      </c>
      <c r="I14" s="47" t="s">
        <v>31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32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33</v>
      </c>
      <c r="B17" s="64" t="s">
        <v>34</v>
      </c>
      <c r="C17" s="65" t="s">
        <v>35</v>
      </c>
      <c r="D17" s="65" t="s">
        <v>36</v>
      </c>
      <c r="E17" s="65" t="s">
        <v>35</v>
      </c>
      <c r="F17" s="66" t="s">
        <v>37</v>
      </c>
      <c r="G17" s="66" t="s">
        <v>38</v>
      </c>
      <c r="H17" s="67" t="s">
        <v>39</v>
      </c>
      <c r="I17" s="66" t="s">
        <v>40</v>
      </c>
      <c r="J17" s="68" t="s">
        <v>41</v>
      </c>
      <c r="K17" s="69"/>
      <c r="L17" s="69"/>
      <c r="M17" s="69"/>
      <c r="N17" s="69"/>
      <c r="O17" s="70"/>
      <c r="P17" s="71" t="s">
        <v>133</v>
      </c>
      <c r="Q17" s="71" t="s">
        <v>134</v>
      </c>
      <c r="R17" s="72" t="s">
        <v>135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136</v>
      </c>
      <c r="K18" s="78" t="s">
        <v>137</v>
      </c>
      <c r="L18" s="78" t="s">
        <v>138</v>
      </c>
      <c r="M18" s="77" t="s">
        <v>139</v>
      </c>
      <c r="N18" s="77" t="s">
        <v>140</v>
      </c>
      <c r="O18" s="77" t="s">
        <v>141</v>
      </c>
      <c r="P18" s="79"/>
      <c r="Q18" s="79"/>
      <c r="R18" s="80"/>
    </row>
    <row r="19" spans="1:18" s="91" customFormat="1" ht="147" customHeight="1" x14ac:dyDescent="0.25">
      <c r="A19" s="281">
        <v>1</v>
      </c>
      <c r="B19" s="282" t="s">
        <v>48</v>
      </c>
      <c r="C19" s="283">
        <f>0.15 *8.59335038363171</f>
        <v>1.2890025575447566</v>
      </c>
      <c r="D19" s="81" t="s">
        <v>49</v>
      </c>
      <c r="E19" s="82">
        <f>C19/5</f>
        <v>0.25780051150895134</v>
      </c>
      <c r="F19" s="82">
        <f>E19/$E$33* 100</f>
        <v>1.8300653594771226</v>
      </c>
      <c r="G19" s="83" t="s">
        <v>50</v>
      </c>
      <c r="H19" s="84">
        <v>1</v>
      </c>
      <c r="I19" s="85" t="s">
        <v>51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52</v>
      </c>
      <c r="P19" s="88"/>
      <c r="Q19" s="89">
        <f t="shared" ref="Q19:Q32" si="0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32" si="1">F19*Q19/100</f>
        <v>0</v>
      </c>
    </row>
    <row r="20" spans="1:18" s="91" customFormat="1" ht="147" customHeight="1" x14ac:dyDescent="0.25">
      <c r="A20" s="284"/>
      <c r="B20" s="285"/>
      <c r="C20" s="286"/>
      <c r="D20" s="81" t="s">
        <v>53</v>
      </c>
      <c r="E20" s="82">
        <f>C19/5</f>
        <v>0.25780051150895134</v>
      </c>
      <c r="F20" s="82">
        <f t="shared" ref="F20:F32" si="2">E20/$E$33* 100</f>
        <v>1.8300653594771226</v>
      </c>
      <c r="G20" s="83" t="s">
        <v>54</v>
      </c>
      <c r="H20" s="84">
        <v>1</v>
      </c>
      <c r="I20" s="85" t="s">
        <v>51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52</v>
      </c>
      <c r="P20" s="88"/>
      <c r="Q20" s="89">
        <f t="shared" si="0"/>
        <v>0</v>
      </c>
      <c r="R20" s="90">
        <f t="shared" si="1"/>
        <v>0</v>
      </c>
    </row>
    <row r="21" spans="1:18" s="91" customFormat="1" ht="147" customHeight="1" x14ac:dyDescent="0.25">
      <c r="A21" s="284"/>
      <c r="B21" s="285"/>
      <c r="C21" s="286"/>
      <c r="D21" s="81" t="s">
        <v>55</v>
      </c>
      <c r="E21" s="82">
        <f>C19/5</f>
        <v>0.25780051150895134</v>
      </c>
      <c r="F21" s="82">
        <f t="shared" si="2"/>
        <v>1.8300653594771226</v>
      </c>
      <c r="G21" s="83" t="s">
        <v>56</v>
      </c>
      <c r="H21" s="84">
        <v>1</v>
      </c>
      <c r="I21" s="85" t="s">
        <v>51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52</v>
      </c>
      <c r="P21" s="88"/>
      <c r="Q21" s="89">
        <f t="shared" si="0"/>
        <v>0</v>
      </c>
      <c r="R21" s="90">
        <f t="shared" si="1"/>
        <v>0</v>
      </c>
    </row>
    <row r="22" spans="1:18" s="91" customFormat="1" ht="147" customHeight="1" x14ac:dyDescent="0.25">
      <c r="A22" s="284"/>
      <c r="B22" s="285"/>
      <c r="C22" s="286"/>
      <c r="D22" s="81" t="s">
        <v>57</v>
      </c>
      <c r="E22" s="82">
        <f>C19/5</f>
        <v>0.25780051150895134</v>
      </c>
      <c r="F22" s="82">
        <f t="shared" si="2"/>
        <v>1.8300653594771226</v>
      </c>
      <c r="G22" s="83" t="s">
        <v>58</v>
      </c>
      <c r="H22" s="92">
        <v>5</v>
      </c>
      <c r="I22" s="85" t="s">
        <v>59</v>
      </c>
      <c r="J22" s="86" t="s">
        <v>60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0"/>
        <v>0</v>
      </c>
      <c r="R22" s="90">
        <f t="shared" si="1"/>
        <v>0</v>
      </c>
    </row>
    <row r="23" spans="1:18" s="91" customFormat="1" ht="147" customHeight="1" x14ac:dyDescent="0.25">
      <c r="A23" s="287"/>
      <c r="B23" s="288"/>
      <c r="C23" s="289"/>
      <c r="D23" s="81" t="s">
        <v>61</v>
      </c>
      <c r="E23" s="82">
        <f>C19/5</f>
        <v>0.25780051150895134</v>
      </c>
      <c r="F23" s="82">
        <f t="shared" si="2"/>
        <v>1.8300653594771226</v>
      </c>
      <c r="G23" s="83" t="s">
        <v>62</v>
      </c>
      <c r="H23" s="84">
        <v>1</v>
      </c>
      <c r="I23" s="85" t="s">
        <v>51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52</v>
      </c>
      <c r="P23" s="88"/>
      <c r="Q23" s="89">
        <f t="shared" si="0"/>
        <v>0</v>
      </c>
      <c r="R23" s="90">
        <f t="shared" si="1"/>
        <v>0</v>
      </c>
    </row>
    <row r="24" spans="1:18" s="91" customFormat="1" ht="147" customHeight="1" x14ac:dyDescent="0.25">
      <c r="A24" s="281">
        <v>2</v>
      </c>
      <c r="B24" s="282" t="s">
        <v>63</v>
      </c>
      <c r="C24" s="283">
        <f>0.15 *57.2122762148338</f>
        <v>8.5818414322250689</v>
      </c>
      <c r="D24" s="94" t="s">
        <v>64</v>
      </c>
      <c r="E24" s="82">
        <f>C24/4</f>
        <v>2.1454603580562672</v>
      </c>
      <c r="F24" s="82">
        <f t="shared" si="2"/>
        <v>15.23011982570806</v>
      </c>
      <c r="G24" s="83" t="s">
        <v>65</v>
      </c>
      <c r="H24" s="93">
        <v>0.8</v>
      </c>
      <c r="I24" s="92" t="s">
        <v>51</v>
      </c>
      <c r="J24" s="86" t="s">
        <v>66</v>
      </c>
      <c r="K24" s="87">
        <v>80</v>
      </c>
      <c r="L24" s="87">
        <v>75</v>
      </c>
      <c r="M24" s="87">
        <v>70</v>
      </c>
      <c r="N24" s="87">
        <v>50</v>
      </c>
      <c r="O24" s="87" t="s">
        <v>67</v>
      </c>
      <c r="P24" s="88"/>
      <c r="Q24" s="89">
        <f t="shared" si="0"/>
        <v>0</v>
      </c>
      <c r="R24" s="90">
        <f t="shared" si="1"/>
        <v>0</v>
      </c>
    </row>
    <row r="25" spans="1:18" s="91" customFormat="1" ht="147" customHeight="1" x14ac:dyDescent="0.25">
      <c r="A25" s="284"/>
      <c r="B25" s="285"/>
      <c r="C25" s="286"/>
      <c r="D25" s="81" t="s">
        <v>68</v>
      </c>
      <c r="E25" s="82">
        <f>C24/4</f>
        <v>2.1454603580562672</v>
      </c>
      <c r="F25" s="82">
        <f t="shared" si="2"/>
        <v>15.23011982570806</v>
      </c>
      <c r="G25" s="83" t="s">
        <v>69</v>
      </c>
      <c r="H25" s="93">
        <v>0.8</v>
      </c>
      <c r="I25" s="92" t="s">
        <v>51</v>
      </c>
      <c r="J25" s="86" t="s">
        <v>66</v>
      </c>
      <c r="K25" s="87">
        <v>80</v>
      </c>
      <c r="L25" s="87">
        <v>75</v>
      </c>
      <c r="M25" s="87">
        <v>70</v>
      </c>
      <c r="N25" s="87">
        <v>50</v>
      </c>
      <c r="O25" s="87" t="s">
        <v>67</v>
      </c>
      <c r="P25" s="88"/>
      <c r="Q25" s="89">
        <f t="shared" si="0"/>
        <v>0</v>
      </c>
      <c r="R25" s="90">
        <f t="shared" si="1"/>
        <v>0</v>
      </c>
    </row>
    <row r="26" spans="1:18" s="91" customFormat="1" ht="147" customHeight="1" x14ac:dyDescent="0.25">
      <c r="A26" s="284"/>
      <c r="B26" s="285"/>
      <c r="C26" s="286"/>
      <c r="D26" s="81" t="s">
        <v>70</v>
      </c>
      <c r="E26" s="82">
        <f>C24/4</f>
        <v>2.1454603580562672</v>
      </c>
      <c r="F26" s="82">
        <f t="shared" si="2"/>
        <v>15.23011982570806</v>
      </c>
      <c r="G26" s="83" t="s">
        <v>71</v>
      </c>
      <c r="H26" s="93">
        <v>0.8</v>
      </c>
      <c r="I26" s="92" t="s">
        <v>51</v>
      </c>
      <c r="J26" s="86" t="s">
        <v>66</v>
      </c>
      <c r="K26" s="87">
        <v>80</v>
      </c>
      <c r="L26" s="87">
        <v>75</v>
      </c>
      <c r="M26" s="87">
        <v>70</v>
      </c>
      <c r="N26" s="87">
        <v>50</v>
      </c>
      <c r="O26" s="87" t="s">
        <v>67</v>
      </c>
      <c r="P26" s="88"/>
      <c r="Q26" s="89">
        <f t="shared" si="0"/>
        <v>0</v>
      </c>
      <c r="R26" s="90">
        <f t="shared" si="1"/>
        <v>0</v>
      </c>
    </row>
    <row r="27" spans="1:18" s="91" customFormat="1" ht="147" customHeight="1" x14ac:dyDescent="0.25">
      <c r="A27" s="287"/>
      <c r="B27" s="288"/>
      <c r="C27" s="289"/>
      <c r="D27" s="81" t="s">
        <v>72</v>
      </c>
      <c r="E27" s="82">
        <f>C24/4</f>
        <v>2.1454603580562672</v>
      </c>
      <c r="F27" s="82">
        <f t="shared" si="2"/>
        <v>15.23011982570806</v>
      </c>
      <c r="G27" s="83" t="s">
        <v>73</v>
      </c>
      <c r="H27" s="93">
        <v>1</v>
      </c>
      <c r="I27" s="85" t="s">
        <v>51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52</v>
      </c>
      <c r="P27" s="88"/>
      <c r="Q27" s="89">
        <f t="shared" si="0"/>
        <v>0</v>
      </c>
      <c r="R27" s="90">
        <f t="shared" si="1"/>
        <v>0</v>
      </c>
    </row>
    <row r="28" spans="1:18" s="91" customFormat="1" ht="147" customHeight="1" x14ac:dyDescent="0.25">
      <c r="A28" s="281">
        <v>3</v>
      </c>
      <c r="B28" s="282" t="s">
        <v>74</v>
      </c>
      <c r="C28" s="290">
        <f>0.15 *0.895140664961637</f>
        <v>0.13427109974424556</v>
      </c>
      <c r="D28" s="81" t="s">
        <v>75</v>
      </c>
      <c r="E28" s="82">
        <f>C28/2</f>
        <v>6.7135549872122779E-2</v>
      </c>
      <c r="F28" s="82">
        <f t="shared" si="2"/>
        <v>0.47657952069716764</v>
      </c>
      <c r="G28" s="83" t="s">
        <v>76</v>
      </c>
      <c r="H28" s="93">
        <v>1</v>
      </c>
      <c r="I28" s="85" t="s">
        <v>51</v>
      </c>
      <c r="J28" s="86">
        <v>100</v>
      </c>
      <c r="K28" s="87">
        <v>95</v>
      </c>
      <c r="L28" s="87">
        <v>90</v>
      </c>
      <c r="M28" s="87">
        <v>85</v>
      </c>
      <c r="N28" s="87">
        <v>80</v>
      </c>
      <c r="O28" s="87" t="s">
        <v>52</v>
      </c>
      <c r="P28" s="88"/>
      <c r="Q28" s="89">
        <f t="shared" si="0"/>
        <v>0</v>
      </c>
      <c r="R28" s="90">
        <f t="shared" si="1"/>
        <v>0</v>
      </c>
    </row>
    <row r="29" spans="1:18" s="91" customFormat="1" ht="147" customHeight="1" x14ac:dyDescent="0.25">
      <c r="A29" s="287"/>
      <c r="B29" s="288"/>
      <c r="C29" s="291"/>
      <c r="D29" s="81" t="s">
        <v>77</v>
      </c>
      <c r="E29" s="82">
        <f>C28/2</f>
        <v>6.7135549872122779E-2</v>
      </c>
      <c r="F29" s="82">
        <f t="shared" si="2"/>
        <v>0.47657952069716764</v>
      </c>
      <c r="G29" s="83" t="s">
        <v>78</v>
      </c>
      <c r="H29" s="92">
        <v>5</v>
      </c>
      <c r="I29" s="85" t="s">
        <v>59</v>
      </c>
      <c r="J29" s="86" t="s">
        <v>60</v>
      </c>
      <c r="K29" s="87">
        <v>5</v>
      </c>
      <c r="L29" s="87">
        <v>4</v>
      </c>
      <c r="M29" s="87">
        <v>3</v>
      </c>
      <c r="N29" s="87">
        <v>2</v>
      </c>
      <c r="O29" s="87">
        <v>1</v>
      </c>
      <c r="P29" s="88"/>
      <c r="Q29" s="89">
        <f t="shared" si="0"/>
        <v>0</v>
      </c>
      <c r="R29" s="90">
        <f t="shared" si="1"/>
        <v>0</v>
      </c>
    </row>
    <row r="30" spans="1:18" s="91" customFormat="1" ht="147" customHeight="1" x14ac:dyDescent="0.25">
      <c r="A30" s="292">
        <v>4</v>
      </c>
      <c r="B30" s="293" t="s">
        <v>79</v>
      </c>
      <c r="C30" s="294">
        <f>0.15 *14.3222506393862</f>
        <v>2.1483375959079298</v>
      </c>
      <c r="D30" s="81" t="s">
        <v>80</v>
      </c>
      <c r="E30" s="82">
        <f>C30</f>
        <v>2.1483375959079298</v>
      </c>
      <c r="F30" s="82">
        <f t="shared" si="2"/>
        <v>15.25054466230937</v>
      </c>
      <c r="G30" s="83" t="s">
        <v>81</v>
      </c>
      <c r="H30" s="93">
        <v>0.8</v>
      </c>
      <c r="I30" s="92" t="s">
        <v>51</v>
      </c>
      <c r="J30" s="86" t="s">
        <v>66</v>
      </c>
      <c r="K30" s="87">
        <v>80</v>
      </c>
      <c r="L30" s="87">
        <v>75</v>
      </c>
      <c r="M30" s="87">
        <v>70</v>
      </c>
      <c r="N30" s="87">
        <v>50</v>
      </c>
      <c r="O30" s="87" t="s">
        <v>67</v>
      </c>
      <c r="P30" s="88"/>
      <c r="Q30" s="89">
        <f t="shared" si="0"/>
        <v>0</v>
      </c>
      <c r="R30" s="90">
        <f t="shared" si="1"/>
        <v>0</v>
      </c>
    </row>
    <row r="31" spans="1:18" s="91" customFormat="1" ht="147" customHeight="1" x14ac:dyDescent="0.25">
      <c r="A31" s="92">
        <v>5</v>
      </c>
      <c r="B31" s="81" t="s">
        <v>82</v>
      </c>
      <c r="C31" s="95">
        <f>0.15 *5.72890025575448</f>
        <v>0.85933503836317204</v>
      </c>
      <c r="D31" s="293" t="s">
        <v>83</v>
      </c>
      <c r="E31" s="82">
        <f>C31</f>
        <v>0.85933503836317204</v>
      </c>
      <c r="F31" s="82">
        <f t="shared" si="2"/>
        <v>6.1002178649237484</v>
      </c>
      <c r="G31" s="83" t="s">
        <v>84</v>
      </c>
      <c r="H31" s="84">
        <v>0.7</v>
      </c>
      <c r="I31" s="92" t="s">
        <v>51</v>
      </c>
      <c r="J31" s="86" t="s">
        <v>85</v>
      </c>
      <c r="K31" s="87">
        <v>70</v>
      </c>
      <c r="L31" s="87">
        <v>60</v>
      </c>
      <c r="M31" s="87">
        <v>50</v>
      </c>
      <c r="N31" s="87">
        <v>40</v>
      </c>
      <c r="O31" s="87" t="s">
        <v>86</v>
      </c>
      <c r="P31" s="88"/>
      <c r="Q31" s="89">
        <f t="shared" si="0"/>
        <v>0</v>
      </c>
      <c r="R31" s="90">
        <f t="shared" si="1"/>
        <v>0</v>
      </c>
    </row>
    <row r="32" spans="1:18" s="91" customFormat="1" ht="147" customHeight="1" x14ac:dyDescent="0.25">
      <c r="A32" s="92">
        <v>6</v>
      </c>
      <c r="B32" s="81" t="s">
        <v>87</v>
      </c>
      <c r="C32" s="95">
        <f>0.15 *7.16112531969309</f>
        <v>1.0741687979539634</v>
      </c>
      <c r="D32" s="83" t="s">
        <v>88</v>
      </c>
      <c r="E32" s="82">
        <f>C32</f>
        <v>1.0741687979539634</v>
      </c>
      <c r="F32" s="82">
        <f t="shared" si="2"/>
        <v>7.6252723311546742</v>
      </c>
      <c r="G32" s="83" t="s">
        <v>89</v>
      </c>
      <c r="H32" s="84">
        <v>0.5</v>
      </c>
      <c r="I32" s="85" t="s">
        <v>51</v>
      </c>
      <c r="J32" s="86" t="s">
        <v>90</v>
      </c>
      <c r="K32" s="87">
        <v>50</v>
      </c>
      <c r="L32" s="87">
        <v>45</v>
      </c>
      <c r="M32" s="87">
        <v>40</v>
      </c>
      <c r="N32" s="87">
        <v>25</v>
      </c>
      <c r="O32" s="87" t="s">
        <v>91</v>
      </c>
      <c r="P32" s="88"/>
      <c r="Q32" s="89">
        <f t="shared" si="0"/>
        <v>0</v>
      </c>
      <c r="R32" s="90">
        <f t="shared" si="1"/>
        <v>0</v>
      </c>
    </row>
    <row r="33" spans="1:18" s="106" customFormat="1" ht="44.25" x14ac:dyDescent="0.25">
      <c r="A33" s="96"/>
      <c r="B33" s="97" t="s">
        <v>92</v>
      </c>
      <c r="C33" s="98">
        <f>SUM(C19:C32)</f>
        <v>14.086956521739134</v>
      </c>
      <c r="D33" s="97"/>
      <c r="E33" s="98">
        <f>SUM(E19:E32)</f>
        <v>14.086956521739138</v>
      </c>
      <c r="F33" s="98">
        <f>SUM(F19:F32)</f>
        <v>99.999999999999986</v>
      </c>
      <c r="G33" s="99"/>
      <c r="H33" s="100"/>
      <c r="I33" s="101"/>
      <c r="J33" s="102"/>
      <c r="K33" s="102"/>
      <c r="L33" s="102"/>
      <c r="M33" s="102"/>
      <c r="N33" s="102"/>
      <c r="O33" s="102"/>
      <c r="P33" s="103"/>
      <c r="Q33" s="104"/>
      <c r="R33" s="105">
        <f>SUM(R19:R32)</f>
        <v>0</v>
      </c>
    </row>
    <row r="34" spans="1:18" s="108" customFormat="1" ht="66" customHeight="1" x14ac:dyDescent="0.7">
      <c r="A34" s="107"/>
      <c r="G34" s="109"/>
      <c r="H34" s="109"/>
      <c r="I34" s="110" t="s">
        <v>142</v>
      </c>
      <c r="J34" s="111"/>
      <c r="K34" s="111"/>
      <c r="L34" s="111"/>
      <c r="M34" s="111"/>
      <c r="N34" s="111"/>
      <c r="O34" s="111"/>
      <c r="P34" s="111"/>
      <c r="Q34" s="112"/>
      <c r="R34" s="113">
        <f>R33/100 * 70</f>
        <v>0</v>
      </c>
    </row>
    <row r="35" spans="1:18" s="122" customFormat="1" ht="36" x14ac:dyDescent="0.55000000000000004">
      <c r="A35" s="114" t="s">
        <v>93</v>
      </c>
      <c r="B35" s="115"/>
      <c r="C35" s="115"/>
      <c r="D35" s="115"/>
      <c r="E35" s="115"/>
      <c r="F35" s="115"/>
      <c r="G35" s="116"/>
      <c r="H35" s="117"/>
      <c r="I35" s="117"/>
      <c r="J35" s="117"/>
      <c r="K35" s="117"/>
      <c r="L35" s="71" t="s">
        <v>98</v>
      </c>
      <c r="M35" s="118" t="s">
        <v>94</v>
      </c>
      <c r="N35" s="118"/>
      <c r="O35" s="118"/>
      <c r="P35" s="119"/>
      <c r="Q35" s="120"/>
      <c r="R35" s="121"/>
    </row>
    <row r="36" spans="1:18" s="122" customFormat="1" ht="31.5" customHeight="1" x14ac:dyDescent="0.55000000000000004">
      <c r="A36" s="123"/>
      <c r="B36" s="124"/>
      <c r="C36" s="125" t="s">
        <v>95</v>
      </c>
      <c r="D36" s="125"/>
      <c r="E36" s="125"/>
      <c r="F36" s="125"/>
      <c r="G36" s="125"/>
      <c r="H36" s="126" t="s">
        <v>143</v>
      </c>
      <c r="I36" s="126" t="s">
        <v>144</v>
      </c>
      <c r="J36" s="126"/>
      <c r="K36" s="127"/>
      <c r="L36" s="79"/>
      <c r="M36" s="128"/>
      <c r="N36" s="128"/>
      <c r="O36" s="128"/>
      <c r="P36" s="129"/>
      <c r="Q36" s="120"/>
      <c r="R36" s="121"/>
    </row>
    <row r="37" spans="1:18" s="122" customFormat="1" ht="36" customHeight="1" x14ac:dyDescent="0.55000000000000004">
      <c r="A37" s="130">
        <v>1</v>
      </c>
      <c r="B37" s="131" t="s">
        <v>99</v>
      </c>
      <c r="C37" s="132"/>
      <c r="D37" s="133"/>
      <c r="E37" s="133"/>
      <c r="F37" s="133"/>
      <c r="G37" s="134"/>
      <c r="H37" s="135"/>
      <c r="I37" s="135"/>
      <c r="J37" s="135"/>
      <c r="K37" s="135"/>
      <c r="L37" s="136"/>
      <c r="M37" s="137" t="s">
        <v>42</v>
      </c>
      <c r="N37" s="138" t="s">
        <v>100</v>
      </c>
      <c r="O37" s="139"/>
      <c r="P37" s="129"/>
      <c r="Q37" s="120"/>
      <c r="R37" s="121"/>
    </row>
    <row r="38" spans="1:18" s="122" customFormat="1" ht="84.75" customHeight="1" x14ac:dyDescent="0.55000000000000004">
      <c r="A38" s="140" t="s">
        <v>101</v>
      </c>
      <c r="B38" s="141" t="s">
        <v>145</v>
      </c>
      <c r="C38" s="142"/>
      <c r="D38" s="143"/>
      <c r="E38" s="143"/>
      <c r="F38" s="143"/>
      <c r="G38" s="144"/>
      <c r="H38" s="145">
        <v>4</v>
      </c>
      <c r="I38" s="146"/>
      <c r="J38" s="145"/>
      <c r="K38" s="145"/>
      <c r="L38" s="136"/>
      <c r="M38" s="137" t="s">
        <v>43</v>
      </c>
      <c r="N38" s="138" t="s">
        <v>102</v>
      </c>
      <c r="O38" s="139"/>
      <c r="P38" s="129"/>
      <c r="Q38" s="120"/>
      <c r="R38" s="121"/>
    </row>
    <row r="39" spans="1:18" s="122" customFormat="1" ht="82.5" customHeight="1" x14ac:dyDescent="0.55000000000000004">
      <c r="A39" s="140" t="s">
        <v>103</v>
      </c>
      <c r="B39" s="141" t="s">
        <v>146</v>
      </c>
      <c r="C39" s="142"/>
      <c r="D39" s="143"/>
      <c r="E39" s="143"/>
      <c r="F39" s="143"/>
      <c r="G39" s="144"/>
      <c r="H39" s="145">
        <v>2</v>
      </c>
      <c r="I39" s="146"/>
      <c r="J39" s="145"/>
      <c r="K39" s="145"/>
      <c r="L39" s="136"/>
      <c r="M39" s="137" t="s">
        <v>44</v>
      </c>
      <c r="N39" s="138" t="s">
        <v>104</v>
      </c>
      <c r="O39" s="139"/>
      <c r="P39" s="129"/>
      <c r="Q39" s="120"/>
      <c r="R39" s="121"/>
    </row>
    <row r="40" spans="1:18" s="122" customFormat="1" ht="78.75" customHeight="1" x14ac:dyDescent="0.55000000000000004">
      <c r="A40" s="140" t="s">
        <v>105</v>
      </c>
      <c r="B40" s="141" t="s">
        <v>106</v>
      </c>
      <c r="C40" s="142"/>
      <c r="D40" s="143"/>
      <c r="E40" s="143"/>
      <c r="F40" s="143"/>
      <c r="G40" s="144"/>
      <c r="H40" s="145">
        <v>2</v>
      </c>
      <c r="I40" s="146"/>
      <c r="J40" s="145"/>
      <c r="K40" s="145"/>
      <c r="L40" s="136"/>
      <c r="M40" s="137" t="s">
        <v>45</v>
      </c>
      <c r="N40" s="138" t="s">
        <v>107</v>
      </c>
      <c r="O40" s="139"/>
      <c r="P40" s="129"/>
      <c r="Q40" s="120"/>
      <c r="R40" s="121"/>
    </row>
    <row r="41" spans="1:18" s="122" customFormat="1" ht="36" x14ac:dyDescent="0.55000000000000004">
      <c r="A41" s="147">
        <v>2</v>
      </c>
      <c r="B41" s="148" t="s">
        <v>108</v>
      </c>
      <c r="C41" s="149"/>
      <c r="D41" s="150"/>
      <c r="E41" s="150"/>
      <c r="F41" s="150"/>
      <c r="G41" s="151"/>
      <c r="H41" s="145"/>
      <c r="I41" s="146"/>
      <c r="J41" s="145"/>
      <c r="K41" s="145"/>
      <c r="L41" s="136"/>
      <c r="M41" s="137" t="s">
        <v>46</v>
      </c>
      <c r="N41" s="138" t="s">
        <v>109</v>
      </c>
      <c r="O41" s="139"/>
      <c r="P41" s="129"/>
      <c r="Q41" s="120"/>
      <c r="R41" s="121"/>
    </row>
    <row r="42" spans="1:18" s="122" customFormat="1" ht="82.5" customHeight="1" x14ac:dyDescent="0.55000000000000004">
      <c r="A42" s="140" t="s">
        <v>101</v>
      </c>
      <c r="B42" s="152" t="s">
        <v>147</v>
      </c>
      <c r="C42" s="153"/>
      <c r="D42" s="154"/>
      <c r="E42" s="154"/>
      <c r="F42" s="154"/>
      <c r="G42" s="155"/>
      <c r="H42" s="145">
        <v>2</v>
      </c>
      <c r="I42" s="146"/>
      <c r="J42" s="145"/>
      <c r="K42" s="145"/>
      <c r="L42" s="136"/>
      <c r="M42" s="137" t="s">
        <v>47</v>
      </c>
      <c r="N42" s="138" t="s">
        <v>110</v>
      </c>
      <c r="O42" s="139"/>
      <c r="P42" s="156"/>
      <c r="Q42" s="120"/>
      <c r="R42" s="121"/>
    </row>
    <row r="43" spans="1:18" s="122" customFormat="1" ht="114.75" customHeight="1" x14ac:dyDescent="0.55000000000000004">
      <c r="A43" s="140" t="s">
        <v>103</v>
      </c>
      <c r="B43" s="152" t="s">
        <v>148</v>
      </c>
      <c r="C43" s="153"/>
      <c r="D43" s="154"/>
      <c r="E43" s="154"/>
      <c r="F43" s="154"/>
      <c r="G43" s="155"/>
      <c r="H43" s="145">
        <v>2</v>
      </c>
      <c r="I43" s="146"/>
      <c r="J43" s="145"/>
      <c r="K43" s="145"/>
      <c r="L43" s="136"/>
      <c r="M43" s="129" t="s">
        <v>98</v>
      </c>
      <c r="N43" s="157" t="s">
        <v>111</v>
      </c>
      <c r="O43" s="158"/>
      <c r="P43" s="156"/>
      <c r="Q43" s="120"/>
      <c r="R43" s="121"/>
    </row>
    <row r="44" spans="1:18" s="122" customFormat="1" ht="72" customHeight="1" x14ac:dyDescent="0.55000000000000004">
      <c r="A44" s="140" t="s">
        <v>105</v>
      </c>
      <c r="B44" s="152" t="s">
        <v>149</v>
      </c>
      <c r="C44" s="153"/>
      <c r="D44" s="154"/>
      <c r="E44" s="154"/>
      <c r="F44" s="154"/>
      <c r="G44" s="155"/>
      <c r="H44" s="145">
        <v>2</v>
      </c>
      <c r="I44" s="146"/>
      <c r="J44" s="145"/>
      <c r="K44" s="145"/>
      <c r="L44" s="136"/>
      <c r="M44" s="129" t="s">
        <v>112</v>
      </c>
      <c r="N44" s="157" t="s">
        <v>113</v>
      </c>
      <c r="O44" s="158"/>
      <c r="P44" s="156"/>
      <c r="Q44" s="120"/>
      <c r="R44" s="121"/>
    </row>
    <row r="45" spans="1:18" s="122" customFormat="1" ht="66" customHeight="1" x14ac:dyDescent="0.55000000000000004">
      <c r="A45" s="147">
        <v>3</v>
      </c>
      <c r="B45" s="148" t="s">
        <v>114</v>
      </c>
      <c r="C45" s="149"/>
      <c r="D45" s="150"/>
      <c r="E45" s="150"/>
      <c r="F45" s="150"/>
      <c r="G45" s="151"/>
      <c r="H45" s="145"/>
      <c r="I45" s="146"/>
      <c r="J45" s="145"/>
      <c r="K45" s="145"/>
      <c r="L45" s="136"/>
      <c r="M45" s="129" t="s">
        <v>96</v>
      </c>
      <c r="N45" s="157" t="s">
        <v>115</v>
      </c>
      <c r="O45" s="158"/>
      <c r="P45" s="156"/>
      <c r="Q45" s="120"/>
      <c r="R45" s="121"/>
    </row>
    <row r="46" spans="1:18" s="122" customFormat="1" ht="72" customHeight="1" x14ac:dyDescent="0.55000000000000004">
      <c r="A46" s="140" t="s">
        <v>101</v>
      </c>
      <c r="B46" s="152" t="s">
        <v>116</v>
      </c>
      <c r="C46" s="159"/>
      <c r="D46" s="160"/>
      <c r="E46" s="160"/>
      <c r="F46" s="160"/>
      <c r="G46" s="161"/>
      <c r="H46" s="145">
        <v>2</v>
      </c>
      <c r="I46" s="146"/>
      <c r="J46" s="145"/>
      <c r="K46" s="145"/>
      <c r="L46" s="136"/>
      <c r="M46" s="129" t="s">
        <v>97</v>
      </c>
      <c r="N46" s="157" t="s">
        <v>117</v>
      </c>
      <c r="O46" s="158"/>
      <c r="P46" s="156"/>
      <c r="Q46" s="120"/>
      <c r="R46" s="121"/>
    </row>
    <row r="47" spans="1:18" s="122" customFormat="1" ht="72" customHeight="1" x14ac:dyDescent="0.55000000000000004">
      <c r="A47" s="140" t="s">
        <v>103</v>
      </c>
      <c r="B47" s="152" t="s">
        <v>150</v>
      </c>
      <c r="C47" s="159"/>
      <c r="D47" s="160"/>
      <c r="E47" s="160"/>
      <c r="F47" s="160"/>
      <c r="G47" s="161"/>
      <c r="H47" s="145">
        <v>2</v>
      </c>
      <c r="I47" s="146"/>
      <c r="J47" s="145"/>
      <c r="K47" s="145"/>
      <c r="L47" s="136"/>
      <c r="M47" s="129" t="s">
        <v>118</v>
      </c>
      <c r="N47" s="157" t="s">
        <v>119</v>
      </c>
      <c r="O47" s="158"/>
      <c r="P47" s="156"/>
      <c r="Q47" s="120"/>
      <c r="R47" s="121"/>
    </row>
    <row r="48" spans="1:18" s="122" customFormat="1" ht="44.25" customHeight="1" x14ac:dyDescent="0.55000000000000004">
      <c r="A48" s="140" t="s">
        <v>105</v>
      </c>
      <c r="B48" s="152" t="s">
        <v>151</v>
      </c>
      <c r="C48" s="159"/>
      <c r="D48" s="160"/>
      <c r="E48" s="160"/>
      <c r="F48" s="160"/>
      <c r="G48" s="161"/>
      <c r="H48" s="145">
        <v>2</v>
      </c>
      <c r="I48" s="146"/>
      <c r="J48" s="145"/>
      <c r="K48" s="145"/>
      <c r="L48" s="136"/>
      <c r="M48" s="162"/>
      <c r="N48" s="162"/>
      <c r="O48" s="162"/>
      <c r="P48" s="163"/>
      <c r="Q48" s="120"/>
      <c r="R48" s="121"/>
    </row>
    <row r="49" spans="1:18" s="122" customFormat="1" ht="31.5" customHeight="1" x14ac:dyDescent="0.55000000000000004">
      <c r="A49" s="164" t="s">
        <v>120</v>
      </c>
      <c r="B49" s="165"/>
      <c r="C49" s="165"/>
      <c r="D49" s="165"/>
      <c r="E49" s="165"/>
      <c r="F49" s="165"/>
      <c r="G49" s="165"/>
      <c r="H49" s="166">
        <f>SUM(H38:H48)</f>
        <v>20</v>
      </c>
      <c r="I49" s="166">
        <f>SUM(I38:I48)</f>
        <v>0</v>
      </c>
      <c r="J49" s="166"/>
      <c r="K49" s="167"/>
      <c r="L49" s="136"/>
      <c r="M49" s="162"/>
      <c r="N49" s="162"/>
      <c r="O49" s="162"/>
      <c r="P49" s="163"/>
      <c r="Q49" s="120"/>
      <c r="R49" s="121"/>
    </row>
    <row r="50" spans="1:18" s="122" customFormat="1" ht="36" customHeight="1" x14ac:dyDescent="0.55000000000000004">
      <c r="A50" s="168" t="s">
        <v>101</v>
      </c>
      <c r="B50" s="169" t="s">
        <v>121</v>
      </c>
      <c r="C50" s="153" t="s">
        <v>122</v>
      </c>
      <c r="D50" s="154"/>
      <c r="E50" s="154"/>
      <c r="F50" s="154"/>
      <c r="G50" s="155"/>
      <c r="H50" s="170">
        <v>4</v>
      </c>
      <c r="I50" s="171"/>
      <c r="J50" s="170"/>
      <c r="K50" s="172"/>
      <c r="L50" s="136"/>
      <c r="M50" s="162"/>
      <c r="N50" s="162"/>
      <c r="O50" s="162"/>
      <c r="P50" s="163"/>
      <c r="Q50" s="120"/>
      <c r="R50" s="121"/>
    </row>
    <row r="51" spans="1:18" s="122" customFormat="1" ht="129" customHeight="1" x14ac:dyDescent="0.55000000000000004">
      <c r="A51" s="168" t="s">
        <v>103</v>
      </c>
      <c r="B51" s="169" t="s">
        <v>123</v>
      </c>
      <c r="C51" s="153" t="s">
        <v>124</v>
      </c>
      <c r="D51" s="154"/>
      <c r="E51" s="154"/>
      <c r="F51" s="154"/>
      <c r="G51" s="155"/>
      <c r="H51" s="170">
        <v>3</v>
      </c>
      <c r="I51" s="171"/>
      <c r="J51" s="170"/>
      <c r="K51" s="172"/>
      <c r="L51" s="136"/>
      <c r="M51" s="162"/>
      <c r="N51" s="162"/>
      <c r="O51" s="162"/>
      <c r="P51" s="163"/>
      <c r="Q51" s="120"/>
      <c r="R51" s="121"/>
    </row>
    <row r="52" spans="1:18" s="122" customFormat="1" ht="69" customHeight="1" x14ac:dyDescent="0.55000000000000004">
      <c r="A52" s="168" t="s">
        <v>103</v>
      </c>
      <c r="B52" s="169" t="s">
        <v>125</v>
      </c>
      <c r="C52" s="153" t="s">
        <v>126</v>
      </c>
      <c r="D52" s="154"/>
      <c r="E52" s="154"/>
      <c r="F52" s="154"/>
      <c r="G52" s="155"/>
      <c r="H52" s="170">
        <v>3</v>
      </c>
      <c r="I52" s="171"/>
      <c r="J52" s="170"/>
      <c r="K52" s="172"/>
      <c r="L52" s="136"/>
      <c r="M52" s="162"/>
      <c r="N52" s="162"/>
      <c r="O52" s="162"/>
      <c r="P52" s="163"/>
      <c r="Q52" s="120"/>
      <c r="R52" s="121"/>
    </row>
    <row r="53" spans="1:18" s="122" customFormat="1" ht="46.5" customHeight="1" x14ac:dyDescent="0.55000000000000004">
      <c r="A53" s="173"/>
      <c r="B53" s="174" t="s">
        <v>127</v>
      </c>
      <c r="C53" s="174"/>
      <c r="D53" s="174"/>
      <c r="E53" s="175"/>
      <c r="F53" s="175"/>
      <c r="G53" s="175"/>
      <c r="H53" s="166">
        <f>SUM(H50:H52)</f>
        <v>10</v>
      </c>
      <c r="I53" s="166">
        <f>SUM(I50:I52)</f>
        <v>0</v>
      </c>
      <c r="J53" s="175"/>
      <c r="K53" s="176"/>
      <c r="L53" s="162"/>
      <c r="M53" s="162"/>
      <c r="N53" s="162"/>
      <c r="O53" s="162"/>
      <c r="P53" s="163"/>
      <c r="Q53" s="120"/>
      <c r="R53" s="121"/>
    </row>
    <row r="54" spans="1:18" s="184" customFormat="1" ht="45" customHeight="1" x14ac:dyDescent="0.7">
      <c r="A54" s="177"/>
      <c r="B54" s="178"/>
      <c r="C54" s="179"/>
      <c r="D54" s="179"/>
      <c r="E54" s="179"/>
      <c r="F54" s="180"/>
      <c r="G54" s="180"/>
      <c r="H54" s="180"/>
      <c r="I54" s="180"/>
      <c r="J54" s="180"/>
      <c r="K54" s="179"/>
      <c r="L54" s="179"/>
      <c r="M54" s="179"/>
      <c r="N54" s="179"/>
      <c r="O54" s="181" t="s">
        <v>152</v>
      </c>
      <c r="P54" s="182"/>
      <c r="Q54" s="181" t="s">
        <v>153</v>
      </c>
      <c r="R54" s="183"/>
    </row>
    <row r="55" spans="1:18" s="184" customFormat="1" ht="45" customHeight="1" x14ac:dyDescent="0.7">
      <c r="A55" s="177"/>
      <c r="B55" s="185"/>
      <c r="C55" s="186" t="s">
        <v>154</v>
      </c>
      <c r="D55" s="187"/>
      <c r="E55" s="187"/>
      <c r="F55" s="187"/>
      <c r="G55" s="187"/>
      <c r="H55" s="187"/>
      <c r="I55" s="187"/>
      <c r="J55" s="187"/>
      <c r="K55" s="188"/>
      <c r="L55" s="189"/>
      <c r="M55" s="190"/>
      <c r="N55" s="191"/>
      <c r="O55" s="192">
        <f>R34</f>
        <v>0</v>
      </c>
      <c r="P55" s="193"/>
      <c r="Q55" s="194">
        <f>O58/100 * 20</f>
        <v>0</v>
      </c>
      <c r="R55" s="195"/>
    </row>
    <row r="56" spans="1:18" s="184" customFormat="1" ht="45" customHeight="1" x14ac:dyDescent="0.7">
      <c r="A56" s="177"/>
      <c r="B56" s="185"/>
      <c r="C56" s="187" t="s">
        <v>155</v>
      </c>
      <c r="D56" s="187"/>
      <c r="E56" s="187"/>
      <c r="F56" s="187"/>
      <c r="G56" s="187"/>
      <c r="H56" s="187"/>
      <c r="I56" s="187"/>
      <c r="J56" s="187"/>
      <c r="K56" s="187"/>
      <c r="L56" s="190"/>
      <c r="M56" s="190"/>
      <c r="N56" s="191"/>
      <c r="O56" s="192">
        <f>I49</f>
        <v>0</v>
      </c>
      <c r="P56" s="193"/>
      <c r="Q56" s="196"/>
      <c r="R56" s="197"/>
    </row>
    <row r="57" spans="1:18" s="184" customFormat="1" ht="45" customHeight="1" x14ac:dyDescent="0.7">
      <c r="A57" s="177"/>
      <c r="B57" s="185"/>
      <c r="C57" s="186" t="s">
        <v>156</v>
      </c>
      <c r="D57" s="187"/>
      <c r="E57" s="187"/>
      <c r="F57" s="187"/>
      <c r="G57" s="187"/>
      <c r="H57" s="187"/>
      <c r="I57" s="187"/>
      <c r="J57" s="187"/>
      <c r="K57" s="188"/>
      <c r="L57" s="189"/>
      <c r="M57" s="190"/>
      <c r="N57" s="191"/>
      <c r="O57" s="192">
        <f>I53</f>
        <v>0</v>
      </c>
      <c r="P57" s="193"/>
      <c r="Q57" s="196"/>
      <c r="R57" s="197"/>
    </row>
    <row r="58" spans="1:18" s="184" customFormat="1" ht="45" customHeight="1" x14ac:dyDescent="0.7">
      <c r="A58" s="177"/>
      <c r="B58" s="198"/>
      <c r="C58" s="186" t="s">
        <v>157</v>
      </c>
      <c r="D58" s="187"/>
      <c r="E58" s="187"/>
      <c r="F58" s="187"/>
      <c r="G58" s="187"/>
      <c r="H58" s="187"/>
      <c r="I58" s="187"/>
      <c r="J58" s="187"/>
      <c r="K58" s="188"/>
      <c r="L58" s="189"/>
      <c r="M58" s="190"/>
      <c r="N58" s="191"/>
      <c r="O58" s="192">
        <f>SUM(O55:P57)</f>
        <v>0</v>
      </c>
      <c r="P58" s="193"/>
      <c r="Q58" s="199"/>
      <c r="R58" s="200"/>
    </row>
    <row r="59" spans="1:18" s="184" customFormat="1" ht="64.900000000000006" customHeight="1" x14ac:dyDescent="0.7">
      <c r="A59" s="177"/>
      <c r="B59" s="201" t="s">
        <v>158</v>
      </c>
      <c r="C59" s="201"/>
      <c r="D59" s="201"/>
      <c r="E59" s="201"/>
      <c r="F59" s="201"/>
      <c r="G59" s="201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3"/>
    </row>
    <row r="60" spans="1:18" s="184" customFormat="1" ht="64.900000000000006" customHeight="1" x14ac:dyDescent="0.7">
      <c r="A60" s="177"/>
      <c r="B60" s="204" t="s">
        <v>159</v>
      </c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5"/>
    </row>
    <row r="61" spans="1:18" s="184" customFormat="1" ht="48.75" customHeight="1" x14ac:dyDescent="0.7">
      <c r="A61" s="177"/>
      <c r="B61" s="206" t="s">
        <v>160</v>
      </c>
      <c r="C61" s="206"/>
      <c r="D61" s="206"/>
      <c r="E61" s="206"/>
      <c r="F61" s="206"/>
      <c r="G61" s="206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8"/>
    </row>
    <row r="62" spans="1:18" s="184" customFormat="1" ht="45.75" x14ac:dyDescent="0.7">
      <c r="A62" s="177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5"/>
    </row>
    <row r="63" spans="1:18" s="122" customFormat="1" ht="31.5" customHeight="1" x14ac:dyDescent="0.55000000000000004">
      <c r="A63" s="209" t="s">
        <v>161</v>
      </c>
      <c r="B63" s="210"/>
      <c r="C63" s="211"/>
      <c r="D63" s="212"/>
      <c r="E63" s="213" t="s">
        <v>162</v>
      </c>
      <c r="F63" s="214"/>
      <c r="G63" s="210" t="s">
        <v>163</v>
      </c>
      <c r="H63" s="211"/>
      <c r="I63" s="211"/>
      <c r="J63" s="211"/>
      <c r="K63" s="215"/>
      <c r="L63" s="136"/>
      <c r="M63" s="216"/>
      <c r="N63" s="216"/>
      <c r="O63" s="216"/>
      <c r="P63" s="216"/>
      <c r="Q63" s="216"/>
      <c r="R63" s="121"/>
    </row>
    <row r="64" spans="1:18" s="122" customFormat="1" ht="31.5" customHeight="1" x14ac:dyDescent="0.55000000000000004">
      <c r="A64" s="217"/>
      <c r="B64" s="218"/>
      <c r="C64" s="219"/>
      <c r="D64" s="220"/>
      <c r="E64" s="221"/>
      <c r="F64" s="222"/>
      <c r="G64" s="218"/>
      <c r="H64" s="219"/>
      <c r="I64" s="219"/>
      <c r="J64" s="219"/>
      <c r="K64" s="215"/>
      <c r="L64" s="136"/>
      <c r="M64" s="223"/>
      <c r="N64" s="223"/>
      <c r="O64" s="223"/>
      <c r="P64" s="223"/>
      <c r="Q64" s="223"/>
      <c r="R64" s="121"/>
    </row>
    <row r="65" spans="1:18" s="122" customFormat="1" ht="31.5" customHeight="1" x14ac:dyDescent="0.55000000000000004">
      <c r="A65" s="217"/>
      <c r="B65" s="218"/>
      <c r="C65" s="219"/>
      <c r="D65" s="220"/>
      <c r="E65" s="221"/>
      <c r="F65" s="222"/>
      <c r="G65" s="218"/>
      <c r="H65" s="219"/>
      <c r="I65" s="219"/>
      <c r="J65" s="219"/>
      <c r="K65" s="215"/>
      <c r="L65" s="136"/>
      <c r="M65" s="223"/>
      <c r="N65" s="223"/>
      <c r="O65" s="223"/>
      <c r="P65" s="223"/>
      <c r="Q65" s="223"/>
      <c r="R65" s="121"/>
    </row>
    <row r="66" spans="1:18" s="122" customFormat="1" ht="31.5" customHeight="1" x14ac:dyDescent="0.55000000000000004">
      <c r="A66" s="224"/>
      <c r="B66" s="225"/>
      <c r="C66" s="226"/>
      <c r="D66" s="227"/>
      <c r="E66" s="228"/>
      <c r="F66" s="229"/>
      <c r="G66" s="225"/>
      <c r="H66" s="226"/>
      <c r="I66" s="226"/>
      <c r="J66" s="226"/>
      <c r="K66" s="215"/>
      <c r="L66" s="136"/>
      <c r="M66" s="223"/>
      <c r="N66" s="223"/>
      <c r="O66" s="223"/>
      <c r="P66" s="223"/>
      <c r="Q66" s="223"/>
      <c r="R66" s="121"/>
    </row>
    <row r="67" spans="1:18" s="122" customFormat="1" ht="31.5" customHeight="1" x14ac:dyDescent="0.55000000000000004">
      <c r="A67" s="230" t="s">
        <v>128</v>
      </c>
      <c r="B67" s="231"/>
      <c r="C67" s="211"/>
      <c r="D67" s="212"/>
      <c r="E67" s="232" t="s">
        <v>164</v>
      </c>
      <c r="F67" s="214"/>
      <c r="G67" s="231" t="s">
        <v>164</v>
      </c>
      <c r="H67" s="211"/>
      <c r="I67" s="211"/>
      <c r="J67" s="211"/>
      <c r="K67" s="215"/>
      <c r="L67" s="136"/>
      <c r="M67" s="223"/>
      <c r="N67" s="223"/>
      <c r="O67" s="223"/>
      <c r="P67" s="223"/>
      <c r="Q67" s="223"/>
      <c r="R67" s="121"/>
    </row>
    <row r="68" spans="1:18" s="122" customFormat="1" ht="31.5" customHeight="1" x14ac:dyDescent="0.55000000000000004">
      <c r="A68" s="233"/>
      <c r="B68" s="234"/>
      <c r="C68" s="219"/>
      <c r="D68" s="220"/>
      <c r="E68" s="235"/>
      <c r="F68" s="222"/>
      <c r="G68" s="234"/>
      <c r="H68" s="219"/>
      <c r="I68" s="219"/>
      <c r="J68" s="219"/>
      <c r="K68" s="215"/>
      <c r="L68" s="136"/>
      <c r="M68" s="223"/>
      <c r="N68" s="223"/>
      <c r="O68" s="223"/>
      <c r="P68" s="223"/>
      <c r="Q68" s="223"/>
      <c r="R68" s="121"/>
    </row>
    <row r="69" spans="1:18" s="122" customFormat="1" ht="31.5" customHeight="1" x14ac:dyDescent="0.55000000000000004">
      <c r="A69" s="233"/>
      <c r="B69" s="234"/>
      <c r="C69" s="226"/>
      <c r="D69" s="227"/>
      <c r="E69" s="236"/>
      <c r="F69" s="229"/>
      <c r="G69" s="237"/>
      <c r="H69" s="226"/>
      <c r="I69" s="226"/>
      <c r="J69" s="226"/>
      <c r="K69" s="215"/>
      <c r="L69" s="136"/>
      <c r="M69" s="223"/>
      <c r="N69" s="223"/>
      <c r="O69" s="223"/>
      <c r="P69" s="223"/>
      <c r="Q69" s="223"/>
      <c r="R69" s="121"/>
    </row>
    <row r="70" spans="1:18" s="122" customFormat="1" ht="31.5" customHeight="1" x14ac:dyDescent="0.55000000000000004">
      <c r="A70" s="217" t="s">
        <v>129</v>
      </c>
      <c r="B70" s="218"/>
      <c r="C70" s="211"/>
      <c r="D70" s="212"/>
      <c r="E70" s="213" t="s">
        <v>165</v>
      </c>
      <c r="F70" s="214"/>
      <c r="G70" s="210" t="s">
        <v>165</v>
      </c>
      <c r="H70" s="211"/>
      <c r="I70" s="211"/>
      <c r="J70" s="211"/>
      <c r="K70" s="215"/>
      <c r="L70" s="136"/>
      <c r="M70" s="223"/>
      <c r="N70" s="223"/>
      <c r="O70" s="223"/>
      <c r="P70" s="223"/>
      <c r="Q70" s="223"/>
      <c r="R70" s="121"/>
    </row>
    <row r="71" spans="1:18" s="122" customFormat="1" ht="31.5" customHeight="1" x14ac:dyDescent="0.55000000000000004">
      <c r="A71" s="217"/>
      <c r="B71" s="218"/>
      <c r="C71" s="226"/>
      <c r="D71" s="227"/>
      <c r="E71" s="228"/>
      <c r="F71" s="229"/>
      <c r="G71" s="225"/>
      <c r="H71" s="226"/>
      <c r="I71" s="226"/>
      <c r="J71" s="226"/>
      <c r="K71" s="215"/>
      <c r="L71" s="136"/>
      <c r="M71" s="223"/>
      <c r="N71" s="223"/>
      <c r="O71" s="223"/>
      <c r="P71" s="223"/>
      <c r="Q71" s="223"/>
      <c r="R71" s="121"/>
    </row>
    <row r="72" spans="1:18" s="122" customFormat="1" ht="31.5" customHeight="1" thickBot="1" x14ac:dyDescent="0.6">
      <c r="A72" s="238"/>
      <c r="B72" s="239"/>
      <c r="C72" s="239"/>
      <c r="D72" s="239"/>
      <c r="E72" s="239"/>
      <c r="F72" s="239"/>
      <c r="G72" s="239"/>
      <c r="H72" s="239"/>
      <c r="I72" s="239"/>
      <c r="J72" s="239"/>
      <c r="K72" s="240"/>
      <c r="L72" s="241"/>
      <c r="M72" s="242"/>
      <c r="N72" s="242"/>
      <c r="O72" s="242"/>
      <c r="P72" s="242"/>
      <c r="Q72" s="242"/>
      <c r="R72" s="243"/>
    </row>
  </sheetData>
  <mergeCells count="112">
    <mergeCell ref="A72:J72"/>
    <mergeCell ref="A19:A23"/>
    <mergeCell ref="B19:B23"/>
    <mergeCell ref="C19:C23"/>
    <mergeCell ref="A24:A27"/>
    <mergeCell ref="B24:B27"/>
    <mergeCell ref="C24:C27"/>
    <mergeCell ref="A28:A29"/>
    <mergeCell ref="B28:B29"/>
    <mergeCell ref="C28:C29"/>
    <mergeCell ref="A70:B71"/>
    <mergeCell ref="C70:D71"/>
    <mergeCell ref="E70:E71"/>
    <mergeCell ref="F70:F71"/>
    <mergeCell ref="G70:G71"/>
    <mergeCell ref="H70:J71"/>
    <mergeCell ref="A67:B69"/>
    <mergeCell ref="C67:D69"/>
    <mergeCell ref="E67:E69"/>
    <mergeCell ref="F67:F69"/>
    <mergeCell ref="G67:G69"/>
    <mergeCell ref="H67:J69"/>
    <mergeCell ref="B60:R60"/>
    <mergeCell ref="B61:G61"/>
    <mergeCell ref="B62:R62"/>
    <mergeCell ref="A63:B66"/>
    <mergeCell ref="C63:D66"/>
    <mergeCell ref="E63:E66"/>
    <mergeCell ref="F63:F66"/>
    <mergeCell ref="G63:G66"/>
    <mergeCell ref="H63:J66"/>
    <mergeCell ref="M63:Q72"/>
    <mergeCell ref="L57:N57"/>
    <mergeCell ref="O57:P57"/>
    <mergeCell ref="C58:K58"/>
    <mergeCell ref="L58:N58"/>
    <mergeCell ref="O58:P58"/>
    <mergeCell ref="B59:G59"/>
    <mergeCell ref="O54:P54"/>
    <mergeCell ref="Q54:R54"/>
    <mergeCell ref="C55:K55"/>
    <mergeCell ref="L55:N55"/>
    <mergeCell ref="O55:P55"/>
    <mergeCell ref="Q55:R58"/>
    <mergeCell ref="C56:K56"/>
    <mergeCell ref="L56:N56"/>
    <mergeCell ref="O56:P56"/>
    <mergeCell ref="C57:K57"/>
    <mergeCell ref="A49:G49"/>
    <mergeCell ref="C50:G50"/>
    <mergeCell ref="C51:G51"/>
    <mergeCell ref="C52:G52"/>
    <mergeCell ref="B53:D53"/>
    <mergeCell ref="B54:B58"/>
    <mergeCell ref="F54:J54"/>
    <mergeCell ref="C43:G43"/>
    <mergeCell ref="C44:G44"/>
    <mergeCell ref="C45:G45"/>
    <mergeCell ref="C46:G46"/>
    <mergeCell ref="C47:G47"/>
    <mergeCell ref="C48:G48"/>
    <mergeCell ref="C40:G40"/>
    <mergeCell ref="N40:O40"/>
    <mergeCell ref="C41:G41"/>
    <mergeCell ref="N41:O41"/>
    <mergeCell ref="C42:G42"/>
    <mergeCell ref="N42:O42"/>
    <mergeCell ref="C37:G37"/>
    <mergeCell ref="N37:O37"/>
    <mergeCell ref="C38:G38"/>
    <mergeCell ref="N38:O38"/>
    <mergeCell ref="C39:G39"/>
    <mergeCell ref="N39:O39"/>
    <mergeCell ref="R17:R18"/>
    <mergeCell ref="I34:Q34"/>
    <mergeCell ref="A35:G35"/>
    <mergeCell ref="H35:K35"/>
    <mergeCell ref="L35:L36"/>
    <mergeCell ref="C36:G36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104F01CD-DAA1-4C67-8451-F781FBA48079}"/>
    <hyperlink ref="E8" r:id="rId2" xr:uid="{7D2FF412-D21E-4640-B437-460A27DC3754}"/>
  </hyperlinks>
  <pageMargins left="0.7" right="0.7" top="0.75" bottom="0.75" header="0.3" footer="0.3"/>
  <pageSetup scale="14" fitToHeight="0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2026-04-09T09:57:32Z</dcterms:created>
  <dcterms:modified xsi:type="dcterms:W3CDTF">2026-04-09T20:05:09Z</dcterms:modified>
</cp:coreProperties>
</file>