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AECE2316-B01A-4D4A-9D4D-0EDF3A7C01C1}" xr6:coauthVersionLast="47" xr6:coauthVersionMax="47" xr10:uidLastSave="{00000000-0000-0000-0000-000000000000}"/>
  <bookViews>
    <workbookView xWindow="-120" yWindow="-120" windowWidth="20730" windowHeight="11040" activeTab="1" xr2:uid="{27942ADF-B0CE-4E5C-BFAC-7DF1D35BAB1E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QUARTER'!$A$1:$R$73</definedName>
    <definedName name="_xlnm.Print_Area" localSheetId="3">'FOURTH QUARTER'!$A$1:$R$73</definedName>
    <definedName name="_xlnm.Print_Area" localSheetId="1">'SECOND QUARTER'!$A$1:$R$73</definedName>
    <definedName name="_xlnm.Print_Area" localSheetId="2">'THIRD QUARTER'!$A$1:$R$73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9" i="3"/>
  <c r="F19" i="4"/>
  <c r="F19" i="5"/>
  <c r="F19" i="2"/>
  <c r="C33" i="3"/>
  <c r="E33" i="3" s="1"/>
  <c r="R33" i="3" s="1"/>
  <c r="C32" i="3"/>
  <c r="E32" i="3" s="1"/>
  <c r="C31" i="3"/>
  <c r="E31" i="3" s="1"/>
  <c r="C30" i="3"/>
  <c r="E30" i="3" s="1"/>
  <c r="E28" i="3"/>
  <c r="E26" i="3"/>
  <c r="E24" i="3"/>
  <c r="C24" i="3"/>
  <c r="E29" i="3" s="1"/>
  <c r="C19" i="3"/>
  <c r="E22" i="3" s="1"/>
  <c r="C33" i="4"/>
  <c r="E33" i="4" s="1"/>
  <c r="C32" i="4"/>
  <c r="E32" i="4" s="1"/>
  <c r="R32" i="4" s="1"/>
  <c r="C31" i="4"/>
  <c r="E31" i="4" s="1"/>
  <c r="C30" i="4"/>
  <c r="E30" i="4" s="1"/>
  <c r="E28" i="4"/>
  <c r="E26" i="4"/>
  <c r="R26" i="4" s="1"/>
  <c r="E24" i="4"/>
  <c r="R24" i="4" s="1"/>
  <c r="C24" i="4"/>
  <c r="E29" i="4" s="1"/>
  <c r="C19" i="4"/>
  <c r="E22" i="4" s="1"/>
  <c r="E33" i="5"/>
  <c r="R33" i="5" s="1"/>
  <c r="C33" i="5"/>
  <c r="C32" i="5"/>
  <c r="E32" i="5" s="1"/>
  <c r="C31" i="5"/>
  <c r="E31" i="5" s="1"/>
  <c r="C30" i="5"/>
  <c r="E30" i="5" s="1"/>
  <c r="E28" i="5"/>
  <c r="C24" i="5"/>
  <c r="E29" i="5" s="1"/>
  <c r="R29" i="5" s="1"/>
  <c r="C19" i="5"/>
  <c r="E22" i="5" s="1"/>
  <c r="C33" i="2"/>
  <c r="E33" i="2" s="1"/>
  <c r="C32" i="2"/>
  <c r="E32" i="2" s="1"/>
  <c r="R32" i="2" s="1"/>
  <c r="C31" i="2"/>
  <c r="E31" i="2" s="1"/>
  <c r="C30" i="2"/>
  <c r="E30" i="2" s="1"/>
  <c r="E28" i="2"/>
  <c r="E26" i="2"/>
  <c r="E24" i="2"/>
  <c r="R24" i="2" s="1"/>
  <c r="C24" i="2"/>
  <c r="E29" i="2" s="1"/>
  <c r="C19" i="2"/>
  <c r="E22" i="2" s="1"/>
  <c r="O58" i="5"/>
  <c r="O57" i="5"/>
  <c r="I54" i="5"/>
  <c r="H54" i="5"/>
  <c r="I50" i="5"/>
  <c r="H50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4" i="4"/>
  <c r="O58" i="4" s="1"/>
  <c r="H54" i="4"/>
  <c r="I50" i="4"/>
  <c r="O57" i="4" s="1"/>
  <c r="H50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4" i="3"/>
  <c r="O58" i="3" s="1"/>
  <c r="H54" i="3"/>
  <c r="I50" i="3"/>
  <c r="O57" i="3" s="1"/>
  <c r="H50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4" i="2"/>
  <c r="O58" i="2" s="1"/>
  <c r="H54" i="2"/>
  <c r="I50" i="2"/>
  <c r="O57" i="2" s="1"/>
  <c r="H50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R31" i="3" l="1"/>
  <c r="R31" i="5"/>
  <c r="R33" i="2"/>
  <c r="C34" i="2"/>
  <c r="R26" i="2"/>
  <c r="R22" i="2"/>
  <c r="R28" i="2"/>
  <c r="E24" i="5"/>
  <c r="R24" i="5" s="1"/>
  <c r="R22" i="4"/>
  <c r="R28" i="4"/>
  <c r="R32" i="3"/>
  <c r="R30" i="2"/>
  <c r="E26" i="5"/>
  <c r="R30" i="4"/>
  <c r="R29" i="3"/>
  <c r="R28" i="5"/>
  <c r="R31" i="2"/>
  <c r="R22" i="3"/>
  <c r="R30" i="3"/>
  <c r="C34" i="3"/>
  <c r="R26" i="5"/>
  <c r="E19" i="2"/>
  <c r="E21" i="2"/>
  <c r="E23" i="2"/>
  <c r="R23" i="2" s="1"/>
  <c r="E19" i="5"/>
  <c r="E21" i="5"/>
  <c r="R21" i="5" s="1"/>
  <c r="E23" i="5"/>
  <c r="R23" i="5" s="1"/>
  <c r="E19" i="4"/>
  <c r="E21" i="4"/>
  <c r="R21" i="4" s="1"/>
  <c r="E23" i="4"/>
  <c r="E19" i="3"/>
  <c r="E21" i="3"/>
  <c r="R21" i="3" s="1"/>
  <c r="E23" i="3"/>
  <c r="R23" i="3" s="1"/>
  <c r="R21" i="2"/>
  <c r="R29" i="2"/>
  <c r="R28" i="3"/>
  <c r="R33" i="4"/>
  <c r="C34" i="4"/>
  <c r="R32" i="5"/>
  <c r="E25" i="2"/>
  <c r="R25" i="2" s="1"/>
  <c r="E27" i="2"/>
  <c r="R27" i="2" s="1"/>
  <c r="E25" i="5"/>
  <c r="R25" i="5" s="1"/>
  <c r="E27" i="5"/>
  <c r="R27" i="5" s="1"/>
  <c r="E25" i="4"/>
  <c r="R25" i="4" s="1"/>
  <c r="E27" i="4"/>
  <c r="R27" i="4" s="1"/>
  <c r="E25" i="3"/>
  <c r="R25" i="3" s="1"/>
  <c r="E27" i="3"/>
  <c r="R27" i="3" s="1"/>
  <c r="R24" i="3"/>
  <c r="R29" i="4"/>
  <c r="R26" i="3"/>
  <c r="R23" i="4"/>
  <c r="R31" i="4"/>
  <c r="R22" i="5"/>
  <c r="R30" i="5"/>
  <c r="C34" i="5"/>
  <c r="E20" i="2"/>
  <c r="R20" i="2" s="1"/>
  <c r="E20" i="5"/>
  <c r="R20" i="5" s="1"/>
  <c r="E20" i="4"/>
  <c r="R20" i="4" s="1"/>
  <c r="E20" i="3"/>
  <c r="R20" i="3" s="1"/>
  <c r="E34" i="3" l="1"/>
  <c r="E34" i="2"/>
  <c r="E34" i="5"/>
  <c r="E34" i="4"/>
  <c r="F34" i="2" l="1"/>
  <c r="R19" i="2"/>
  <c r="R34" i="2" s="1"/>
  <c r="R35" i="2" s="1"/>
  <c r="O56" i="2" s="1"/>
  <c r="O59" i="2" s="1"/>
  <c r="Q56" i="2" s="1"/>
  <c r="F34" i="4"/>
  <c r="R19" i="4"/>
  <c r="R34" i="4" s="1"/>
  <c r="R35" i="4" s="1"/>
  <c r="O56" i="4" s="1"/>
  <c r="O59" i="4" s="1"/>
  <c r="Q56" i="4" s="1"/>
  <c r="R19" i="5"/>
  <c r="R34" i="5" s="1"/>
  <c r="R35" i="5" s="1"/>
  <c r="O56" i="5" s="1"/>
  <c r="O59" i="5" s="1"/>
  <c r="Q56" i="5" s="1"/>
  <c r="F34" i="5"/>
  <c r="F34" i="3"/>
  <c r="R19" i="3"/>
  <c r="R34" i="3" s="1"/>
  <c r="R35" i="3" s="1"/>
  <c r="O56" i="3" s="1"/>
  <c r="O59" i="3" s="1"/>
  <c r="Q56" i="3" s="1"/>
</calcChain>
</file>

<file path=xl/sharedStrings.xml><?xml version="1.0" encoding="utf-8"?>
<sst xmlns="http://schemas.openxmlformats.org/spreadsheetml/2006/main" count="896" uniqueCount="173">
  <si>
    <t>PERFORMANCE APPRAISAL PERIOD:</t>
  </si>
  <si>
    <t>FROM</t>
  </si>
  <si>
    <t>To</t>
  </si>
  <si>
    <t>SECTION 1: EMPLOYEE INFORMATION</t>
  </si>
  <si>
    <t>Surname:</t>
  </si>
  <si>
    <t>NWACHUKWU</t>
  </si>
  <si>
    <t>Firstname</t>
  </si>
  <si>
    <t>THANKGOD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</si>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</sst>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4">
    <xf numFmtId="0" fontId="0" fillId="0" borderId="0" xfId="0"/>
    <xf numFmtId="0" fontId="8" fillId="0" borderId="16" xfId="8" applyFont="1" applyBorder="1" applyAlignment="1">
      <alignment horizontal="center" vertical="center"/>
    </xf>
    <xf numFmtId="0" fontId="8" fillId="0" borderId="17" xfId="8" applyFont="1" applyBorder="1" applyAlignment="1">
      <alignment horizontal="center" vertical="center"/>
    </xf>
    <xf numFmtId="0" fontId="8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9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9" fillId="2" borderId="16" xfId="8" applyFont="1" applyFill="1" applyBorder="1" applyAlignment="1">
      <alignment horizontal="left" vertical="top" wrapText="1"/>
    </xf>
    <xf numFmtId="0" fontId="9" fillId="2" borderId="17" xfId="8" applyFont="1" applyFill="1" applyBorder="1" applyAlignment="1">
      <alignment horizontal="left" vertical="top" wrapText="1"/>
    </xf>
    <xf numFmtId="0" fontId="10" fillId="2" borderId="16" xfId="8" applyFont="1" applyFill="1" applyBorder="1" applyAlignment="1">
      <alignment horizontal="center" vertical="top" wrapText="1"/>
    </xf>
    <xf numFmtId="0" fontId="10" fillId="2" borderId="17" xfId="8" applyFont="1" applyFill="1" applyBorder="1" applyAlignment="1">
      <alignment horizontal="center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9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9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9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0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1" xfId="5" applyFont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1" xfId="6" applyFont="1" applyBorder="1" applyAlignment="1">
      <alignment horizontal="left"/>
    </xf>
    <xf numFmtId="0" fontId="20" fillId="2" borderId="19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20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0" fontId="23" fillId="2" borderId="14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 wrapText="1"/>
    </xf>
    <xf numFmtId="0" fontId="23" fillId="2" borderId="10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vertical="center"/>
    </xf>
    <xf numFmtId="0" fontId="25" fillId="0" borderId="12" xfId="2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9" fontId="25" fillId="0" borderId="12" xfId="2" applyNumberFormat="1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/>
    </xf>
    <xf numFmtId="0" fontId="27" fillId="0" borderId="12" xfId="11" applyFont="1" applyBorder="1" applyAlignment="1">
      <alignment horizontal="center" vertical="center"/>
    </xf>
    <xf numFmtId="0" fontId="4" fillId="2" borderId="12" xfId="8" applyFont="1" applyFill="1" applyBorder="1" applyAlignment="1">
      <alignment horizontal="center" vertical="center"/>
    </xf>
    <xf numFmtId="2" fontId="4" fillId="2" borderId="12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2" xfId="2" applyFont="1" applyBorder="1" applyAlignment="1">
      <alignment horizontal="center" vertical="center"/>
    </xf>
    <xf numFmtId="9" fontId="25" fillId="0" borderId="12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vertical="center" wrapText="1"/>
    </xf>
    <xf numFmtId="2" fontId="25" fillId="0" borderId="12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0" xfId="8" applyFont="1" applyBorder="1" applyAlignment="1">
      <alignment horizontal="center" vertical="center" wrapText="1"/>
    </xf>
    <xf numFmtId="2" fontId="30" fillId="0" borderId="10" xfId="8" applyNumberFormat="1" applyFont="1" applyBorder="1" applyAlignment="1">
      <alignment horizontal="center" vertical="center" wrapText="1"/>
    </xf>
    <xf numFmtId="2" fontId="29" fillId="0" borderId="10" xfId="12" applyNumberFormat="1" applyFont="1" applyBorder="1" applyAlignment="1">
      <alignment horizontal="left" vertical="center" wrapText="1"/>
    </xf>
    <xf numFmtId="9" fontId="29" fillId="0" borderId="10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3" xfId="8" applyFont="1" applyBorder="1" applyAlignment="1" applyProtection="1">
      <alignment horizontal="center" vertical="center"/>
      <protection locked="0"/>
    </xf>
    <xf numFmtId="2" fontId="32" fillId="2" borderId="12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0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0" fontId="36" fillId="5" borderId="11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2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2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2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38" fillId="0" borderId="11" xfId="11" applyFont="1" applyBorder="1" applyAlignment="1">
      <alignment horizontal="left" vertical="center" wrapText="1"/>
    </xf>
    <xf numFmtId="0" fontId="40" fillId="0" borderId="12" xfId="8" applyFont="1" applyBorder="1" applyAlignment="1">
      <alignment horizontal="center" vertical="top" wrapText="1"/>
    </xf>
    <xf numFmtId="0" fontId="40" fillId="0" borderId="12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8" fillId="0" borderId="11" xfId="11" applyFont="1" applyBorder="1" applyAlignment="1">
      <alignment vertical="center" wrapText="1"/>
    </xf>
    <xf numFmtId="0" fontId="39" fillId="2" borderId="11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15" fillId="2" borderId="13" xfId="8" applyFont="1" applyFill="1" applyBorder="1" applyAlignment="1">
      <alignment horizontal="center" vertical="top" wrapText="1"/>
    </xf>
    <xf numFmtId="0" fontId="15" fillId="2" borderId="11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2" xfId="8" applyFont="1" applyBorder="1" applyAlignment="1">
      <alignment horizontal="center" vertical="top" wrapText="1"/>
    </xf>
    <xf numFmtId="0" fontId="15" fillId="0" borderId="12" xfId="8" applyFont="1" applyBorder="1" applyAlignment="1" applyProtection="1">
      <alignment horizontal="center" vertical="top" wrapText="1"/>
      <protection locked="0"/>
    </xf>
    <xf numFmtId="0" fontId="15" fillId="0" borderId="12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3" xfId="8" applyFont="1" applyFill="1" applyBorder="1" applyAlignment="1">
      <alignment horizontal="left" vertical="top" wrapText="1"/>
    </xf>
    <xf numFmtId="0" fontId="15" fillId="2" borderId="13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9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3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1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11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0" fontId="43" fillId="0" borderId="11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1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20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2" xfId="8" applyFont="1" applyFill="1" applyBorder="1" applyAlignment="1">
      <alignment horizontal="center" vertical="center" wrapText="1"/>
    </xf>
    <xf numFmtId="0" fontId="43" fillId="4" borderId="12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2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2" xfId="8" applyFont="1" applyFill="1" applyBorder="1" applyAlignment="1">
      <alignment horizontal="left" vertical="center" wrapText="1"/>
    </xf>
    <xf numFmtId="0" fontId="43" fillId="0" borderId="12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9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9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0" xfId="3" applyFont="1" applyFill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0" xfId="3" applyFont="1" applyFill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6" fillId="3" borderId="12" xfId="3" applyFont="1" applyFill="1" applyBorder="1" applyAlignment="1">
      <alignment horizontal="left"/>
    </xf>
    <xf numFmtId="0" fontId="46" fillId="0" borderId="11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0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8" fillId="3" borderId="12" xfId="4" applyFont="1" applyFill="1" applyBorder="1" applyAlignment="1">
      <alignment horizontal="left"/>
    </xf>
    <xf numFmtId="0" fontId="47" fillId="0" borderId="11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48" fillId="0" borderId="11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 wrapText="1"/>
    </xf>
    <xf numFmtId="2" fontId="25" fillId="0" borderId="15" xfId="2" applyNumberFormat="1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5" fillId="0" borderId="10" xfId="2" applyFont="1" applyBorder="1" applyAlignment="1">
      <alignment horizontal="left" vertical="center" wrapText="1"/>
    </xf>
    <xf numFmtId="2" fontId="25" fillId="0" borderId="10" xfId="2" applyNumberFormat="1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AC69A27F-16BF-46FC-8A73-2B748BF710F0}"/>
    <cellStyle name="Normal 2 2 3 2" xfId="13" xr:uid="{DA38BFC0-A099-4B5B-A0AB-B5956FFEA232}"/>
    <cellStyle name="Normal 2 3" xfId="2" xr:uid="{92484CCC-D7AC-4F98-8A82-8FFB019D4335}"/>
    <cellStyle name="Normal 2 3 2" xfId="6" xr:uid="{E724BAF9-4FED-43CB-8049-72CC0D257E8A}"/>
    <cellStyle name="Normal 2 3 3" xfId="4" xr:uid="{4CB9CE77-523A-428C-85A9-32C27051FCD6}"/>
    <cellStyle name="Normal 2 3 5" xfId="10" xr:uid="{9B0B82D3-71CD-4D4F-8545-9914B71F3FE9}"/>
    <cellStyle name="Normal 2 4 2" xfId="5" xr:uid="{93682D6D-1761-44B5-860E-FF357DB43FFB}"/>
    <cellStyle name="Normal 2 5" xfId="3" xr:uid="{FA35FE52-1B91-4F4D-A64F-CA04600E576B}"/>
    <cellStyle name="Normal 2 5 2 2" xfId="9" xr:uid="{73C8C7C5-DBE9-407D-8A03-F1D4BF2B413E}"/>
    <cellStyle name="Normal 2 7" xfId="12" xr:uid="{60F774B8-9A4E-4A61-9385-097377D8DA68}"/>
    <cellStyle name="Normal 4 2 2 2 2" xfId="8" xr:uid="{D55FBAC5-19F6-48CD-8974-DEC38D64993D}"/>
    <cellStyle name="Normal 5 2 2" xfId="7" xr:uid="{DAD76554-95DB-4B28-8A37-CB749354B8E6}"/>
    <cellStyle name="Percent 2 2" xfId="14" xr:uid="{08659F43-A4F8-4F01-8990-95FC9936CA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5050452-AAB5-4BCD-B61C-808064E8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419C56C-3160-483F-9BCB-DFA929B25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D332A22-8C7B-4BD4-9589-4C00D5FA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10E69BF-7A12-4386-B89F-DE8D6ECA1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wabuachinyer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wabuachinye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8420-CBA4-4D57-A196-CD92AA3ACDE4}">
  <sheetPr>
    <pageSetUpPr fitToPage="1"/>
  </sheetPr>
  <dimension ref="A1:R73"/>
  <sheetViews>
    <sheetView topLeftCell="A30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132</v>
      </c>
      <c r="C5" s="16" t="s">
        <v>2</v>
      </c>
      <c r="D5" s="17" t="s">
        <v>133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89675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F44DDC79-2A0D-41A3-8581-52D86C45956C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33AC-C2B8-4FE8-AEDA-C5A5626A80B9}">
  <sheetPr>
    <pageSetUpPr fitToPage="1"/>
  </sheetPr>
  <dimension ref="A1:R73"/>
  <sheetViews>
    <sheetView tabSelected="1" topLeftCell="A5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167</v>
      </c>
      <c r="C5" s="16" t="s">
        <v>2</v>
      </c>
      <c r="D5" s="17" t="s">
        <v>168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89675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696C4810-AED0-4BBE-A04D-509122F1B25A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FD35-59B4-4C03-A2DA-81738D726053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169</v>
      </c>
      <c r="C5" s="16" t="s">
        <v>2</v>
      </c>
      <c r="D5" s="17" t="s">
        <v>170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89675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8878FEC3-B41C-4D50-A709-BD20A2194DB4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E13-8609-4F49-ADF2-996B645B6381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5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5" bestFit="1" customWidth="1"/>
    <col min="6" max="6" width="42" style="245" customWidth="1"/>
    <col min="7" max="7" width="255.7109375" style="4" bestFit="1" customWidth="1"/>
    <col min="8" max="8" width="33" style="245" customWidth="1"/>
    <col min="9" max="9" width="62.42578125" style="245" customWidth="1"/>
    <col min="10" max="10" width="45.140625" style="245" customWidth="1"/>
    <col min="11" max="13" width="35.28515625" style="245" bestFit="1" customWidth="1"/>
    <col min="14" max="14" width="40.7109375" style="245" bestFit="1" customWidth="1"/>
    <col min="15" max="15" width="36.85546875" style="245" bestFit="1" customWidth="1"/>
    <col min="16" max="17" width="36.85546875" style="246" customWidth="1"/>
    <col min="18" max="18" width="36.85546875" style="247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171</v>
      </c>
      <c r="C5" s="16" t="s">
        <v>2</v>
      </c>
      <c r="D5" s="17" t="s">
        <v>172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5" customFormat="1" ht="39" x14ac:dyDescent="0.6">
      <c r="A7" s="248" t="s">
        <v>4</v>
      </c>
      <c r="B7" s="249"/>
      <c r="C7" s="250" t="s">
        <v>5</v>
      </c>
      <c r="D7" s="251" t="s">
        <v>6</v>
      </c>
      <c r="E7" s="250" t="s">
        <v>7</v>
      </c>
      <c r="F7" s="251" t="s">
        <v>8</v>
      </c>
      <c r="G7" s="252"/>
      <c r="H7" s="251" t="s">
        <v>9</v>
      </c>
      <c r="I7" s="253" t="s">
        <v>10</v>
      </c>
      <c r="J7" s="254"/>
      <c r="K7" s="21"/>
      <c r="L7" s="22"/>
      <c r="M7" s="22"/>
      <c r="N7" s="22"/>
      <c r="O7" s="22"/>
      <c r="P7" s="22"/>
      <c r="Q7" s="22"/>
      <c r="R7" s="23"/>
    </row>
    <row r="8" spans="1:18" s="255" customFormat="1" ht="39" x14ac:dyDescent="0.6">
      <c r="A8" s="256" t="s">
        <v>11</v>
      </c>
      <c r="B8" s="257"/>
      <c r="C8" s="258">
        <v>89675</v>
      </c>
      <c r="D8" s="259" t="s">
        <v>12</v>
      </c>
      <c r="E8" s="260"/>
      <c r="F8" s="259" t="s">
        <v>13</v>
      </c>
      <c r="G8" s="261"/>
      <c r="H8" s="259" t="s">
        <v>14</v>
      </c>
      <c r="I8" s="262" t="s">
        <v>15</v>
      </c>
      <c r="J8" s="263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1" customFormat="1" ht="39" x14ac:dyDescent="0.6">
      <c r="A10" s="264" t="s">
        <v>4</v>
      </c>
      <c r="B10" s="265"/>
      <c r="C10" s="266" t="s">
        <v>17</v>
      </c>
      <c r="D10" s="267" t="s">
        <v>6</v>
      </c>
      <c r="E10" s="266" t="s">
        <v>18</v>
      </c>
      <c r="F10" s="267" t="s">
        <v>8</v>
      </c>
      <c r="G10" s="268" t="s">
        <v>19</v>
      </c>
      <c r="H10" s="267" t="s">
        <v>9</v>
      </c>
      <c r="I10" s="269" t="s">
        <v>20</v>
      </c>
      <c r="J10" s="270"/>
      <c r="K10" s="21"/>
      <c r="L10" s="22"/>
      <c r="M10" s="22"/>
      <c r="N10" s="22"/>
      <c r="O10" s="22"/>
      <c r="P10" s="22"/>
      <c r="Q10" s="22"/>
      <c r="R10" s="23"/>
    </row>
    <row r="11" spans="1:18" s="271" customFormat="1" ht="39" x14ac:dyDescent="0.6">
      <c r="A11" s="272" t="s">
        <v>11</v>
      </c>
      <c r="B11" s="273"/>
      <c r="C11" s="274">
        <v>64218</v>
      </c>
      <c r="D11" s="275" t="s">
        <v>12</v>
      </c>
      <c r="E11" s="276" t="s">
        <v>21</v>
      </c>
      <c r="F11" s="275" t="s">
        <v>13</v>
      </c>
      <c r="G11" s="277" t="s">
        <v>22</v>
      </c>
      <c r="H11" s="275" t="s">
        <v>14</v>
      </c>
      <c r="I11" s="278" t="s">
        <v>15</v>
      </c>
      <c r="J11" s="279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80" t="s">
        <v>28</v>
      </c>
      <c r="F14" s="46" t="s">
        <v>13</v>
      </c>
      <c r="G14" s="281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2" customFormat="1" ht="147" customHeight="1" x14ac:dyDescent="0.25">
      <c r="A19" s="282">
        <v>1</v>
      </c>
      <c r="B19" s="283" t="s">
        <v>46</v>
      </c>
      <c r="C19" s="284">
        <f>0.1 *8.59335038363171</f>
        <v>0.85933503836317104</v>
      </c>
      <c r="D19" s="82" t="s">
        <v>47</v>
      </c>
      <c r="E19" s="83">
        <f>C19/5</f>
        <v>0.17186700767263421</v>
      </c>
      <c r="F19" s="83">
        <f>E19/$E$34 * 100</f>
        <v>1.8300653594771228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33" si="1">F19*Q19/100</f>
        <v>0</v>
      </c>
    </row>
    <row r="20" spans="1:18" s="92" customFormat="1" ht="147" customHeight="1" x14ac:dyDescent="0.25">
      <c r="A20" s="285"/>
      <c r="B20" s="286"/>
      <c r="C20" s="287"/>
      <c r="D20" s="82" t="s">
        <v>51</v>
      </c>
      <c r="E20" s="83">
        <f>C19/5</f>
        <v>0.17186700767263421</v>
      </c>
      <c r="F20" s="83">
        <f t="shared" ref="F20:F33" si="2">E20/$E$34 * 100</f>
        <v>1.8300653594771228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0"/>
        <v>0</v>
      </c>
      <c r="R20" s="91">
        <f t="shared" si="1"/>
        <v>0</v>
      </c>
    </row>
    <row r="21" spans="1:18" s="92" customFormat="1" ht="147" customHeight="1" x14ac:dyDescent="0.25">
      <c r="A21" s="285"/>
      <c r="B21" s="286"/>
      <c r="C21" s="287"/>
      <c r="D21" s="82" t="s">
        <v>53</v>
      </c>
      <c r="E21" s="83">
        <f>C19/5</f>
        <v>0.17186700767263421</v>
      </c>
      <c r="F21" s="83">
        <f t="shared" si="2"/>
        <v>1.8300653594771228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0"/>
        <v>0</v>
      </c>
      <c r="R21" s="91">
        <f t="shared" si="1"/>
        <v>0</v>
      </c>
    </row>
    <row r="22" spans="1:18" s="92" customFormat="1" ht="147" customHeight="1" x14ac:dyDescent="0.25">
      <c r="A22" s="285"/>
      <c r="B22" s="286"/>
      <c r="C22" s="287"/>
      <c r="D22" s="82" t="s">
        <v>55</v>
      </c>
      <c r="E22" s="83">
        <f>C19/5</f>
        <v>0.17186700767263421</v>
      </c>
      <c r="F22" s="83">
        <f t="shared" si="2"/>
        <v>1.8300653594771228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0"/>
        <v>0</v>
      </c>
      <c r="R22" s="91">
        <f t="shared" si="1"/>
        <v>0</v>
      </c>
    </row>
    <row r="23" spans="1:18" s="92" customFormat="1" ht="147" customHeight="1" x14ac:dyDescent="0.25">
      <c r="A23" s="288"/>
      <c r="B23" s="289"/>
      <c r="C23" s="290"/>
      <c r="D23" s="82" t="s">
        <v>59</v>
      </c>
      <c r="E23" s="83">
        <f>C19/5</f>
        <v>0.17186700767263421</v>
      </c>
      <c r="F23" s="83">
        <f t="shared" si="2"/>
        <v>1.8300653594771228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0"/>
        <v>0</v>
      </c>
      <c r="R23" s="91">
        <f t="shared" si="1"/>
        <v>0</v>
      </c>
    </row>
    <row r="24" spans="1:18" s="92" customFormat="1" ht="147" customHeight="1" x14ac:dyDescent="0.25">
      <c r="A24" s="282">
        <v>2</v>
      </c>
      <c r="B24" s="283" t="s">
        <v>61</v>
      </c>
      <c r="C24" s="284">
        <f>0.1 *57.2122762148338</f>
        <v>5.7212276214833802</v>
      </c>
      <c r="D24" s="95" t="s">
        <v>62</v>
      </c>
      <c r="E24" s="83">
        <f>C24/6</f>
        <v>0.95353793691389666</v>
      </c>
      <c r="F24" s="83">
        <f t="shared" si="2"/>
        <v>10.153413217138709</v>
      </c>
      <c r="G24" s="84" t="s">
        <v>63</v>
      </c>
      <c r="H24" s="94">
        <v>0.8</v>
      </c>
      <c r="I24" s="93" t="s">
        <v>49</v>
      </c>
      <c r="J24" s="87" t="s">
        <v>64</v>
      </c>
      <c r="K24" s="88">
        <v>80</v>
      </c>
      <c r="L24" s="88">
        <v>75</v>
      </c>
      <c r="M24" s="88">
        <v>70</v>
      </c>
      <c r="N24" s="88">
        <v>50</v>
      </c>
      <c r="O24" s="88" t="s">
        <v>65</v>
      </c>
      <c r="P24" s="89"/>
      <c r="Q24" s="90">
        <f t="shared" si="0"/>
        <v>0</v>
      </c>
      <c r="R24" s="91">
        <f t="shared" si="1"/>
        <v>0</v>
      </c>
    </row>
    <row r="25" spans="1:18" s="92" customFormat="1" ht="147" customHeight="1" x14ac:dyDescent="0.25">
      <c r="A25" s="285"/>
      <c r="B25" s="286"/>
      <c r="C25" s="287"/>
      <c r="D25" s="82" t="s">
        <v>66</v>
      </c>
      <c r="E25" s="83">
        <f>C24/6</f>
        <v>0.95353793691389666</v>
      </c>
      <c r="F25" s="83">
        <f t="shared" si="2"/>
        <v>10.153413217138709</v>
      </c>
      <c r="G25" s="84" t="s">
        <v>67</v>
      </c>
      <c r="H25" s="94">
        <v>0.8</v>
      </c>
      <c r="I25" s="93" t="s">
        <v>49</v>
      </c>
      <c r="J25" s="87" t="s">
        <v>64</v>
      </c>
      <c r="K25" s="88">
        <v>80</v>
      </c>
      <c r="L25" s="88">
        <v>75</v>
      </c>
      <c r="M25" s="88">
        <v>70</v>
      </c>
      <c r="N25" s="88">
        <v>50</v>
      </c>
      <c r="O25" s="88" t="s">
        <v>65</v>
      </c>
      <c r="P25" s="89"/>
      <c r="Q25" s="90">
        <f t="shared" si="0"/>
        <v>0</v>
      </c>
      <c r="R25" s="91">
        <f t="shared" si="1"/>
        <v>0</v>
      </c>
    </row>
    <row r="26" spans="1:18" s="92" customFormat="1" ht="147" customHeight="1" x14ac:dyDescent="0.25">
      <c r="A26" s="285"/>
      <c r="B26" s="286"/>
      <c r="C26" s="287"/>
      <c r="D26" s="82" t="s">
        <v>68</v>
      </c>
      <c r="E26" s="83">
        <f>C24/6</f>
        <v>0.95353793691389666</v>
      </c>
      <c r="F26" s="83">
        <f t="shared" si="2"/>
        <v>10.153413217138709</v>
      </c>
      <c r="G26" s="84" t="s">
        <v>69</v>
      </c>
      <c r="H26" s="94">
        <v>0.8</v>
      </c>
      <c r="I26" s="93" t="s">
        <v>49</v>
      </c>
      <c r="J26" s="87" t="s">
        <v>64</v>
      </c>
      <c r="K26" s="88">
        <v>80</v>
      </c>
      <c r="L26" s="88">
        <v>75</v>
      </c>
      <c r="M26" s="88">
        <v>70</v>
      </c>
      <c r="N26" s="88">
        <v>50</v>
      </c>
      <c r="O26" s="88" t="s">
        <v>65</v>
      </c>
      <c r="P26" s="89"/>
      <c r="Q26" s="90">
        <f t="shared" si="0"/>
        <v>0</v>
      </c>
      <c r="R26" s="91">
        <f t="shared" si="1"/>
        <v>0</v>
      </c>
    </row>
    <row r="27" spans="1:18" s="92" customFormat="1" ht="147" customHeight="1" x14ac:dyDescent="0.25">
      <c r="A27" s="285"/>
      <c r="B27" s="286"/>
      <c r="C27" s="287"/>
      <c r="D27" s="82" t="s">
        <v>70</v>
      </c>
      <c r="E27" s="83">
        <f>C24/6</f>
        <v>0.95353793691389666</v>
      </c>
      <c r="F27" s="83">
        <f t="shared" si="2"/>
        <v>10.153413217138709</v>
      </c>
      <c r="G27" s="84" t="s">
        <v>71</v>
      </c>
      <c r="H27" s="94">
        <v>1</v>
      </c>
      <c r="I27" s="86" t="s">
        <v>49</v>
      </c>
      <c r="J27" s="87">
        <v>100</v>
      </c>
      <c r="K27" s="88">
        <v>95</v>
      </c>
      <c r="L27" s="88">
        <v>90</v>
      </c>
      <c r="M27" s="88">
        <v>85</v>
      </c>
      <c r="N27" s="88">
        <v>80</v>
      </c>
      <c r="O27" s="88" t="s">
        <v>50</v>
      </c>
      <c r="P27" s="89"/>
      <c r="Q27" s="90">
        <f t="shared" si="0"/>
        <v>0</v>
      </c>
      <c r="R27" s="91">
        <f t="shared" si="1"/>
        <v>0</v>
      </c>
    </row>
    <row r="28" spans="1:18" s="92" customFormat="1" ht="147" customHeight="1" x14ac:dyDescent="0.25">
      <c r="A28" s="285"/>
      <c r="B28" s="286"/>
      <c r="C28" s="287"/>
      <c r="D28" s="82" t="s">
        <v>72</v>
      </c>
      <c r="E28" s="83">
        <f>C24/6</f>
        <v>0.95353793691389666</v>
      </c>
      <c r="F28" s="83">
        <f t="shared" si="2"/>
        <v>10.153413217138709</v>
      </c>
      <c r="G28" s="84" t="s">
        <v>73</v>
      </c>
      <c r="H28" s="94">
        <v>0.9</v>
      </c>
      <c r="I28" s="93" t="s">
        <v>49</v>
      </c>
      <c r="J28" s="87" t="s">
        <v>74</v>
      </c>
      <c r="K28" s="88">
        <v>90</v>
      </c>
      <c r="L28" s="88">
        <v>80</v>
      </c>
      <c r="M28" s="88">
        <v>70</v>
      </c>
      <c r="N28" s="88">
        <v>50</v>
      </c>
      <c r="O28" s="88" t="s">
        <v>65</v>
      </c>
      <c r="P28" s="89"/>
      <c r="Q28" s="90">
        <f t="shared" si="0"/>
        <v>0</v>
      </c>
      <c r="R28" s="91">
        <f t="shared" si="1"/>
        <v>0</v>
      </c>
    </row>
    <row r="29" spans="1:18" s="92" customFormat="1" ht="147" customHeight="1" x14ac:dyDescent="0.25">
      <c r="A29" s="288"/>
      <c r="B29" s="289"/>
      <c r="C29" s="290"/>
      <c r="D29" s="82" t="s">
        <v>75</v>
      </c>
      <c r="E29" s="83">
        <f>C24/6</f>
        <v>0.95353793691389666</v>
      </c>
      <c r="F29" s="83">
        <f t="shared" si="2"/>
        <v>10.153413217138709</v>
      </c>
      <c r="G29" s="84" t="s">
        <v>76</v>
      </c>
      <c r="H29" s="94">
        <v>0.8</v>
      </c>
      <c r="I29" s="93" t="s">
        <v>49</v>
      </c>
      <c r="J29" s="87" t="s">
        <v>64</v>
      </c>
      <c r="K29" s="88">
        <v>80</v>
      </c>
      <c r="L29" s="88">
        <v>75</v>
      </c>
      <c r="M29" s="88">
        <v>70</v>
      </c>
      <c r="N29" s="88">
        <v>50</v>
      </c>
      <c r="O29" s="88" t="s">
        <v>65</v>
      </c>
      <c r="P29" s="89"/>
      <c r="Q29" s="90">
        <f t="shared" si="0"/>
        <v>0</v>
      </c>
      <c r="R29" s="91">
        <f t="shared" si="1"/>
        <v>0</v>
      </c>
    </row>
    <row r="30" spans="1:18" s="92" customFormat="1" ht="147" customHeight="1" x14ac:dyDescent="0.25">
      <c r="A30" s="291">
        <v>3</v>
      </c>
      <c r="B30" s="292" t="s">
        <v>77</v>
      </c>
      <c r="C30" s="293">
        <f>0.1 *0.895140664961637</f>
        <v>8.9514066496163711E-2</v>
      </c>
      <c r="D30" s="82" t="s">
        <v>78</v>
      </c>
      <c r="E30" s="83">
        <f>C30</f>
        <v>8.9514066496163711E-2</v>
      </c>
      <c r="F30" s="83">
        <f t="shared" si="2"/>
        <v>0.95315904139433527</v>
      </c>
      <c r="G30" s="84" t="s">
        <v>79</v>
      </c>
      <c r="H30" s="93">
        <v>5</v>
      </c>
      <c r="I30" s="86" t="s">
        <v>57</v>
      </c>
      <c r="J30" s="87" t="s">
        <v>58</v>
      </c>
      <c r="K30" s="88">
        <v>5</v>
      </c>
      <c r="L30" s="88">
        <v>4</v>
      </c>
      <c r="M30" s="88">
        <v>3</v>
      </c>
      <c r="N30" s="88">
        <v>2</v>
      </c>
      <c r="O30" s="88">
        <v>1</v>
      </c>
      <c r="P30" s="89"/>
      <c r="Q30" s="90">
        <f t="shared" si="0"/>
        <v>0</v>
      </c>
      <c r="R30" s="91">
        <f t="shared" si="1"/>
        <v>0</v>
      </c>
    </row>
    <row r="31" spans="1:18" s="92" customFormat="1" ht="147" customHeight="1" x14ac:dyDescent="0.25">
      <c r="A31" s="291">
        <v>4</v>
      </c>
      <c r="B31" s="292" t="s">
        <v>80</v>
      </c>
      <c r="C31" s="293">
        <f>0.1 *14.3222506393862</f>
        <v>1.43222506393862</v>
      </c>
      <c r="D31" s="82" t="s">
        <v>81</v>
      </c>
      <c r="E31" s="83">
        <f>C31</f>
        <v>1.43222506393862</v>
      </c>
      <c r="F31" s="83">
        <f t="shared" si="2"/>
        <v>15.250544662309373</v>
      </c>
      <c r="G31" s="84" t="s">
        <v>82</v>
      </c>
      <c r="H31" s="94">
        <v>0.8</v>
      </c>
      <c r="I31" s="93" t="s">
        <v>49</v>
      </c>
      <c r="J31" s="87" t="s">
        <v>64</v>
      </c>
      <c r="K31" s="88">
        <v>80</v>
      </c>
      <c r="L31" s="88">
        <v>75</v>
      </c>
      <c r="M31" s="88">
        <v>70</v>
      </c>
      <c r="N31" s="88">
        <v>50</v>
      </c>
      <c r="O31" s="88" t="s">
        <v>65</v>
      </c>
      <c r="P31" s="89"/>
      <c r="Q31" s="90">
        <f t="shared" si="0"/>
        <v>0</v>
      </c>
      <c r="R31" s="91">
        <f t="shared" si="1"/>
        <v>0</v>
      </c>
    </row>
    <row r="32" spans="1:18" s="92" customFormat="1" ht="147" customHeight="1" x14ac:dyDescent="0.25">
      <c r="A32" s="81">
        <v>5</v>
      </c>
      <c r="B32" s="82" t="s">
        <v>83</v>
      </c>
      <c r="C32" s="96">
        <f>0.1 *5.72890025575448</f>
        <v>0.57289002557544799</v>
      </c>
      <c r="D32" s="292" t="s">
        <v>84</v>
      </c>
      <c r="E32" s="83">
        <f>C32</f>
        <v>0.57289002557544799</v>
      </c>
      <c r="F32" s="83">
        <f t="shared" si="2"/>
        <v>6.1002178649237484</v>
      </c>
      <c r="G32" s="84" t="s">
        <v>85</v>
      </c>
      <c r="H32" s="85">
        <v>0.7</v>
      </c>
      <c r="I32" s="93" t="s">
        <v>49</v>
      </c>
      <c r="J32" s="87" t="s">
        <v>86</v>
      </c>
      <c r="K32" s="88">
        <v>70</v>
      </c>
      <c r="L32" s="88">
        <v>60</v>
      </c>
      <c r="M32" s="88">
        <v>50</v>
      </c>
      <c r="N32" s="88">
        <v>40</v>
      </c>
      <c r="O32" s="88" t="s">
        <v>87</v>
      </c>
      <c r="P32" s="89"/>
      <c r="Q32" s="90">
        <f t="shared" si="0"/>
        <v>0</v>
      </c>
      <c r="R32" s="91">
        <f t="shared" si="1"/>
        <v>0</v>
      </c>
    </row>
    <row r="33" spans="1:18" s="92" customFormat="1" ht="147" customHeight="1" x14ac:dyDescent="0.25">
      <c r="A33" s="81">
        <v>6</v>
      </c>
      <c r="B33" s="82" t="s">
        <v>88</v>
      </c>
      <c r="C33" s="96">
        <f>0.1 *7.16112531969309</f>
        <v>0.71611253196930902</v>
      </c>
      <c r="D33" s="84" t="s">
        <v>89</v>
      </c>
      <c r="E33" s="83">
        <f>C33</f>
        <v>0.71611253196930902</v>
      </c>
      <c r="F33" s="83">
        <f t="shared" si="2"/>
        <v>7.625272331154676</v>
      </c>
      <c r="G33" s="84" t="s">
        <v>90</v>
      </c>
      <c r="H33" s="85">
        <v>0.5</v>
      </c>
      <c r="I33" s="86" t="s">
        <v>49</v>
      </c>
      <c r="J33" s="87" t="s">
        <v>91</v>
      </c>
      <c r="K33" s="88">
        <v>50</v>
      </c>
      <c r="L33" s="88">
        <v>45</v>
      </c>
      <c r="M33" s="88">
        <v>40</v>
      </c>
      <c r="N33" s="88">
        <v>25</v>
      </c>
      <c r="O33" s="88" t="s">
        <v>92</v>
      </c>
      <c r="P33" s="89"/>
      <c r="Q33" s="90">
        <f t="shared" si="0"/>
        <v>0</v>
      </c>
      <c r="R33" s="91">
        <f t="shared" si="1"/>
        <v>0</v>
      </c>
    </row>
    <row r="34" spans="1:18" s="107" customFormat="1" ht="44.25" x14ac:dyDescent="0.25">
      <c r="A34" s="97"/>
      <c r="B34" s="98" t="s">
        <v>93</v>
      </c>
      <c r="C34" s="99">
        <f>SUM(C19:C33)</f>
        <v>9.3913043478260914</v>
      </c>
      <c r="D34" s="98"/>
      <c r="E34" s="99">
        <f>SUM(E19:E33)</f>
        <v>9.3913043478260914</v>
      </c>
      <c r="F34" s="99">
        <f>SUM(F19:F33)</f>
        <v>100</v>
      </c>
      <c r="G34" s="100"/>
      <c r="H34" s="101"/>
      <c r="I34" s="102"/>
      <c r="J34" s="103"/>
      <c r="K34" s="103"/>
      <c r="L34" s="103"/>
      <c r="M34" s="103"/>
      <c r="N34" s="103"/>
      <c r="O34" s="103"/>
      <c r="P34" s="104"/>
      <c r="Q34" s="105"/>
      <c r="R34" s="106">
        <f>SUM(R19:R33)</f>
        <v>0</v>
      </c>
    </row>
    <row r="35" spans="1:18" s="109" customFormat="1" ht="66" customHeight="1" x14ac:dyDescent="0.7">
      <c r="A35" s="108"/>
      <c r="G35" s="110"/>
      <c r="H35" s="110"/>
      <c r="I35" s="111" t="s">
        <v>143</v>
      </c>
      <c r="J35" s="112"/>
      <c r="K35" s="112"/>
      <c r="L35" s="112"/>
      <c r="M35" s="112"/>
      <c r="N35" s="112"/>
      <c r="O35" s="112"/>
      <c r="P35" s="112"/>
      <c r="Q35" s="113"/>
      <c r="R35" s="114">
        <f>R34/100 * 70</f>
        <v>0</v>
      </c>
    </row>
    <row r="36" spans="1:18" s="123" customFormat="1" ht="36" x14ac:dyDescent="0.55000000000000004">
      <c r="A36" s="115" t="s">
        <v>94</v>
      </c>
      <c r="B36" s="116"/>
      <c r="C36" s="116"/>
      <c r="D36" s="116"/>
      <c r="E36" s="116"/>
      <c r="F36" s="116"/>
      <c r="G36" s="117"/>
      <c r="H36" s="118"/>
      <c r="I36" s="118"/>
      <c r="J36" s="118"/>
      <c r="K36" s="118"/>
      <c r="L36" s="71" t="s">
        <v>99</v>
      </c>
      <c r="M36" s="119" t="s">
        <v>95</v>
      </c>
      <c r="N36" s="119"/>
      <c r="O36" s="119"/>
      <c r="P36" s="120"/>
      <c r="Q36" s="121"/>
      <c r="R36" s="122"/>
    </row>
    <row r="37" spans="1:18" s="123" customFormat="1" ht="31.5" customHeight="1" x14ac:dyDescent="0.55000000000000004">
      <c r="A37" s="124"/>
      <c r="B37" s="125"/>
      <c r="C37" s="126" t="s">
        <v>96</v>
      </c>
      <c r="D37" s="126"/>
      <c r="E37" s="126"/>
      <c r="F37" s="126"/>
      <c r="G37" s="126"/>
      <c r="H37" s="127" t="s">
        <v>144</v>
      </c>
      <c r="I37" s="127" t="s">
        <v>145</v>
      </c>
      <c r="J37" s="127"/>
      <c r="K37" s="128"/>
      <c r="L37" s="79"/>
      <c r="M37" s="129"/>
      <c r="N37" s="129"/>
      <c r="O37" s="129"/>
      <c r="P37" s="130"/>
      <c r="Q37" s="121"/>
      <c r="R37" s="122"/>
    </row>
    <row r="38" spans="1:18" s="123" customFormat="1" ht="36" customHeight="1" x14ac:dyDescent="0.55000000000000004">
      <c r="A38" s="131">
        <v>1</v>
      </c>
      <c r="B38" s="132" t="s">
        <v>100</v>
      </c>
      <c r="C38" s="133"/>
      <c r="D38" s="134"/>
      <c r="E38" s="134"/>
      <c r="F38" s="134"/>
      <c r="G38" s="135"/>
      <c r="H38" s="136"/>
      <c r="I38" s="136"/>
      <c r="J38" s="136"/>
      <c r="K38" s="136"/>
      <c r="L38" s="137"/>
      <c r="M38" s="138" t="s">
        <v>40</v>
      </c>
      <c r="N38" s="139" t="s">
        <v>101</v>
      </c>
      <c r="O38" s="140"/>
      <c r="P38" s="130"/>
      <c r="Q38" s="121"/>
      <c r="R38" s="122"/>
    </row>
    <row r="39" spans="1:18" s="123" customFormat="1" ht="84.75" customHeight="1" x14ac:dyDescent="0.55000000000000004">
      <c r="A39" s="141" t="s">
        <v>102</v>
      </c>
      <c r="B39" s="142" t="s">
        <v>146</v>
      </c>
      <c r="C39" s="143"/>
      <c r="D39" s="144"/>
      <c r="E39" s="144"/>
      <c r="F39" s="144"/>
      <c r="G39" s="145"/>
      <c r="H39" s="146">
        <v>4</v>
      </c>
      <c r="I39" s="147"/>
      <c r="J39" s="146"/>
      <c r="K39" s="146"/>
      <c r="L39" s="137"/>
      <c r="M39" s="138" t="s">
        <v>41</v>
      </c>
      <c r="N39" s="139" t="s">
        <v>103</v>
      </c>
      <c r="O39" s="140"/>
      <c r="P39" s="130"/>
      <c r="Q39" s="121"/>
      <c r="R39" s="122"/>
    </row>
    <row r="40" spans="1:18" s="123" customFormat="1" ht="82.5" customHeight="1" x14ac:dyDescent="0.55000000000000004">
      <c r="A40" s="141" t="s">
        <v>104</v>
      </c>
      <c r="B40" s="142" t="s">
        <v>147</v>
      </c>
      <c r="C40" s="143"/>
      <c r="D40" s="144"/>
      <c r="E40" s="144"/>
      <c r="F40" s="144"/>
      <c r="G40" s="145"/>
      <c r="H40" s="146">
        <v>2</v>
      </c>
      <c r="I40" s="147"/>
      <c r="J40" s="146"/>
      <c r="K40" s="146"/>
      <c r="L40" s="137"/>
      <c r="M40" s="138" t="s">
        <v>42</v>
      </c>
      <c r="N40" s="139" t="s">
        <v>105</v>
      </c>
      <c r="O40" s="140"/>
      <c r="P40" s="130"/>
      <c r="Q40" s="121"/>
      <c r="R40" s="122"/>
    </row>
    <row r="41" spans="1:18" s="123" customFormat="1" ht="78.75" customHeight="1" x14ac:dyDescent="0.55000000000000004">
      <c r="A41" s="141" t="s">
        <v>106</v>
      </c>
      <c r="B41" s="142" t="s">
        <v>107</v>
      </c>
      <c r="C41" s="143"/>
      <c r="D41" s="144"/>
      <c r="E41" s="144"/>
      <c r="F41" s="144"/>
      <c r="G41" s="145"/>
      <c r="H41" s="146">
        <v>2</v>
      </c>
      <c r="I41" s="147"/>
      <c r="J41" s="146"/>
      <c r="K41" s="146"/>
      <c r="L41" s="137"/>
      <c r="M41" s="138" t="s">
        <v>43</v>
      </c>
      <c r="N41" s="139" t="s">
        <v>108</v>
      </c>
      <c r="O41" s="140"/>
      <c r="P41" s="130"/>
      <c r="Q41" s="121"/>
      <c r="R41" s="122"/>
    </row>
    <row r="42" spans="1:18" s="123" customFormat="1" ht="36" x14ac:dyDescent="0.55000000000000004">
      <c r="A42" s="148">
        <v>2</v>
      </c>
      <c r="B42" s="149" t="s">
        <v>109</v>
      </c>
      <c r="C42" s="150"/>
      <c r="D42" s="151"/>
      <c r="E42" s="151"/>
      <c r="F42" s="151"/>
      <c r="G42" s="152"/>
      <c r="H42" s="146"/>
      <c r="I42" s="147"/>
      <c r="J42" s="146"/>
      <c r="K42" s="146"/>
      <c r="L42" s="137"/>
      <c r="M42" s="138" t="s">
        <v>44</v>
      </c>
      <c r="N42" s="139" t="s">
        <v>110</v>
      </c>
      <c r="O42" s="140"/>
      <c r="P42" s="130"/>
      <c r="Q42" s="121"/>
      <c r="R42" s="122"/>
    </row>
    <row r="43" spans="1:18" s="123" customFormat="1" ht="82.5" customHeight="1" x14ac:dyDescent="0.55000000000000004">
      <c r="A43" s="141" t="s">
        <v>102</v>
      </c>
      <c r="B43" s="153" t="s">
        <v>148</v>
      </c>
      <c r="C43" s="154"/>
      <c r="D43" s="155"/>
      <c r="E43" s="155"/>
      <c r="F43" s="155"/>
      <c r="G43" s="156"/>
      <c r="H43" s="146">
        <v>2</v>
      </c>
      <c r="I43" s="147"/>
      <c r="J43" s="146"/>
      <c r="K43" s="146"/>
      <c r="L43" s="137"/>
      <c r="M43" s="138" t="s">
        <v>45</v>
      </c>
      <c r="N43" s="139" t="s">
        <v>111</v>
      </c>
      <c r="O43" s="140"/>
      <c r="P43" s="157"/>
      <c r="Q43" s="121"/>
      <c r="R43" s="122"/>
    </row>
    <row r="44" spans="1:18" s="123" customFormat="1" ht="114.75" customHeight="1" x14ac:dyDescent="0.55000000000000004">
      <c r="A44" s="141" t="s">
        <v>104</v>
      </c>
      <c r="B44" s="153" t="s">
        <v>149</v>
      </c>
      <c r="C44" s="154"/>
      <c r="D44" s="155"/>
      <c r="E44" s="155"/>
      <c r="F44" s="155"/>
      <c r="G44" s="156"/>
      <c r="H44" s="146">
        <v>2</v>
      </c>
      <c r="I44" s="147"/>
      <c r="J44" s="146"/>
      <c r="K44" s="146"/>
      <c r="L44" s="137"/>
      <c r="M44" s="130" t="s">
        <v>99</v>
      </c>
      <c r="N44" s="158" t="s">
        <v>112</v>
      </c>
      <c r="O44" s="159"/>
      <c r="P44" s="157"/>
      <c r="Q44" s="121"/>
      <c r="R44" s="122"/>
    </row>
    <row r="45" spans="1:18" s="123" customFormat="1" ht="72" customHeight="1" x14ac:dyDescent="0.55000000000000004">
      <c r="A45" s="141" t="s">
        <v>106</v>
      </c>
      <c r="B45" s="153" t="s">
        <v>150</v>
      </c>
      <c r="C45" s="154"/>
      <c r="D45" s="155"/>
      <c r="E45" s="155"/>
      <c r="F45" s="155"/>
      <c r="G45" s="156"/>
      <c r="H45" s="146">
        <v>2</v>
      </c>
      <c r="I45" s="147"/>
      <c r="J45" s="146"/>
      <c r="K45" s="146"/>
      <c r="L45" s="137"/>
      <c r="M45" s="130" t="s">
        <v>113</v>
      </c>
      <c r="N45" s="158" t="s">
        <v>114</v>
      </c>
      <c r="O45" s="159"/>
      <c r="P45" s="157"/>
      <c r="Q45" s="121"/>
      <c r="R45" s="122"/>
    </row>
    <row r="46" spans="1:18" s="123" customFormat="1" ht="66" customHeight="1" x14ac:dyDescent="0.55000000000000004">
      <c r="A46" s="148">
        <v>3</v>
      </c>
      <c r="B46" s="149" t="s">
        <v>115</v>
      </c>
      <c r="C46" s="150"/>
      <c r="D46" s="151"/>
      <c r="E46" s="151"/>
      <c r="F46" s="151"/>
      <c r="G46" s="152"/>
      <c r="H46" s="146"/>
      <c r="I46" s="147"/>
      <c r="J46" s="146"/>
      <c r="K46" s="146"/>
      <c r="L46" s="137"/>
      <c r="M46" s="130" t="s">
        <v>97</v>
      </c>
      <c r="N46" s="158" t="s">
        <v>116</v>
      </c>
      <c r="O46" s="159"/>
      <c r="P46" s="157"/>
      <c r="Q46" s="121"/>
      <c r="R46" s="122"/>
    </row>
    <row r="47" spans="1:18" s="123" customFormat="1" ht="72" customHeight="1" x14ac:dyDescent="0.55000000000000004">
      <c r="A47" s="141" t="s">
        <v>102</v>
      </c>
      <c r="B47" s="153" t="s">
        <v>117</v>
      </c>
      <c r="C47" s="160"/>
      <c r="D47" s="161"/>
      <c r="E47" s="161"/>
      <c r="F47" s="161"/>
      <c r="G47" s="162"/>
      <c r="H47" s="146">
        <v>2</v>
      </c>
      <c r="I47" s="147"/>
      <c r="J47" s="146"/>
      <c r="K47" s="146"/>
      <c r="L47" s="137"/>
      <c r="M47" s="130" t="s">
        <v>98</v>
      </c>
      <c r="N47" s="158" t="s">
        <v>118</v>
      </c>
      <c r="O47" s="159"/>
      <c r="P47" s="157"/>
      <c r="Q47" s="121"/>
      <c r="R47" s="122"/>
    </row>
    <row r="48" spans="1:18" s="123" customFormat="1" ht="72" customHeight="1" x14ac:dyDescent="0.55000000000000004">
      <c r="A48" s="141" t="s">
        <v>104</v>
      </c>
      <c r="B48" s="153" t="s">
        <v>151</v>
      </c>
      <c r="C48" s="160"/>
      <c r="D48" s="161"/>
      <c r="E48" s="161"/>
      <c r="F48" s="161"/>
      <c r="G48" s="162"/>
      <c r="H48" s="146">
        <v>2</v>
      </c>
      <c r="I48" s="147"/>
      <c r="J48" s="146"/>
      <c r="K48" s="146"/>
      <c r="L48" s="137"/>
      <c r="M48" s="130" t="s">
        <v>119</v>
      </c>
      <c r="N48" s="158" t="s">
        <v>120</v>
      </c>
      <c r="O48" s="159"/>
      <c r="P48" s="157"/>
      <c r="Q48" s="121"/>
      <c r="R48" s="122"/>
    </row>
    <row r="49" spans="1:18" s="123" customFormat="1" ht="44.25" customHeight="1" x14ac:dyDescent="0.55000000000000004">
      <c r="A49" s="141" t="s">
        <v>106</v>
      </c>
      <c r="B49" s="153" t="s">
        <v>152</v>
      </c>
      <c r="C49" s="160"/>
      <c r="D49" s="161"/>
      <c r="E49" s="161"/>
      <c r="F49" s="161"/>
      <c r="G49" s="162"/>
      <c r="H49" s="146">
        <v>2</v>
      </c>
      <c r="I49" s="147"/>
      <c r="J49" s="146"/>
      <c r="K49" s="146"/>
      <c r="L49" s="137"/>
      <c r="M49" s="163"/>
      <c r="N49" s="163"/>
      <c r="O49" s="163"/>
      <c r="P49" s="164"/>
      <c r="Q49" s="121"/>
      <c r="R49" s="122"/>
    </row>
    <row r="50" spans="1:18" s="123" customFormat="1" ht="31.5" customHeight="1" x14ac:dyDescent="0.55000000000000004">
      <c r="A50" s="165" t="s">
        <v>121</v>
      </c>
      <c r="B50" s="166"/>
      <c r="C50" s="166"/>
      <c r="D50" s="166"/>
      <c r="E50" s="166"/>
      <c r="F50" s="166"/>
      <c r="G50" s="166"/>
      <c r="H50" s="167">
        <f>SUM(H39:H49)</f>
        <v>20</v>
      </c>
      <c r="I50" s="167">
        <f>SUM(I39:I49)</f>
        <v>0</v>
      </c>
      <c r="J50" s="167"/>
      <c r="K50" s="168"/>
      <c r="L50" s="137"/>
      <c r="M50" s="163"/>
      <c r="N50" s="163"/>
      <c r="O50" s="163"/>
      <c r="P50" s="164"/>
      <c r="Q50" s="121"/>
      <c r="R50" s="122"/>
    </row>
    <row r="51" spans="1:18" s="123" customFormat="1" ht="36" customHeight="1" x14ac:dyDescent="0.55000000000000004">
      <c r="A51" s="169" t="s">
        <v>102</v>
      </c>
      <c r="B51" s="170" t="s">
        <v>122</v>
      </c>
      <c r="C51" s="154" t="s">
        <v>123</v>
      </c>
      <c r="D51" s="155"/>
      <c r="E51" s="155"/>
      <c r="F51" s="155"/>
      <c r="G51" s="156"/>
      <c r="H51" s="171">
        <v>4</v>
      </c>
      <c r="I51" s="172"/>
      <c r="J51" s="171"/>
      <c r="K51" s="173"/>
      <c r="L51" s="137"/>
      <c r="M51" s="163"/>
      <c r="N51" s="163"/>
      <c r="O51" s="163"/>
      <c r="P51" s="164"/>
      <c r="Q51" s="121"/>
      <c r="R51" s="122"/>
    </row>
    <row r="52" spans="1:18" s="123" customFormat="1" ht="129" customHeight="1" x14ac:dyDescent="0.55000000000000004">
      <c r="A52" s="169" t="s">
        <v>104</v>
      </c>
      <c r="B52" s="170" t="s">
        <v>124</v>
      </c>
      <c r="C52" s="154" t="s">
        <v>125</v>
      </c>
      <c r="D52" s="155"/>
      <c r="E52" s="155"/>
      <c r="F52" s="155"/>
      <c r="G52" s="156"/>
      <c r="H52" s="171">
        <v>3</v>
      </c>
      <c r="I52" s="172"/>
      <c r="J52" s="171"/>
      <c r="K52" s="173"/>
      <c r="L52" s="137"/>
      <c r="M52" s="163"/>
      <c r="N52" s="163"/>
      <c r="O52" s="163"/>
      <c r="P52" s="164"/>
      <c r="Q52" s="121"/>
      <c r="R52" s="122"/>
    </row>
    <row r="53" spans="1:18" s="123" customFormat="1" ht="69" customHeight="1" x14ac:dyDescent="0.55000000000000004">
      <c r="A53" s="169" t="s">
        <v>104</v>
      </c>
      <c r="B53" s="170" t="s">
        <v>126</v>
      </c>
      <c r="C53" s="154" t="s">
        <v>127</v>
      </c>
      <c r="D53" s="155"/>
      <c r="E53" s="155"/>
      <c r="F53" s="155"/>
      <c r="G53" s="156"/>
      <c r="H53" s="171">
        <v>3</v>
      </c>
      <c r="I53" s="172"/>
      <c r="J53" s="171"/>
      <c r="K53" s="173"/>
      <c r="L53" s="137"/>
      <c r="M53" s="163"/>
      <c r="N53" s="163"/>
      <c r="O53" s="163"/>
      <c r="P53" s="164"/>
      <c r="Q53" s="121"/>
      <c r="R53" s="122"/>
    </row>
    <row r="54" spans="1:18" s="123" customFormat="1" ht="46.5" customHeight="1" x14ac:dyDescent="0.55000000000000004">
      <c r="A54" s="174"/>
      <c r="B54" s="175" t="s">
        <v>128</v>
      </c>
      <c r="C54" s="175"/>
      <c r="D54" s="175"/>
      <c r="E54" s="176"/>
      <c r="F54" s="176"/>
      <c r="G54" s="176"/>
      <c r="H54" s="167">
        <f>SUM(H51:H53)</f>
        <v>10</v>
      </c>
      <c r="I54" s="167">
        <f>SUM(I51:I53)</f>
        <v>0</v>
      </c>
      <c r="J54" s="176"/>
      <c r="K54" s="177"/>
      <c r="L54" s="163"/>
      <c r="M54" s="163"/>
      <c r="N54" s="163"/>
      <c r="O54" s="163"/>
      <c r="P54" s="164"/>
      <c r="Q54" s="121"/>
      <c r="R54" s="122"/>
    </row>
    <row r="55" spans="1:18" s="185" customFormat="1" ht="45" customHeight="1" x14ac:dyDescent="0.7">
      <c r="A55" s="178"/>
      <c r="B55" s="179"/>
      <c r="C55" s="180"/>
      <c r="D55" s="180"/>
      <c r="E55" s="180"/>
      <c r="F55" s="181"/>
      <c r="G55" s="181"/>
      <c r="H55" s="181"/>
      <c r="I55" s="181"/>
      <c r="J55" s="181"/>
      <c r="K55" s="180"/>
      <c r="L55" s="180"/>
      <c r="M55" s="180"/>
      <c r="N55" s="180"/>
      <c r="O55" s="182" t="s">
        <v>153</v>
      </c>
      <c r="P55" s="183"/>
      <c r="Q55" s="182" t="s">
        <v>154</v>
      </c>
      <c r="R55" s="184"/>
    </row>
    <row r="56" spans="1:18" s="185" customFormat="1" ht="45" customHeight="1" x14ac:dyDescent="0.7">
      <c r="A56" s="178"/>
      <c r="B56" s="186"/>
      <c r="C56" s="187" t="s">
        <v>155</v>
      </c>
      <c r="D56" s="188"/>
      <c r="E56" s="188"/>
      <c r="F56" s="188"/>
      <c r="G56" s="188"/>
      <c r="H56" s="188"/>
      <c r="I56" s="188"/>
      <c r="J56" s="188"/>
      <c r="K56" s="189"/>
      <c r="L56" s="190"/>
      <c r="M56" s="191"/>
      <c r="N56" s="192"/>
      <c r="O56" s="193">
        <f>R35</f>
        <v>0</v>
      </c>
      <c r="P56" s="194"/>
      <c r="Q56" s="195">
        <f>O59/100 * 20</f>
        <v>0</v>
      </c>
      <c r="R56" s="196"/>
    </row>
    <row r="57" spans="1:18" s="185" customFormat="1" ht="45" customHeight="1" x14ac:dyDescent="0.7">
      <c r="A57" s="178"/>
      <c r="B57" s="186"/>
      <c r="C57" s="188" t="s">
        <v>156</v>
      </c>
      <c r="D57" s="188"/>
      <c r="E57" s="188"/>
      <c r="F57" s="188"/>
      <c r="G57" s="188"/>
      <c r="H57" s="188"/>
      <c r="I57" s="188"/>
      <c r="J57" s="188"/>
      <c r="K57" s="188"/>
      <c r="L57" s="191"/>
      <c r="M57" s="191"/>
      <c r="N57" s="192"/>
      <c r="O57" s="193">
        <f>I50</f>
        <v>0</v>
      </c>
      <c r="P57" s="194"/>
      <c r="Q57" s="197"/>
      <c r="R57" s="198"/>
    </row>
    <row r="58" spans="1:18" s="185" customFormat="1" ht="45" customHeight="1" x14ac:dyDescent="0.7">
      <c r="A58" s="178"/>
      <c r="B58" s="186"/>
      <c r="C58" s="187" t="s">
        <v>157</v>
      </c>
      <c r="D58" s="188"/>
      <c r="E58" s="188"/>
      <c r="F58" s="188"/>
      <c r="G58" s="188"/>
      <c r="H58" s="188"/>
      <c r="I58" s="188"/>
      <c r="J58" s="188"/>
      <c r="K58" s="189"/>
      <c r="L58" s="190"/>
      <c r="M58" s="191"/>
      <c r="N58" s="192"/>
      <c r="O58" s="193">
        <f>I54</f>
        <v>0</v>
      </c>
      <c r="P58" s="194"/>
      <c r="Q58" s="197"/>
      <c r="R58" s="198"/>
    </row>
    <row r="59" spans="1:18" s="185" customFormat="1" ht="45" customHeight="1" x14ac:dyDescent="0.7">
      <c r="A59" s="178"/>
      <c r="B59" s="199"/>
      <c r="C59" s="187" t="s">
        <v>158</v>
      </c>
      <c r="D59" s="188"/>
      <c r="E59" s="188"/>
      <c r="F59" s="188"/>
      <c r="G59" s="188"/>
      <c r="H59" s="188"/>
      <c r="I59" s="188"/>
      <c r="J59" s="188"/>
      <c r="K59" s="189"/>
      <c r="L59" s="190"/>
      <c r="M59" s="191"/>
      <c r="N59" s="192"/>
      <c r="O59" s="193">
        <f>SUM(O56:P58)</f>
        <v>0</v>
      </c>
      <c r="P59" s="194"/>
      <c r="Q59" s="200"/>
      <c r="R59" s="201"/>
    </row>
    <row r="60" spans="1:18" s="185" customFormat="1" ht="64.900000000000006" customHeight="1" x14ac:dyDescent="0.7">
      <c r="A60" s="178"/>
      <c r="B60" s="202" t="s">
        <v>159</v>
      </c>
      <c r="C60" s="202"/>
      <c r="D60" s="202"/>
      <c r="E60" s="202"/>
      <c r="F60" s="202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4"/>
    </row>
    <row r="61" spans="1:18" s="185" customFormat="1" ht="64.900000000000006" customHeight="1" x14ac:dyDescent="0.7">
      <c r="A61" s="178"/>
      <c r="B61" s="205" t="s">
        <v>160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6"/>
    </row>
    <row r="62" spans="1:18" s="185" customFormat="1" ht="48.75" customHeight="1" x14ac:dyDescent="0.7">
      <c r="A62" s="178"/>
      <c r="B62" s="207" t="s">
        <v>161</v>
      </c>
      <c r="C62" s="207"/>
      <c r="D62" s="207"/>
      <c r="E62" s="207"/>
      <c r="F62" s="207"/>
      <c r="G62" s="207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9"/>
    </row>
    <row r="63" spans="1:18" s="185" customFormat="1" ht="45.75" x14ac:dyDescent="0.7">
      <c r="A63" s="178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6"/>
    </row>
    <row r="64" spans="1:18" s="123" customFormat="1" ht="31.5" customHeight="1" x14ac:dyDescent="0.55000000000000004">
      <c r="A64" s="210" t="s">
        <v>162</v>
      </c>
      <c r="B64" s="211"/>
      <c r="C64" s="212"/>
      <c r="D64" s="213"/>
      <c r="E64" s="214" t="s">
        <v>163</v>
      </c>
      <c r="F64" s="215"/>
      <c r="G64" s="211" t="s">
        <v>164</v>
      </c>
      <c r="H64" s="212"/>
      <c r="I64" s="212"/>
      <c r="J64" s="212"/>
      <c r="K64" s="216"/>
      <c r="L64" s="137"/>
      <c r="M64" s="217"/>
      <c r="N64" s="217"/>
      <c r="O64" s="217"/>
      <c r="P64" s="217"/>
      <c r="Q64" s="217"/>
      <c r="R64" s="122"/>
    </row>
    <row r="65" spans="1:18" s="123" customFormat="1" ht="31.5" customHeight="1" x14ac:dyDescent="0.55000000000000004">
      <c r="A65" s="218"/>
      <c r="B65" s="219"/>
      <c r="C65" s="220"/>
      <c r="D65" s="221"/>
      <c r="E65" s="222"/>
      <c r="F65" s="223"/>
      <c r="G65" s="219"/>
      <c r="H65" s="220"/>
      <c r="I65" s="220"/>
      <c r="J65" s="220"/>
      <c r="K65" s="216"/>
      <c r="L65" s="137"/>
      <c r="M65" s="224"/>
      <c r="N65" s="224"/>
      <c r="O65" s="224"/>
      <c r="P65" s="224"/>
      <c r="Q65" s="224"/>
      <c r="R65" s="122"/>
    </row>
    <row r="66" spans="1:18" s="123" customFormat="1" ht="31.5" customHeight="1" x14ac:dyDescent="0.55000000000000004">
      <c r="A66" s="218"/>
      <c r="B66" s="219"/>
      <c r="C66" s="220"/>
      <c r="D66" s="221"/>
      <c r="E66" s="222"/>
      <c r="F66" s="223"/>
      <c r="G66" s="219"/>
      <c r="H66" s="220"/>
      <c r="I66" s="220"/>
      <c r="J66" s="220"/>
      <c r="K66" s="216"/>
      <c r="L66" s="137"/>
      <c r="M66" s="224"/>
      <c r="N66" s="224"/>
      <c r="O66" s="224"/>
      <c r="P66" s="224"/>
      <c r="Q66" s="224"/>
      <c r="R66" s="122"/>
    </row>
    <row r="67" spans="1:18" s="123" customFormat="1" ht="31.5" customHeight="1" x14ac:dyDescent="0.55000000000000004">
      <c r="A67" s="225"/>
      <c r="B67" s="226"/>
      <c r="C67" s="227"/>
      <c r="D67" s="228"/>
      <c r="E67" s="229"/>
      <c r="F67" s="230"/>
      <c r="G67" s="226"/>
      <c r="H67" s="227"/>
      <c r="I67" s="227"/>
      <c r="J67" s="227"/>
      <c r="K67" s="216"/>
      <c r="L67" s="137"/>
      <c r="M67" s="224"/>
      <c r="N67" s="224"/>
      <c r="O67" s="224"/>
      <c r="P67" s="224"/>
      <c r="Q67" s="224"/>
      <c r="R67" s="122"/>
    </row>
    <row r="68" spans="1:18" s="123" customFormat="1" ht="31.5" customHeight="1" x14ac:dyDescent="0.55000000000000004">
      <c r="A68" s="231" t="s">
        <v>129</v>
      </c>
      <c r="B68" s="232"/>
      <c r="C68" s="212"/>
      <c r="D68" s="213"/>
      <c r="E68" s="233" t="s">
        <v>165</v>
      </c>
      <c r="F68" s="215"/>
      <c r="G68" s="232" t="s">
        <v>165</v>
      </c>
      <c r="H68" s="212"/>
      <c r="I68" s="212"/>
      <c r="J68" s="212"/>
      <c r="K68" s="216"/>
      <c r="L68" s="137"/>
      <c r="M68" s="224"/>
      <c r="N68" s="224"/>
      <c r="O68" s="224"/>
      <c r="P68" s="224"/>
      <c r="Q68" s="224"/>
      <c r="R68" s="122"/>
    </row>
    <row r="69" spans="1:18" s="123" customFormat="1" ht="31.5" customHeight="1" x14ac:dyDescent="0.55000000000000004">
      <c r="A69" s="234"/>
      <c r="B69" s="235"/>
      <c r="C69" s="220"/>
      <c r="D69" s="221"/>
      <c r="E69" s="236"/>
      <c r="F69" s="223"/>
      <c r="G69" s="235"/>
      <c r="H69" s="220"/>
      <c r="I69" s="220"/>
      <c r="J69" s="220"/>
      <c r="K69" s="216"/>
      <c r="L69" s="137"/>
      <c r="M69" s="224"/>
      <c r="N69" s="224"/>
      <c r="O69" s="224"/>
      <c r="P69" s="224"/>
      <c r="Q69" s="224"/>
      <c r="R69" s="122"/>
    </row>
    <row r="70" spans="1:18" s="123" customFormat="1" ht="31.5" customHeight="1" x14ac:dyDescent="0.55000000000000004">
      <c r="A70" s="234"/>
      <c r="B70" s="235"/>
      <c r="C70" s="227"/>
      <c r="D70" s="228"/>
      <c r="E70" s="237"/>
      <c r="F70" s="230"/>
      <c r="G70" s="238"/>
      <c r="H70" s="227"/>
      <c r="I70" s="227"/>
      <c r="J70" s="227"/>
      <c r="K70" s="216"/>
      <c r="L70" s="137"/>
      <c r="M70" s="224"/>
      <c r="N70" s="224"/>
      <c r="O70" s="224"/>
      <c r="P70" s="224"/>
      <c r="Q70" s="224"/>
      <c r="R70" s="122"/>
    </row>
    <row r="71" spans="1:18" s="123" customFormat="1" ht="31.5" customHeight="1" x14ac:dyDescent="0.55000000000000004">
      <c r="A71" s="218" t="s">
        <v>130</v>
      </c>
      <c r="B71" s="219"/>
      <c r="C71" s="212"/>
      <c r="D71" s="213"/>
      <c r="E71" s="214" t="s">
        <v>166</v>
      </c>
      <c r="F71" s="215"/>
      <c r="G71" s="211" t="s">
        <v>166</v>
      </c>
      <c r="H71" s="212"/>
      <c r="I71" s="212"/>
      <c r="J71" s="212"/>
      <c r="K71" s="216"/>
      <c r="L71" s="137"/>
      <c r="M71" s="224"/>
      <c r="N71" s="224"/>
      <c r="O71" s="224"/>
      <c r="P71" s="224"/>
      <c r="Q71" s="224"/>
      <c r="R71" s="122"/>
    </row>
    <row r="72" spans="1:18" s="123" customFormat="1" ht="31.5" customHeight="1" x14ac:dyDescent="0.55000000000000004">
      <c r="A72" s="218"/>
      <c r="B72" s="219"/>
      <c r="C72" s="227"/>
      <c r="D72" s="228"/>
      <c r="E72" s="229"/>
      <c r="F72" s="230"/>
      <c r="G72" s="226"/>
      <c r="H72" s="227"/>
      <c r="I72" s="227"/>
      <c r="J72" s="227"/>
      <c r="K72" s="216"/>
      <c r="L72" s="137"/>
      <c r="M72" s="224"/>
      <c r="N72" s="224"/>
      <c r="O72" s="224"/>
      <c r="P72" s="224"/>
      <c r="Q72" s="224"/>
      <c r="R72" s="122"/>
    </row>
    <row r="73" spans="1:18" s="123" customFormat="1" ht="31.5" customHeight="1" thickBot="1" x14ac:dyDescent="0.6">
      <c r="A73" s="239"/>
      <c r="B73" s="240"/>
      <c r="C73" s="240"/>
      <c r="D73" s="240"/>
      <c r="E73" s="240"/>
      <c r="F73" s="240"/>
      <c r="G73" s="240"/>
      <c r="H73" s="240"/>
      <c r="I73" s="240"/>
      <c r="J73" s="240"/>
      <c r="K73" s="241"/>
      <c r="L73" s="242"/>
      <c r="M73" s="243"/>
      <c r="N73" s="243"/>
      <c r="O73" s="243"/>
      <c r="P73" s="243"/>
      <c r="Q73" s="243"/>
      <c r="R73" s="244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5AEE973F-A4B7-4375-934D-631BDF29D586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2026-04-09T09:55:46Z</dcterms:created>
  <dcterms:modified xsi:type="dcterms:W3CDTF">2026-04-09T20:13:38Z</dcterms:modified>
</cp:coreProperties>
</file>