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DMIN\"/>
    </mc:Choice>
  </mc:AlternateContent>
  <xr:revisionPtr revIDLastSave="0" documentId="13_ncr:1_{7E6873D0-9655-474F-81B0-3E376A38694F}" xr6:coauthVersionLast="47" xr6:coauthVersionMax="47" xr10:uidLastSave="{00000000-0000-0000-0000-000000000000}"/>
  <bookViews>
    <workbookView xWindow="-120" yWindow="-120" windowWidth="20730" windowHeight="11040" xr2:uid="{7DB1CE51-3B40-423C-A818-F84DE6DB5581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QUARTER'!$A$1:$R$76</definedName>
    <definedName name="_xlnm.Print_Area" localSheetId="3">'FOURTH QUARTER'!$A$1:$R$76</definedName>
    <definedName name="_xlnm.Print_Area" localSheetId="1">'SECOND QUARTER'!$A$1:$R$76</definedName>
    <definedName name="_xlnm.Print_Area" localSheetId="2">'THIRD QUARTER'!$A$1:$R$76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19" i="3"/>
  <c r="F19" i="4"/>
  <c r="F19" i="5"/>
  <c r="F19" i="2"/>
  <c r="E36" i="3"/>
  <c r="C36" i="3"/>
  <c r="C35" i="3"/>
  <c r="E35" i="3" s="1"/>
  <c r="E34" i="3"/>
  <c r="C34" i="3"/>
  <c r="C32" i="3"/>
  <c r="E32" i="3" s="1"/>
  <c r="E30" i="3"/>
  <c r="C30" i="3"/>
  <c r="E31" i="3" s="1"/>
  <c r="C26" i="3"/>
  <c r="E29" i="3" s="1"/>
  <c r="E25" i="3"/>
  <c r="E24" i="3"/>
  <c r="C24" i="3"/>
  <c r="C19" i="3"/>
  <c r="E22" i="3" s="1"/>
  <c r="C36" i="4"/>
  <c r="E36" i="4" s="1"/>
  <c r="C35" i="4"/>
  <c r="E35" i="4" s="1"/>
  <c r="E34" i="4"/>
  <c r="C34" i="4"/>
  <c r="C32" i="4"/>
  <c r="E32" i="4" s="1"/>
  <c r="E31" i="4"/>
  <c r="E30" i="4"/>
  <c r="C30" i="4"/>
  <c r="C26" i="4"/>
  <c r="E29" i="4" s="1"/>
  <c r="E25" i="4"/>
  <c r="E24" i="4"/>
  <c r="C24" i="4"/>
  <c r="C19" i="4"/>
  <c r="E22" i="4" s="1"/>
  <c r="C36" i="5"/>
  <c r="E36" i="5" s="1"/>
  <c r="C35" i="5"/>
  <c r="E35" i="5" s="1"/>
  <c r="E34" i="5"/>
  <c r="C34" i="5"/>
  <c r="C32" i="5"/>
  <c r="E32" i="5" s="1"/>
  <c r="E30" i="5"/>
  <c r="C30" i="5"/>
  <c r="E31" i="5" s="1"/>
  <c r="C26" i="5"/>
  <c r="E29" i="5" s="1"/>
  <c r="E24" i="5"/>
  <c r="C24" i="5"/>
  <c r="E25" i="5" s="1"/>
  <c r="C19" i="5"/>
  <c r="E22" i="5" s="1"/>
  <c r="C36" i="2"/>
  <c r="E36" i="2" s="1"/>
  <c r="C35" i="2"/>
  <c r="E35" i="2" s="1"/>
  <c r="E34" i="2"/>
  <c r="C34" i="2"/>
  <c r="C32" i="2"/>
  <c r="E32" i="2" s="1"/>
  <c r="E31" i="2"/>
  <c r="E30" i="2"/>
  <c r="C30" i="2"/>
  <c r="C26" i="2"/>
  <c r="E29" i="2" s="1"/>
  <c r="E25" i="2"/>
  <c r="E24" i="2"/>
  <c r="C24" i="2"/>
  <c r="C19" i="2"/>
  <c r="E22" i="2" s="1"/>
  <c r="I57" i="5"/>
  <c r="O61" i="5" s="1"/>
  <c r="H57" i="5"/>
  <c r="I53" i="5"/>
  <c r="O60" i="5" s="1"/>
  <c r="H53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57" i="4"/>
  <c r="O61" i="4" s="1"/>
  <c r="H57" i="4"/>
  <c r="I53" i="4"/>
  <c r="O60" i="4" s="1"/>
  <c r="H53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O61" i="3"/>
  <c r="I57" i="3"/>
  <c r="H57" i="3"/>
  <c r="I53" i="3"/>
  <c r="O60" i="3" s="1"/>
  <c r="H53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57" i="2"/>
  <c r="O61" i="2" s="1"/>
  <c r="H57" i="2"/>
  <c r="I53" i="2"/>
  <c r="O60" i="2" s="1"/>
  <c r="H53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C37" i="4" l="1"/>
  <c r="C37" i="2"/>
  <c r="R25" i="2"/>
  <c r="R25" i="4"/>
  <c r="R29" i="4"/>
  <c r="R22" i="2"/>
  <c r="R30" i="2"/>
  <c r="R34" i="2"/>
  <c r="R24" i="3"/>
  <c r="R32" i="3"/>
  <c r="R36" i="3"/>
  <c r="R22" i="4"/>
  <c r="R30" i="4"/>
  <c r="R34" i="4"/>
  <c r="R25" i="5"/>
  <c r="R29" i="5"/>
  <c r="C37" i="5"/>
  <c r="E19" i="2"/>
  <c r="E21" i="2"/>
  <c r="E23" i="2"/>
  <c r="R23" i="2" s="1"/>
  <c r="E26" i="2"/>
  <c r="R26" i="2" s="1"/>
  <c r="E28" i="2"/>
  <c r="E33" i="2"/>
  <c r="E19" i="5"/>
  <c r="E21" i="5"/>
  <c r="R21" i="5" s="1"/>
  <c r="E23" i="5"/>
  <c r="E26" i="5"/>
  <c r="E28" i="5"/>
  <c r="R28" i="5" s="1"/>
  <c r="E33" i="5"/>
  <c r="R33" i="5" s="1"/>
  <c r="E19" i="4"/>
  <c r="E21" i="4"/>
  <c r="E23" i="4"/>
  <c r="R23" i="4" s="1"/>
  <c r="E26" i="4"/>
  <c r="R26" i="4" s="1"/>
  <c r="E28" i="4"/>
  <c r="E33" i="4"/>
  <c r="E19" i="3"/>
  <c r="E21" i="3"/>
  <c r="E23" i="3"/>
  <c r="R23" i="3" s="1"/>
  <c r="E26" i="3"/>
  <c r="E28" i="3"/>
  <c r="R28" i="3" s="1"/>
  <c r="E33" i="3"/>
  <c r="R33" i="3" s="1"/>
  <c r="R29" i="2"/>
  <c r="R35" i="3"/>
  <c r="R21" i="4"/>
  <c r="R33" i="4"/>
  <c r="R36" i="5"/>
  <c r="R31" i="2"/>
  <c r="R35" i="2"/>
  <c r="R21" i="3"/>
  <c r="R25" i="3"/>
  <c r="R29" i="3"/>
  <c r="C37" i="3"/>
  <c r="R31" i="4"/>
  <c r="R35" i="4"/>
  <c r="R22" i="5"/>
  <c r="R26" i="5"/>
  <c r="R30" i="5"/>
  <c r="R34" i="5"/>
  <c r="R21" i="2"/>
  <c r="R33" i="2"/>
  <c r="R31" i="3"/>
  <c r="R24" i="5"/>
  <c r="R32" i="5"/>
  <c r="R20" i="2"/>
  <c r="R24" i="2"/>
  <c r="R28" i="2"/>
  <c r="R32" i="2"/>
  <c r="R36" i="2"/>
  <c r="R22" i="3"/>
  <c r="R26" i="3"/>
  <c r="R30" i="3"/>
  <c r="R34" i="3"/>
  <c r="R24" i="4"/>
  <c r="R28" i="4"/>
  <c r="R32" i="4"/>
  <c r="R36" i="4"/>
  <c r="R23" i="5"/>
  <c r="R31" i="5"/>
  <c r="R35" i="5"/>
  <c r="E20" i="2"/>
  <c r="E27" i="2"/>
  <c r="R27" i="2" s="1"/>
  <c r="E20" i="5"/>
  <c r="R20" i="5" s="1"/>
  <c r="E27" i="5"/>
  <c r="R27" i="5" s="1"/>
  <c r="E20" i="4"/>
  <c r="R20" i="4" s="1"/>
  <c r="E27" i="4"/>
  <c r="R27" i="4" s="1"/>
  <c r="E20" i="3"/>
  <c r="R20" i="3" s="1"/>
  <c r="E27" i="3"/>
  <c r="R27" i="3" s="1"/>
  <c r="E37" i="3" l="1"/>
  <c r="E37" i="5"/>
  <c r="E37" i="4"/>
  <c r="E37" i="2"/>
  <c r="F37" i="3" l="1"/>
  <c r="R19" i="3"/>
  <c r="R37" i="3" s="1"/>
  <c r="R38" i="3" s="1"/>
  <c r="O59" i="3" s="1"/>
  <c r="O62" i="3" s="1"/>
  <c r="Q59" i="3" s="1"/>
  <c r="F37" i="2"/>
  <c r="R19" i="2"/>
  <c r="R37" i="2" s="1"/>
  <c r="R38" i="2" s="1"/>
  <c r="O59" i="2" s="1"/>
  <c r="O62" i="2" s="1"/>
  <c r="Q59" i="2" s="1"/>
  <c r="F37" i="5"/>
  <c r="R19" i="5"/>
  <c r="R37" i="5" s="1"/>
  <c r="R38" i="5" s="1"/>
  <c r="O59" i="5" s="1"/>
  <c r="O62" i="5" s="1"/>
  <c r="Q59" i="5" s="1"/>
  <c r="F37" i="4"/>
  <c r="R19" i="4"/>
  <c r="R37" i="4" s="1"/>
  <c r="R38" i="4" s="1"/>
  <c r="O59" i="4" s="1"/>
  <c r="O62" i="4" s="1"/>
  <c r="Q59" i="4" s="1"/>
</calcChain>
</file>

<file path=xl/sharedStrings.xml><?xml version="1.0" encoding="utf-8"?>
<sst xmlns="http://schemas.openxmlformats.org/spreadsheetml/2006/main" count="960" uniqueCount="181">
  <si>
    <t>PERFORMANCE APPRAISAL PERIOD:</t>
  </si>
  <si>
    <t>FROM</t>
  </si>
  <si>
    <t>To</t>
  </si>
  <si>
    <t>SECTION 1: EMPLOYEE INFORMATION</t>
  </si>
  <si>
    <t>Surname:</t>
  </si>
  <si>
    <t>KAURA</t>
  </si>
  <si>
    <t>Firstname</t>
  </si>
  <si>
    <t>ISAIAH</t>
  </si>
  <si>
    <t>Othername</t>
  </si>
  <si>
    <t>DAUDA</t>
  </si>
  <si>
    <t>Designation</t>
  </si>
  <si>
    <t>CCO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</si>
  <si>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</si>
  <si>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</si>
  <si>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</si>
  <si>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</si>
  <si>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</si>
  <si>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</si>
  <si>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</si>
  <si>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</si>
  <si>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</si>
  <si>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</si>
  <si>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</si>
  <si>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</si>
  <si>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</si>
  <si>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</si>
  <si>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</si>
  <si>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</si>
  <si>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</si>
  <si>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</si>
  <si>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</si>
  <si>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</si>
  <si>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</si>
  <si>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</si>
  <si>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</si>
  <si>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</si>
  <si>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</si>
  <si>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</si>
  <si>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</si>
  <si>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</si>
  <si>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</si>
  <si>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</si>
  <si>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</si>
  <si>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</si>
  <si>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</si>
  <si>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</si>
  <si>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</si>
  <si>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</si>
  <si>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</si>
  <si>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</si>
  <si>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</si>
  <si>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</si>
  <si>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</si>
  <si>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</si>
  <si>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</si>
  <si>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</si>
  <si>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</si>
  <si>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</si>
  <si>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</si>
  <si>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</si>
  <si>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</si>
  <si>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</si>
  <si>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</si>
  <si>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</si>
  <si>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</si>
  <si>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</si>
  <si>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</si>
  <si>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</si>
  <si>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</si>
  <si>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Administrative &amp; Logistics Support</t>
  </si>
  <si>
    <t>Manage office logistics and supplies distribution</t>
  </si>
  <si>
    <t>Percentage of logistics requests fulfilled on time</t>
  </si>
  <si>
    <t>&gt;80</t>
  </si>
  <si>
    <t>&lt;50</t>
  </si>
  <si>
    <t>Maintain inventory records for consumables and office items</t>
  </si>
  <si>
    <t>Percentage of inventory records updated and accurate</t>
  </si>
  <si>
    <t>Monitor usage and replenishment of office consumables</t>
  </si>
  <si>
    <t>Percentage of stock levels maintained without shortages</t>
  </si>
  <si>
    <t>Ensure proper custody of office assets</t>
  </si>
  <si>
    <t>Percentage of assets properly accounted for</t>
  </si>
  <si>
    <t>Service Innovation And Improvement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</si>
  <si>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</si>
  <si>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</si>
  <si>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</si>
  <si>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</si>
  <si>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Automated Service Delivery</t>
  </si>
  <si>
    <t>Identify and prioritize routine processes for automation</t>
  </si>
  <si>
    <t>Number of Processes, Forms, and Tasks Identified for Automation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</si>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</sst>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u/>
      <sz val="30"/>
      <color theme="10"/>
      <name val="Calibri"/>
      <family val="2"/>
      <charset val="1"/>
      <scheme val="minor"/>
    </font>
    <font>
      <u/>
      <sz val="30"/>
      <color theme="1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5">
    <xf numFmtId="0" fontId="0" fillId="0" borderId="0" xfId="0"/>
    <xf numFmtId="0" fontId="8" fillId="0" borderId="16" xfId="8" applyFont="1" applyBorder="1" applyAlignment="1">
      <alignment horizontal="center" vertical="center"/>
    </xf>
    <xf numFmtId="0" fontId="8" fillId="0" borderId="17" xfId="8" applyFont="1" applyBorder="1" applyAlignment="1">
      <alignment horizontal="center" vertical="center"/>
    </xf>
    <xf numFmtId="0" fontId="8" fillId="0" borderId="18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8" fillId="0" borderId="19" xfId="8" applyFont="1" applyBorder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20" xfId="8" applyFont="1" applyBorder="1" applyAlignment="1">
      <alignment horizontal="center" vertical="center"/>
    </xf>
    <xf numFmtId="0" fontId="9" fillId="2" borderId="16" xfId="8" applyFont="1" applyFill="1" applyBorder="1" applyAlignment="1">
      <alignment horizontal="left" vertical="top" wrapText="1"/>
    </xf>
    <xf numFmtId="0" fontId="9" fillId="2" borderId="17" xfId="8" applyFont="1" applyFill="1" applyBorder="1" applyAlignment="1">
      <alignment horizontal="left" vertical="top" wrapText="1"/>
    </xf>
    <xf numFmtId="0" fontId="10" fillId="2" borderId="16" xfId="8" applyFont="1" applyFill="1" applyBorder="1" applyAlignment="1">
      <alignment horizontal="center" vertical="top" wrapText="1"/>
    </xf>
    <xf numFmtId="0" fontId="10" fillId="2" borderId="17" xfId="8" applyFont="1" applyFill="1" applyBorder="1" applyAlignment="1">
      <alignment horizontal="center" vertical="top" wrapText="1"/>
    </xf>
    <xf numFmtId="0" fontId="10" fillId="2" borderId="18" xfId="8" applyFont="1" applyFill="1" applyBorder="1" applyAlignment="1">
      <alignment horizontal="center" vertical="top" wrapText="1"/>
    </xf>
    <xf numFmtId="0" fontId="11" fillId="0" borderId="0" xfId="8" applyFont="1" applyAlignment="1">
      <alignment vertical="top"/>
    </xf>
    <xf numFmtId="0" fontId="12" fillId="3" borderId="19" xfId="2" applyFont="1" applyFill="1" applyBorder="1" applyAlignment="1">
      <alignment vertical="center"/>
    </xf>
    <xf numFmtId="49" fontId="12" fillId="4" borderId="0" xfId="2" applyNumberFormat="1" applyFont="1" applyFill="1" applyAlignment="1">
      <alignment vertical="center"/>
    </xf>
    <xf numFmtId="0" fontId="12" fillId="3" borderId="0" xfId="2" applyFont="1" applyFill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/>
    </xf>
    <xf numFmtId="0" fontId="14" fillId="2" borderId="0" xfId="2" applyFont="1" applyFill="1"/>
    <xf numFmtId="0" fontId="10" fillId="2" borderId="19" xfId="8" applyFont="1" applyFill="1" applyBorder="1" applyAlignment="1">
      <alignment horizontal="center" vertical="top" wrapText="1"/>
    </xf>
    <xf numFmtId="0" fontId="10" fillId="2" borderId="0" xfId="8" applyFont="1" applyFill="1" applyAlignment="1">
      <alignment horizontal="center" vertical="top" wrapText="1"/>
    </xf>
    <xf numFmtId="0" fontId="10" fillId="2" borderId="20" xfId="8" applyFont="1" applyFill="1" applyBorder="1" applyAlignment="1">
      <alignment horizontal="center" vertical="top" wrapText="1"/>
    </xf>
    <xf numFmtId="0" fontId="14" fillId="0" borderId="0" xfId="2" applyFont="1"/>
    <xf numFmtId="0" fontId="15" fillId="2" borderId="19" xfId="9" applyFont="1" applyFill="1" applyBorder="1" applyAlignment="1">
      <alignment horizontal="left"/>
    </xf>
    <xf numFmtId="0" fontId="15" fillId="2" borderId="0" xfId="9" applyFont="1" applyFill="1" applyAlignment="1">
      <alignment horizontal="left"/>
    </xf>
    <xf numFmtId="0" fontId="15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8" fillId="2" borderId="0" xfId="2" applyFont="1" applyFill="1" applyAlignment="1">
      <alignment horizontal="left"/>
    </xf>
    <xf numFmtId="0" fontId="18" fillId="2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18" fillId="3" borderId="0" xfId="5" applyFont="1" applyFill="1" applyAlignment="1">
      <alignment horizontal="left" vertical="center"/>
    </xf>
    <xf numFmtId="0" fontId="18" fillId="3" borderId="5" xfId="5" applyFont="1" applyFill="1" applyBorder="1" applyAlignment="1">
      <alignment horizontal="left" vertical="center"/>
    </xf>
    <xf numFmtId="0" fontId="18" fillId="0" borderId="8" xfId="5" applyFont="1" applyBorder="1" applyAlignment="1">
      <alignment horizontal="left"/>
    </xf>
    <xf numFmtId="0" fontId="18" fillId="3" borderId="10" xfId="5" applyFont="1" applyFill="1" applyBorder="1" applyAlignment="1">
      <alignment horizontal="left"/>
    </xf>
    <xf numFmtId="0" fontId="18" fillId="3" borderId="6" xfId="5" applyFont="1" applyFill="1" applyBorder="1" applyAlignment="1">
      <alignment horizontal="left"/>
    </xf>
    <xf numFmtId="0" fontId="18" fillId="0" borderId="6" xfId="5" applyFont="1" applyBorder="1" applyAlignment="1">
      <alignment horizontal="left"/>
    </xf>
    <xf numFmtId="0" fontId="18" fillId="0" borderId="7" xfId="6" applyFont="1" applyBorder="1" applyAlignment="1">
      <alignment horizontal="left"/>
    </xf>
    <xf numFmtId="0" fontId="18" fillId="0" borderId="8" xfId="6" applyFont="1" applyBorder="1" applyAlignment="1">
      <alignment horizontal="left"/>
    </xf>
    <xf numFmtId="0" fontId="17" fillId="0" borderId="0" xfId="5" applyFont="1"/>
    <xf numFmtId="0" fontId="18" fillId="3" borderId="0" xfId="5" applyFont="1" applyFill="1" applyAlignment="1">
      <alignment horizontal="left"/>
    </xf>
    <xf numFmtId="0" fontId="18" fillId="3" borderId="5" xfId="5" applyFont="1" applyFill="1" applyBorder="1" applyAlignment="1">
      <alignment horizontal="left"/>
    </xf>
    <xf numFmtId="0" fontId="18" fillId="0" borderId="11" xfId="5" applyFont="1" applyBorder="1" applyAlignment="1">
      <alignment horizontal="left"/>
    </xf>
    <xf numFmtId="0" fontId="18" fillId="3" borderId="12" xfId="5" applyFont="1" applyFill="1" applyBorder="1" applyAlignment="1">
      <alignment horizontal="left"/>
    </xf>
    <xf numFmtId="0" fontId="18" fillId="3" borderId="9" xfId="5" applyFont="1" applyFill="1" applyBorder="1" applyAlignment="1">
      <alignment horizontal="left"/>
    </xf>
    <xf numFmtId="0" fontId="18" fillId="0" borderId="9" xfId="6" applyFont="1" applyBorder="1" applyAlignment="1">
      <alignment horizontal="left"/>
    </xf>
    <xf numFmtId="0" fontId="18" fillId="0" borderId="11" xfId="6" applyFont="1" applyBorder="1" applyAlignment="1">
      <alignment horizontal="left"/>
    </xf>
    <xf numFmtId="0" fontId="20" fillId="2" borderId="19" xfId="2" applyFont="1" applyFill="1" applyBorder="1"/>
    <xf numFmtId="0" fontId="20" fillId="2" borderId="0" xfId="2" applyFont="1" applyFill="1"/>
    <xf numFmtId="0" fontId="21" fillId="2" borderId="0" xfId="2" applyFont="1" applyFill="1" applyAlignment="1">
      <alignment horizontal="center"/>
    </xf>
    <xf numFmtId="0" fontId="10" fillId="2" borderId="21" xfId="8" applyFont="1" applyFill="1" applyBorder="1" applyAlignment="1">
      <alignment horizontal="center" vertical="top" wrapText="1"/>
    </xf>
    <xf numFmtId="0" fontId="10" fillId="2" borderId="22" xfId="8" applyFont="1" applyFill="1" applyBorder="1" applyAlignment="1">
      <alignment horizontal="center" vertical="top" wrapText="1"/>
    </xf>
    <xf numFmtId="0" fontId="10" fillId="2" borderId="23" xfId="8" applyFont="1" applyFill="1" applyBorder="1" applyAlignment="1">
      <alignment horizontal="center" vertical="top" wrapText="1"/>
    </xf>
    <xf numFmtId="0" fontId="11" fillId="0" borderId="0" xfId="2" applyFont="1"/>
    <xf numFmtId="0" fontId="9" fillId="3" borderId="24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3" borderId="0" xfId="2" applyFont="1" applyFill="1" applyAlignment="1">
      <alignment horizontal="left"/>
    </xf>
    <xf numFmtId="0" fontId="21" fillId="3" borderId="0" xfId="2" applyFont="1" applyFill="1"/>
    <xf numFmtId="0" fontId="22" fillId="3" borderId="0" xfId="2" applyFont="1" applyFill="1"/>
    <xf numFmtId="0" fontId="11" fillId="3" borderId="0" xfId="2" applyFont="1" applyFill="1"/>
    <xf numFmtId="0" fontId="11" fillId="3" borderId="20" xfId="2" applyFont="1" applyFill="1" applyBorder="1"/>
    <xf numFmtId="0" fontId="5" fillId="2" borderId="25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3" fillId="2" borderId="9" xfId="8" applyFont="1" applyFill="1" applyBorder="1" applyAlignment="1">
      <alignment horizontal="center" vertical="center" wrapText="1"/>
    </xf>
    <xf numFmtId="0" fontId="23" fillId="2" borderId="13" xfId="8" applyFont="1" applyFill="1" applyBorder="1" applyAlignment="1">
      <alignment horizontal="center" vertical="center" wrapText="1"/>
    </xf>
    <xf numFmtId="0" fontId="23" fillId="2" borderId="11" xfId="8" applyFont="1" applyFill="1" applyBorder="1" applyAlignment="1">
      <alignment horizontal="center" vertical="center" wrapText="1"/>
    </xf>
    <xf numFmtId="0" fontId="23" fillId="2" borderId="14" xfId="8" applyFont="1" applyFill="1" applyBorder="1" applyAlignment="1">
      <alignment horizontal="center" vertical="center" wrapText="1"/>
    </xf>
    <xf numFmtId="2" fontId="23" fillId="2" borderId="26" xfId="8" applyNumberFormat="1" applyFont="1" applyFill="1" applyBorder="1" applyAlignment="1">
      <alignment horizontal="center" vertical="center" wrapText="1"/>
    </xf>
    <xf numFmtId="0" fontId="24" fillId="0" borderId="0" xfId="8" applyFont="1" applyAlignment="1">
      <alignment vertical="top"/>
    </xf>
    <xf numFmtId="0" fontId="5" fillId="2" borderId="27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23" fillId="2" borderId="14" xfId="8" applyFont="1" applyFill="1" applyBorder="1" applyAlignment="1">
      <alignment horizontal="center" vertical="center"/>
    </xf>
    <xf numFmtId="0" fontId="23" fillId="2" borderId="14" xfId="8" applyFont="1" applyFill="1" applyBorder="1" applyAlignment="1">
      <alignment horizontal="center" vertical="center" wrapText="1"/>
    </xf>
    <xf numFmtId="0" fontId="23" fillId="2" borderId="10" xfId="8" applyFont="1" applyFill="1" applyBorder="1" applyAlignment="1">
      <alignment horizontal="center" vertical="center" wrapText="1"/>
    </xf>
    <xf numFmtId="2" fontId="23" fillId="2" borderId="28" xfId="8" applyNumberFormat="1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left" vertical="center" wrapText="1"/>
    </xf>
    <xf numFmtId="9" fontId="25" fillId="0" borderId="12" xfId="2" applyNumberFormat="1" applyFont="1" applyBorder="1" applyAlignment="1">
      <alignment horizontal="center" vertical="center" wrapText="1"/>
    </xf>
    <xf numFmtId="0" fontId="25" fillId="0" borderId="12" xfId="7" applyFont="1" applyBorder="1" applyAlignment="1">
      <alignment horizontal="center" vertical="center" wrapText="1"/>
    </xf>
    <xf numFmtId="0" fontId="25" fillId="0" borderId="12" xfId="8" applyFont="1" applyBorder="1" applyAlignment="1">
      <alignment horizontal="center" vertical="center" wrapText="1"/>
    </xf>
    <xf numFmtId="0" fontId="17" fillId="0" borderId="12" xfId="8" applyFont="1" applyBorder="1" applyAlignment="1">
      <alignment horizontal="center" vertical="center"/>
    </xf>
    <xf numFmtId="0" fontId="27" fillId="0" borderId="12" xfId="11" applyFont="1" applyBorder="1" applyAlignment="1">
      <alignment horizontal="center" vertical="center"/>
    </xf>
    <xf numFmtId="0" fontId="4" fillId="2" borderId="12" xfId="8" applyFont="1" applyFill="1" applyBorder="1" applyAlignment="1">
      <alignment horizontal="center" vertical="center"/>
    </xf>
    <xf numFmtId="2" fontId="4" fillId="2" borderId="12" xfId="8" applyNumberFormat="1" applyFont="1" applyFill="1" applyBorder="1" applyAlignment="1">
      <alignment horizontal="center" vertical="center"/>
    </xf>
    <xf numFmtId="0" fontId="28" fillId="0" borderId="0" xfId="8" applyFont="1" applyAlignment="1">
      <alignment horizontal="left" vertical="top" wrapText="1"/>
    </xf>
    <xf numFmtId="0" fontId="25" fillId="0" borderId="12" xfId="2" applyFont="1" applyBorder="1" applyAlignment="1">
      <alignment horizontal="center" vertical="center"/>
    </xf>
    <xf numFmtId="9" fontId="25" fillId="0" borderId="12" xfId="2" applyNumberFormat="1" applyFont="1" applyBorder="1" applyAlignment="1">
      <alignment horizontal="center" vertical="center"/>
    </xf>
    <xf numFmtId="2" fontId="25" fillId="0" borderId="12" xfId="2" applyNumberFormat="1" applyFont="1" applyBorder="1" applyAlignment="1">
      <alignment vertical="center" wrapText="1"/>
    </xf>
    <xf numFmtId="2" fontId="25" fillId="0" borderId="12" xfId="2" applyNumberFormat="1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30" fillId="0" borderId="10" xfId="8" applyFont="1" applyBorder="1" applyAlignment="1">
      <alignment horizontal="center" vertical="center" wrapText="1"/>
    </xf>
    <xf numFmtId="2" fontId="30" fillId="0" borderId="10" xfId="8" applyNumberFormat="1" applyFont="1" applyBorder="1" applyAlignment="1">
      <alignment horizontal="center" vertical="center" wrapText="1"/>
    </xf>
    <xf numFmtId="2" fontId="29" fillId="0" borderId="10" xfId="12" applyNumberFormat="1" applyFont="1" applyBorder="1" applyAlignment="1">
      <alignment horizontal="left" vertical="center" wrapText="1"/>
    </xf>
    <xf numFmtId="9" fontId="29" fillId="0" borderId="10" xfId="12" applyNumberFormat="1" applyFont="1" applyBorder="1" applyAlignment="1">
      <alignment horizontal="center" vertical="center"/>
    </xf>
    <xf numFmtId="0" fontId="31" fillId="0" borderId="6" xfId="9" applyFont="1" applyBorder="1" applyAlignment="1">
      <alignment vertical="center"/>
    </xf>
    <xf numFmtId="49" fontId="31" fillId="0" borderId="7" xfId="9" applyNumberFormat="1" applyFont="1" applyBorder="1" applyAlignment="1">
      <alignment horizontal="center" vertical="center"/>
    </xf>
    <xf numFmtId="0" fontId="30" fillId="0" borderId="13" xfId="8" applyFont="1" applyBorder="1" applyAlignment="1" applyProtection="1">
      <alignment horizontal="center" vertical="center"/>
      <protection locked="0"/>
    </xf>
    <xf numFmtId="2" fontId="32" fillId="2" borderId="12" xfId="8" applyNumberFormat="1" applyFont="1" applyFill="1" applyBorder="1" applyAlignment="1">
      <alignment horizontal="center" vertical="center"/>
    </xf>
    <xf numFmtId="2" fontId="32" fillId="2" borderId="30" xfId="8" applyNumberFormat="1" applyFont="1" applyFill="1" applyBorder="1" applyAlignment="1">
      <alignment horizontal="center" vertical="center"/>
    </xf>
    <xf numFmtId="0" fontId="28" fillId="0" borderId="0" xfId="13" applyFont="1" applyAlignment="1">
      <alignment horizontal="left" vertical="top" wrapText="1"/>
    </xf>
    <xf numFmtId="0" fontId="33" fillId="0" borderId="31" xfId="8" applyFont="1" applyBorder="1" applyAlignment="1">
      <alignment vertical="center" wrapText="1"/>
    </xf>
    <xf numFmtId="0" fontId="34" fillId="0" borderId="0" xfId="8" applyFont="1" applyAlignment="1">
      <alignment vertical="top" wrapText="1"/>
    </xf>
    <xf numFmtId="0" fontId="35" fillId="0" borderId="10" xfId="8" applyFont="1" applyBorder="1" applyAlignment="1">
      <alignment horizontal="center" vertical="center" wrapText="1"/>
    </xf>
    <xf numFmtId="0" fontId="36" fillId="5" borderId="9" xfId="8" applyFont="1" applyFill="1" applyBorder="1" applyAlignment="1">
      <alignment horizontal="center"/>
    </xf>
    <xf numFmtId="0" fontId="36" fillId="5" borderId="13" xfId="8" applyFont="1" applyFill="1" applyBorder="1" applyAlignment="1">
      <alignment horizontal="center"/>
    </xf>
    <xf numFmtId="0" fontId="36" fillId="5" borderId="11" xfId="8" applyFont="1" applyFill="1" applyBorder="1" applyAlignment="1">
      <alignment horizontal="center"/>
    </xf>
    <xf numFmtId="2" fontId="37" fillId="6" borderId="30" xfId="14" applyNumberFormat="1" applyFont="1" applyFill="1" applyBorder="1" applyAlignment="1" applyProtection="1">
      <alignment horizontal="center"/>
    </xf>
    <xf numFmtId="0" fontId="15" fillId="2" borderId="24" xfId="8" applyFont="1" applyFill="1" applyBorder="1" applyAlignment="1">
      <alignment horizontal="right" vertical="top" wrapText="1"/>
    </xf>
    <xf numFmtId="0" fontId="15" fillId="2" borderId="2" xfId="8" applyFont="1" applyFill="1" applyBorder="1" applyAlignment="1">
      <alignment horizontal="right" vertical="top" wrapText="1"/>
    </xf>
    <xf numFmtId="0" fontId="15" fillId="2" borderId="3" xfId="8" applyFont="1" applyFill="1" applyBorder="1" applyAlignment="1">
      <alignment horizontal="right" vertical="top" wrapText="1"/>
    </xf>
    <xf numFmtId="0" fontId="15" fillId="2" borderId="12" xfId="8" applyFont="1" applyFill="1" applyBorder="1" applyAlignment="1">
      <alignment horizontal="center" vertical="top" wrapText="1"/>
    </xf>
    <xf numFmtId="0" fontId="23" fillId="2" borderId="2" xfId="8" applyFont="1" applyFill="1" applyBorder="1" applyAlignment="1">
      <alignment horizontal="center" vertical="top" wrapText="1"/>
    </xf>
    <xf numFmtId="0" fontId="23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20" xfId="8" applyNumberFormat="1" applyFont="1" applyFill="1" applyBorder="1" applyAlignment="1">
      <alignment horizontal="center"/>
    </xf>
    <xf numFmtId="0" fontId="28" fillId="0" borderId="0" xfId="8" applyFont="1" applyAlignment="1">
      <alignment vertical="top" wrapText="1"/>
    </xf>
    <xf numFmtId="0" fontId="3" fillId="2" borderId="19" xfId="8" applyFont="1" applyFill="1" applyBorder="1" applyAlignment="1">
      <alignment horizontal="right" vertical="top" wrapText="1"/>
    </xf>
    <xf numFmtId="0" fontId="38" fillId="2" borderId="0" xfId="8" applyFont="1" applyFill="1" applyAlignment="1">
      <alignment horizontal="right" vertical="top" wrapText="1"/>
    </xf>
    <xf numFmtId="0" fontId="15" fillId="3" borderId="0" xfId="8" applyFont="1" applyFill="1" applyAlignment="1">
      <alignment horizontal="right" vertical="top" wrapText="1"/>
    </xf>
    <xf numFmtId="0" fontId="15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top" wrapText="1"/>
    </xf>
    <xf numFmtId="0" fontId="23" fillId="2" borderId="7" xfId="8" applyFont="1" applyFill="1" applyBorder="1" applyAlignment="1">
      <alignment horizontal="center" vertical="top" wrapText="1"/>
    </xf>
    <xf numFmtId="0" fontId="39" fillId="2" borderId="12" xfId="8" applyFont="1" applyFill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40" fillId="0" borderId="10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1" fillId="2" borderId="12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1" xfId="8" applyFont="1" applyFill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38" fillId="0" borderId="9" xfId="11" applyFont="1" applyBorder="1" applyAlignment="1">
      <alignment horizontal="left" vertical="center" wrapText="1"/>
    </xf>
    <xf numFmtId="0" fontId="38" fillId="0" borderId="13" xfId="11" applyFont="1" applyBorder="1" applyAlignment="1">
      <alignment horizontal="left" vertical="center" wrapText="1"/>
    </xf>
    <xf numFmtId="0" fontId="38" fillId="0" borderId="11" xfId="11" applyFont="1" applyBorder="1" applyAlignment="1">
      <alignment horizontal="left" vertical="center" wrapText="1"/>
    </xf>
    <xf numFmtId="0" fontId="40" fillId="0" borderId="12" xfId="8" applyFont="1" applyBorder="1" applyAlignment="1">
      <alignment horizontal="center" vertical="top" wrapText="1"/>
    </xf>
    <xf numFmtId="0" fontId="40" fillId="0" borderId="12" xfId="8" applyFont="1" applyBorder="1" applyAlignment="1" applyProtection="1">
      <alignment horizontal="center" vertical="top" wrapText="1"/>
      <protection locked="0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 wrapText="1"/>
    </xf>
    <xf numFmtId="0" fontId="6" fillId="0" borderId="9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12" xfId="2" applyFont="1" applyBorder="1" applyAlignment="1">
      <alignment horizontal="left" vertical="center" wrapText="1"/>
    </xf>
    <xf numFmtId="0" fontId="38" fillId="0" borderId="9" xfId="11" applyFont="1" applyBorder="1" applyAlignment="1">
      <alignment vertical="center" wrapText="1"/>
    </xf>
    <xf numFmtId="0" fontId="38" fillId="0" borderId="13" xfId="11" applyFont="1" applyBorder="1" applyAlignment="1">
      <alignment vertical="center" wrapText="1"/>
    </xf>
    <xf numFmtId="0" fontId="38" fillId="0" borderId="11" xfId="11" applyFont="1" applyBorder="1" applyAlignment="1">
      <alignment vertical="center" wrapText="1"/>
    </xf>
    <xf numFmtId="0" fontId="39" fillId="2" borderId="11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1" xfId="8" applyFont="1" applyFill="1" applyBorder="1" applyAlignment="1">
      <alignment horizontal="left" vertical="top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left" vertical="center"/>
    </xf>
    <xf numFmtId="0" fontId="5" fillId="2" borderId="13" xfId="2" applyFont="1" applyFill="1" applyBorder="1" applyAlignment="1">
      <alignment horizontal="left" vertical="center"/>
    </xf>
    <xf numFmtId="0" fontId="15" fillId="2" borderId="13" xfId="8" applyFont="1" applyFill="1" applyBorder="1" applyAlignment="1">
      <alignment horizontal="center" vertical="top" wrapText="1"/>
    </xf>
    <xf numFmtId="0" fontId="15" fillId="2" borderId="11" xfId="8" applyFont="1" applyFill="1" applyBorder="1" applyAlignment="1">
      <alignment horizontal="center" vertical="top" wrapText="1"/>
    </xf>
    <xf numFmtId="0" fontId="6" fillId="0" borderId="3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38" fillId="0" borderId="12" xfId="8" applyFont="1" applyBorder="1" applyAlignment="1">
      <alignment horizontal="center" vertical="top" wrapText="1"/>
    </xf>
    <xf numFmtId="0" fontId="15" fillId="0" borderId="12" xfId="8" applyFont="1" applyBorder="1" applyAlignment="1" applyProtection="1">
      <alignment horizontal="center" vertical="top" wrapText="1"/>
      <protection locked="0"/>
    </xf>
    <xf numFmtId="0" fontId="15" fillId="0" borderId="12" xfId="8" applyFont="1" applyBorder="1" applyAlignment="1">
      <alignment horizontal="center" vertical="top" wrapText="1"/>
    </xf>
    <xf numFmtId="0" fontId="15" fillId="2" borderId="32" xfId="8" applyFont="1" applyFill="1" applyBorder="1" applyAlignment="1">
      <alignment vertical="top" wrapText="1"/>
    </xf>
    <xf numFmtId="0" fontId="15" fillId="2" borderId="13" xfId="8" applyFont="1" applyFill="1" applyBorder="1" applyAlignment="1">
      <alignment horizontal="left" vertical="top" wrapText="1"/>
    </xf>
    <xf numFmtId="0" fontId="15" fillId="2" borderId="13" xfId="8" applyFont="1" applyFill="1" applyBorder="1" applyAlignment="1">
      <alignment vertical="top" wrapText="1"/>
    </xf>
    <xf numFmtId="0" fontId="42" fillId="2" borderId="0" xfId="8" applyFont="1" applyFill="1" applyAlignment="1">
      <alignment horizontal="center" vertical="top" wrapText="1"/>
    </xf>
    <xf numFmtId="0" fontId="11" fillId="7" borderId="19" xfId="8" applyFont="1" applyFill="1" applyBorder="1"/>
    <xf numFmtId="0" fontId="11" fillId="7" borderId="2" xfId="8" applyFont="1" applyFill="1" applyBorder="1" applyAlignment="1">
      <alignment horizontal="center"/>
    </xf>
    <xf numFmtId="0" fontId="43" fillId="2" borderId="2" xfId="8" applyFont="1" applyFill="1" applyBorder="1" applyAlignment="1">
      <alignment vertical="center" wrapText="1"/>
    </xf>
    <xf numFmtId="0" fontId="43" fillId="2" borderId="13" xfId="8" applyFont="1" applyFill="1" applyBorder="1" applyAlignment="1">
      <alignment horizontal="center" vertical="center" wrapText="1"/>
    </xf>
    <xf numFmtId="0" fontId="43" fillId="8" borderId="9" xfId="8" applyFont="1" applyFill="1" applyBorder="1" applyAlignment="1">
      <alignment horizontal="center" vertical="center" wrapText="1"/>
    </xf>
    <xf numFmtId="0" fontId="43" fillId="8" borderId="11" xfId="8" applyFont="1" applyFill="1" applyBorder="1" applyAlignment="1">
      <alignment horizontal="center" vertical="center" wrapText="1"/>
    </xf>
    <xf numFmtId="0" fontId="43" fillId="8" borderId="33" xfId="8" applyFont="1" applyFill="1" applyBorder="1" applyAlignment="1">
      <alignment horizontal="center" vertical="center" wrapText="1"/>
    </xf>
    <xf numFmtId="0" fontId="11" fillId="0" borderId="0" xfId="8" applyFont="1"/>
    <xf numFmtId="0" fontId="11" fillId="7" borderId="0" xfId="8" applyFont="1" applyFill="1" applyAlignment="1">
      <alignment horizontal="center"/>
    </xf>
    <xf numFmtId="0" fontId="43" fillId="0" borderId="9" xfId="8" applyFont="1" applyBorder="1" applyAlignment="1">
      <alignment horizontal="left" vertical="center" wrapText="1"/>
    </xf>
    <xf numFmtId="0" fontId="43" fillId="0" borderId="13" xfId="8" applyFont="1" applyBorder="1" applyAlignment="1">
      <alignment horizontal="left" vertical="center" wrapText="1"/>
    </xf>
    <xf numFmtId="0" fontId="43" fillId="0" borderId="11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center" vertical="center" wrapText="1"/>
    </xf>
    <xf numFmtId="0" fontId="43" fillId="0" borderId="13" xfId="8" applyFont="1" applyBorder="1" applyAlignment="1">
      <alignment horizontal="center" vertical="center" wrapText="1"/>
    </xf>
    <xf numFmtId="0" fontId="43" fillId="0" borderId="11" xfId="8" applyFont="1" applyBorder="1" applyAlignment="1">
      <alignment horizontal="center" vertical="center" wrapText="1"/>
    </xf>
    <xf numFmtId="2" fontId="43" fillId="8" borderId="9" xfId="8" applyNumberFormat="1" applyFont="1" applyFill="1" applyBorder="1" applyAlignment="1">
      <alignment horizontal="center" vertical="center" wrapText="1"/>
    </xf>
    <xf numFmtId="2" fontId="43" fillId="8" borderId="11" xfId="8" applyNumberFormat="1" applyFont="1" applyFill="1" applyBorder="1" applyAlignment="1">
      <alignment horizontal="center" vertical="center" wrapText="1"/>
    </xf>
    <xf numFmtId="2" fontId="44" fillId="2" borderId="1" xfId="14" applyNumberFormat="1" applyFont="1" applyFill="1" applyBorder="1" applyAlignment="1" applyProtection="1">
      <alignment horizontal="center" vertical="center" wrapText="1"/>
    </xf>
    <xf numFmtId="2" fontId="44" fillId="2" borderId="34" xfId="14" applyNumberFormat="1" applyFont="1" applyFill="1" applyBorder="1" applyAlignment="1" applyProtection="1">
      <alignment horizontal="center" vertical="center" wrapText="1"/>
    </xf>
    <xf numFmtId="2" fontId="44" fillId="2" borderId="4" xfId="14" applyNumberFormat="1" applyFont="1" applyFill="1" applyBorder="1" applyAlignment="1" applyProtection="1">
      <alignment horizontal="center" vertical="center" wrapText="1"/>
    </xf>
    <xf numFmtId="2" fontId="44" fillId="2" borderId="20" xfId="14" applyNumberFormat="1" applyFont="1" applyFill="1" applyBorder="1" applyAlignment="1" applyProtection="1">
      <alignment horizontal="center" vertical="center" wrapText="1"/>
    </xf>
    <xf numFmtId="0" fontId="11" fillId="7" borderId="7" xfId="8" applyFont="1" applyFill="1" applyBorder="1" applyAlignment="1">
      <alignment horizontal="center"/>
    </xf>
    <xf numFmtId="2" fontId="44" fillId="2" borderId="6" xfId="14" applyNumberFormat="1" applyFont="1" applyFill="1" applyBorder="1" applyAlignment="1" applyProtection="1">
      <alignment horizontal="center" vertical="center" wrapText="1"/>
    </xf>
    <xf numFmtId="2" fontId="44" fillId="2" borderId="35" xfId="14" applyNumberFormat="1" applyFont="1" applyFill="1" applyBorder="1" applyAlignment="1" applyProtection="1">
      <alignment horizontal="center" vertical="center" wrapText="1"/>
    </xf>
    <xf numFmtId="0" fontId="43" fillId="2" borderId="12" xfId="8" applyFont="1" applyFill="1" applyBorder="1" applyAlignment="1">
      <alignment horizontal="center" vertical="center" wrapText="1"/>
    </xf>
    <xf numFmtId="0" fontId="43" fillId="4" borderId="12" xfId="8" applyFont="1" applyFill="1" applyBorder="1" applyAlignment="1">
      <alignment vertical="center" wrapText="1"/>
    </xf>
    <xf numFmtId="0" fontId="43" fillId="4" borderId="30" xfId="8" applyFont="1" applyFill="1" applyBorder="1" applyAlignment="1">
      <alignment vertical="center" wrapText="1"/>
    </xf>
    <xf numFmtId="0" fontId="45" fillId="4" borderId="12" xfId="8" applyFont="1" applyFill="1" applyBorder="1" applyAlignment="1">
      <alignment horizontal="center" vertical="center" wrapText="1"/>
    </xf>
    <xf numFmtId="0" fontId="45" fillId="4" borderId="30" xfId="8" applyFont="1" applyFill="1" applyBorder="1" applyAlignment="1">
      <alignment horizontal="center" vertical="center" wrapText="1"/>
    </xf>
    <xf numFmtId="0" fontId="43" fillId="2" borderId="12" xfId="8" applyFont="1" applyFill="1" applyBorder="1" applyAlignment="1">
      <alignment horizontal="left" vertical="center" wrapText="1"/>
    </xf>
    <xf numFmtId="0" fontId="43" fillId="0" borderId="12" xfId="8" applyFont="1" applyBorder="1" applyAlignment="1">
      <alignment vertical="center" wrapText="1"/>
    </xf>
    <xf numFmtId="0" fontId="43" fillId="0" borderId="30" xfId="8" applyFont="1" applyBorder="1" applyAlignment="1">
      <alignment vertical="center" wrapText="1"/>
    </xf>
    <xf numFmtId="0" fontId="15" fillId="2" borderId="24" xfId="8" applyFont="1" applyFill="1" applyBorder="1" applyAlignment="1">
      <alignment vertical="center" wrapText="1"/>
    </xf>
    <xf numFmtId="0" fontId="15" fillId="2" borderId="3" xfId="8" applyFont="1" applyFill="1" applyBorder="1" applyAlignment="1">
      <alignment vertical="center" wrapText="1"/>
    </xf>
    <xf numFmtId="0" fontId="38" fillId="0" borderId="2" xfId="8" applyFont="1" applyBorder="1" applyAlignment="1">
      <alignment vertical="center" wrapText="1"/>
    </xf>
    <xf numFmtId="0" fontId="38" fillId="0" borderId="3" xfId="8" applyFont="1" applyBorder="1" applyAlignment="1">
      <alignment vertical="center" wrapText="1"/>
    </xf>
    <xf numFmtId="0" fontId="15" fillId="2" borderId="1" xfId="8" applyFont="1" applyFill="1" applyBorder="1" applyAlignment="1">
      <alignment vertical="center" wrapText="1"/>
    </xf>
    <xf numFmtId="0" fontId="38" fillId="0" borderId="2" xfId="8" applyFont="1" applyBorder="1" applyAlignment="1">
      <alignment horizontal="center" vertical="center" wrapText="1"/>
    </xf>
    <xf numFmtId="0" fontId="40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5" fillId="2" borderId="19" xfId="8" applyFont="1" applyFill="1" applyBorder="1" applyAlignment="1">
      <alignment vertical="center" wrapText="1"/>
    </xf>
    <xf numFmtId="0" fontId="15" fillId="2" borderId="5" xfId="8" applyFont="1" applyFill="1" applyBorder="1" applyAlignment="1">
      <alignment vertical="center" wrapText="1"/>
    </xf>
    <xf numFmtId="0" fontId="38" fillId="0" borderId="0" xfId="8" applyFont="1" applyAlignment="1">
      <alignment vertical="center" wrapText="1"/>
    </xf>
    <xf numFmtId="0" fontId="38" fillId="0" borderId="5" xfId="8" applyFont="1" applyBorder="1" applyAlignment="1">
      <alignment vertical="center" wrapText="1"/>
    </xf>
    <xf numFmtId="0" fontId="15" fillId="2" borderId="4" xfId="8" applyFont="1" applyFill="1" applyBorder="1" applyAlignment="1">
      <alignment vertical="center" wrapText="1"/>
    </xf>
    <xf numFmtId="0" fontId="38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5" fillId="2" borderId="36" xfId="8" applyFont="1" applyFill="1" applyBorder="1" applyAlignment="1">
      <alignment vertical="center" wrapText="1"/>
    </xf>
    <xf numFmtId="0" fontId="15" fillId="2" borderId="8" xfId="8" applyFont="1" applyFill="1" applyBorder="1" applyAlignment="1">
      <alignment vertical="center" wrapText="1"/>
    </xf>
    <xf numFmtId="0" fontId="38" fillId="0" borderId="7" xfId="8" applyFont="1" applyBorder="1" applyAlignment="1">
      <alignment vertical="center" wrapText="1"/>
    </xf>
    <xf numFmtId="0" fontId="38" fillId="0" borderId="8" xfId="8" applyFont="1" applyBorder="1" applyAlignment="1">
      <alignment vertical="center" wrapText="1"/>
    </xf>
    <xf numFmtId="0" fontId="15" fillId="2" borderId="6" xfId="8" applyFont="1" applyFill="1" applyBorder="1" applyAlignment="1">
      <alignment vertical="center" wrapText="1"/>
    </xf>
    <xf numFmtId="0" fontId="38" fillId="0" borderId="7" xfId="8" applyFont="1" applyBorder="1" applyAlignment="1">
      <alignment horizontal="center" vertical="center" wrapText="1"/>
    </xf>
    <xf numFmtId="0" fontId="15" fillId="3" borderId="24" xfId="8" applyFont="1" applyFill="1" applyBorder="1" applyAlignment="1">
      <alignment vertical="center" wrapText="1"/>
    </xf>
    <xf numFmtId="0" fontId="15" fillId="3" borderId="3" xfId="8" applyFont="1" applyFill="1" applyBorder="1" applyAlignment="1">
      <alignment vertical="center" wrapText="1"/>
    </xf>
    <xf numFmtId="0" fontId="15" fillId="3" borderId="1" xfId="8" applyFont="1" applyFill="1" applyBorder="1" applyAlignment="1">
      <alignment vertical="center" wrapText="1"/>
    </xf>
    <xf numFmtId="0" fontId="15" fillId="3" borderId="19" xfId="8" applyFont="1" applyFill="1" applyBorder="1" applyAlignment="1">
      <alignment vertical="center" wrapText="1"/>
    </xf>
    <xf numFmtId="0" fontId="15" fillId="3" borderId="5" xfId="8" applyFont="1" applyFill="1" applyBorder="1" applyAlignment="1">
      <alignment vertical="center" wrapText="1"/>
    </xf>
    <xf numFmtId="0" fontId="15" fillId="3" borderId="4" xfId="8" applyFont="1" applyFill="1" applyBorder="1" applyAlignment="1">
      <alignment vertical="center" wrapText="1"/>
    </xf>
    <xf numFmtId="0" fontId="15" fillId="3" borderId="6" xfId="8" applyFont="1" applyFill="1" applyBorder="1" applyAlignment="1">
      <alignment vertical="center" wrapText="1"/>
    </xf>
    <xf numFmtId="0" fontId="15" fillId="3" borderId="8" xfId="8" applyFont="1" applyFill="1" applyBorder="1" applyAlignment="1">
      <alignment vertical="center" wrapText="1"/>
    </xf>
    <xf numFmtId="0" fontId="28" fillId="3" borderId="21" xfId="8" applyFont="1" applyFill="1" applyBorder="1" applyAlignment="1">
      <alignment vertical="center" wrapText="1"/>
    </xf>
    <xf numFmtId="0" fontId="28" fillId="3" borderId="22" xfId="8" applyFont="1" applyFill="1" applyBorder="1" applyAlignment="1">
      <alignment vertical="center" wrapText="1"/>
    </xf>
    <xf numFmtId="0" fontId="7" fillId="3" borderId="22" xfId="8" applyFont="1" applyFill="1" applyBorder="1" applyAlignment="1">
      <alignment horizontal="center" vertical="top" wrapText="1"/>
    </xf>
    <xf numFmtId="0" fontId="28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6" fillId="3" borderId="0" xfId="3" applyFont="1" applyFill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0" fontId="16" fillId="0" borderId="8" xfId="3" applyFont="1" applyBorder="1" applyAlignment="1">
      <alignment horizontal="left"/>
    </xf>
    <xf numFmtId="0" fontId="16" fillId="3" borderId="10" xfId="3" applyFont="1" applyFill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6" fillId="0" borderId="7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9" fillId="0" borderId="0" xfId="3" applyFont="1" applyAlignment="1">
      <alignment horizontal="left"/>
    </xf>
    <xf numFmtId="0" fontId="16" fillId="3" borderId="0" xfId="3" applyFont="1" applyFill="1" applyAlignment="1">
      <alignment horizontal="left"/>
    </xf>
    <xf numFmtId="0" fontId="16" fillId="3" borderId="5" xfId="3" applyFont="1" applyFill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6" fillId="3" borderId="12" xfId="3" applyFont="1" applyFill="1" applyBorder="1" applyAlignment="1">
      <alignment horizontal="left"/>
    </xf>
    <xf numFmtId="0" fontId="46" fillId="0" borderId="11" xfId="1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8" fillId="3" borderId="0" xfId="4" applyFont="1" applyFill="1" applyAlignment="1">
      <alignment horizontal="left" vertical="center"/>
    </xf>
    <xf numFmtId="0" fontId="18" fillId="3" borderId="5" xfId="4" applyFont="1" applyFill="1" applyBorder="1" applyAlignment="1">
      <alignment horizontal="left" vertical="center"/>
    </xf>
    <xf numFmtId="0" fontId="18" fillId="0" borderId="8" xfId="4" applyFont="1" applyBorder="1" applyAlignment="1">
      <alignment horizontal="left"/>
    </xf>
    <xf numFmtId="0" fontId="18" fillId="3" borderId="10" xfId="4" applyFont="1" applyFill="1" applyBorder="1" applyAlignment="1">
      <alignment horizontal="left"/>
    </xf>
    <xf numFmtId="0" fontId="18" fillId="0" borderId="6" xfId="4" applyFont="1" applyBorder="1" applyAlignment="1">
      <alignment horizontal="left"/>
    </xf>
    <xf numFmtId="0" fontId="18" fillId="0" borderId="7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18" fillId="3" borderId="0" xfId="4" applyFont="1" applyFill="1" applyAlignment="1">
      <alignment horizontal="left"/>
    </xf>
    <xf numFmtId="0" fontId="18" fillId="3" borderId="5" xfId="4" applyFont="1" applyFill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18" fillId="3" borderId="12" xfId="4" applyFont="1" applyFill="1" applyBorder="1" applyAlignment="1">
      <alignment horizontal="left"/>
    </xf>
    <xf numFmtId="0" fontId="47" fillId="0" borderId="11" xfId="1" applyFont="1" applyBorder="1" applyAlignment="1">
      <alignment horizontal="left"/>
    </xf>
    <xf numFmtId="49" fontId="18" fillId="0" borderId="9" xfId="4" applyNumberFormat="1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48" fillId="0" borderId="11" xfId="1" quotePrefix="1" applyFont="1" applyBorder="1" applyAlignment="1">
      <alignment horizontal="left"/>
    </xf>
    <xf numFmtId="0" fontId="25" fillId="0" borderId="9" xfId="5" applyFont="1" applyBorder="1" applyAlignment="1">
      <alignment horizontal="left"/>
    </xf>
    <xf numFmtId="0" fontId="25" fillId="0" borderId="14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25" fillId="0" borderId="15" xfId="2" applyFont="1" applyBorder="1" applyAlignment="1">
      <alignment horizontal="left" vertical="center" wrapText="1"/>
    </xf>
    <xf numFmtId="2" fontId="25" fillId="0" borderId="15" xfId="2" applyNumberFormat="1" applyFont="1" applyBorder="1" applyAlignment="1">
      <alignment horizontal="center" vertical="center"/>
    </xf>
    <xf numFmtId="0" fontId="25" fillId="0" borderId="10" xfId="2" applyFont="1" applyBorder="1" applyAlignment="1">
      <alignment horizontal="center" vertical="center"/>
    </xf>
    <xf numFmtId="0" fontId="25" fillId="0" borderId="10" xfId="2" applyFont="1" applyBorder="1" applyAlignment="1">
      <alignment horizontal="left" vertical="center" wrapText="1"/>
    </xf>
    <xf numFmtId="2" fontId="25" fillId="0" borderId="10" xfId="2" applyNumberFormat="1" applyFont="1" applyBorder="1" applyAlignment="1">
      <alignment horizontal="center" vertical="center"/>
    </xf>
    <xf numFmtId="2" fontId="25" fillId="0" borderId="14" xfId="2" applyNumberFormat="1" applyFont="1" applyBorder="1" applyAlignment="1">
      <alignment horizontal="center" vertical="center" wrapText="1"/>
    </xf>
    <xf numFmtId="2" fontId="25" fillId="0" borderId="10" xfId="2" applyNumberFormat="1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 wrapText="1"/>
    </xf>
  </cellXfs>
  <cellStyles count="15">
    <cellStyle name="Hyperlink" xfId="1" builtinId="8"/>
    <cellStyle name="Normal" xfId="0" builtinId="0"/>
    <cellStyle name="Normal 2 2" xfId="11" xr:uid="{E4151C09-BCBD-4890-AF30-D32BACA83B53}"/>
    <cellStyle name="Normal 2 2 3 2" xfId="13" xr:uid="{2BA88B3A-AC16-4D0C-B544-FC91534286C8}"/>
    <cellStyle name="Normal 2 3" xfId="2" xr:uid="{B0C00094-D124-4901-B851-434E65F4BF52}"/>
    <cellStyle name="Normal 2 3 2" xfId="6" xr:uid="{0638DDEC-8B4D-4CF0-9503-F02AFEC6C8D3}"/>
    <cellStyle name="Normal 2 3 3" xfId="4" xr:uid="{21CE73A7-1F30-4F65-82AD-2E6994A0C779}"/>
    <cellStyle name="Normal 2 3 5" xfId="10" xr:uid="{93CF3A2B-72EA-43A8-A286-9DA14960BBF0}"/>
    <cellStyle name="Normal 2 4 2" xfId="5" xr:uid="{A19509A0-3DCE-4E5D-9153-ACBB4BF9514A}"/>
    <cellStyle name="Normal 2 5" xfId="3" xr:uid="{7FBC0642-4219-4897-B411-CC24BC88AFE7}"/>
    <cellStyle name="Normal 2 5 2 2" xfId="9" xr:uid="{94435E45-BC83-438D-B920-BC074DB6DDC4}"/>
    <cellStyle name="Normal 2 7" xfId="12" xr:uid="{5A59D1EF-41E0-4E54-AD6B-060927D98F7B}"/>
    <cellStyle name="Normal 4 2 2 2 2" xfId="8" xr:uid="{641DAD92-EC61-4785-9278-92941149C350}"/>
    <cellStyle name="Normal 5 2 2" xfId="7" xr:uid="{5833254B-6700-4756-A66C-B9E731478709}"/>
    <cellStyle name="Percent 2 2" xfId="14" xr:uid="{EAD676FD-D0DF-423C-990E-037AF5059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EA669AA-656F-4A8F-ADD3-5F9D6EF0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23516DC9-7721-4EBE-8EAD-9B1B2F185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4C158E0-6C6E-4169-9655-75F10260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226BB08-BBAB-4E4D-AE94-6529DCC4F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wabuachinyer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wabuachinyer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0824-0381-427C-BED7-D365B8BBEA46}">
  <sheetPr>
    <pageSetUpPr fitToPage="1"/>
  </sheetPr>
  <dimension ref="A1:R76"/>
  <sheetViews>
    <sheetView tabSelected="1" zoomScale="30" zoomScaleNormal="30" workbookViewId="0">
      <selection activeCell="A19" sqref="A19:O36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140</v>
      </c>
      <c r="C5" s="16" t="s">
        <v>2</v>
      </c>
      <c r="D5" s="17" t="s">
        <v>141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12</v>
      </c>
      <c r="B8" s="256"/>
      <c r="C8" s="257">
        <v>61169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18</v>
      </c>
      <c r="D10" s="266" t="s">
        <v>6</v>
      </c>
      <c r="E10" s="265" t="s">
        <v>19</v>
      </c>
      <c r="F10" s="266" t="s">
        <v>8</v>
      </c>
      <c r="G10" s="267" t="s">
        <v>20</v>
      </c>
      <c r="H10" s="266" t="s">
        <v>10</v>
      </c>
      <c r="I10" s="268" t="s">
        <v>21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12</v>
      </c>
      <c r="B11" s="272"/>
      <c r="C11" s="273">
        <v>64218</v>
      </c>
      <c r="D11" s="274" t="s">
        <v>13</v>
      </c>
      <c r="E11" s="275" t="s">
        <v>22</v>
      </c>
      <c r="F11" s="274" t="s">
        <v>14</v>
      </c>
      <c r="G11" s="276" t="s">
        <v>23</v>
      </c>
      <c r="H11" s="274" t="s">
        <v>15</v>
      </c>
      <c r="I11" s="277" t="s">
        <v>16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25</v>
      </c>
      <c r="D13" s="36" t="s">
        <v>6</v>
      </c>
      <c r="E13" s="35" t="s">
        <v>26</v>
      </c>
      <c r="F13" s="37" t="s">
        <v>8</v>
      </c>
      <c r="G13" s="38" t="s">
        <v>27</v>
      </c>
      <c r="H13" s="36" t="s">
        <v>10</v>
      </c>
      <c r="I13" s="39" t="s">
        <v>28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9" t="s">
        <v>29</v>
      </c>
      <c r="F14" s="46" t="s">
        <v>14</v>
      </c>
      <c r="G14" s="280"/>
      <c r="H14" s="45" t="s">
        <v>15</v>
      </c>
      <c r="I14" s="47" t="s">
        <v>30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31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32</v>
      </c>
      <c r="B17" s="64" t="s">
        <v>33</v>
      </c>
      <c r="C17" s="65" t="s">
        <v>34</v>
      </c>
      <c r="D17" s="65" t="s">
        <v>35</v>
      </c>
      <c r="E17" s="65" t="s">
        <v>34</v>
      </c>
      <c r="F17" s="66" t="s">
        <v>36</v>
      </c>
      <c r="G17" s="66" t="s">
        <v>37</v>
      </c>
      <c r="H17" s="67" t="s">
        <v>38</v>
      </c>
      <c r="I17" s="66" t="s">
        <v>39</v>
      </c>
      <c r="J17" s="68" t="s">
        <v>40</v>
      </c>
      <c r="K17" s="69"/>
      <c r="L17" s="69"/>
      <c r="M17" s="69"/>
      <c r="N17" s="69"/>
      <c r="O17" s="70"/>
      <c r="P17" s="71" t="s">
        <v>142</v>
      </c>
      <c r="Q17" s="71" t="s">
        <v>143</v>
      </c>
      <c r="R17" s="72" t="s">
        <v>144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145</v>
      </c>
      <c r="K18" s="78" t="s">
        <v>146</v>
      </c>
      <c r="L18" s="78" t="s">
        <v>147</v>
      </c>
      <c r="M18" s="77" t="s">
        <v>148</v>
      </c>
      <c r="N18" s="77" t="s">
        <v>149</v>
      </c>
      <c r="O18" s="77" t="s">
        <v>150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47</v>
      </c>
      <c r="C19" s="283">
        <f>0.2 *8.59335038363171</f>
        <v>1.7186700767263421</v>
      </c>
      <c r="D19" s="81" t="s">
        <v>48</v>
      </c>
      <c r="E19" s="82">
        <f>C19/5</f>
        <v>0.34373401534526843</v>
      </c>
      <c r="F19" s="82">
        <f>E19/$E$37* 100</f>
        <v>1.5748769627372852</v>
      </c>
      <c r="G19" s="83" t="s">
        <v>49</v>
      </c>
      <c r="H19" s="84">
        <v>1</v>
      </c>
      <c r="I19" s="85" t="s">
        <v>50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51</v>
      </c>
      <c r="P19" s="88"/>
      <c r="Q19" s="89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6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52</v>
      </c>
      <c r="E20" s="82">
        <f>C19/5</f>
        <v>0.34373401534526843</v>
      </c>
      <c r="F20" s="82">
        <f t="shared" ref="F20:F36" si="2">E20/$E$37* 100</f>
        <v>1.5748769627372852</v>
      </c>
      <c r="G20" s="83" t="s">
        <v>53</v>
      </c>
      <c r="H20" s="84">
        <v>1</v>
      </c>
      <c r="I20" s="85" t="s">
        <v>50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51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54</v>
      </c>
      <c r="E21" s="82">
        <f>C19/5</f>
        <v>0.34373401534526843</v>
      </c>
      <c r="F21" s="82">
        <f t="shared" si="2"/>
        <v>1.5748769627372852</v>
      </c>
      <c r="G21" s="83" t="s">
        <v>55</v>
      </c>
      <c r="H21" s="84">
        <v>1</v>
      </c>
      <c r="I21" s="85" t="s">
        <v>50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51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56</v>
      </c>
      <c r="E22" s="82">
        <f>C19/5</f>
        <v>0.34373401534526843</v>
      </c>
      <c r="F22" s="82">
        <f t="shared" si="2"/>
        <v>1.5748769627372852</v>
      </c>
      <c r="G22" s="83" t="s">
        <v>57</v>
      </c>
      <c r="H22" s="92">
        <v>5</v>
      </c>
      <c r="I22" s="85" t="s">
        <v>58</v>
      </c>
      <c r="J22" s="86" t="s">
        <v>59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60</v>
      </c>
      <c r="E23" s="82">
        <f>C19/5</f>
        <v>0.34373401534526843</v>
      </c>
      <c r="F23" s="82">
        <f t="shared" si="2"/>
        <v>1.5748769627372852</v>
      </c>
      <c r="G23" s="83" t="s">
        <v>61</v>
      </c>
      <c r="H23" s="84">
        <v>1</v>
      </c>
      <c r="I23" s="85" t="s">
        <v>50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51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62</v>
      </c>
      <c r="C24" s="283">
        <f>0.5 *4.29667519181586</f>
        <v>2.1483375959079298</v>
      </c>
      <c r="D24" s="81" t="s">
        <v>63</v>
      </c>
      <c r="E24" s="82">
        <f>C24/2</f>
        <v>1.0741687979539649</v>
      </c>
      <c r="F24" s="82">
        <f t="shared" si="2"/>
        <v>4.9214905085540206</v>
      </c>
      <c r="G24" s="83" t="s">
        <v>64</v>
      </c>
      <c r="H24" s="84">
        <v>0.5</v>
      </c>
      <c r="I24" s="85" t="s">
        <v>50</v>
      </c>
      <c r="J24" s="86" t="s">
        <v>65</v>
      </c>
      <c r="K24" s="87">
        <v>50</v>
      </c>
      <c r="L24" s="87">
        <v>45</v>
      </c>
      <c r="M24" s="87">
        <v>40</v>
      </c>
      <c r="N24" s="87">
        <v>25</v>
      </c>
      <c r="O24" s="87" t="s">
        <v>66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7"/>
      <c r="B25" s="288"/>
      <c r="C25" s="289"/>
      <c r="D25" s="81" t="s">
        <v>67</v>
      </c>
      <c r="E25" s="82">
        <f>C24/2</f>
        <v>1.0741687979539649</v>
      </c>
      <c r="F25" s="82">
        <f t="shared" si="2"/>
        <v>4.9214905085540206</v>
      </c>
      <c r="G25" s="83" t="s">
        <v>68</v>
      </c>
      <c r="H25" s="84">
        <v>0.5</v>
      </c>
      <c r="I25" s="85" t="s">
        <v>50</v>
      </c>
      <c r="J25" s="86" t="s">
        <v>65</v>
      </c>
      <c r="K25" s="87">
        <v>50</v>
      </c>
      <c r="L25" s="87">
        <v>45</v>
      </c>
      <c r="M25" s="87">
        <v>40</v>
      </c>
      <c r="N25" s="87">
        <v>25</v>
      </c>
      <c r="O25" s="87" t="s">
        <v>66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1">
        <v>3</v>
      </c>
      <c r="B26" s="282" t="s">
        <v>69</v>
      </c>
      <c r="C26" s="283">
        <f>0.2 *57.2122762148338</f>
        <v>11.44245524296676</v>
      </c>
      <c r="D26" s="94" t="s">
        <v>70</v>
      </c>
      <c r="E26" s="82">
        <f>C26/4</f>
        <v>2.8606138107416901</v>
      </c>
      <c r="F26" s="82">
        <f t="shared" si="2"/>
        <v>13.106397937661123</v>
      </c>
      <c r="G26" s="83" t="s">
        <v>71</v>
      </c>
      <c r="H26" s="93">
        <v>0.8</v>
      </c>
      <c r="I26" s="92" t="s">
        <v>50</v>
      </c>
      <c r="J26" s="86" t="s">
        <v>72</v>
      </c>
      <c r="K26" s="87">
        <v>80</v>
      </c>
      <c r="L26" s="87">
        <v>75</v>
      </c>
      <c r="M26" s="87">
        <v>70</v>
      </c>
      <c r="N26" s="87">
        <v>50</v>
      </c>
      <c r="O26" s="87" t="s">
        <v>73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74</v>
      </c>
      <c r="E27" s="82">
        <f>C26/4</f>
        <v>2.8606138107416901</v>
      </c>
      <c r="F27" s="82">
        <f t="shared" si="2"/>
        <v>13.106397937661123</v>
      </c>
      <c r="G27" s="83" t="s">
        <v>75</v>
      </c>
      <c r="H27" s="93">
        <v>0.8</v>
      </c>
      <c r="I27" s="92" t="s">
        <v>50</v>
      </c>
      <c r="J27" s="86" t="s">
        <v>72</v>
      </c>
      <c r="K27" s="87">
        <v>80</v>
      </c>
      <c r="L27" s="87">
        <v>75</v>
      </c>
      <c r="M27" s="87">
        <v>70</v>
      </c>
      <c r="N27" s="87">
        <v>50</v>
      </c>
      <c r="O27" s="87" t="s">
        <v>73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76</v>
      </c>
      <c r="E28" s="82">
        <f>C26/4</f>
        <v>2.8606138107416901</v>
      </c>
      <c r="F28" s="82">
        <f t="shared" si="2"/>
        <v>13.106397937661123</v>
      </c>
      <c r="G28" s="83" t="s">
        <v>77</v>
      </c>
      <c r="H28" s="93">
        <v>0.8</v>
      </c>
      <c r="I28" s="92" t="s">
        <v>50</v>
      </c>
      <c r="J28" s="86" t="s">
        <v>72</v>
      </c>
      <c r="K28" s="87">
        <v>80</v>
      </c>
      <c r="L28" s="87">
        <v>75</v>
      </c>
      <c r="M28" s="87">
        <v>70</v>
      </c>
      <c r="N28" s="87">
        <v>50</v>
      </c>
      <c r="O28" s="87" t="s">
        <v>73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78</v>
      </c>
      <c r="E29" s="82">
        <f>C26/4</f>
        <v>2.8606138107416901</v>
      </c>
      <c r="F29" s="82">
        <f t="shared" si="2"/>
        <v>13.106397937661123</v>
      </c>
      <c r="G29" s="83" t="s">
        <v>79</v>
      </c>
      <c r="H29" s="93">
        <v>1</v>
      </c>
      <c r="I29" s="85" t="s">
        <v>50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51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81">
        <v>4</v>
      </c>
      <c r="B30" s="282" t="s">
        <v>80</v>
      </c>
      <c r="C30" s="290">
        <f>0.2 *0.895140664961637</f>
        <v>0.17902813299232742</v>
      </c>
      <c r="D30" s="81" t="s">
        <v>81</v>
      </c>
      <c r="E30" s="82">
        <f>C30/2</f>
        <v>8.9514066496163711E-2</v>
      </c>
      <c r="F30" s="82">
        <f t="shared" si="2"/>
        <v>0.4101242090461682</v>
      </c>
      <c r="G30" s="83" t="s">
        <v>82</v>
      </c>
      <c r="H30" s="93">
        <v>1</v>
      </c>
      <c r="I30" s="85" t="s">
        <v>50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87"/>
      <c r="B31" s="288"/>
      <c r="C31" s="291"/>
      <c r="D31" s="81" t="s">
        <v>83</v>
      </c>
      <c r="E31" s="82">
        <f>C30/2</f>
        <v>8.9514066496163711E-2</v>
      </c>
      <c r="F31" s="82">
        <f t="shared" si="2"/>
        <v>0.4101242090461682</v>
      </c>
      <c r="G31" s="83" t="s">
        <v>84</v>
      </c>
      <c r="H31" s="92">
        <v>5</v>
      </c>
      <c r="I31" s="85" t="s">
        <v>58</v>
      </c>
      <c r="J31" s="86" t="s">
        <v>59</v>
      </c>
      <c r="K31" s="87">
        <v>5</v>
      </c>
      <c r="L31" s="87">
        <v>4</v>
      </c>
      <c r="M31" s="87">
        <v>3</v>
      </c>
      <c r="N31" s="87">
        <v>2</v>
      </c>
      <c r="O31" s="87">
        <v>1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281">
        <v>5</v>
      </c>
      <c r="B32" s="282" t="s">
        <v>85</v>
      </c>
      <c r="C32" s="290">
        <f>0.5 *1.79028132992327</f>
        <v>0.89514066496163502</v>
      </c>
      <c r="D32" s="81" t="s">
        <v>86</v>
      </c>
      <c r="E32" s="82">
        <f>C32/2</f>
        <v>0.44757033248081751</v>
      </c>
      <c r="F32" s="82">
        <f t="shared" si="2"/>
        <v>2.050621045230836</v>
      </c>
      <c r="G32" s="83" t="s">
        <v>87</v>
      </c>
      <c r="H32" s="92">
        <v>5</v>
      </c>
      <c r="I32" s="92" t="s">
        <v>58</v>
      </c>
      <c r="J32" s="86" t="s">
        <v>59</v>
      </c>
      <c r="K32" s="87">
        <v>5</v>
      </c>
      <c r="L32" s="87">
        <v>4</v>
      </c>
      <c r="M32" s="87">
        <v>3</v>
      </c>
      <c r="N32" s="87">
        <v>2</v>
      </c>
      <c r="O32" s="87">
        <v>1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287"/>
      <c r="B33" s="288"/>
      <c r="C33" s="291"/>
      <c r="D33" s="81" t="s">
        <v>88</v>
      </c>
      <c r="E33" s="82">
        <f>C32/2</f>
        <v>0.44757033248081751</v>
      </c>
      <c r="F33" s="82">
        <f t="shared" si="2"/>
        <v>2.050621045230836</v>
      </c>
      <c r="G33" s="83" t="s">
        <v>89</v>
      </c>
      <c r="H33" s="84">
        <v>0.5</v>
      </c>
      <c r="I33" s="85" t="s">
        <v>50</v>
      </c>
      <c r="J33" s="86" t="s">
        <v>65</v>
      </c>
      <c r="K33" s="87">
        <v>50</v>
      </c>
      <c r="L33" s="87">
        <v>45</v>
      </c>
      <c r="M33" s="87">
        <v>40</v>
      </c>
      <c r="N33" s="87">
        <v>25</v>
      </c>
      <c r="O33" s="87" t="s">
        <v>66</v>
      </c>
      <c r="P33" s="88"/>
      <c r="Q33" s="89">
        <f t="shared" si="0"/>
        <v>0</v>
      </c>
      <c r="R33" s="90">
        <f t="shared" si="1"/>
        <v>0</v>
      </c>
    </row>
    <row r="34" spans="1:18" s="91" customFormat="1" ht="147" customHeight="1" x14ac:dyDescent="0.25">
      <c r="A34" s="292">
        <v>6</v>
      </c>
      <c r="B34" s="293" t="s">
        <v>90</v>
      </c>
      <c r="C34" s="294">
        <f>0.2 *14.3222506393862</f>
        <v>2.8644501278772401</v>
      </c>
      <c r="D34" s="81" t="s">
        <v>91</v>
      </c>
      <c r="E34" s="82">
        <f>C34</f>
        <v>2.8644501278772401</v>
      </c>
      <c r="F34" s="82">
        <f t="shared" si="2"/>
        <v>13.123974689477388</v>
      </c>
      <c r="G34" s="83" t="s">
        <v>92</v>
      </c>
      <c r="H34" s="93">
        <v>0.8</v>
      </c>
      <c r="I34" s="92" t="s">
        <v>50</v>
      </c>
      <c r="J34" s="86" t="s">
        <v>72</v>
      </c>
      <c r="K34" s="87">
        <v>80</v>
      </c>
      <c r="L34" s="87">
        <v>75</v>
      </c>
      <c r="M34" s="87">
        <v>70</v>
      </c>
      <c r="N34" s="87">
        <v>50</v>
      </c>
      <c r="O34" s="87" t="s">
        <v>73</v>
      </c>
      <c r="P34" s="88"/>
      <c r="Q34" s="89">
        <f t="shared" si="0"/>
        <v>0</v>
      </c>
      <c r="R34" s="90">
        <f t="shared" si="1"/>
        <v>0</v>
      </c>
    </row>
    <row r="35" spans="1:18" s="91" customFormat="1" ht="147" customHeight="1" x14ac:dyDescent="0.25">
      <c r="A35" s="92">
        <v>7</v>
      </c>
      <c r="B35" s="81" t="s">
        <v>93</v>
      </c>
      <c r="C35" s="95">
        <f>0.2 *5.72890025575448</f>
        <v>1.145780051150896</v>
      </c>
      <c r="D35" s="293" t="s">
        <v>94</v>
      </c>
      <c r="E35" s="82">
        <f>C35</f>
        <v>1.145780051150896</v>
      </c>
      <c r="F35" s="82">
        <f t="shared" si="2"/>
        <v>5.2495898757909556</v>
      </c>
      <c r="G35" s="83" t="s">
        <v>95</v>
      </c>
      <c r="H35" s="84">
        <v>0.7</v>
      </c>
      <c r="I35" s="92" t="s">
        <v>50</v>
      </c>
      <c r="J35" s="86" t="s">
        <v>96</v>
      </c>
      <c r="K35" s="87">
        <v>70</v>
      </c>
      <c r="L35" s="87">
        <v>60</v>
      </c>
      <c r="M35" s="87">
        <v>50</v>
      </c>
      <c r="N35" s="87">
        <v>40</v>
      </c>
      <c r="O35" s="87" t="s">
        <v>97</v>
      </c>
      <c r="P35" s="88"/>
      <c r="Q35" s="89">
        <f t="shared" si="0"/>
        <v>0</v>
      </c>
      <c r="R35" s="90">
        <f t="shared" si="1"/>
        <v>0</v>
      </c>
    </row>
    <row r="36" spans="1:18" s="91" customFormat="1" ht="147" customHeight="1" x14ac:dyDescent="0.25">
      <c r="A36" s="92">
        <v>8</v>
      </c>
      <c r="B36" s="81" t="s">
        <v>98</v>
      </c>
      <c r="C36" s="95">
        <f>0.2 *7.16112531969309</f>
        <v>1.432225063938618</v>
      </c>
      <c r="D36" s="83" t="s">
        <v>99</v>
      </c>
      <c r="E36" s="82">
        <f>C36</f>
        <v>1.432225063938618</v>
      </c>
      <c r="F36" s="82">
        <f t="shared" si="2"/>
        <v>6.5619873447386858</v>
      </c>
      <c r="G36" s="83" t="s">
        <v>100</v>
      </c>
      <c r="H36" s="84">
        <v>0.5</v>
      </c>
      <c r="I36" s="85" t="s">
        <v>50</v>
      </c>
      <c r="J36" s="86" t="s">
        <v>65</v>
      </c>
      <c r="K36" s="87">
        <v>50</v>
      </c>
      <c r="L36" s="87">
        <v>45</v>
      </c>
      <c r="M36" s="87">
        <v>40</v>
      </c>
      <c r="N36" s="87">
        <v>25</v>
      </c>
      <c r="O36" s="87" t="s">
        <v>66</v>
      </c>
      <c r="P36" s="88"/>
      <c r="Q36" s="89">
        <f t="shared" si="0"/>
        <v>0</v>
      </c>
      <c r="R36" s="90">
        <f t="shared" si="1"/>
        <v>0</v>
      </c>
    </row>
    <row r="37" spans="1:18" s="106" customFormat="1" ht="44.25" x14ac:dyDescent="0.25">
      <c r="A37" s="96"/>
      <c r="B37" s="97" t="s">
        <v>101</v>
      </c>
      <c r="C37" s="98">
        <f>SUM(C19:C36)</f>
        <v>21.826086956521749</v>
      </c>
      <c r="D37" s="97"/>
      <c r="E37" s="98">
        <f>SUM(E19:E36)</f>
        <v>21.826086956521749</v>
      </c>
      <c r="F37" s="98">
        <f>SUM(F19:F36)</f>
        <v>100.00000000000003</v>
      </c>
      <c r="G37" s="99"/>
      <c r="H37" s="100"/>
      <c r="I37" s="101"/>
      <c r="J37" s="102"/>
      <c r="K37" s="102"/>
      <c r="L37" s="102"/>
      <c r="M37" s="102"/>
      <c r="N37" s="102"/>
      <c r="O37" s="102"/>
      <c r="P37" s="103"/>
      <c r="Q37" s="104"/>
      <c r="R37" s="105">
        <f>SUM(R19:R36)</f>
        <v>0</v>
      </c>
    </row>
    <row r="38" spans="1:18" s="108" customFormat="1" ht="66" customHeight="1" x14ac:dyDescent="0.7">
      <c r="A38" s="107"/>
      <c r="G38" s="109"/>
      <c r="H38" s="109"/>
      <c r="I38" s="110" t="s">
        <v>151</v>
      </c>
      <c r="J38" s="111"/>
      <c r="K38" s="111"/>
      <c r="L38" s="111"/>
      <c r="M38" s="111"/>
      <c r="N38" s="111"/>
      <c r="O38" s="111"/>
      <c r="P38" s="111"/>
      <c r="Q38" s="112"/>
      <c r="R38" s="113">
        <f>R37/100 * 70</f>
        <v>0</v>
      </c>
    </row>
    <row r="39" spans="1:18" s="122" customFormat="1" ht="36" x14ac:dyDescent="0.55000000000000004">
      <c r="A39" s="114" t="s">
        <v>102</v>
      </c>
      <c r="B39" s="115"/>
      <c r="C39" s="115"/>
      <c r="D39" s="115"/>
      <c r="E39" s="115"/>
      <c r="F39" s="115"/>
      <c r="G39" s="116"/>
      <c r="H39" s="117"/>
      <c r="I39" s="117"/>
      <c r="J39" s="117"/>
      <c r="K39" s="117"/>
      <c r="L39" s="71" t="s">
        <v>107</v>
      </c>
      <c r="M39" s="118" t="s">
        <v>103</v>
      </c>
      <c r="N39" s="118"/>
      <c r="O39" s="118"/>
      <c r="P39" s="119"/>
      <c r="Q39" s="120"/>
      <c r="R39" s="121"/>
    </row>
    <row r="40" spans="1:18" s="122" customFormat="1" ht="31.5" customHeight="1" x14ac:dyDescent="0.55000000000000004">
      <c r="A40" s="123"/>
      <c r="B40" s="124"/>
      <c r="C40" s="125" t="s">
        <v>104</v>
      </c>
      <c r="D40" s="125"/>
      <c r="E40" s="125"/>
      <c r="F40" s="125"/>
      <c r="G40" s="125"/>
      <c r="H40" s="126" t="s">
        <v>152</v>
      </c>
      <c r="I40" s="126" t="s">
        <v>153</v>
      </c>
      <c r="J40" s="126"/>
      <c r="K40" s="127"/>
      <c r="L40" s="79"/>
      <c r="M40" s="128"/>
      <c r="N40" s="128"/>
      <c r="O40" s="128"/>
      <c r="P40" s="129"/>
      <c r="Q40" s="120"/>
      <c r="R40" s="121"/>
    </row>
    <row r="41" spans="1:18" s="122" customFormat="1" ht="36" customHeight="1" x14ac:dyDescent="0.55000000000000004">
      <c r="A41" s="130">
        <v>1</v>
      </c>
      <c r="B41" s="131" t="s">
        <v>108</v>
      </c>
      <c r="C41" s="132"/>
      <c r="D41" s="133"/>
      <c r="E41" s="133"/>
      <c r="F41" s="133"/>
      <c r="G41" s="134"/>
      <c r="H41" s="135"/>
      <c r="I41" s="135"/>
      <c r="J41" s="135"/>
      <c r="K41" s="135"/>
      <c r="L41" s="136"/>
      <c r="M41" s="137" t="s">
        <v>41</v>
      </c>
      <c r="N41" s="138" t="s">
        <v>109</v>
      </c>
      <c r="O41" s="139"/>
      <c r="P41" s="129"/>
      <c r="Q41" s="120"/>
      <c r="R41" s="121"/>
    </row>
    <row r="42" spans="1:18" s="122" customFormat="1" ht="84.75" customHeight="1" x14ac:dyDescent="0.55000000000000004">
      <c r="A42" s="140" t="s">
        <v>110</v>
      </c>
      <c r="B42" s="141" t="s">
        <v>154</v>
      </c>
      <c r="C42" s="142"/>
      <c r="D42" s="143"/>
      <c r="E42" s="143"/>
      <c r="F42" s="143"/>
      <c r="G42" s="144"/>
      <c r="H42" s="145">
        <v>4</v>
      </c>
      <c r="I42" s="146"/>
      <c r="J42" s="145"/>
      <c r="K42" s="145"/>
      <c r="L42" s="136"/>
      <c r="M42" s="137" t="s">
        <v>42</v>
      </c>
      <c r="N42" s="138" t="s">
        <v>111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112</v>
      </c>
      <c r="B43" s="141" t="s">
        <v>155</v>
      </c>
      <c r="C43" s="142"/>
      <c r="D43" s="143"/>
      <c r="E43" s="143"/>
      <c r="F43" s="143"/>
      <c r="G43" s="144"/>
      <c r="H43" s="145">
        <v>2</v>
      </c>
      <c r="I43" s="146"/>
      <c r="J43" s="145"/>
      <c r="K43" s="145"/>
      <c r="L43" s="136"/>
      <c r="M43" s="137" t="s">
        <v>43</v>
      </c>
      <c r="N43" s="138" t="s">
        <v>113</v>
      </c>
      <c r="O43" s="139"/>
      <c r="P43" s="129"/>
      <c r="Q43" s="120"/>
      <c r="R43" s="121"/>
    </row>
    <row r="44" spans="1:18" s="122" customFormat="1" ht="78.75" customHeight="1" x14ac:dyDescent="0.55000000000000004">
      <c r="A44" s="140" t="s">
        <v>114</v>
      </c>
      <c r="B44" s="141" t="s">
        <v>115</v>
      </c>
      <c r="C44" s="142"/>
      <c r="D44" s="143"/>
      <c r="E44" s="143"/>
      <c r="F44" s="143"/>
      <c r="G44" s="144"/>
      <c r="H44" s="145">
        <v>2</v>
      </c>
      <c r="I44" s="146"/>
      <c r="J44" s="145"/>
      <c r="K44" s="145"/>
      <c r="L44" s="136"/>
      <c r="M44" s="137" t="s">
        <v>44</v>
      </c>
      <c r="N44" s="138" t="s">
        <v>116</v>
      </c>
      <c r="O44" s="139"/>
      <c r="P44" s="129"/>
      <c r="Q44" s="120"/>
      <c r="R44" s="121"/>
    </row>
    <row r="45" spans="1:18" s="122" customFormat="1" ht="36" x14ac:dyDescent="0.55000000000000004">
      <c r="A45" s="147">
        <v>2</v>
      </c>
      <c r="B45" s="148" t="s">
        <v>117</v>
      </c>
      <c r="C45" s="149"/>
      <c r="D45" s="150"/>
      <c r="E45" s="150"/>
      <c r="F45" s="150"/>
      <c r="G45" s="151"/>
      <c r="H45" s="145"/>
      <c r="I45" s="146"/>
      <c r="J45" s="145"/>
      <c r="K45" s="145"/>
      <c r="L45" s="136"/>
      <c r="M45" s="137" t="s">
        <v>45</v>
      </c>
      <c r="N45" s="138" t="s">
        <v>118</v>
      </c>
      <c r="O45" s="139"/>
      <c r="P45" s="129"/>
      <c r="Q45" s="120"/>
      <c r="R45" s="121"/>
    </row>
    <row r="46" spans="1:18" s="122" customFormat="1" ht="82.5" customHeight="1" x14ac:dyDescent="0.55000000000000004">
      <c r="A46" s="140" t="s">
        <v>110</v>
      </c>
      <c r="B46" s="152" t="s">
        <v>156</v>
      </c>
      <c r="C46" s="153"/>
      <c r="D46" s="154"/>
      <c r="E46" s="154"/>
      <c r="F46" s="154"/>
      <c r="G46" s="155"/>
      <c r="H46" s="145">
        <v>2</v>
      </c>
      <c r="I46" s="146"/>
      <c r="J46" s="145"/>
      <c r="K46" s="145"/>
      <c r="L46" s="136"/>
      <c r="M46" s="137" t="s">
        <v>46</v>
      </c>
      <c r="N46" s="138" t="s">
        <v>119</v>
      </c>
      <c r="O46" s="139"/>
      <c r="P46" s="156"/>
      <c r="Q46" s="120"/>
      <c r="R46" s="121"/>
    </row>
    <row r="47" spans="1:18" s="122" customFormat="1" ht="114.75" customHeight="1" x14ac:dyDescent="0.55000000000000004">
      <c r="A47" s="140" t="s">
        <v>112</v>
      </c>
      <c r="B47" s="152" t="s">
        <v>157</v>
      </c>
      <c r="C47" s="153"/>
      <c r="D47" s="154"/>
      <c r="E47" s="154"/>
      <c r="F47" s="154"/>
      <c r="G47" s="155"/>
      <c r="H47" s="145">
        <v>2</v>
      </c>
      <c r="I47" s="146"/>
      <c r="J47" s="145"/>
      <c r="K47" s="145"/>
      <c r="L47" s="136"/>
      <c r="M47" s="129" t="s">
        <v>107</v>
      </c>
      <c r="N47" s="157" t="s">
        <v>120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114</v>
      </c>
      <c r="B48" s="152" t="s">
        <v>158</v>
      </c>
      <c r="C48" s="153"/>
      <c r="D48" s="154"/>
      <c r="E48" s="154"/>
      <c r="F48" s="154"/>
      <c r="G48" s="155"/>
      <c r="H48" s="145">
        <v>2</v>
      </c>
      <c r="I48" s="146"/>
      <c r="J48" s="145"/>
      <c r="K48" s="145"/>
      <c r="L48" s="136"/>
      <c r="M48" s="129" t="s">
        <v>121</v>
      </c>
      <c r="N48" s="157" t="s">
        <v>122</v>
      </c>
      <c r="O48" s="158"/>
      <c r="P48" s="156"/>
      <c r="Q48" s="120"/>
      <c r="R48" s="121"/>
    </row>
    <row r="49" spans="1:18" s="122" customFormat="1" ht="66" customHeight="1" x14ac:dyDescent="0.55000000000000004">
      <c r="A49" s="147">
        <v>3</v>
      </c>
      <c r="B49" s="148" t="s">
        <v>123</v>
      </c>
      <c r="C49" s="149"/>
      <c r="D49" s="150"/>
      <c r="E49" s="150"/>
      <c r="F49" s="150"/>
      <c r="G49" s="151"/>
      <c r="H49" s="145"/>
      <c r="I49" s="146"/>
      <c r="J49" s="145"/>
      <c r="K49" s="145"/>
      <c r="L49" s="136"/>
      <c r="M49" s="129" t="s">
        <v>105</v>
      </c>
      <c r="N49" s="157" t="s">
        <v>124</v>
      </c>
      <c r="O49" s="158"/>
      <c r="P49" s="156"/>
      <c r="Q49" s="120"/>
      <c r="R49" s="121"/>
    </row>
    <row r="50" spans="1:18" s="122" customFormat="1" ht="72" customHeight="1" x14ac:dyDescent="0.55000000000000004">
      <c r="A50" s="140" t="s">
        <v>110</v>
      </c>
      <c r="B50" s="152" t="s">
        <v>125</v>
      </c>
      <c r="C50" s="159"/>
      <c r="D50" s="160"/>
      <c r="E50" s="160"/>
      <c r="F50" s="160"/>
      <c r="G50" s="161"/>
      <c r="H50" s="145">
        <v>2</v>
      </c>
      <c r="I50" s="146"/>
      <c r="J50" s="145"/>
      <c r="K50" s="145"/>
      <c r="L50" s="136"/>
      <c r="M50" s="129" t="s">
        <v>106</v>
      </c>
      <c r="N50" s="157" t="s">
        <v>126</v>
      </c>
      <c r="O50" s="158"/>
      <c r="P50" s="156"/>
      <c r="Q50" s="120"/>
      <c r="R50" s="121"/>
    </row>
    <row r="51" spans="1:18" s="122" customFormat="1" ht="72" customHeight="1" x14ac:dyDescent="0.55000000000000004">
      <c r="A51" s="140" t="s">
        <v>112</v>
      </c>
      <c r="B51" s="152" t="s">
        <v>159</v>
      </c>
      <c r="C51" s="159"/>
      <c r="D51" s="160"/>
      <c r="E51" s="160"/>
      <c r="F51" s="160"/>
      <c r="G51" s="161"/>
      <c r="H51" s="145">
        <v>2</v>
      </c>
      <c r="I51" s="146"/>
      <c r="J51" s="145"/>
      <c r="K51" s="145"/>
      <c r="L51" s="136"/>
      <c r="M51" s="129" t="s">
        <v>127</v>
      </c>
      <c r="N51" s="157" t="s">
        <v>128</v>
      </c>
      <c r="O51" s="158"/>
      <c r="P51" s="156"/>
      <c r="Q51" s="120"/>
      <c r="R51" s="121"/>
    </row>
    <row r="52" spans="1:18" s="122" customFormat="1" ht="44.25" customHeight="1" x14ac:dyDescent="0.55000000000000004">
      <c r="A52" s="140" t="s">
        <v>114</v>
      </c>
      <c r="B52" s="152" t="s">
        <v>160</v>
      </c>
      <c r="C52" s="159"/>
      <c r="D52" s="160"/>
      <c r="E52" s="160"/>
      <c r="F52" s="160"/>
      <c r="G52" s="161"/>
      <c r="H52" s="145">
        <v>2</v>
      </c>
      <c r="I52" s="146"/>
      <c r="J52" s="145"/>
      <c r="K52" s="145"/>
      <c r="L52" s="136"/>
      <c r="M52" s="162"/>
      <c r="N52" s="162"/>
      <c r="O52" s="162"/>
      <c r="P52" s="163"/>
      <c r="Q52" s="120"/>
      <c r="R52" s="121"/>
    </row>
    <row r="53" spans="1:18" s="122" customFormat="1" ht="31.5" customHeight="1" x14ac:dyDescent="0.55000000000000004">
      <c r="A53" s="164" t="s">
        <v>129</v>
      </c>
      <c r="B53" s="165"/>
      <c r="C53" s="165"/>
      <c r="D53" s="165"/>
      <c r="E53" s="165"/>
      <c r="F53" s="165"/>
      <c r="G53" s="165"/>
      <c r="H53" s="166">
        <f>SUM(H42:H52)</f>
        <v>20</v>
      </c>
      <c r="I53" s="166">
        <f>SUM(I42:I52)</f>
        <v>0</v>
      </c>
      <c r="J53" s="166"/>
      <c r="K53" s="167"/>
      <c r="L53" s="136"/>
      <c r="M53" s="162"/>
      <c r="N53" s="162"/>
      <c r="O53" s="162"/>
      <c r="P53" s="163"/>
      <c r="Q53" s="120"/>
      <c r="R53" s="121"/>
    </row>
    <row r="54" spans="1:18" s="122" customFormat="1" ht="36" customHeight="1" x14ac:dyDescent="0.55000000000000004">
      <c r="A54" s="168" t="s">
        <v>110</v>
      </c>
      <c r="B54" s="169" t="s">
        <v>130</v>
      </c>
      <c r="C54" s="153" t="s">
        <v>131</v>
      </c>
      <c r="D54" s="154"/>
      <c r="E54" s="154"/>
      <c r="F54" s="154"/>
      <c r="G54" s="155"/>
      <c r="H54" s="170">
        <v>4</v>
      </c>
      <c r="I54" s="171"/>
      <c r="J54" s="170"/>
      <c r="K54" s="172"/>
      <c r="L54" s="136"/>
      <c r="M54" s="162"/>
      <c r="N54" s="162"/>
      <c r="O54" s="162"/>
      <c r="P54" s="163"/>
      <c r="Q54" s="120"/>
      <c r="R54" s="121"/>
    </row>
    <row r="55" spans="1:18" s="122" customFormat="1" ht="129" customHeight="1" x14ac:dyDescent="0.55000000000000004">
      <c r="A55" s="168" t="s">
        <v>112</v>
      </c>
      <c r="B55" s="169" t="s">
        <v>132</v>
      </c>
      <c r="C55" s="153" t="s">
        <v>133</v>
      </c>
      <c r="D55" s="154"/>
      <c r="E55" s="154"/>
      <c r="F55" s="154"/>
      <c r="G55" s="155"/>
      <c r="H55" s="170">
        <v>3</v>
      </c>
      <c r="I55" s="171"/>
      <c r="J55" s="170"/>
      <c r="K55" s="172"/>
      <c r="L55" s="136"/>
      <c r="M55" s="162"/>
      <c r="N55" s="162"/>
      <c r="O55" s="162"/>
      <c r="P55" s="163"/>
      <c r="Q55" s="120"/>
      <c r="R55" s="121"/>
    </row>
    <row r="56" spans="1:18" s="122" customFormat="1" ht="69" customHeight="1" x14ac:dyDescent="0.55000000000000004">
      <c r="A56" s="168" t="s">
        <v>112</v>
      </c>
      <c r="B56" s="169" t="s">
        <v>134</v>
      </c>
      <c r="C56" s="153" t="s">
        <v>135</v>
      </c>
      <c r="D56" s="154"/>
      <c r="E56" s="154"/>
      <c r="F56" s="154"/>
      <c r="G56" s="155"/>
      <c r="H56" s="170">
        <v>3</v>
      </c>
      <c r="I56" s="171"/>
      <c r="J56" s="170"/>
      <c r="K56" s="172"/>
      <c r="L56" s="136"/>
      <c r="M56" s="162"/>
      <c r="N56" s="162"/>
      <c r="O56" s="162"/>
      <c r="P56" s="163"/>
      <c r="Q56" s="120"/>
      <c r="R56" s="121"/>
    </row>
    <row r="57" spans="1:18" s="122" customFormat="1" ht="46.5" customHeight="1" x14ac:dyDescent="0.55000000000000004">
      <c r="A57" s="173"/>
      <c r="B57" s="174" t="s">
        <v>136</v>
      </c>
      <c r="C57" s="174"/>
      <c r="D57" s="174"/>
      <c r="E57" s="175"/>
      <c r="F57" s="175"/>
      <c r="G57" s="175"/>
      <c r="H57" s="166">
        <f>SUM(H54:H56)</f>
        <v>10</v>
      </c>
      <c r="I57" s="166">
        <f>SUM(I54:I56)</f>
        <v>0</v>
      </c>
      <c r="J57" s="175"/>
      <c r="K57" s="176"/>
      <c r="L57" s="162"/>
      <c r="M57" s="162"/>
      <c r="N57" s="162"/>
      <c r="O57" s="162"/>
      <c r="P57" s="163"/>
      <c r="Q57" s="120"/>
      <c r="R57" s="121"/>
    </row>
    <row r="58" spans="1:18" s="184" customFormat="1" ht="45" customHeight="1" x14ac:dyDescent="0.7">
      <c r="A58" s="177"/>
      <c r="B58" s="178"/>
      <c r="C58" s="179"/>
      <c r="D58" s="179"/>
      <c r="E58" s="179"/>
      <c r="F58" s="180"/>
      <c r="G58" s="180"/>
      <c r="H58" s="180"/>
      <c r="I58" s="180"/>
      <c r="J58" s="180"/>
      <c r="K58" s="179"/>
      <c r="L58" s="179"/>
      <c r="M58" s="179"/>
      <c r="N58" s="179"/>
      <c r="O58" s="181" t="s">
        <v>161</v>
      </c>
      <c r="P58" s="182"/>
      <c r="Q58" s="181" t="s">
        <v>162</v>
      </c>
      <c r="R58" s="183"/>
    </row>
    <row r="59" spans="1:18" s="184" customFormat="1" ht="45" customHeight="1" x14ac:dyDescent="0.7">
      <c r="A59" s="177"/>
      <c r="B59" s="185"/>
      <c r="C59" s="186" t="s">
        <v>163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R38</f>
        <v>0</v>
      </c>
      <c r="P59" s="193"/>
      <c r="Q59" s="194">
        <f>O62/100 * 20</f>
        <v>0</v>
      </c>
      <c r="R59" s="195"/>
    </row>
    <row r="60" spans="1:18" s="184" customFormat="1" ht="45" customHeight="1" x14ac:dyDescent="0.7">
      <c r="A60" s="177"/>
      <c r="B60" s="185"/>
      <c r="C60" s="187" t="s">
        <v>164</v>
      </c>
      <c r="D60" s="187"/>
      <c r="E60" s="187"/>
      <c r="F60" s="187"/>
      <c r="G60" s="187"/>
      <c r="H60" s="187"/>
      <c r="I60" s="187"/>
      <c r="J60" s="187"/>
      <c r="K60" s="187"/>
      <c r="L60" s="190"/>
      <c r="M60" s="190"/>
      <c r="N60" s="191"/>
      <c r="O60" s="192">
        <f>I53</f>
        <v>0</v>
      </c>
      <c r="P60" s="193"/>
      <c r="Q60" s="196"/>
      <c r="R60" s="197"/>
    </row>
    <row r="61" spans="1:18" s="184" customFormat="1" ht="45" customHeight="1" x14ac:dyDescent="0.7">
      <c r="A61" s="177"/>
      <c r="B61" s="185"/>
      <c r="C61" s="186" t="s">
        <v>165</v>
      </c>
      <c r="D61" s="187"/>
      <c r="E61" s="187"/>
      <c r="F61" s="187"/>
      <c r="G61" s="187"/>
      <c r="H61" s="187"/>
      <c r="I61" s="187"/>
      <c r="J61" s="187"/>
      <c r="K61" s="188"/>
      <c r="L61" s="189"/>
      <c r="M61" s="190"/>
      <c r="N61" s="191"/>
      <c r="O61" s="192">
        <f>I57</f>
        <v>0</v>
      </c>
      <c r="P61" s="193"/>
      <c r="Q61" s="196"/>
      <c r="R61" s="197"/>
    </row>
    <row r="62" spans="1:18" s="184" customFormat="1" ht="45" customHeight="1" x14ac:dyDescent="0.7">
      <c r="A62" s="177"/>
      <c r="B62" s="198"/>
      <c r="C62" s="186" t="s">
        <v>166</v>
      </c>
      <c r="D62" s="187"/>
      <c r="E62" s="187"/>
      <c r="F62" s="187"/>
      <c r="G62" s="187"/>
      <c r="H62" s="187"/>
      <c r="I62" s="187"/>
      <c r="J62" s="187"/>
      <c r="K62" s="188"/>
      <c r="L62" s="189"/>
      <c r="M62" s="190"/>
      <c r="N62" s="191"/>
      <c r="O62" s="192">
        <f>SUM(O59:P61)</f>
        <v>0</v>
      </c>
      <c r="P62" s="193"/>
      <c r="Q62" s="199"/>
      <c r="R62" s="200"/>
    </row>
    <row r="63" spans="1:18" s="184" customFormat="1" ht="64.900000000000006" customHeight="1" x14ac:dyDescent="0.7">
      <c r="A63" s="177"/>
      <c r="B63" s="201" t="s">
        <v>167</v>
      </c>
      <c r="C63" s="201"/>
      <c r="D63" s="201"/>
      <c r="E63" s="201"/>
      <c r="F63" s="201"/>
      <c r="G63" s="201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3"/>
    </row>
    <row r="64" spans="1:18" s="184" customFormat="1" ht="64.900000000000006" customHeight="1" x14ac:dyDescent="0.7">
      <c r="A64" s="177"/>
      <c r="B64" s="204" t="s">
        <v>168</v>
      </c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5"/>
    </row>
    <row r="65" spans="1:18" s="184" customFormat="1" ht="48.75" customHeight="1" x14ac:dyDescent="0.7">
      <c r="A65" s="177"/>
      <c r="B65" s="206" t="s">
        <v>169</v>
      </c>
      <c r="C65" s="206"/>
      <c r="D65" s="206"/>
      <c r="E65" s="206"/>
      <c r="F65" s="206"/>
      <c r="G65" s="206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8"/>
    </row>
    <row r="66" spans="1:18" s="184" customFormat="1" ht="45.75" x14ac:dyDescent="0.7">
      <c r="A66" s="177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5"/>
    </row>
    <row r="67" spans="1:18" s="122" customFormat="1" ht="31.5" customHeight="1" x14ac:dyDescent="0.55000000000000004">
      <c r="A67" s="209" t="s">
        <v>170</v>
      </c>
      <c r="B67" s="210"/>
      <c r="C67" s="211"/>
      <c r="D67" s="212"/>
      <c r="E67" s="213" t="s">
        <v>171</v>
      </c>
      <c r="F67" s="214"/>
      <c r="G67" s="210" t="s">
        <v>172</v>
      </c>
      <c r="H67" s="211"/>
      <c r="I67" s="211"/>
      <c r="J67" s="211"/>
      <c r="K67" s="215"/>
      <c r="L67" s="136"/>
      <c r="M67" s="216"/>
      <c r="N67" s="216"/>
      <c r="O67" s="216"/>
      <c r="P67" s="216"/>
      <c r="Q67" s="216"/>
      <c r="R67" s="121"/>
    </row>
    <row r="68" spans="1:18" s="122" customFormat="1" ht="31.5" customHeight="1" x14ac:dyDescent="0.55000000000000004">
      <c r="A68" s="217"/>
      <c r="B68" s="218"/>
      <c r="C68" s="219"/>
      <c r="D68" s="220"/>
      <c r="E68" s="221"/>
      <c r="F68" s="222"/>
      <c r="G68" s="218"/>
      <c r="H68" s="219"/>
      <c r="I68" s="219"/>
      <c r="J68" s="219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17"/>
      <c r="B69" s="218"/>
      <c r="C69" s="219"/>
      <c r="D69" s="220"/>
      <c r="E69" s="221"/>
      <c r="F69" s="222"/>
      <c r="G69" s="218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24"/>
      <c r="B70" s="225"/>
      <c r="C70" s="226"/>
      <c r="D70" s="227"/>
      <c r="E70" s="228"/>
      <c r="F70" s="229"/>
      <c r="G70" s="225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30" t="s">
        <v>137</v>
      </c>
      <c r="B71" s="231"/>
      <c r="C71" s="211"/>
      <c r="D71" s="212"/>
      <c r="E71" s="232" t="s">
        <v>173</v>
      </c>
      <c r="F71" s="214"/>
      <c r="G71" s="231" t="s">
        <v>173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33"/>
      <c r="B72" s="234"/>
      <c r="C72" s="219"/>
      <c r="D72" s="220"/>
      <c r="E72" s="235"/>
      <c r="F72" s="222"/>
      <c r="G72" s="234"/>
      <c r="H72" s="219"/>
      <c r="I72" s="219"/>
      <c r="J72" s="219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x14ac:dyDescent="0.55000000000000004">
      <c r="A73" s="233"/>
      <c r="B73" s="234"/>
      <c r="C73" s="226"/>
      <c r="D73" s="227"/>
      <c r="E73" s="236"/>
      <c r="F73" s="229"/>
      <c r="G73" s="237"/>
      <c r="H73" s="226"/>
      <c r="I73" s="226"/>
      <c r="J73" s="226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17" t="s">
        <v>138</v>
      </c>
      <c r="B74" s="218"/>
      <c r="C74" s="211"/>
      <c r="D74" s="212"/>
      <c r="E74" s="213" t="s">
        <v>174</v>
      </c>
      <c r="F74" s="214"/>
      <c r="G74" s="210" t="s">
        <v>174</v>
      </c>
      <c r="H74" s="211"/>
      <c r="I74" s="211"/>
      <c r="J74" s="211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17"/>
      <c r="B75" s="218"/>
      <c r="C75" s="226"/>
      <c r="D75" s="227"/>
      <c r="E75" s="228"/>
      <c r="F75" s="229"/>
      <c r="G75" s="225"/>
      <c r="H75" s="226"/>
      <c r="I75" s="226"/>
      <c r="J75" s="226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thickBot="1" x14ac:dyDescent="0.6">
      <c r="A76" s="238"/>
      <c r="B76" s="239"/>
      <c r="C76" s="239"/>
      <c r="D76" s="239"/>
      <c r="E76" s="239"/>
      <c r="F76" s="239"/>
      <c r="G76" s="239"/>
      <c r="H76" s="239"/>
      <c r="I76" s="239"/>
      <c r="J76" s="239"/>
      <c r="K76" s="240"/>
      <c r="L76" s="241"/>
      <c r="M76" s="242"/>
      <c r="N76" s="242"/>
      <c r="O76" s="242"/>
      <c r="P76" s="242"/>
      <c r="Q76" s="242"/>
      <c r="R76" s="243"/>
    </row>
  </sheetData>
  <mergeCells count="118">
    <mergeCell ref="B32:B33"/>
    <mergeCell ref="C32:C33"/>
    <mergeCell ref="A76:J76"/>
    <mergeCell ref="A19:A23"/>
    <mergeCell ref="B19:B23"/>
    <mergeCell ref="C19:C23"/>
    <mergeCell ref="A24:A25"/>
    <mergeCell ref="B24:B25"/>
    <mergeCell ref="C24:C25"/>
    <mergeCell ref="A26:A29"/>
    <mergeCell ref="B26:B29"/>
    <mergeCell ref="C26:C29"/>
    <mergeCell ref="A74:B75"/>
    <mergeCell ref="C74:D75"/>
    <mergeCell ref="E74:E75"/>
    <mergeCell ref="F74:F75"/>
    <mergeCell ref="G74:G75"/>
    <mergeCell ref="H74:J75"/>
    <mergeCell ref="A71:B73"/>
    <mergeCell ref="C71:D73"/>
    <mergeCell ref="E71:E73"/>
    <mergeCell ref="F71:F73"/>
    <mergeCell ref="G71:G73"/>
    <mergeCell ref="H71:J73"/>
    <mergeCell ref="B64:R64"/>
    <mergeCell ref="B65:G65"/>
    <mergeCell ref="B66:R66"/>
    <mergeCell ref="A67:B70"/>
    <mergeCell ref="C67:D70"/>
    <mergeCell ref="E67:E70"/>
    <mergeCell ref="F67:F70"/>
    <mergeCell ref="G67:G70"/>
    <mergeCell ref="H67:J70"/>
    <mergeCell ref="M67:Q76"/>
    <mergeCell ref="L61:N61"/>
    <mergeCell ref="O61:P61"/>
    <mergeCell ref="C62:K62"/>
    <mergeCell ref="L62:N62"/>
    <mergeCell ref="O62:P62"/>
    <mergeCell ref="B63:G63"/>
    <mergeCell ref="O58:P58"/>
    <mergeCell ref="Q58:R58"/>
    <mergeCell ref="C59:K59"/>
    <mergeCell ref="L59:N59"/>
    <mergeCell ref="O59:P59"/>
    <mergeCell ref="Q59:R62"/>
    <mergeCell ref="C60:K60"/>
    <mergeCell ref="L60:N60"/>
    <mergeCell ref="O60:P60"/>
    <mergeCell ref="C61:K61"/>
    <mergeCell ref="A53:G53"/>
    <mergeCell ref="C54:G54"/>
    <mergeCell ref="C55:G55"/>
    <mergeCell ref="C56:G56"/>
    <mergeCell ref="B57:D57"/>
    <mergeCell ref="B58:B62"/>
    <mergeCell ref="F58:J58"/>
    <mergeCell ref="C47:G47"/>
    <mergeCell ref="C48:G48"/>
    <mergeCell ref="C49:G49"/>
    <mergeCell ref="C50:G50"/>
    <mergeCell ref="C51:G51"/>
    <mergeCell ref="C52:G52"/>
    <mergeCell ref="C44:G44"/>
    <mergeCell ref="N44:O44"/>
    <mergeCell ref="C45:G45"/>
    <mergeCell ref="N45:O45"/>
    <mergeCell ref="C46:G46"/>
    <mergeCell ref="N46:O46"/>
    <mergeCell ref="C41:G41"/>
    <mergeCell ref="N41:O41"/>
    <mergeCell ref="C42:G42"/>
    <mergeCell ref="N42:O42"/>
    <mergeCell ref="C43:G43"/>
    <mergeCell ref="N43:O43"/>
    <mergeCell ref="R17:R18"/>
    <mergeCell ref="I38:Q38"/>
    <mergeCell ref="A39:G39"/>
    <mergeCell ref="H39:K39"/>
    <mergeCell ref="L39:L40"/>
    <mergeCell ref="C40:G40"/>
    <mergeCell ref="A30:A31"/>
    <mergeCell ref="B30:B31"/>
    <mergeCell ref="C30:C31"/>
    <mergeCell ref="A32:A33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0C77B207-250F-44E9-AC8A-D2CEA7789421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46A5-E42A-4B61-925F-1E927A2925B3}">
  <sheetPr>
    <pageSetUpPr fitToPage="1"/>
  </sheetPr>
  <dimension ref="A1:R76"/>
  <sheetViews>
    <sheetView topLeftCell="H5" zoomScale="30" zoomScaleNormal="30" workbookViewId="0">
      <selection activeCell="A19" sqref="A19:O36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175</v>
      </c>
      <c r="C5" s="16" t="s">
        <v>2</v>
      </c>
      <c r="D5" s="17" t="s">
        <v>176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12</v>
      </c>
      <c r="B8" s="256"/>
      <c r="C8" s="257">
        <v>61169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18</v>
      </c>
      <c r="D10" s="266" t="s">
        <v>6</v>
      </c>
      <c r="E10" s="265" t="s">
        <v>19</v>
      </c>
      <c r="F10" s="266" t="s">
        <v>8</v>
      </c>
      <c r="G10" s="267" t="s">
        <v>20</v>
      </c>
      <c r="H10" s="266" t="s">
        <v>10</v>
      </c>
      <c r="I10" s="268" t="s">
        <v>21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12</v>
      </c>
      <c r="B11" s="272"/>
      <c r="C11" s="273">
        <v>64218</v>
      </c>
      <c r="D11" s="274" t="s">
        <v>13</v>
      </c>
      <c r="E11" s="275" t="s">
        <v>22</v>
      </c>
      <c r="F11" s="274" t="s">
        <v>14</v>
      </c>
      <c r="G11" s="276" t="s">
        <v>23</v>
      </c>
      <c r="H11" s="274" t="s">
        <v>15</v>
      </c>
      <c r="I11" s="277" t="s">
        <v>16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25</v>
      </c>
      <c r="D13" s="36" t="s">
        <v>6</v>
      </c>
      <c r="E13" s="35" t="s">
        <v>26</v>
      </c>
      <c r="F13" s="37" t="s">
        <v>8</v>
      </c>
      <c r="G13" s="38" t="s">
        <v>27</v>
      </c>
      <c r="H13" s="36" t="s">
        <v>10</v>
      </c>
      <c r="I13" s="39" t="s">
        <v>28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9" t="s">
        <v>29</v>
      </c>
      <c r="F14" s="46" t="s">
        <v>14</v>
      </c>
      <c r="G14" s="280"/>
      <c r="H14" s="45" t="s">
        <v>15</v>
      </c>
      <c r="I14" s="47" t="s">
        <v>30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31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32</v>
      </c>
      <c r="B17" s="64" t="s">
        <v>33</v>
      </c>
      <c r="C17" s="65" t="s">
        <v>34</v>
      </c>
      <c r="D17" s="65" t="s">
        <v>35</v>
      </c>
      <c r="E17" s="65" t="s">
        <v>34</v>
      </c>
      <c r="F17" s="66" t="s">
        <v>36</v>
      </c>
      <c r="G17" s="66" t="s">
        <v>37</v>
      </c>
      <c r="H17" s="67" t="s">
        <v>38</v>
      </c>
      <c r="I17" s="66" t="s">
        <v>39</v>
      </c>
      <c r="J17" s="68" t="s">
        <v>40</v>
      </c>
      <c r="K17" s="69"/>
      <c r="L17" s="69"/>
      <c r="M17" s="69"/>
      <c r="N17" s="69"/>
      <c r="O17" s="70"/>
      <c r="P17" s="71" t="s">
        <v>142</v>
      </c>
      <c r="Q17" s="71" t="s">
        <v>143</v>
      </c>
      <c r="R17" s="72" t="s">
        <v>144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145</v>
      </c>
      <c r="K18" s="78" t="s">
        <v>146</v>
      </c>
      <c r="L18" s="78" t="s">
        <v>147</v>
      </c>
      <c r="M18" s="77" t="s">
        <v>148</v>
      </c>
      <c r="N18" s="77" t="s">
        <v>149</v>
      </c>
      <c r="O18" s="77" t="s">
        <v>150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47</v>
      </c>
      <c r="C19" s="283">
        <f>0.2 *8.59335038363171</f>
        <v>1.7186700767263421</v>
      </c>
      <c r="D19" s="81" t="s">
        <v>48</v>
      </c>
      <c r="E19" s="82">
        <f>C19/5</f>
        <v>0.34373401534526843</v>
      </c>
      <c r="F19" s="82">
        <f>E19/$E$37* 100</f>
        <v>1.5748769627372852</v>
      </c>
      <c r="G19" s="83" t="s">
        <v>49</v>
      </c>
      <c r="H19" s="84">
        <v>1</v>
      </c>
      <c r="I19" s="85" t="s">
        <v>50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51</v>
      </c>
      <c r="P19" s="88"/>
      <c r="Q19" s="89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6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52</v>
      </c>
      <c r="E20" s="82">
        <f>C19/5</f>
        <v>0.34373401534526843</v>
      </c>
      <c r="F20" s="82">
        <f t="shared" ref="F20:F36" si="2">E20/$E$37* 100</f>
        <v>1.5748769627372852</v>
      </c>
      <c r="G20" s="83" t="s">
        <v>53</v>
      </c>
      <c r="H20" s="84">
        <v>1</v>
      </c>
      <c r="I20" s="85" t="s">
        <v>50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51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54</v>
      </c>
      <c r="E21" s="82">
        <f>C19/5</f>
        <v>0.34373401534526843</v>
      </c>
      <c r="F21" s="82">
        <f t="shared" si="2"/>
        <v>1.5748769627372852</v>
      </c>
      <c r="G21" s="83" t="s">
        <v>55</v>
      </c>
      <c r="H21" s="84">
        <v>1</v>
      </c>
      <c r="I21" s="85" t="s">
        <v>50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51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56</v>
      </c>
      <c r="E22" s="82">
        <f>C19/5</f>
        <v>0.34373401534526843</v>
      </c>
      <c r="F22" s="82">
        <f t="shared" si="2"/>
        <v>1.5748769627372852</v>
      </c>
      <c r="G22" s="83" t="s">
        <v>57</v>
      </c>
      <c r="H22" s="92">
        <v>5</v>
      </c>
      <c r="I22" s="85" t="s">
        <v>58</v>
      </c>
      <c r="J22" s="86" t="s">
        <v>59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60</v>
      </c>
      <c r="E23" s="82">
        <f>C19/5</f>
        <v>0.34373401534526843</v>
      </c>
      <c r="F23" s="82">
        <f t="shared" si="2"/>
        <v>1.5748769627372852</v>
      </c>
      <c r="G23" s="83" t="s">
        <v>61</v>
      </c>
      <c r="H23" s="84">
        <v>1</v>
      </c>
      <c r="I23" s="85" t="s">
        <v>50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51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62</v>
      </c>
      <c r="C24" s="283">
        <f>0.5 *4.29667519181586</f>
        <v>2.1483375959079298</v>
      </c>
      <c r="D24" s="81" t="s">
        <v>63</v>
      </c>
      <c r="E24" s="82">
        <f>C24/2</f>
        <v>1.0741687979539649</v>
      </c>
      <c r="F24" s="82">
        <f t="shared" si="2"/>
        <v>4.9214905085540206</v>
      </c>
      <c r="G24" s="83" t="s">
        <v>64</v>
      </c>
      <c r="H24" s="84">
        <v>0.5</v>
      </c>
      <c r="I24" s="85" t="s">
        <v>50</v>
      </c>
      <c r="J24" s="86" t="s">
        <v>65</v>
      </c>
      <c r="K24" s="87">
        <v>50</v>
      </c>
      <c r="L24" s="87">
        <v>45</v>
      </c>
      <c r="M24" s="87">
        <v>40</v>
      </c>
      <c r="N24" s="87">
        <v>25</v>
      </c>
      <c r="O24" s="87" t="s">
        <v>66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7"/>
      <c r="B25" s="288"/>
      <c r="C25" s="289"/>
      <c r="D25" s="81" t="s">
        <v>67</v>
      </c>
      <c r="E25" s="82">
        <f>C24/2</f>
        <v>1.0741687979539649</v>
      </c>
      <c r="F25" s="82">
        <f t="shared" si="2"/>
        <v>4.9214905085540206</v>
      </c>
      <c r="G25" s="83" t="s">
        <v>68</v>
      </c>
      <c r="H25" s="84">
        <v>0.5</v>
      </c>
      <c r="I25" s="85" t="s">
        <v>50</v>
      </c>
      <c r="J25" s="86" t="s">
        <v>65</v>
      </c>
      <c r="K25" s="87">
        <v>50</v>
      </c>
      <c r="L25" s="87">
        <v>45</v>
      </c>
      <c r="M25" s="87">
        <v>40</v>
      </c>
      <c r="N25" s="87">
        <v>25</v>
      </c>
      <c r="O25" s="87" t="s">
        <v>66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1">
        <v>3</v>
      </c>
      <c r="B26" s="282" t="s">
        <v>69</v>
      </c>
      <c r="C26" s="283">
        <f>0.2 *57.2122762148338</f>
        <v>11.44245524296676</v>
      </c>
      <c r="D26" s="94" t="s">
        <v>70</v>
      </c>
      <c r="E26" s="82">
        <f>C26/4</f>
        <v>2.8606138107416901</v>
      </c>
      <c r="F26" s="82">
        <f t="shared" si="2"/>
        <v>13.106397937661123</v>
      </c>
      <c r="G26" s="83" t="s">
        <v>71</v>
      </c>
      <c r="H26" s="93">
        <v>0.8</v>
      </c>
      <c r="I26" s="92" t="s">
        <v>50</v>
      </c>
      <c r="J26" s="86" t="s">
        <v>72</v>
      </c>
      <c r="K26" s="87">
        <v>80</v>
      </c>
      <c r="L26" s="87">
        <v>75</v>
      </c>
      <c r="M26" s="87">
        <v>70</v>
      </c>
      <c r="N26" s="87">
        <v>50</v>
      </c>
      <c r="O26" s="87" t="s">
        <v>73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74</v>
      </c>
      <c r="E27" s="82">
        <f>C26/4</f>
        <v>2.8606138107416901</v>
      </c>
      <c r="F27" s="82">
        <f t="shared" si="2"/>
        <v>13.106397937661123</v>
      </c>
      <c r="G27" s="83" t="s">
        <v>75</v>
      </c>
      <c r="H27" s="93">
        <v>0.8</v>
      </c>
      <c r="I27" s="92" t="s">
        <v>50</v>
      </c>
      <c r="J27" s="86" t="s">
        <v>72</v>
      </c>
      <c r="K27" s="87">
        <v>80</v>
      </c>
      <c r="L27" s="87">
        <v>75</v>
      </c>
      <c r="M27" s="87">
        <v>70</v>
      </c>
      <c r="N27" s="87">
        <v>50</v>
      </c>
      <c r="O27" s="87" t="s">
        <v>73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76</v>
      </c>
      <c r="E28" s="82">
        <f>C26/4</f>
        <v>2.8606138107416901</v>
      </c>
      <c r="F28" s="82">
        <f t="shared" si="2"/>
        <v>13.106397937661123</v>
      </c>
      <c r="G28" s="83" t="s">
        <v>77</v>
      </c>
      <c r="H28" s="93">
        <v>0.8</v>
      </c>
      <c r="I28" s="92" t="s">
        <v>50</v>
      </c>
      <c r="J28" s="86" t="s">
        <v>72</v>
      </c>
      <c r="K28" s="87">
        <v>80</v>
      </c>
      <c r="L28" s="87">
        <v>75</v>
      </c>
      <c r="M28" s="87">
        <v>70</v>
      </c>
      <c r="N28" s="87">
        <v>50</v>
      </c>
      <c r="O28" s="87" t="s">
        <v>73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78</v>
      </c>
      <c r="E29" s="82">
        <f>C26/4</f>
        <v>2.8606138107416901</v>
      </c>
      <c r="F29" s="82">
        <f t="shared" si="2"/>
        <v>13.106397937661123</v>
      </c>
      <c r="G29" s="83" t="s">
        <v>79</v>
      </c>
      <c r="H29" s="93">
        <v>1</v>
      </c>
      <c r="I29" s="85" t="s">
        <v>50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51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81">
        <v>4</v>
      </c>
      <c r="B30" s="282" t="s">
        <v>80</v>
      </c>
      <c r="C30" s="290">
        <f>0.2 *0.895140664961637</f>
        <v>0.17902813299232742</v>
      </c>
      <c r="D30" s="81" t="s">
        <v>81</v>
      </c>
      <c r="E30" s="82">
        <f>C30/2</f>
        <v>8.9514066496163711E-2</v>
      </c>
      <c r="F30" s="82">
        <f t="shared" si="2"/>
        <v>0.4101242090461682</v>
      </c>
      <c r="G30" s="83" t="s">
        <v>82</v>
      </c>
      <c r="H30" s="93">
        <v>1</v>
      </c>
      <c r="I30" s="85" t="s">
        <v>50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87"/>
      <c r="B31" s="288"/>
      <c r="C31" s="291"/>
      <c r="D31" s="81" t="s">
        <v>83</v>
      </c>
      <c r="E31" s="82">
        <f>C30/2</f>
        <v>8.9514066496163711E-2</v>
      </c>
      <c r="F31" s="82">
        <f t="shared" si="2"/>
        <v>0.4101242090461682</v>
      </c>
      <c r="G31" s="83" t="s">
        <v>84</v>
      </c>
      <c r="H31" s="92">
        <v>5</v>
      </c>
      <c r="I31" s="85" t="s">
        <v>58</v>
      </c>
      <c r="J31" s="86" t="s">
        <v>59</v>
      </c>
      <c r="K31" s="87">
        <v>5</v>
      </c>
      <c r="L31" s="87">
        <v>4</v>
      </c>
      <c r="M31" s="87">
        <v>3</v>
      </c>
      <c r="N31" s="87">
        <v>2</v>
      </c>
      <c r="O31" s="87">
        <v>1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281">
        <v>5</v>
      </c>
      <c r="B32" s="282" t="s">
        <v>85</v>
      </c>
      <c r="C32" s="290">
        <f>0.5 *1.79028132992327</f>
        <v>0.89514066496163502</v>
      </c>
      <c r="D32" s="81" t="s">
        <v>86</v>
      </c>
      <c r="E32" s="82">
        <f>C32/2</f>
        <v>0.44757033248081751</v>
      </c>
      <c r="F32" s="82">
        <f t="shared" si="2"/>
        <v>2.050621045230836</v>
      </c>
      <c r="G32" s="83" t="s">
        <v>87</v>
      </c>
      <c r="H32" s="92">
        <v>5</v>
      </c>
      <c r="I32" s="92" t="s">
        <v>58</v>
      </c>
      <c r="J32" s="86" t="s">
        <v>59</v>
      </c>
      <c r="K32" s="87">
        <v>5</v>
      </c>
      <c r="L32" s="87">
        <v>4</v>
      </c>
      <c r="M32" s="87">
        <v>3</v>
      </c>
      <c r="N32" s="87">
        <v>2</v>
      </c>
      <c r="O32" s="87">
        <v>1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287"/>
      <c r="B33" s="288"/>
      <c r="C33" s="291"/>
      <c r="D33" s="81" t="s">
        <v>88</v>
      </c>
      <c r="E33" s="82">
        <f>C32/2</f>
        <v>0.44757033248081751</v>
      </c>
      <c r="F33" s="82">
        <f t="shared" si="2"/>
        <v>2.050621045230836</v>
      </c>
      <c r="G33" s="83" t="s">
        <v>89</v>
      </c>
      <c r="H33" s="84">
        <v>0.5</v>
      </c>
      <c r="I33" s="85" t="s">
        <v>50</v>
      </c>
      <c r="J33" s="86" t="s">
        <v>65</v>
      </c>
      <c r="K33" s="87">
        <v>50</v>
      </c>
      <c r="L33" s="87">
        <v>45</v>
      </c>
      <c r="M33" s="87">
        <v>40</v>
      </c>
      <c r="N33" s="87">
        <v>25</v>
      </c>
      <c r="O33" s="87" t="s">
        <v>66</v>
      </c>
      <c r="P33" s="88"/>
      <c r="Q33" s="89">
        <f t="shared" si="0"/>
        <v>0</v>
      </c>
      <c r="R33" s="90">
        <f t="shared" si="1"/>
        <v>0</v>
      </c>
    </row>
    <row r="34" spans="1:18" s="91" customFormat="1" ht="147" customHeight="1" x14ac:dyDescent="0.25">
      <c r="A34" s="292">
        <v>6</v>
      </c>
      <c r="B34" s="293" t="s">
        <v>90</v>
      </c>
      <c r="C34" s="294">
        <f>0.2 *14.3222506393862</f>
        <v>2.8644501278772401</v>
      </c>
      <c r="D34" s="81" t="s">
        <v>91</v>
      </c>
      <c r="E34" s="82">
        <f>C34</f>
        <v>2.8644501278772401</v>
      </c>
      <c r="F34" s="82">
        <f t="shared" si="2"/>
        <v>13.123974689477388</v>
      </c>
      <c r="G34" s="83" t="s">
        <v>92</v>
      </c>
      <c r="H34" s="93">
        <v>0.8</v>
      </c>
      <c r="I34" s="92" t="s">
        <v>50</v>
      </c>
      <c r="J34" s="86" t="s">
        <v>72</v>
      </c>
      <c r="K34" s="87">
        <v>80</v>
      </c>
      <c r="L34" s="87">
        <v>75</v>
      </c>
      <c r="M34" s="87">
        <v>70</v>
      </c>
      <c r="N34" s="87">
        <v>50</v>
      </c>
      <c r="O34" s="87" t="s">
        <v>73</v>
      </c>
      <c r="P34" s="88"/>
      <c r="Q34" s="89">
        <f t="shared" si="0"/>
        <v>0</v>
      </c>
      <c r="R34" s="90">
        <f t="shared" si="1"/>
        <v>0</v>
      </c>
    </row>
    <row r="35" spans="1:18" s="91" customFormat="1" ht="147" customHeight="1" x14ac:dyDescent="0.25">
      <c r="A35" s="92">
        <v>7</v>
      </c>
      <c r="B35" s="81" t="s">
        <v>93</v>
      </c>
      <c r="C35" s="95">
        <f>0.2 *5.72890025575448</f>
        <v>1.145780051150896</v>
      </c>
      <c r="D35" s="293" t="s">
        <v>94</v>
      </c>
      <c r="E35" s="82">
        <f>C35</f>
        <v>1.145780051150896</v>
      </c>
      <c r="F35" s="82">
        <f t="shared" si="2"/>
        <v>5.2495898757909556</v>
      </c>
      <c r="G35" s="83" t="s">
        <v>95</v>
      </c>
      <c r="H35" s="84">
        <v>0.7</v>
      </c>
      <c r="I35" s="92" t="s">
        <v>50</v>
      </c>
      <c r="J35" s="86" t="s">
        <v>96</v>
      </c>
      <c r="K35" s="87">
        <v>70</v>
      </c>
      <c r="L35" s="87">
        <v>60</v>
      </c>
      <c r="M35" s="87">
        <v>50</v>
      </c>
      <c r="N35" s="87">
        <v>40</v>
      </c>
      <c r="O35" s="87" t="s">
        <v>97</v>
      </c>
      <c r="P35" s="88"/>
      <c r="Q35" s="89">
        <f t="shared" si="0"/>
        <v>0</v>
      </c>
      <c r="R35" s="90">
        <f t="shared" si="1"/>
        <v>0</v>
      </c>
    </row>
    <row r="36" spans="1:18" s="91" customFormat="1" ht="147" customHeight="1" x14ac:dyDescent="0.25">
      <c r="A36" s="92">
        <v>8</v>
      </c>
      <c r="B36" s="81" t="s">
        <v>98</v>
      </c>
      <c r="C36" s="95">
        <f>0.2 *7.16112531969309</f>
        <v>1.432225063938618</v>
      </c>
      <c r="D36" s="83" t="s">
        <v>99</v>
      </c>
      <c r="E36" s="82">
        <f>C36</f>
        <v>1.432225063938618</v>
      </c>
      <c r="F36" s="82">
        <f t="shared" si="2"/>
        <v>6.5619873447386858</v>
      </c>
      <c r="G36" s="83" t="s">
        <v>100</v>
      </c>
      <c r="H36" s="84">
        <v>0.5</v>
      </c>
      <c r="I36" s="85" t="s">
        <v>50</v>
      </c>
      <c r="J36" s="86" t="s">
        <v>65</v>
      </c>
      <c r="K36" s="87">
        <v>50</v>
      </c>
      <c r="L36" s="87">
        <v>45</v>
      </c>
      <c r="M36" s="87">
        <v>40</v>
      </c>
      <c r="N36" s="87">
        <v>25</v>
      </c>
      <c r="O36" s="87" t="s">
        <v>66</v>
      </c>
      <c r="P36" s="88"/>
      <c r="Q36" s="89">
        <f t="shared" si="0"/>
        <v>0</v>
      </c>
      <c r="R36" s="90">
        <f t="shared" si="1"/>
        <v>0</v>
      </c>
    </row>
    <row r="37" spans="1:18" s="106" customFormat="1" ht="44.25" x14ac:dyDescent="0.25">
      <c r="A37" s="96"/>
      <c r="B37" s="97" t="s">
        <v>101</v>
      </c>
      <c r="C37" s="98">
        <f>SUM(C19:C36)</f>
        <v>21.826086956521749</v>
      </c>
      <c r="D37" s="97"/>
      <c r="E37" s="98">
        <f>SUM(E19:E36)</f>
        <v>21.826086956521749</v>
      </c>
      <c r="F37" s="98">
        <f>SUM(F19:F36)</f>
        <v>100.00000000000003</v>
      </c>
      <c r="G37" s="99"/>
      <c r="H37" s="100"/>
      <c r="I37" s="101"/>
      <c r="J37" s="102"/>
      <c r="K37" s="102"/>
      <c r="L37" s="102"/>
      <c r="M37" s="102"/>
      <c r="N37" s="102"/>
      <c r="O37" s="102"/>
      <c r="P37" s="103"/>
      <c r="Q37" s="104"/>
      <c r="R37" s="105">
        <f>SUM(R19:R36)</f>
        <v>0</v>
      </c>
    </row>
    <row r="38" spans="1:18" s="108" customFormat="1" ht="66" customHeight="1" x14ac:dyDescent="0.7">
      <c r="A38" s="107"/>
      <c r="G38" s="109"/>
      <c r="H38" s="109"/>
      <c r="I38" s="110" t="s">
        <v>151</v>
      </c>
      <c r="J38" s="111"/>
      <c r="K38" s="111"/>
      <c r="L38" s="111"/>
      <c r="M38" s="111"/>
      <c r="N38" s="111"/>
      <c r="O38" s="111"/>
      <c r="P38" s="111"/>
      <c r="Q38" s="112"/>
      <c r="R38" s="113">
        <f>R37/100 * 70</f>
        <v>0</v>
      </c>
    </row>
    <row r="39" spans="1:18" s="122" customFormat="1" ht="36" x14ac:dyDescent="0.55000000000000004">
      <c r="A39" s="114" t="s">
        <v>102</v>
      </c>
      <c r="B39" s="115"/>
      <c r="C39" s="115"/>
      <c r="D39" s="115"/>
      <c r="E39" s="115"/>
      <c r="F39" s="115"/>
      <c r="G39" s="116"/>
      <c r="H39" s="117"/>
      <c r="I39" s="117"/>
      <c r="J39" s="117"/>
      <c r="K39" s="117"/>
      <c r="L39" s="71" t="s">
        <v>107</v>
      </c>
      <c r="M39" s="118" t="s">
        <v>103</v>
      </c>
      <c r="N39" s="118"/>
      <c r="O39" s="118"/>
      <c r="P39" s="119"/>
      <c r="Q39" s="120"/>
      <c r="R39" s="121"/>
    </row>
    <row r="40" spans="1:18" s="122" customFormat="1" ht="31.5" customHeight="1" x14ac:dyDescent="0.55000000000000004">
      <c r="A40" s="123"/>
      <c r="B40" s="124"/>
      <c r="C40" s="125" t="s">
        <v>104</v>
      </c>
      <c r="D40" s="125"/>
      <c r="E40" s="125"/>
      <c r="F40" s="125"/>
      <c r="G40" s="125"/>
      <c r="H40" s="126" t="s">
        <v>152</v>
      </c>
      <c r="I40" s="126" t="s">
        <v>153</v>
      </c>
      <c r="J40" s="126"/>
      <c r="K40" s="127"/>
      <c r="L40" s="79"/>
      <c r="M40" s="128"/>
      <c r="N40" s="128"/>
      <c r="O40" s="128"/>
      <c r="P40" s="129"/>
      <c r="Q40" s="120"/>
      <c r="R40" s="121"/>
    </row>
    <row r="41" spans="1:18" s="122" customFormat="1" ht="36" customHeight="1" x14ac:dyDescent="0.55000000000000004">
      <c r="A41" s="130">
        <v>1</v>
      </c>
      <c r="B41" s="131" t="s">
        <v>108</v>
      </c>
      <c r="C41" s="132"/>
      <c r="D41" s="133"/>
      <c r="E41" s="133"/>
      <c r="F41" s="133"/>
      <c r="G41" s="134"/>
      <c r="H41" s="135"/>
      <c r="I41" s="135"/>
      <c r="J41" s="135"/>
      <c r="K41" s="135"/>
      <c r="L41" s="136"/>
      <c r="M41" s="137" t="s">
        <v>41</v>
      </c>
      <c r="N41" s="138" t="s">
        <v>109</v>
      </c>
      <c r="O41" s="139"/>
      <c r="P41" s="129"/>
      <c r="Q41" s="120"/>
      <c r="R41" s="121"/>
    </row>
    <row r="42" spans="1:18" s="122" customFormat="1" ht="84.75" customHeight="1" x14ac:dyDescent="0.55000000000000004">
      <c r="A42" s="140" t="s">
        <v>110</v>
      </c>
      <c r="B42" s="141" t="s">
        <v>154</v>
      </c>
      <c r="C42" s="142"/>
      <c r="D42" s="143"/>
      <c r="E42" s="143"/>
      <c r="F42" s="143"/>
      <c r="G42" s="144"/>
      <c r="H42" s="145">
        <v>4</v>
      </c>
      <c r="I42" s="146"/>
      <c r="J42" s="145"/>
      <c r="K42" s="145"/>
      <c r="L42" s="136"/>
      <c r="M42" s="137" t="s">
        <v>42</v>
      </c>
      <c r="N42" s="138" t="s">
        <v>111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112</v>
      </c>
      <c r="B43" s="141" t="s">
        <v>155</v>
      </c>
      <c r="C43" s="142"/>
      <c r="D43" s="143"/>
      <c r="E43" s="143"/>
      <c r="F43" s="143"/>
      <c r="G43" s="144"/>
      <c r="H43" s="145">
        <v>2</v>
      </c>
      <c r="I43" s="146"/>
      <c r="J43" s="145"/>
      <c r="K43" s="145"/>
      <c r="L43" s="136"/>
      <c r="M43" s="137" t="s">
        <v>43</v>
      </c>
      <c r="N43" s="138" t="s">
        <v>113</v>
      </c>
      <c r="O43" s="139"/>
      <c r="P43" s="129"/>
      <c r="Q43" s="120"/>
      <c r="R43" s="121"/>
    </row>
    <row r="44" spans="1:18" s="122" customFormat="1" ht="78.75" customHeight="1" x14ac:dyDescent="0.55000000000000004">
      <c r="A44" s="140" t="s">
        <v>114</v>
      </c>
      <c r="B44" s="141" t="s">
        <v>115</v>
      </c>
      <c r="C44" s="142"/>
      <c r="D44" s="143"/>
      <c r="E44" s="143"/>
      <c r="F44" s="143"/>
      <c r="G44" s="144"/>
      <c r="H44" s="145">
        <v>2</v>
      </c>
      <c r="I44" s="146"/>
      <c r="J44" s="145"/>
      <c r="K44" s="145"/>
      <c r="L44" s="136"/>
      <c r="M44" s="137" t="s">
        <v>44</v>
      </c>
      <c r="N44" s="138" t="s">
        <v>116</v>
      </c>
      <c r="O44" s="139"/>
      <c r="P44" s="129"/>
      <c r="Q44" s="120"/>
      <c r="R44" s="121"/>
    </row>
    <row r="45" spans="1:18" s="122" customFormat="1" ht="36" x14ac:dyDescent="0.55000000000000004">
      <c r="A45" s="147">
        <v>2</v>
      </c>
      <c r="B45" s="148" t="s">
        <v>117</v>
      </c>
      <c r="C45" s="149"/>
      <c r="D45" s="150"/>
      <c r="E45" s="150"/>
      <c r="F45" s="150"/>
      <c r="G45" s="151"/>
      <c r="H45" s="145"/>
      <c r="I45" s="146"/>
      <c r="J45" s="145"/>
      <c r="K45" s="145"/>
      <c r="L45" s="136"/>
      <c r="M45" s="137" t="s">
        <v>45</v>
      </c>
      <c r="N45" s="138" t="s">
        <v>118</v>
      </c>
      <c r="O45" s="139"/>
      <c r="P45" s="129"/>
      <c r="Q45" s="120"/>
      <c r="R45" s="121"/>
    </row>
    <row r="46" spans="1:18" s="122" customFormat="1" ht="82.5" customHeight="1" x14ac:dyDescent="0.55000000000000004">
      <c r="A46" s="140" t="s">
        <v>110</v>
      </c>
      <c r="B46" s="152" t="s">
        <v>156</v>
      </c>
      <c r="C46" s="153"/>
      <c r="D46" s="154"/>
      <c r="E46" s="154"/>
      <c r="F46" s="154"/>
      <c r="G46" s="155"/>
      <c r="H46" s="145">
        <v>2</v>
      </c>
      <c r="I46" s="146"/>
      <c r="J46" s="145"/>
      <c r="K46" s="145"/>
      <c r="L46" s="136"/>
      <c r="M46" s="137" t="s">
        <v>46</v>
      </c>
      <c r="N46" s="138" t="s">
        <v>119</v>
      </c>
      <c r="O46" s="139"/>
      <c r="P46" s="156"/>
      <c r="Q46" s="120"/>
      <c r="R46" s="121"/>
    </row>
    <row r="47" spans="1:18" s="122" customFormat="1" ht="114.75" customHeight="1" x14ac:dyDescent="0.55000000000000004">
      <c r="A47" s="140" t="s">
        <v>112</v>
      </c>
      <c r="B47" s="152" t="s">
        <v>157</v>
      </c>
      <c r="C47" s="153"/>
      <c r="D47" s="154"/>
      <c r="E47" s="154"/>
      <c r="F47" s="154"/>
      <c r="G47" s="155"/>
      <c r="H47" s="145">
        <v>2</v>
      </c>
      <c r="I47" s="146"/>
      <c r="J47" s="145"/>
      <c r="K47" s="145"/>
      <c r="L47" s="136"/>
      <c r="M47" s="129" t="s">
        <v>107</v>
      </c>
      <c r="N47" s="157" t="s">
        <v>120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114</v>
      </c>
      <c r="B48" s="152" t="s">
        <v>158</v>
      </c>
      <c r="C48" s="153"/>
      <c r="D48" s="154"/>
      <c r="E48" s="154"/>
      <c r="F48" s="154"/>
      <c r="G48" s="155"/>
      <c r="H48" s="145">
        <v>2</v>
      </c>
      <c r="I48" s="146"/>
      <c r="J48" s="145"/>
      <c r="K48" s="145"/>
      <c r="L48" s="136"/>
      <c r="M48" s="129" t="s">
        <v>121</v>
      </c>
      <c r="N48" s="157" t="s">
        <v>122</v>
      </c>
      <c r="O48" s="158"/>
      <c r="P48" s="156"/>
      <c r="Q48" s="120"/>
      <c r="R48" s="121"/>
    </row>
    <row r="49" spans="1:18" s="122" customFormat="1" ht="66" customHeight="1" x14ac:dyDescent="0.55000000000000004">
      <c r="A49" s="147">
        <v>3</v>
      </c>
      <c r="B49" s="148" t="s">
        <v>123</v>
      </c>
      <c r="C49" s="149"/>
      <c r="D49" s="150"/>
      <c r="E49" s="150"/>
      <c r="F49" s="150"/>
      <c r="G49" s="151"/>
      <c r="H49" s="145"/>
      <c r="I49" s="146"/>
      <c r="J49" s="145"/>
      <c r="K49" s="145"/>
      <c r="L49" s="136"/>
      <c r="M49" s="129" t="s">
        <v>105</v>
      </c>
      <c r="N49" s="157" t="s">
        <v>124</v>
      </c>
      <c r="O49" s="158"/>
      <c r="P49" s="156"/>
      <c r="Q49" s="120"/>
      <c r="R49" s="121"/>
    </row>
    <row r="50" spans="1:18" s="122" customFormat="1" ht="72" customHeight="1" x14ac:dyDescent="0.55000000000000004">
      <c r="A50" s="140" t="s">
        <v>110</v>
      </c>
      <c r="B50" s="152" t="s">
        <v>125</v>
      </c>
      <c r="C50" s="159"/>
      <c r="D50" s="160"/>
      <c r="E50" s="160"/>
      <c r="F50" s="160"/>
      <c r="G50" s="161"/>
      <c r="H50" s="145">
        <v>2</v>
      </c>
      <c r="I50" s="146"/>
      <c r="J50" s="145"/>
      <c r="K50" s="145"/>
      <c r="L50" s="136"/>
      <c r="M50" s="129" t="s">
        <v>106</v>
      </c>
      <c r="N50" s="157" t="s">
        <v>126</v>
      </c>
      <c r="O50" s="158"/>
      <c r="P50" s="156"/>
      <c r="Q50" s="120"/>
      <c r="R50" s="121"/>
    </row>
    <row r="51" spans="1:18" s="122" customFormat="1" ht="72" customHeight="1" x14ac:dyDescent="0.55000000000000004">
      <c r="A51" s="140" t="s">
        <v>112</v>
      </c>
      <c r="B51" s="152" t="s">
        <v>159</v>
      </c>
      <c r="C51" s="159"/>
      <c r="D51" s="160"/>
      <c r="E51" s="160"/>
      <c r="F51" s="160"/>
      <c r="G51" s="161"/>
      <c r="H51" s="145">
        <v>2</v>
      </c>
      <c r="I51" s="146"/>
      <c r="J51" s="145"/>
      <c r="K51" s="145"/>
      <c r="L51" s="136"/>
      <c r="M51" s="129" t="s">
        <v>127</v>
      </c>
      <c r="N51" s="157" t="s">
        <v>128</v>
      </c>
      <c r="O51" s="158"/>
      <c r="P51" s="156"/>
      <c r="Q51" s="120"/>
      <c r="R51" s="121"/>
    </row>
    <row r="52" spans="1:18" s="122" customFormat="1" ht="44.25" customHeight="1" x14ac:dyDescent="0.55000000000000004">
      <c r="A52" s="140" t="s">
        <v>114</v>
      </c>
      <c r="B52" s="152" t="s">
        <v>160</v>
      </c>
      <c r="C52" s="159"/>
      <c r="D52" s="160"/>
      <c r="E52" s="160"/>
      <c r="F52" s="160"/>
      <c r="G52" s="161"/>
      <c r="H52" s="145">
        <v>2</v>
      </c>
      <c r="I52" s="146"/>
      <c r="J52" s="145"/>
      <c r="K52" s="145"/>
      <c r="L52" s="136"/>
      <c r="M52" s="162"/>
      <c r="N52" s="162"/>
      <c r="O52" s="162"/>
      <c r="P52" s="163"/>
      <c r="Q52" s="120"/>
      <c r="R52" s="121"/>
    </row>
    <row r="53" spans="1:18" s="122" customFormat="1" ht="31.5" customHeight="1" x14ac:dyDescent="0.55000000000000004">
      <c r="A53" s="164" t="s">
        <v>129</v>
      </c>
      <c r="B53" s="165"/>
      <c r="C53" s="165"/>
      <c r="D53" s="165"/>
      <c r="E53" s="165"/>
      <c r="F53" s="165"/>
      <c r="G53" s="165"/>
      <c r="H53" s="166">
        <f>SUM(H42:H52)</f>
        <v>20</v>
      </c>
      <c r="I53" s="166">
        <f>SUM(I42:I52)</f>
        <v>0</v>
      </c>
      <c r="J53" s="166"/>
      <c r="K53" s="167"/>
      <c r="L53" s="136"/>
      <c r="M53" s="162"/>
      <c r="N53" s="162"/>
      <c r="O53" s="162"/>
      <c r="P53" s="163"/>
      <c r="Q53" s="120"/>
      <c r="R53" s="121"/>
    </row>
    <row r="54" spans="1:18" s="122" customFormat="1" ht="36" customHeight="1" x14ac:dyDescent="0.55000000000000004">
      <c r="A54" s="168" t="s">
        <v>110</v>
      </c>
      <c r="B54" s="169" t="s">
        <v>130</v>
      </c>
      <c r="C54" s="153" t="s">
        <v>131</v>
      </c>
      <c r="D54" s="154"/>
      <c r="E54" s="154"/>
      <c r="F54" s="154"/>
      <c r="G54" s="155"/>
      <c r="H54" s="170">
        <v>4</v>
      </c>
      <c r="I54" s="171"/>
      <c r="J54" s="170"/>
      <c r="K54" s="172"/>
      <c r="L54" s="136"/>
      <c r="M54" s="162"/>
      <c r="N54" s="162"/>
      <c r="O54" s="162"/>
      <c r="P54" s="163"/>
      <c r="Q54" s="120"/>
      <c r="R54" s="121"/>
    </row>
    <row r="55" spans="1:18" s="122" customFormat="1" ht="129" customHeight="1" x14ac:dyDescent="0.55000000000000004">
      <c r="A55" s="168" t="s">
        <v>112</v>
      </c>
      <c r="B55" s="169" t="s">
        <v>132</v>
      </c>
      <c r="C55" s="153" t="s">
        <v>133</v>
      </c>
      <c r="D55" s="154"/>
      <c r="E55" s="154"/>
      <c r="F55" s="154"/>
      <c r="G55" s="155"/>
      <c r="H55" s="170">
        <v>3</v>
      </c>
      <c r="I55" s="171"/>
      <c r="J55" s="170"/>
      <c r="K55" s="172"/>
      <c r="L55" s="136"/>
      <c r="M55" s="162"/>
      <c r="N55" s="162"/>
      <c r="O55" s="162"/>
      <c r="P55" s="163"/>
      <c r="Q55" s="120"/>
      <c r="R55" s="121"/>
    </row>
    <row r="56" spans="1:18" s="122" customFormat="1" ht="69" customHeight="1" x14ac:dyDescent="0.55000000000000004">
      <c r="A56" s="168" t="s">
        <v>112</v>
      </c>
      <c r="B56" s="169" t="s">
        <v>134</v>
      </c>
      <c r="C56" s="153" t="s">
        <v>135</v>
      </c>
      <c r="D56" s="154"/>
      <c r="E56" s="154"/>
      <c r="F56" s="154"/>
      <c r="G56" s="155"/>
      <c r="H56" s="170">
        <v>3</v>
      </c>
      <c r="I56" s="171"/>
      <c r="J56" s="170"/>
      <c r="K56" s="172"/>
      <c r="L56" s="136"/>
      <c r="M56" s="162"/>
      <c r="N56" s="162"/>
      <c r="O56" s="162"/>
      <c r="P56" s="163"/>
      <c r="Q56" s="120"/>
      <c r="R56" s="121"/>
    </row>
    <row r="57" spans="1:18" s="122" customFormat="1" ht="46.5" customHeight="1" x14ac:dyDescent="0.55000000000000004">
      <c r="A57" s="173"/>
      <c r="B57" s="174" t="s">
        <v>136</v>
      </c>
      <c r="C57" s="174"/>
      <c r="D57" s="174"/>
      <c r="E57" s="175"/>
      <c r="F57" s="175"/>
      <c r="G57" s="175"/>
      <c r="H57" s="166">
        <f>SUM(H54:H56)</f>
        <v>10</v>
      </c>
      <c r="I57" s="166">
        <f>SUM(I54:I56)</f>
        <v>0</v>
      </c>
      <c r="J57" s="175"/>
      <c r="K57" s="176"/>
      <c r="L57" s="162"/>
      <c r="M57" s="162"/>
      <c r="N57" s="162"/>
      <c r="O57" s="162"/>
      <c r="P57" s="163"/>
      <c r="Q57" s="120"/>
      <c r="R57" s="121"/>
    </row>
    <row r="58" spans="1:18" s="184" customFormat="1" ht="45" customHeight="1" x14ac:dyDescent="0.7">
      <c r="A58" s="177"/>
      <c r="B58" s="178"/>
      <c r="C58" s="179"/>
      <c r="D58" s="179"/>
      <c r="E58" s="179"/>
      <c r="F58" s="180"/>
      <c r="G58" s="180"/>
      <c r="H58" s="180"/>
      <c r="I58" s="180"/>
      <c r="J58" s="180"/>
      <c r="K58" s="179"/>
      <c r="L58" s="179"/>
      <c r="M58" s="179"/>
      <c r="N58" s="179"/>
      <c r="O58" s="181" t="s">
        <v>161</v>
      </c>
      <c r="P58" s="182"/>
      <c r="Q58" s="181" t="s">
        <v>162</v>
      </c>
      <c r="R58" s="183"/>
    </row>
    <row r="59" spans="1:18" s="184" customFormat="1" ht="45" customHeight="1" x14ac:dyDescent="0.7">
      <c r="A59" s="177"/>
      <c r="B59" s="185"/>
      <c r="C59" s="186" t="s">
        <v>163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R38</f>
        <v>0</v>
      </c>
      <c r="P59" s="193"/>
      <c r="Q59" s="194">
        <f>O62/100 * 20</f>
        <v>0</v>
      </c>
      <c r="R59" s="195"/>
    </row>
    <row r="60" spans="1:18" s="184" customFormat="1" ht="45" customHeight="1" x14ac:dyDescent="0.7">
      <c r="A60" s="177"/>
      <c r="B60" s="185"/>
      <c r="C60" s="187" t="s">
        <v>164</v>
      </c>
      <c r="D60" s="187"/>
      <c r="E60" s="187"/>
      <c r="F60" s="187"/>
      <c r="G60" s="187"/>
      <c r="H60" s="187"/>
      <c r="I60" s="187"/>
      <c r="J60" s="187"/>
      <c r="K60" s="187"/>
      <c r="L60" s="190"/>
      <c r="M60" s="190"/>
      <c r="N60" s="191"/>
      <c r="O60" s="192">
        <f>I53</f>
        <v>0</v>
      </c>
      <c r="P60" s="193"/>
      <c r="Q60" s="196"/>
      <c r="R60" s="197"/>
    </row>
    <row r="61" spans="1:18" s="184" customFormat="1" ht="45" customHeight="1" x14ac:dyDescent="0.7">
      <c r="A61" s="177"/>
      <c r="B61" s="185"/>
      <c r="C61" s="186" t="s">
        <v>165</v>
      </c>
      <c r="D61" s="187"/>
      <c r="E61" s="187"/>
      <c r="F61" s="187"/>
      <c r="G61" s="187"/>
      <c r="H61" s="187"/>
      <c r="I61" s="187"/>
      <c r="J61" s="187"/>
      <c r="K61" s="188"/>
      <c r="L61" s="189"/>
      <c r="M61" s="190"/>
      <c r="N61" s="191"/>
      <c r="O61" s="192">
        <f>I57</f>
        <v>0</v>
      </c>
      <c r="P61" s="193"/>
      <c r="Q61" s="196"/>
      <c r="R61" s="197"/>
    </row>
    <row r="62" spans="1:18" s="184" customFormat="1" ht="45" customHeight="1" x14ac:dyDescent="0.7">
      <c r="A62" s="177"/>
      <c r="B62" s="198"/>
      <c r="C62" s="186" t="s">
        <v>166</v>
      </c>
      <c r="D62" s="187"/>
      <c r="E62" s="187"/>
      <c r="F62" s="187"/>
      <c r="G62" s="187"/>
      <c r="H62" s="187"/>
      <c r="I62" s="187"/>
      <c r="J62" s="187"/>
      <c r="K62" s="188"/>
      <c r="L62" s="189"/>
      <c r="M62" s="190"/>
      <c r="N62" s="191"/>
      <c r="O62" s="192">
        <f>SUM(O59:P61)</f>
        <v>0</v>
      </c>
      <c r="P62" s="193"/>
      <c r="Q62" s="199"/>
      <c r="R62" s="200"/>
    </row>
    <row r="63" spans="1:18" s="184" customFormat="1" ht="64.900000000000006" customHeight="1" x14ac:dyDescent="0.7">
      <c r="A63" s="177"/>
      <c r="B63" s="201" t="s">
        <v>167</v>
      </c>
      <c r="C63" s="201"/>
      <c r="D63" s="201"/>
      <c r="E63" s="201"/>
      <c r="F63" s="201"/>
      <c r="G63" s="201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3"/>
    </row>
    <row r="64" spans="1:18" s="184" customFormat="1" ht="64.900000000000006" customHeight="1" x14ac:dyDescent="0.7">
      <c r="A64" s="177"/>
      <c r="B64" s="204" t="s">
        <v>168</v>
      </c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5"/>
    </row>
    <row r="65" spans="1:18" s="184" customFormat="1" ht="48.75" customHeight="1" x14ac:dyDescent="0.7">
      <c r="A65" s="177"/>
      <c r="B65" s="206" t="s">
        <v>169</v>
      </c>
      <c r="C65" s="206"/>
      <c r="D65" s="206"/>
      <c r="E65" s="206"/>
      <c r="F65" s="206"/>
      <c r="G65" s="206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8"/>
    </row>
    <row r="66" spans="1:18" s="184" customFormat="1" ht="45.75" x14ac:dyDescent="0.7">
      <c r="A66" s="177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5"/>
    </row>
    <row r="67" spans="1:18" s="122" customFormat="1" ht="31.5" customHeight="1" x14ac:dyDescent="0.55000000000000004">
      <c r="A67" s="209" t="s">
        <v>170</v>
      </c>
      <c r="B67" s="210"/>
      <c r="C67" s="211"/>
      <c r="D67" s="212"/>
      <c r="E67" s="213" t="s">
        <v>171</v>
      </c>
      <c r="F67" s="214"/>
      <c r="G67" s="210" t="s">
        <v>172</v>
      </c>
      <c r="H67" s="211"/>
      <c r="I67" s="211"/>
      <c r="J67" s="211"/>
      <c r="K67" s="215"/>
      <c r="L67" s="136"/>
      <c r="M67" s="216"/>
      <c r="N67" s="216"/>
      <c r="O67" s="216"/>
      <c r="P67" s="216"/>
      <c r="Q67" s="216"/>
      <c r="R67" s="121"/>
    </row>
    <row r="68" spans="1:18" s="122" customFormat="1" ht="31.5" customHeight="1" x14ac:dyDescent="0.55000000000000004">
      <c r="A68" s="217"/>
      <c r="B68" s="218"/>
      <c r="C68" s="219"/>
      <c r="D68" s="220"/>
      <c r="E68" s="221"/>
      <c r="F68" s="222"/>
      <c r="G68" s="218"/>
      <c r="H68" s="219"/>
      <c r="I68" s="219"/>
      <c r="J68" s="219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17"/>
      <c r="B69" s="218"/>
      <c r="C69" s="219"/>
      <c r="D69" s="220"/>
      <c r="E69" s="221"/>
      <c r="F69" s="222"/>
      <c r="G69" s="218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24"/>
      <c r="B70" s="225"/>
      <c r="C70" s="226"/>
      <c r="D70" s="227"/>
      <c r="E70" s="228"/>
      <c r="F70" s="229"/>
      <c r="G70" s="225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30" t="s">
        <v>137</v>
      </c>
      <c r="B71" s="231"/>
      <c r="C71" s="211"/>
      <c r="D71" s="212"/>
      <c r="E71" s="232" t="s">
        <v>173</v>
      </c>
      <c r="F71" s="214"/>
      <c r="G71" s="231" t="s">
        <v>173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33"/>
      <c r="B72" s="234"/>
      <c r="C72" s="219"/>
      <c r="D72" s="220"/>
      <c r="E72" s="235"/>
      <c r="F72" s="222"/>
      <c r="G72" s="234"/>
      <c r="H72" s="219"/>
      <c r="I72" s="219"/>
      <c r="J72" s="219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x14ac:dyDescent="0.55000000000000004">
      <c r="A73" s="233"/>
      <c r="B73" s="234"/>
      <c r="C73" s="226"/>
      <c r="D73" s="227"/>
      <c r="E73" s="236"/>
      <c r="F73" s="229"/>
      <c r="G73" s="237"/>
      <c r="H73" s="226"/>
      <c r="I73" s="226"/>
      <c r="J73" s="226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17" t="s">
        <v>138</v>
      </c>
      <c r="B74" s="218"/>
      <c r="C74" s="211"/>
      <c r="D74" s="212"/>
      <c r="E74" s="213" t="s">
        <v>174</v>
      </c>
      <c r="F74" s="214"/>
      <c r="G74" s="210" t="s">
        <v>174</v>
      </c>
      <c r="H74" s="211"/>
      <c r="I74" s="211"/>
      <c r="J74" s="211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17"/>
      <c r="B75" s="218"/>
      <c r="C75" s="226"/>
      <c r="D75" s="227"/>
      <c r="E75" s="228"/>
      <c r="F75" s="229"/>
      <c r="G75" s="225"/>
      <c r="H75" s="226"/>
      <c r="I75" s="226"/>
      <c r="J75" s="226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thickBot="1" x14ac:dyDescent="0.6">
      <c r="A76" s="238"/>
      <c r="B76" s="239"/>
      <c r="C76" s="239"/>
      <c r="D76" s="239"/>
      <c r="E76" s="239"/>
      <c r="F76" s="239"/>
      <c r="G76" s="239"/>
      <c r="H76" s="239"/>
      <c r="I76" s="239"/>
      <c r="J76" s="239"/>
      <c r="K76" s="240"/>
      <c r="L76" s="241"/>
      <c r="M76" s="242"/>
      <c r="N76" s="242"/>
      <c r="O76" s="242"/>
      <c r="P76" s="242"/>
      <c r="Q76" s="242"/>
      <c r="R76" s="243"/>
    </row>
  </sheetData>
  <mergeCells count="118">
    <mergeCell ref="B32:B33"/>
    <mergeCell ref="C32:C33"/>
    <mergeCell ref="A76:J76"/>
    <mergeCell ref="A19:A23"/>
    <mergeCell ref="B19:B23"/>
    <mergeCell ref="C19:C23"/>
    <mergeCell ref="A24:A25"/>
    <mergeCell ref="B24:B25"/>
    <mergeCell ref="C24:C25"/>
    <mergeCell ref="A26:A29"/>
    <mergeCell ref="B26:B29"/>
    <mergeCell ref="C26:C29"/>
    <mergeCell ref="A74:B75"/>
    <mergeCell ref="C74:D75"/>
    <mergeCell ref="E74:E75"/>
    <mergeCell ref="F74:F75"/>
    <mergeCell ref="G74:G75"/>
    <mergeCell ref="H74:J75"/>
    <mergeCell ref="A71:B73"/>
    <mergeCell ref="C71:D73"/>
    <mergeCell ref="E71:E73"/>
    <mergeCell ref="F71:F73"/>
    <mergeCell ref="G71:G73"/>
    <mergeCell ref="H71:J73"/>
    <mergeCell ref="B64:R64"/>
    <mergeCell ref="B65:G65"/>
    <mergeCell ref="B66:R66"/>
    <mergeCell ref="A67:B70"/>
    <mergeCell ref="C67:D70"/>
    <mergeCell ref="E67:E70"/>
    <mergeCell ref="F67:F70"/>
    <mergeCell ref="G67:G70"/>
    <mergeCell ref="H67:J70"/>
    <mergeCell ref="M67:Q76"/>
    <mergeCell ref="L61:N61"/>
    <mergeCell ref="O61:P61"/>
    <mergeCell ref="C62:K62"/>
    <mergeCell ref="L62:N62"/>
    <mergeCell ref="O62:P62"/>
    <mergeCell ref="B63:G63"/>
    <mergeCell ref="O58:P58"/>
    <mergeCell ref="Q58:R58"/>
    <mergeCell ref="C59:K59"/>
    <mergeCell ref="L59:N59"/>
    <mergeCell ref="O59:P59"/>
    <mergeCell ref="Q59:R62"/>
    <mergeCell ref="C60:K60"/>
    <mergeCell ref="L60:N60"/>
    <mergeCell ref="O60:P60"/>
    <mergeCell ref="C61:K61"/>
    <mergeCell ref="A53:G53"/>
    <mergeCell ref="C54:G54"/>
    <mergeCell ref="C55:G55"/>
    <mergeCell ref="C56:G56"/>
    <mergeCell ref="B57:D57"/>
    <mergeCell ref="B58:B62"/>
    <mergeCell ref="F58:J58"/>
    <mergeCell ref="C47:G47"/>
    <mergeCell ref="C48:G48"/>
    <mergeCell ref="C49:G49"/>
    <mergeCell ref="C50:G50"/>
    <mergeCell ref="C51:G51"/>
    <mergeCell ref="C52:G52"/>
    <mergeCell ref="C44:G44"/>
    <mergeCell ref="N44:O44"/>
    <mergeCell ref="C45:G45"/>
    <mergeCell ref="N45:O45"/>
    <mergeCell ref="C46:G46"/>
    <mergeCell ref="N46:O46"/>
    <mergeCell ref="C41:G41"/>
    <mergeCell ref="N41:O41"/>
    <mergeCell ref="C42:G42"/>
    <mergeCell ref="N42:O42"/>
    <mergeCell ref="C43:G43"/>
    <mergeCell ref="N43:O43"/>
    <mergeCell ref="R17:R18"/>
    <mergeCell ref="I38:Q38"/>
    <mergeCell ref="A39:G39"/>
    <mergeCell ref="H39:K39"/>
    <mergeCell ref="L39:L40"/>
    <mergeCell ref="C40:G40"/>
    <mergeCell ref="A30:A31"/>
    <mergeCell ref="B30:B31"/>
    <mergeCell ref="C30:C31"/>
    <mergeCell ref="A32:A33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CCB666EA-50FF-4CE6-97D5-F0E28D0707C6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AF26-2A35-4432-ABDA-5A0AAD868F41}">
  <sheetPr>
    <pageSetUpPr fitToPage="1"/>
  </sheetPr>
  <dimension ref="A1:R76"/>
  <sheetViews>
    <sheetView zoomScale="30" zoomScaleNormal="30" workbookViewId="0">
      <selection activeCell="A19" sqref="A19:O36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177</v>
      </c>
      <c r="C5" s="16" t="s">
        <v>2</v>
      </c>
      <c r="D5" s="17" t="s">
        <v>178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12</v>
      </c>
      <c r="B8" s="256"/>
      <c r="C8" s="257">
        <v>61169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18</v>
      </c>
      <c r="D10" s="266" t="s">
        <v>6</v>
      </c>
      <c r="E10" s="265" t="s">
        <v>19</v>
      </c>
      <c r="F10" s="266" t="s">
        <v>8</v>
      </c>
      <c r="G10" s="267" t="s">
        <v>20</v>
      </c>
      <c r="H10" s="266" t="s">
        <v>10</v>
      </c>
      <c r="I10" s="268" t="s">
        <v>21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12</v>
      </c>
      <c r="B11" s="272"/>
      <c r="C11" s="273">
        <v>64218</v>
      </c>
      <c r="D11" s="274" t="s">
        <v>13</v>
      </c>
      <c r="E11" s="275" t="s">
        <v>22</v>
      </c>
      <c r="F11" s="274" t="s">
        <v>14</v>
      </c>
      <c r="G11" s="276" t="s">
        <v>23</v>
      </c>
      <c r="H11" s="274" t="s">
        <v>15</v>
      </c>
      <c r="I11" s="277" t="s">
        <v>16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25</v>
      </c>
      <c r="D13" s="36" t="s">
        <v>6</v>
      </c>
      <c r="E13" s="35" t="s">
        <v>26</v>
      </c>
      <c r="F13" s="37" t="s">
        <v>8</v>
      </c>
      <c r="G13" s="38" t="s">
        <v>27</v>
      </c>
      <c r="H13" s="36" t="s">
        <v>10</v>
      </c>
      <c r="I13" s="39" t="s">
        <v>28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9" t="s">
        <v>29</v>
      </c>
      <c r="F14" s="46" t="s">
        <v>14</v>
      </c>
      <c r="G14" s="280"/>
      <c r="H14" s="45" t="s">
        <v>15</v>
      </c>
      <c r="I14" s="47" t="s">
        <v>30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31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32</v>
      </c>
      <c r="B17" s="64" t="s">
        <v>33</v>
      </c>
      <c r="C17" s="65" t="s">
        <v>34</v>
      </c>
      <c r="D17" s="65" t="s">
        <v>35</v>
      </c>
      <c r="E17" s="65" t="s">
        <v>34</v>
      </c>
      <c r="F17" s="66" t="s">
        <v>36</v>
      </c>
      <c r="G17" s="66" t="s">
        <v>37</v>
      </c>
      <c r="H17" s="67" t="s">
        <v>38</v>
      </c>
      <c r="I17" s="66" t="s">
        <v>39</v>
      </c>
      <c r="J17" s="68" t="s">
        <v>40</v>
      </c>
      <c r="K17" s="69"/>
      <c r="L17" s="69"/>
      <c r="M17" s="69"/>
      <c r="N17" s="69"/>
      <c r="O17" s="70"/>
      <c r="P17" s="71" t="s">
        <v>142</v>
      </c>
      <c r="Q17" s="71" t="s">
        <v>143</v>
      </c>
      <c r="R17" s="72" t="s">
        <v>144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145</v>
      </c>
      <c r="K18" s="78" t="s">
        <v>146</v>
      </c>
      <c r="L18" s="78" t="s">
        <v>147</v>
      </c>
      <c r="M18" s="77" t="s">
        <v>148</v>
      </c>
      <c r="N18" s="77" t="s">
        <v>149</v>
      </c>
      <c r="O18" s="77" t="s">
        <v>150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47</v>
      </c>
      <c r="C19" s="283">
        <f>0.2 *8.59335038363171</f>
        <v>1.7186700767263421</v>
      </c>
      <c r="D19" s="81" t="s">
        <v>48</v>
      </c>
      <c r="E19" s="82">
        <f>C19/5</f>
        <v>0.34373401534526843</v>
      </c>
      <c r="F19" s="82">
        <f>E19/$E$37* 100</f>
        <v>1.5748769627372852</v>
      </c>
      <c r="G19" s="83" t="s">
        <v>49</v>
      </c>
      <c r="H19" s="84">
        <v>1</v>
      </c>
      <c r="I19" s="85" t="s">
        <v>50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51</v>
      </c>
      <c r="P19" s="88"/>
      <c r="Q19" s="89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6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52</v>
      </c>
      <c r="E20" s="82">
        <f>C19/5</f>
        <v>0.34373401534526843</v>
      </c>
      <c r="F20" s="82">
        <f t="shared" ref="F20:F36" si="2">E20/$E$37* 100</f>
        <v>1.5748769627372852</v>
      </c>
      <c r="G20" s="83" t="s">
        <v>53</v>
      </c>
      <c r="H20" s="84">
        <v>1</v>
      </c>
      <c r="I20" s="85" t="s">
        <v>50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51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54</v>
      </c>
      <c r="E21" s="82">
        <f>C19/5</f>
        <v>0.34373401534526843</v>
      </c>
      <c r="F21" s="82">
        <f t="shared" si="2"/>
        <v>1.5748769627372852</v>
      </c>
      <c r="G21" s="83" t="s">
        <v>55</v>
      </c>
      <c r="H21" s="84">
        <v>1</v>
      </c>
      <c r="I21" s="85" t="s">
        <v>50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51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56</v>
      </c>
      <c r="E22" s="82">
        <f>C19/5</f>
        <v>0.34373401534526843</v>
      </c>
      <c r="F22" s="82">
        <f t="shared" si="2"/>
        <v>1.5748769627372852</v>
      </c>
      <c r="G22" s="83" t="s">
        <v>57</v>
      </c>
      <c r="H22" s="92">
        <v>5</v>
      </c>
      <c r="I22" s="85" t="s">
        <v>58</v>
      </c>
      <c r="J22" s="86" t="s">
        <v>59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60</v>
      </c>
      <c r="E23" s="82">
        <f>C19/5</f>
        <v>0.34373401534526843</v>
      </c>
      <c r="F23" s="82">
        <f t="shared" si="2"/>
        <v>1.5748769627372852</v>
      </c>
      <c r="G23" s="83" t="s">
        <v>61</v>
      </c>
      <c r="H23" s="84">
        <v>1</v>
      </c>
      <c r="I23" s="85" t="s">
        <v>50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51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62</v>
      </c>
      <c r="C24" s="283">
        <f>0.5 *4.29667519181586</f>
        <v>2.1483375959079298</v>
      </c>
      <c r="D24" s="81" t="s">
        <v>63</v>
      </c>
      <c r="E24" s="82">
        <f>C24/2</f>
        <v>1.0741687979539649</v>
      </c>
      <c r="F24" s="82">
        <f t="shared" si="2"/>
        <v>4.9214905085540206</v>
      </c>
      <c r="G24" s="83" t="s">
        <v>64</v>
      </c>
      <c r="H24" s="84">
        <v>0.5</v>
      </c>
      <c r="I24" s="85" t="s">
        <v>50</v>
      </c>
      <c r="J24" s="86" t="s">
        <v>65</v>
      </c>
      <c r="K24" s="87">
        <v>50</v>
      </c>
      <c r="L24" s="87">
        <v>45</v>
      </c>
      <c r="M24" s="87">
        <v>40</v>
      </c>
      <c r="N24" s="87">
        <v>25</v>
      </c>
      <c r="O24" s="87" t="s">
        <v>66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7"/>
      <c r="B25" s="288"/>
      <c r="C25" s="289"/>
      <c r="D25" s="81" t="s">
        <v>67</v>
      </c>
      <c r="E25" s="82">
        <f>C24/2</f>
        <v>1.0741687979539649</v>
      </c>
      <c r="F25" s="82">
        <f t="shared" si="2"/>
        <v>4.9214905085540206</v>
      </c>
      <c r="G25" s="83" t="s">
        <v>68</v>
      </c>
      <c r="H25" s="84">
        <v>0.5</v>
      </c>
      <c r="I25" s="85" t="s">
        <v>50</v>
      </c>
      <c r="J25" s="86" t="s">
        <v>65</v>
      </c>
      <c r="K25" s="87">
        <v>50</v>
      </c>
      <c r="L25" s="87">
        <v>45</v>
      </c>
      <c r="M25" s="87">
        <v>40</v>
      </c>
      <c r="N25" s="87">
        <v>25</v>
      </c>
      <c r="O25" s="87" t="s">
        <v>66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1">
        <v>3</v>
      </c>
      <c r="B26" s="282" t="s">
        <v>69</v>
      </c>
      <c r="C26" s="283">
        <f>0.2 *57.2122762148338</f>
        <v>11.44245524296676</v>
      </c>
      <c r="D26" s="94" t="s">
        <v>70</v>
      </c>
      <c r="E26" s="82">
        <f>C26/4</f>
        <v>2.8606138107416901</v>
      </c>
      <c r="F26" s="82">
        <f t="shared" si="2"/>
        <v>13.106397937661123</v>
      </c>
      <c r="G26" s="83" t="s">
        <v>71</v>
      </c>
      <c r="H26" s="93">
        <v>0.8</v>
      </c>
      <c r="I26" s="92" t="s">
        <v>50</v>
      </c>
      <c r="J26" s="86" t="s">
        <v>72</v>
      </c>
      <c r="K26" s="87">
        <v>80</v>
      </c>
      <c r="L26" s="87">
        <v>75</v>
      </c>
      <c r="M26" s="87">
        <v>70</v>
      </c>
      <c r="N26" s="87">
        <v>50</v>
      </c>
      <c r="O26" s="87" t="s">
        <v>73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74</v>
      </c>
      <c r="E27" s="82">
        <f>C26/4</f>
        <v>2.8606138107416901</v>
      </c>
      <c r="F27" s="82">
        <f t="shared" si="2"/>
        <v>13.106397937661123</v>
      </c>
      <c r="G27" s="83" t="s">
        <v>75</v>
      </c>
      <c r="H27" s="93">
        <v>0.8</v>
      </c>
      <c r="I27" s="92" t="s">
        <v>50</v>
      </c>
      <c r="J27" s="86" t="s">
        <v>72</v>
      </c>
      <c r="K27" s="87">
        <v>80</v>
      </c>
      <c r="L27" s="87">
        <v>75</v>
      </c>
      <c r="M27" s="87">
        <v>70</v>
      </c>
      <c r="N27" s="87">
        <v>50</v>
      </c>
      <c r="O27" s="87" t="s">
        <v>73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76</v>
      </c>
      <c r="E28" s="82">
        <f>C26/4</f>
        <v>2.8606138107416901</v>
      </c>
      <c r="F28" s="82">
        <f t="shared" si="2"/>
        <v>13.106397937661123</v>
      </c>
      <c r="G28" s="83" t="s">
        <v>77</v>
      </c>
      <c r="H28" s="93">
        <v>0.8</v>
      </c>
      <c r="I28" s="92" t="s">
        <v>50</v>
      </c>
      <c r="J28" s="86" t="s">
        <v>72</v>
      </c>
      <c r="K28" s="87">
        <v>80</v>
      </c>
      <c r="L28" s="87">
        <v>75</v>
      </c>
      <c r="M28" s="87">
        <v>70</v>
      </c>
      <c r="N28" s="87">
        <v>50</v>
      </c>
      <c r="O28" s="87" t="s">
        <v>73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78</v>
      </c>
      <c r="E29" s="82">
        <f>C26/4</f>
        <v>2.8606138107416901</v>
      </c>
      <c r="F29" s="82">
        <f t="shared" si="2"/>
        <v>13.106397937661123</v>
      </c>
      <c r="G29" s="83" t="s">
        <v>79</v>
      </c>
      <c r="H29" s="93">
        <v>1</v>
      </c>
      <c r="I29" s="85" t="s">
        <v>50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51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81">
        <v>4</v>
      </c>
      <c r="B30" s="282" t="s">
        <v>80</v>
      </c>
      <c r="C30" s="290">
        <f>0.2 *0.895140664961637</f>
        <v>0.17902813299232742</v>
      </c>
      <c r="D30" s="81" t="s">
        <v>81</v>
      </c>
      <c r="E30" s="82">
        <f>C30/2</f>
        <v>8.9514066496163711E-2</v>
      </c>
      <c r="F30" s="82">
        <f t="shared" si="2"/>
        <v>0.4101242090461682</v>
      </c>
      <c r="G30" s="83" t="s">
        <v>82</v>
      </c>
      <c r="H30" s="93">
        <v>1</v>
      </c>
      <c r="I30" s="85" t="s">
        <v>50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87"/>
      <c r="B31" s="288"/>
      <c r="C31" s="291"/>
      <c r="D31" s="81" t="s">
        <v>83</v>
      </c>
      <c r="E31" s="82">
        <f>C30/2</f>
        <v>8.9514066496163711E-2</v>
      </c>
      <c r="F31" s="82">
        <f t="shared" si="2"/>
        <v>0.4101242090461682</v>
      </c>
      <c r="G31" s="83" t="s">
        <v>84</v>
      </c>
      <c r="H31" s="92">
        <v>5</v>
      </c>
      <c r="I31" s="85" t="s">
        <v>58</v>
      </c>
      <c r="J31" s="86" t="s">
        <v>59</v>
      </c>
      <c r="K31" s="87">
        <v>5</v>
      </c>
      <c r="L31" s="87">
        <v>4</v>
      </c>
      <c r="M31" s="87">
        <v>3</v>
      </c>
      <c r="N31" s="87">
        <v>2</v>
      </c>
      <c r="O31" s="87">
        <v>1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281">
        <v>5</v>
      </c>
      <c r="B32" s="282" t="s">
        <v>85</v>
      </c>
      <c r="C32" s="290">
        <f>0.5 *1.79028132992327</f>
        <v>0.89514066496163502</v>
      </c>
      <c r="D32" s="81" t="s">
        <v>86</v>
      </c>
      <c r="E32" s="82">
        <f>C32/2</f>
        <v>0.44757033248081751</v>
      </c>
      <c r="F32" s="82">
        <f t="shared" si="2"/>
        <v>2.050621045230836</v>
      </c>
      <c r="G32" s="83" t="s">
        <v>87</v>
      </c>
      <c r="H32" s="92">
        <v>5</v>
      </c>
      <c r="I32" s="92" t="s">
        <v>58</v>
      </c>
      <c r="J32" s="86" t="s">
        <v>59</v>
      </c>
      <c r="K32" s="87">
        <v>5</v>
      </c>
      <c r="L32" s="87">
        <v>4</v>
      </c>
      <c r="M32" s="87">
        <v>3</v>
      </c>
      <c r="N32" s="87">
        <v>2</v>
      </c>
      <c r="O32" s="87">
        <v>1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287"/>
      <c r="B33" s="288"/>
      <c r="C33" s="291"/>
      <c r="D33" s="81" t="s">
        <v>88</v>
      </c>
      <c r="E33" s="82">
        <f>C32/2</f>
        <v>0.44757033248081751</v>
      </c>
      <c r="F33" s="82">
        <f t="shared" si="2"/>
        <v>2.050621045230836</v>
      </c>
      <c r="G33" s="83" t="s">
        <v>89</v>
      </c>
      <c r="H33" s="84">
        <v>0.5</v>
      </c>
      <c r="I33" s="85" t="s">
        <v>50</v>
      </c>
      <c r="J33" s="86" t="s">
        <v>65</v>
      </c>
      <c r="K33" s="87">
        <v>50</v>
      </c>
      <c r="L33" s="87">
        <v>45</v>
      </c>
      <c r="M33" s="87">
        <v>40</v>
      </c>
      <c r="N33" s="87">
        <v>25</v>
      </c>
      <c r="O33" s="87" t="s">
        <v>66</v>
      </c>
      <c r="P33" s="88"/>
      <c r="Q33" s="89">
        <f t="shared" si="0"/>
        <v>0</v>
      </c>
      <c r="R33" s="90">
        <f t="shared" si="1"/>
        <v>0</v>
      </c>
    </row>
    <row r="34" spans="1:18" s="91" customFormat="1" ht="147" customHeight="1" x14ac:dyDescent="0.25">
      <c r="A34" s="292">
        <v>6</v>
      </c>
      <c r="B34" s="293" t="s">
        <v>90</v>
      </c>
      <c r="C34" s="294">
        <f>0.2 *14.3222506393862</f>
        <v>2.8644501278772401</v>
      </c>
      <c r="D34" s="81" t="s">
        <v>91</v>
      </c>
      <c r="E34" s="82">
        <f>C34</f>
        <v>2.8644501278772401</v>
      </c>
      <c r="F34" s="82">
        <f t="shared" si="2"/>
        <v>13.123974689477388</v>
      </c>
      <c r="G34" s="83" t="s">
        <v>92</v>
      </c>
      <c r="H34" s="93">
        <v>0.8</v>
      </c>
      <c r="I34" s="92" t="s">
        <v>50</v>
      </c>
      <c r="J34" s="86" t="s">
        <v>72</v>
      </c>
      <c r="K34" s="87">
        <v>80</v>
      </c>
      <c r="L34" s="87">
        <v>75</v>
      </c>
      <c r="M34" s="87">
        <v>70</v>
      </c>
      <c r="N34" s="87">
        <v>50</v>
      </c>
      <c r="O34" s="87" t="s">
        <v>73</v>
      </c>
      <c r="P34" s="88"/>
      <c r="Q34" s="89">
        <f t="shared" si="0"/>
        <v>0</v>
      </c>
      <c r="R34" s="90">
        <f t="shared" si="1"/>
        <v>0</v>
      </c>
    </row>
    <row r="35" spans="1:18" s="91" customFormat="1" ht="147" customHeight="1" x14ac:dyDescent="0.25">
      <c r="A35" s="92">
        <v>7</v>
      </c>
      <c r="B35" s="81" t="s">
        <v>93</v>
      </c>
      <c r="C35" s="95">
        <f>0.2 *5.72890025575448</f>
        <v>1.145780051150896</v>
      </c>
      <c r="D35" s="293" t="s">
        <v>94</v>
      </c>
      <c r="E35" s="82">
        <f>C35</f>
        <v>1.145780051150896</v>
      </c>
      <c r="F35" s="82">
        <f t="shared" si="2"/>
        <v>5.2495898757909556</v>
      </c>
      <c r="G35" s="83" t="s">
        <v>95</v>
      </c>
      <c r="H35" s="84">
        <v>0.7</v>
      </c>
      <c r="I35" s="92" t="s">
        <v>50</v>
      </c>
      <c r="J35" s="86" t="s">
        <v>96</v>
      </c>
      <c r="K35" s="87">
        <v>70</v>
      </c>
      <c r="L35" s="87">
        <v>60</v>
      </c>
      <c r="M35" s="87">
        <v>50</v>
      </c>
      <c r="N35" s="87">
        <v>40</v>
      </c>
      <c r="O35" s="87" t="s">
        <v>97</v>
      </c>
      <c r="P35" s="88"/>
      <c r="Q35" s="89">
        <f t="shared" si="0"/>
        <v>0</v>
      </c>
      <c r="R35" s="90">
        <f t="shared" si="1"/>
        <v>0</v>
      </c>
    </row>
    <row r="36" spans="1:18" s="91" customFormat="1" ht="147" customHeight="1" x14ac:dyDescent="0.25">
      <c r="A36" s="92">
        <v>8</v>
      </c>
      <c r="B36" s="81" t="s">
        <v>98</v>
      </c>
      <c r="C36" s="95">
        <f>0.2 *7.16112531969309</f>
        <v>1.432225063938618</v>
      </c>
      <c r="D36" s="83" t="s">
        <v>99</v>
      </c>
      <c r="E36" s="82">
        <f>C36</f>
        <v>1.432225063938618</v>
      </c>
      <c r="F36" s="82">
        <f t="shared" si="2"/>
        <v>6.5619873447386858</v>
      </c>
      <c r="G36" s="83" t="s">
        <v>100</v>
      </c>
      <c r="H36" s="84">
        <v>0.5</v>
      </c>
      <c r="I36" s="85" t="s">
        <v>50</v>
      </c>
      <c r="J36" s="86" t="s">
        <v>65</v>
      </c>
      <c r="K36" s="87">
        <v>50</v>
      </c>
      <c r="L36" s="87">
        <v>45</v>
      </c>
      <c r="M36" s="87">
        <v>40</v>
      </c>
      <c r="N36" s="87">
        <v>25</v>
      </c>
      <c r="O36" s="87" t="s">
        <v>66</v>
      </c>
      <c r="P36" s="88"/>
      <c r="Q36" s="89">
        <f t="shared" si="0"/>
        <v>0</v>
      </c>
      <c r="R36" s="90">
        <f t="shared" si="1"/>
        <v>0</v>
      </c>
    </row>
    <row r="37" spans="1:18" s="106" customFormat="1" ht="44.25" x14ac:dyDescent="0.25">
      <c r="A37" s="96"/>
      <c r="B37" s="97" t="s">
        <v>101</v>
      </c>
      <c r="C37" s="98">
        <f>SUM(C19:C36)</f>
        <v>21.826086956521749</v>
      </c>
      <c r="D37" s="97"/>
      <c r="E37" s="98">
        <f>SUM(E19:E36)</f>
        <v>21.826086956521749</v>
      </c>
      <c r="F37" s="98">
        <f>SUM(F19:F36)</f>
        <v>100.00000000000003</v>
      </c>
      <c r="G37" s="99"/>
      <c r="H37" s="100"/>
      <c r="I37" s="101"/>
      <c r="J37" s="102"/>
      <c r="K37" s="102"/>
      <c r="L37" s="102"/>
      <c r="M37" s="102"/>
      <c r="N37" s="102"/>
      <c r="O37" s="102"/>
      <c r="P37" s="103"/>
      <c r="Q37" s="104"/>
      <c r="R37" s="105">
        <f>SUM(R19:R36)</f>
        <v>0</v>
      </c>
    </row>
    <row r="38" spans="1:18" s="108" customFormat="1" ht="66" customHeight="1" x14ac:dyDescent="0.7">
      <c r="A38" s="107"/>
      <c r="G38" s="109"/>
      <c r="H38" s="109"/>
      <c r="I38" s="110" t="s">
        <v>151</v>
      </c>
      <c r="J38" s="111"/>
      <c r="K38" s="111"/>
      <c r="L38" s="111"/>
      <c r="M38" s="111"/>
      <c r="N38" s="111"/>
      <c r="O38" s="111"/>
      <c r="P38" s="111"/>
      <c r="Q38" s="112"/>
      <c r="R38" s="113">
        <f>R37/100 * 70</f>
        <v>0</v>
      </c>
    </row>
    <row r="39" spans="1:18" s="122" customFormat="1" ht="36" x14ac:dyDescent="0.55000000000000004">
      <c r="A39" s="114" t="s">
        <v>102</v>
      </c>
      <c r="B39" s="115"/>
      <c r="C39" s="115"/>
      <c r="D39" s="115"/>
      <c r="E39" s="115"/>
      <c r="F39" s="115"/>
      <c r="G39" s="116"/>
      <c r="H39" s="117"/>
      <c r="I39" s="117"/>
      <c r="J39" s="117"/>
      <c r="K39" s="117"/>
      <c r="L39" s="71" t="s">
        <v>107</v>
      </c>
      <c r="M39" s="118" t="s">
        <v>103</v>
      </c>
      <c r="N39" s="118"/>
      <c r="O39" s="118"/>
      <c r="P39" s="119"/>
      <c r="Q39" s="120"/>
      <c r="R39" s="121"/>
    </row>
    <row r="40" spans="1:18" s="122" customFormat="1" ht="31.5" customHeight="1" x14ac:dyDescent="0.55000000000000004">
      <c r="A40" s="123"/>
      <c r="B40" s="124"/>
      <c r="C40" s="125" t="s">
        <v>104</v>
      </c>
      <c r="D40" s="125"/>
      <c r="E40" s="125"/>
      <c r="F40" s="125"/>
      <c r="G40" s="125"/>
      <c r="H40" s="126" t="s">
        <v>152</v>
      </c>
      <c r="I40" s="126" t="s">
        <v>153</v>
      </c>
      <c r="J40" s="126"/>
      <c r="K40" s="127"/>
      <c r="L40" s="79"/>
      <c r="M40" s="128"/>
      <c r="N40" s="128"/>
      <c r="O40" s="128"/>
      <c r="P40" s="129"/>
      <c r="Q40" s="120"/>
      <c r="R40" s="121"/>
    </row>
    <row r="41" spans="1:18" s="122" customFormat="1" ht="36" customHeight="1" x14ac:dyDescent="0.55000000000000004">
      <c r="A41" s="130">
        <v>1</v>
      </c>
      <c r="B41" s="131" t="s">
        <v>108</v>
      </c>
      <c r="C41" s="132"/>
      <c r="D41" s="133"/>
      <c r="E41" s="133"/>
      <c r="F41" s="133"/>
      <c r="G41" s="134"/>
      <c r="H41" s="135"/>
      <c r="I41" s="135"/>
      <c r="J41" s="135"/>
      <c r="K41" s="135"/>
      <c r="L41" s="136"/>
      <c r="M41" s="137" t="s">
        <v>41</v>
      </c>
      <c r="N41" s="138" t="s">
        <v>109</v>
      </c>
      <c r="O41" s="139"/>
      <c r="P41" s="129"/>
      <c r="Q41" s="120"/>
      <c r="R41" s="121"/>
    </row>
    <row r="42" spans="1:18" s="122" customFormat="1" ht="84.75" customHeight="1" x14ac:dyDescent="0.55000000000000004">
      <c r="A42" s="140" t="s">
        <v>110</v>
      </c>
      <c r="B42" s="141" t="s">
        <v>154</v>
      </c>
      <c r="C42" s="142"/>
      <c r="D42" s="143"/>
      <c r="E42" s="143"/>
      <c r="F42" s="143"/>
      <c r="G42" s="144"/>
      <c r="H42" s="145">
        <v>4</v>
      </c>
      <c r="I42" s="146"/>
      <c r="J42" s="145"/>
      <c r="K42" s="145"/>
      <c r="L42" s="136"/>
      <c r="M42" s="137" t="s">
        <v>42</v>
      </c>
      <c r="N42" s="138" t="s">
        <v>111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112</v>
      </c>
      <c r="B43" s="141" t="s">
        <v>155</v>
      </c>
      <c r="C43" s="142"/>
      <c r="D43" s="143"/>
      <c r="E43" s="143"/>
      <c r="F43" s="143"/>
      <c r="G43" s="144"/>
      <c r="H43" s="145">
        <v>2</v>
      </c>
      <c r="I43" s="146"/>
      <c r="J43" s="145"/>
      <c r="K43" s="145"/>
      <c r="L43" s="136"/>
      <c r="M43" s="137" t="s">
        <v>43</v>
      </c>
      <c r="N43" s="138" t="s">
        <v>113</v>
      </c>
      <c r="O43" s="139"/>
      <c r="P43" s="129"/>
      <c r="Q43" s="120"/>
      <c r="R43" s="121"/>
    </row>
    <row r="44" spans="1:18" s="122" customFormat="1" ht="78.75" customHeight="1" x14ac:dyDescent="0.55000000000000004">
      <c r="A44" s="140" t="s">
        <v>114</v>
      </c>
      <c r="B44" s="141" t="s">
        <v>115</v>
      </c>
      <c r="C44" s="142"/>
      <c r="D44" s="143"/>
      <c r="E44" s="143"/>
      <c r="F44" s="143"/>
      <c r="G44" s="144"/>
      <c r="H44" s="145">
        <v>2</v>
      </c>
      <c r="I44" s="146"/>
      <c r="J44" s="145"/>
      <c r="K44" s="145"/>
      <c r="L44" s="136"/>
      <c r="M44" s="137" t="s">
        <v>44</v>
      </c>
      <c r="N44" s="138" t="s">
        <v>116</v>
      </c>
      <c r="O44" s="139"/>
      <c r="P44" s="129"/>
      <c r="Q44" s="120"/>
      <c r="R44" s="121"/>
    </row>
    <row r="45" spans="1:18" s="122" customFormat="1" ht="36" x14ac:dyDescent="0.55000000000000004">
      <c r="A45" s="147">
        <v>2</v>
      </c>
      <c r="B45" s="148" t="s">
        <v>117</v>
      </c>
      <c r="C45" s="149"/>
      <c r="D45" s="150"/>
      <c r="E45" s="150"/>
      <c r="F45" s="150"/>
      <c r="G45" s="151"/>
      <c r="H45" s="145"/>
      <c r="I45" s="146"/>
      <c r="J45" s="145"/>
      <c r="K45" s="145"/>
      <c r="L45" s="136"/>
      <c r="M45" s="137" t="s">
        <v>45</v>
      </c>
      <c r="N45" s="138" t="s">
        <v>118</v>
      </c>
      <c r="O45" s="139"/>
      <c r="P45" s="129"/>
      <c r="Q45" s="120"/>
      <c r="R45" s="121"/>
    </row>
    <row r="46" spans="1:18" s="122" customFormat="1" ht="82.5" customHeight="1" x14ac:dyDescent="0.55000000000000004">
      <c r="A46" s="140" t="s">
        <v>110</v>
      </c>
      <c r="B46" s="152" t="s">
        <v>156</v>
      </c>
      <c r="C46" s="153"/>
      <c r="D46" s="154"/>
      <c r="E46" s="154"/>
      <c r="F46" s="154"/>
      <c r="G46" s="155"/>
      <c r="H46" s="145">
        <v>2</v>
      </c>
      <c r="I46" s="146"/>
      <c r="J46" s="145"/>
      <c r="K46" s="145"/>
      <c r="L46" s="136"/>
      <c r="M46" s="137" t="s">
        <v>46</v>
      </c>
      <c r="N46" s="138" t="s">
        <v>119</v>
      </c>
      <c r="O46" s="139"/>
      <c r="P46" s="156"/>
      <c r="Q46" s="120"/>
      <c r="R46" s="121"/>
    </row>
    <row r="47" spans="1:18" s="122" customFormat="1" ht="114.75" customHeight="1" x14ac:dyDescent="0.55000000000000004">
      <c r="A47" s="140" t="s">
        <v>112</v>
      </c>
      <c r="B47" s="152" t="s">
        <v>157</v>
      </c>
      <c r="C47" s="153"/>
      <c r="D47" s="154"/>
      <c r="E47" s="154"/>
      <c r="F47" s="154"/>
      <c r="G47" s="155"/>
      <c r="H47" s="145">
        <v>2</v>
      </c>
      <c r="I47" s="146"/>
      <c r="J47" s="145"/>
      <c r="K47" s="145"/>
      <c r="L47" s="136"/>
      <c r="M47" s="129" t="s">
        <v>107</v>
      </c>
      <c r="N47" s="157" t="s">
        <v>120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114</v>
      </c>
      <c r="B48" s="152" t="s">
        <v>158</v>
      </c>
      <c r="C48" s="153"/>
      <c r="D48" s="154"/>
      <c r="E48" s="154"/>
      <c r="F48" s="154"/>
      <c r="G48" s="155"/>
      <c r="H48" s="145">
        <v>2</v>
      </c>
      <c r="I48" s="146"/>
      <c r="J48" s="145"/>
      <c r="K48" s="145"/>
      <c r="L48" s="136"/>
      <c r="M48" s="129" t="s">
        <v>121</v>
      </c>
      <c r="N48" s="157" t="s">
        <v>122</v>
      </c>
      <c r="O48" s="158"/>
      <c r="P48" s="156"/>
      <c r="Q48" s="120"/>
      <c r="R48" s="121"/>
    </row>
    <row r="49" spans="1:18" s="122" customFormat="1" ht="66" customHeight="1" x14ac:dyDescent="0.55000000000000004">
      <c r="A49" s="147">
        <v>3</v>
      </c>
      <c r="B49" s="148" t="s">
        <v>123</v>
      </c>
      <c r="C49" s="149"/>
      <c r="D49" s="150"/>
      <c r="E49" s="150"/>
      <c r="F49" s="150"/>
      <c r="G49" s="151"/>
      <c r="H49" s="145"/>
      <c r="I49" s="146"/>
      <c r="J49" s="145"/>
      <c r="K49" s="145"/>
      <c r="L49" s="136"/>
      <c r="M49" s="129" t="s">
        <v>105</v>
      </c>
      <c r="N49" s="157" t="s">
        <v>124</v>
      </c>
      <c r="O49" s="158"/>
      <c r="P49" s="156"/>
      <c r="Q49" s="120"/>
      <c r="R49" s="121"/>
    </row>
    <row r="50" spans="1:18" s="122" customFormat="1" ht="72" customHeight="1" x14ac:dyDescent="0.55000000000000004">
      <c r="A50" s="140" t="s">
        <v>110</v>
      </c>
      <c r="B50" s="152" t="s">
        <v>125</v>
      </c>
      <c r="C50" s="159"/>
      <c r="D50" s="160"/>
      <c r="E50" s="160"/>
      <c r="F50" s="160"/>
      <c r="G50" s="161"/>
      <c r="H50" s="145">
        <v>2</v>
      </c>
      <c r="I50" s="146"/>
      <c r="J50" s="145"/>
      <c r="K50" s="145"/>
      <c r="L50" s="136"/>
      <c r="M50" s="129" t="s">
        <v>106</v>
      </c>
      <c r="N50" s="157" t="s">
        <v>126</v>
      </c>
      <c r="O50" s="158"/>
      <c r="P50" s="156"/>
      <c r="Q50" s="120"/>
      <c r="R50" s="121"/>
    </row>
    <row r="51" spans="1:18" s="122" customFormat="1" ht="72" customHeight="1" x14ac:dyDescent="0.55000000000000004">
      <c r="A51" s="140" t="s">
        <v>112</v>
      </c>
      <c r="B51" s="152" t="s">
        <v>159</v>
      </c>
      <c r="C51" s="159"/>
      <c r="D51" s="160"/>
      <c r="E51" s="160"/>
      <c r="F51" s="160"/>
      <c r="G51" s="161"/>
      <c r="H51" s="145">
        <v>2</v>
      </c>
      <c r="I51" s="146"/>
      <c r="J51" s="145"/>
      <c r="K51" s="145"/>
      <c r="L51" s="136"/>
      <c r="M51" s="129" t="s">
        <v>127</v>
      </c>
      <c r="N51" s="157" t="s">
        <v>128</v>
      </c>
      <c r="O51" s="158"/>
      <c r="P51" s="156"/>
      <c r="Q51" s="120"/>
      <c r="R51" s="121"/>
    </row>
    <row r="52" spans="1:18" s="122" customFormat="1" ht="44.25" customHeight="1" x14ac:dyDescent="0.55000000000000004">
      <c r="A52" s="140" t="s">
        <v>114</v>
      </c>
      <c r="B52" s="152" t="s">
        <v>160</v>
      </c>
      <c r="C52" s="159"/>
      <c r="D52" s="160"/>
      <c r="E52" s="160"/>
      <c r="F52" s="160"/>
      <c r="G52" s="161"/>
      <c r="H52" s="145">
        <v>2</v>
      </c>
      <c r="I52" s="146"/>
      <c r="J52" s="145"/>
      <c r="K52" s="145"/>
      <c r="L52" s="136"/>
      <c r="M52" s="162"/>
      <c r="N52" s="162"/>
      <c r="O52" s="162"/>
      <c r="P52" s="163"/>
      <c r="Q52" s="120"/>
      <c r="R52" s="121"/>
    </row>
    <row r="53" spans="1:18" s="122" customFormat="1" ht="31.5" customHeight="1" x14ac:dyDescent="0.55000000000000004">
      <c r="A53" s="164" t="s">
        <v>129</v>
      </c>
      <c r="B53" s="165"/>
      <c r="C53" s="165"/>
      <c r="D53" s="165"/>
      <c r="E53" s="165"/>
      <c r="F53" s="165"/>
      <c r="G53" s="165"/>
      <c r="H53" s="166">
        <f>SUM(H42:H52)</f>
        <v>20</v>
      </c>
      <c r="I53" s="166">
        <f>SUM(I42:I52)</f>
        <v>0</v>
      </c>
      <c r="J53" s="166"/>
      <c r="K53" s="167"/>
      <c r="L53" s="136"/>
      <c r="M53" s="162"/>
      <c r="N53" s="162"/>
      <c r="O53" s="162"/>
      <c r="P53" s="163"/>
      <c r="Q53" s="120"/>
      <c r="R53" s="121"/>
    </row>
    <row r="54" spans="1:18" s="122" customFormat="1" ht="36" customHeight="1" x14ac:dyDescent="0.55000000000000004">
      <c r="A54" s="168" t="s">
        <v>110</v>
      </c>
      <c r="B54" s="169" t="s">
        <v>130</v>
      </c>
      <c r="C54" s="153" t="s">
        <v>131</v>
      </c>
      <c r="D54" s="154"/>
      <c r="E54" s="154"/>
      <c r="F54" s="154"/>
      <c r="G54" s="155"/>
      <c r="H54" s="170">
        <v>4</v>
      </c>
      <c r="I54" s="171"/>
      <c r="J54" s="170"/>
      <c r="K54" s="172"/>
      <c r="L54" s="136"/>
      <c r="M54" s="162"/>
      <c r="N54" s="162"/>
      <c r="O54" s="162"/>
      <c r="P54" s="163"/>
      <c r="Q54" s="120"/>
      <c r="R54" s="121"/>
    </row>
    <row r="55" spans="1:18" s="122" customFormat="1" ht="129" customHeight="1" x14ac:dyDescent="0.55000000000000004">
      <c r="A55" s="168" t="s">
        <v>112</v>
      </c>
      <c r="B55" s="169" t="s">
        <v>132</v>
      </c>
      <c r="C55" s="153" t="s">
        <v>133</v>
      </c>
      <c r="D55" s="154"/>
      <c r="E55" s="154"/>
      <c r="F55" s="154"/>
      <c r="G55" s="155"/>
      <c r="H55" s="170">
        <v>3</v>
      </c>
      <c r="I55" s="171"/>
      <c r="J55" s="170"/>
      <c r="K55" s="172"/>
      <c r="L55" s="136"/>
      <c r="M55" s="162"/>
      <c r="N55" s="162"/>
      <c r="O55" s="162"/>
      <c r="P55" s="163"/>
      <c r="Q55" s="120"/>
      <c r="R55" s="121"/>
    </row>
    <row r="56" spans="1:18" s="122" customFormat="1" ht="69" customHeight="1" x14ac:dyDescent="0.55000000000000004">
      <c r="A56" s="168" t="s">
        <v>112</v>
      </c>
      <c r="B56" s="169" t="s">
        <v>134</v>
      </c>
      <c r="C56" s="153" t="s">
        <v>135</v>
      </c>
      <c r="D56" s="154"/>
      <c r="E56" s="154"/>
      <c r="F56" s="154"/>
      <c r="G56" s="155"/>
      <c r="H56" s="170">
        <v>3</v>
      </c>
      <c r="I56" s="171"/>
      <c r="J56" s="170"/>
      <c r="K56" s="172"/>
      <c r="L56" s="136"/>
      <c r="M56" s="162"/>
      <c r="N56" s="162"/>
      <c r="O56" s="162"/>
      <c r="P56" s="163"/>
      <c r="Q56" s="120"/>
      <c r="R56" s="121"/>
    </row>
    <row r="57" spans="1:18" s="122" customFormat="1" ht="46.5" customHeight="1" x14ac:dyDescent="0.55000000000000004">
      <c r="A57" s="173"/>
      <c r="B57" s="174" t="s">
        <v>136</v>
      </c>
      <c r="C57" s="174"/>
      <c r="D57" s="174"/>
      <c r="E57" s="175"/>
      <c r="F57" s="175"/>
      <c r="G57" s="175"/>
      <c r="H57" s="166">
        <f>SUM(H54:H56)</f>
        <v>10</v>
      </c>
      <c r="I57" s="166">
        <f>SUM(I54:I56)</f>
        <v>0</v>
      </c>
      <c r="J57" s="175"/>
      <c r="K57" s="176"/>
      <c r="L57" s="162"/>
      <c r="M57" s="162"/>
      <c r="N57" s="162"/>
      <c r="O57" s="162"/>
      <c r="P57" s="163"/>
      <c r="Q57" s="120"/>
      <c r="R57" s="121"/>
    </row>
    <row r="58" spans="1:18" s="184" customFormat="1" ht="45" customHeight="1" x14ac:dyDescent="0.7">
      <c r="A58" s="177"/>
      <c r="B58" s="178"/>
      <c r="C58" s="179"/>
      <c r="D58" s="179"/>
      <c r="E58" s="179"/>
      <c r="F58" s="180"/>
      <c r="G58" s="180"/>
      <c r="H58" s="180"/>
      <c r="I58" s="180"/>
      <c r="J58" s="180"/>
      <c r="K58" s="179"/>
      <c r="L58" s="179"/>
      <c r="M58" s="179"/>
      <c r="N58" s="179"/>
      <c r="O58" s="181" t="s">
        <v>161</v>
      </c>
      <c r="P58" s="182"/>
      <c r="Q58" s="181" t="s">
        <v>162</v>
      </c>
      <c r="R58" s="183"/>
    </row>
    <row r="59" spans="1:18" s="184" customFormat="1" ht="45" customHeight="1" x14ac:dyDescent="0.7">
      <c r="A59" s="177"/>
      <c r="B59" s="185"/>
      <c r="C59" s="186" t="s">
        <v>163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R38</f>
        <v>0</v>
      </c>
      <c r="P59" s="193"/>
      <c r="Q59" s="194">
        <f>O62/100 * 20</f>
        <v>0</v>
      </c>
      <c r="R59" s="195"/>
    </row>
    <row r="60" spans="1:18" s="184" customFormat="1" ht="45" customHeight="1" x14ac:dyDescent="0.7">
      <c r="A60" s="177"/>
      <c r="B60" s="185"/>
      <c r="C60" s="187" t="s">
        <v>164</v>
      </c>
      <c r="D60" s="187"/>
      <c r="E60" s="187"/>
      <c r="F60" s="187"/>
      <c r="G60" s="187"/>
      <c r="H60" s="187"/>
      <c r="I60" s="187"/>
      <c r="J60" s="187"/>
      <c r="K60" s="187"/>
      <c r="L60" s="190"/>
      <c r="M60" s="190"/>
      <c r="N60" s="191"/>
      <c r="O60" s="192">
        <f>I53</f>
        <v>0</v>
      </c>
      <c r="P60" s="193"/>
      <c r="Q60" s="196"/>
      <c r="R60" s="197"/>
    </row>
    <row r="61" spans="1:18" s="184" customFormat="1" ht="45" customHeight="1" x14ac:dyDescent="0.7">
      <c r="A61" s="177"/>
      <c r="B61" s="185"/>
      <c r="C61" s="186" t="s">
        <v>165</v>
      </c>
      <c r="D61" s="187"/>
      <c r="E61" s="187"/>
      <c r="F61" s="187"/>
      <c r="G61" s="187"/>
      <c r="H61" s="187"/>
      <c r="I61" s="187"/>
      <c r="J61" s="187"/>
      <c r="K61" s="188"/>
      <c r="L61" s="189"/>
      <c r="M61" s="190"/>
      <c r="N61" s="191"/>
      <c r="O61" s="192">
        <f>I57</f>
        <v>0</v>
      </c>
      <c r="P61" s="193"/>
      <c r="Q61" s="196"/>
      <c r="R61" s="197"/>
    </row>
    <row r="62" spans="1:18" s="184" customFormat="1" ht="45" customHeight="1" x14ac:dyDescent="0.7">
      <c r="A62" s="177"/>
      <c r="B62" s="198"/>
      <c r="C62" s="186" t="s">
        <v>166</v>
      </c>
      <c r="D62" s="187"/>
      <c r="E62" s="187"/>
      <c r="F62" s="187"/>
      <c r="G62" s="187"/>
      <c r="H62" s="187"/>
      <c r="I62" s="187"/>
      <c r="J62" s="187"/>
      <c r="K62" s="188"/>
      <c r="L62" s="189"/>
      <c r="M62" s="190"/>
      <c r="N62" s="191"/>
      <c r="O62" s="192">
        <f>SUM(O59:P61)</f>
        <v>0</v>
      </c>
      <c r="P62" s="193"/>
      <c r="Q62" s="199"/>
      <c r="R62" s="200"/>
    </row>
    <row r="63" spans="1:18" s="184" customFormat="1" ht="64.900000000000006" customHeight="1" x14ac:dyDescent="0.7">
      <c r="A63" s="177"/>
      <c r="B63" s="201" t="s">
        <v>167</v>
      </c>
      <c r="C63" s="201"/>
      <c r="D63" s="201"/>
      <c r="E63" s="201"/>
      <c r="F63" s="201"/>
      <c r="G63" s="201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3"/>
    </row>
    <row r="64" spans="1:18" s="184" customFormat="1" ht="64.900000000000006" customHeight="1" x14ac:dyDescent="0.7">
      <c r="A64" s="177"/>
      <c r="B64" s="204" t="s">
        <v>168</v>
      </c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5"/>
    </row>
    <row r="65" spans="1:18" s="184" customFormat="1" ht="48.75" customHeight="1" x14ac:dyDescent="0.7">
      <c r="A65" s="177"/>
      <c r="B65" s="206" t="s">
        <v>169</v>
      </c>
      <c r="C65" s="206"/>
      <c r="D65" s="206"/>
      <c r="E65" s="206"/>
      <c r="F65" s="206"/>
      <c r="G65" s="206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8"/>
    </row>
    <row r="66" spans="1:18" s="184" customFormat="1" ht="45.75" x14ac:dyDescent="0.7">
      <c r="A66" s="177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5"/>
    </row>
    <row r="67" spans="1:18" s="122" customFormat="1" ht="31.5" customHeight="1" x14ac:dyDescent="0.55000000000000004">
      <c r="A67" s="209" t="s">
        <v>170</v>
      </c>
      <c r="B67" s="210"/>
      <c r="C67" s="211"/>
      <c r="D67" s="212"/>
      <c r="E67" s="213" t="s">
        <v>171</v>
      </c>
      <c r="F67" s="214"/>
      <c r="G67" s="210" t="s">
        <v>172</v>
      </c>
      <c r="H67" s="211"/>
      <c r="I67" s="211"/>
      <c r="J67" s="211"/>
      <c r="K67" s="215"/>
      <c r="L67" s="136"/>
      <c r="M67" s="216"/>
      <c r="N67" s="216"/>
      <c r="O67" s="216"/>
      <c r="P67" s="216"/>
      <c r="Q67" s="216"/>
      <c r="R67" s="121"/>
    </row>
    <row r="68" spans="1:18" s="122" customFormat="1" ht="31.5" customHeight="1" x14ac:dyDescent="0.55000000000000004">
      <c r="A68" s="217"/>
      <c r="B68" s="218"/>
      <c r="C68" s="219"/>
      <c r="D68" s="220"/>
      <c r="E68" s="221"/>
      <c r="F68" s="222"/>
      <c r="G68" s="218"/>
      <c r="H68" s="219"/>
      <c r="I68" s="219"/>
      <c r="J68" s="219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17"/>
      <c r="B69" s="218"/>
      <c r="C69" s="219"/>
      <c r="D69" s="220"/>
      <c r="E69" s="221"/>
      <c r="F69" s="222"/>
      <c r="G69" s="218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24"/>
      <c r="B70" s="225"/>
      <c r="C70" s="226"/>
      <c r="D70" s="227"/>
      <c r="E70" s="228"/>
      <c r="F70" s="229"/>
      <c r="G70" s="225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30" t="s">
        <v>137</v>
      </c>
      <c r="B71" s="231"/>
      <c r="C71" s="211"/>
      <c r="D71" s="212"/>
      <c r="E71" s="232" t="s">
        <v>173</v>
      </c>
      <c r="F71" s="214"/>
      <c r="G71" s="231" t="s">
        <v>173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33"/>
      <c r="B72" s="234"/>
      <c r="C72" s="219"/>
      <c r="D72" s="220"/>
      <c r="E72" s="235"/>
      <c r="F72" s="222"/>
      <c r="G72" s="234"/>
      <c r="H72" s="219"/>
      <c r="I72" s="219"/>
      <c r="J72" s="219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x14ac:dyDescent="0.55000000000000004">
      <c r="A73" s="233"/>
      <c r="B73" s="234"/>
      <c r="C73" s="226"/>
      <c r="D73" s="227"/>
      <c r="E73" s="236"/>
      <c r="F73" s="229"/>
      <c r="G73" s="237"/>
      <c r="H73" s="226"/>
      <c r="I73" s="226"/>
      <c r="J73" s="226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17" t="s">
        <v>138</v>
      </c>
      <c r="B74" s="218"/>
      <c r="C74" s="211"/>
      <c r="D74" s="212"/>
      <c r="E74" s="213" t="s">
        <v>174</v>
      </c>
      <c r="F74" s="214"/>
      <c r="G74" s="210" t="s">
        <v>174</v>
      </c>
      <c r="H74" s="211"/>
      <c r="I74" s="211"/>
      <c r="J74" s="211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17"/>
      <c r="B75" s="218"/>
      <c r="C75" s="226"/>
      <c r="D75" s="227"/>
      <c r="E75" s="228"/>
      <c r="F75" s="229"/>
      <c r="G75" s="225"/>
      <c r="H75" s="226"/>
      <c r="I75" s="226"/>
      <c r="J75" s="226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thickBot="1" x14ac:dyDescent="0.6">
      <c r="A76" s="238"/>
      <c r="B76" s="239"/>
      <c r="C76" s="239"/>
      <c r="D76" s="239"/>
      <c r="E76" s="239"/>
      <c r="F76" s="239"/>
      <c r="G76" s="239"/>
      <c r="H76" s="239"/>
      <c r="I76" s="239"/>
      <c r="J76" s="239"/>
      <c r="K76" s="240"/>
      <c r="L76" s="241"/>
      <c r="M76" s="242"/>
      <c r="N76" s="242"/>
      <c r="O76" s="242"/>
      <c r="P76" s="242"/>
      <c r="Q76" s="242"/>
      <c r="R76" s="243"/>
    </row>
  </sheetData>
  <mergeCells count="118">
    <mergeCell ref="B32:B33"/>
    <mergeCell ref="C32:C33"/>
    <mergeCell ref="A76:J76"/>
    <mergeCell ref="A19:A23"/>
    <mergeCell ref="B19:B23"/>
    <mergeCell ref="C19:C23"/>
    <mergeCell ref="A24:A25"/>
    <mergeCell ref="B24:B25"/>
    <mergeCell ref="C24:C25"/>
    <mergeCell ref="A26:A29"/>
    <mergeCell ref="B26:B29"/>
    <mergeCell ref="C26:C29"/>
    <mergeCell ref="A74:B75"/>
    <mergeCell ref="C74:D75"/>
    <mergeCell ref="E74:E75"/>
    <mergeCell ref="F74:F75"/>
    <mergeCell ref="G74:G75"/>
    <mergeCell ref="H74:J75"/>
    <mergeCell ref="A71:B73"/>
    <mergeCell ref="C71:D73"/>
    <mergeCell ref="E71:E73"/>
    <mergeCell ref="F71:F73"/>
    <mergeCell ref="G71:G73"/>
    <mergeCell ref="H71:J73"/>
    <mergeCell ref="B64:R64"/>
    <mergeCell ref="B65:G65"/>
    <mergeCell ref="B66:R66"/>
    <mergeCell ref="A67:B70"/>
    <mergeCell ref="C67:D70"/>
    <mergeCell ref="E67:E70"/>
    <mergeCell ref="F67:F70"/>
    <mergeCell ref="G67:G70"/>
    <mergeCell ref="H67:J70"/>
    <mergeCell ref="M67:Q76"/>
    <mergeCell ref="L61:N61"/>
    <mergeCell ref="O61:P61"/>
    <mergeCell ref="C62:K62"/>
    <mergeCell ref="L62:N62"/>
    <mergeCell ref="O62:P62"/>
    <mergeCell ref="B63:G63"/>
    <mergeCell ref="O58:P58"/>
    <mergeCell ref="Q58:R58"/>
    <mergeCell ref="C59:K59"/>
    <mergeCell ref="L59:N59"/>
    <mergeCell ref="O59:P59"/>
    <mergeCell ref="Q59:R62"/>
    <mergeCell ref="C60:K60"/>
    <mergeCell ref="L60:N60"/>
    <mergeCell ref="O60:P60"/>
    <mergeCell ref="C61:K61"/>
    <mergeCell ref="A53:G53"/>
    <mergeCell ref="C54:G54"/>
    <mergeCell ref="C55:G55"/>
    <mergeCell ref="C56:G56"/>
    <mergeCell ref="B57:D57"/>
    <mergeCell ref="B58:B62"/>
    <mergeCell ref="F58:J58"/>
    <mergeCell ref="C47:G47"/>
    <mergeCell ref="C48:G48"/>
    <mergeCell ref="C49:G49"/>
    <mergeCell ref="C50:G50"/>
    <mergeCell ref="C51:G51"/>
    <mergeCell ref="C52:G52"/>
    <mergeCell ref="C44:G44"/>
    <mergeCell ref="N44:O44"/>
    <mergeCell ref="C45:G45"/>
    <mergeCell ref="N45:O45"/>
    <mergeCell ref="C46:G46"/>
    <mergeCell ref="N46:O46"/>
    <mergeCell ref="C41:G41"/>
    <mergeCell ref="N41:O41"/>
    <mergeCell ref="C42:G42"/>
    <mergeCell ref="N42:O42"/>
    <mergeCell ref="C43:G43"/>
    <mergeCell ref="N43:O43"/>
    <mergeCell ref="R17:R18"/>
    <mergeCell ref="I38:Q38"/>
    <mergeCell ref="A39:G39"/>
    <mergeCell ref="H39:K39"/>
    <mergeCell ref="L39:L40"/>
    <mergeCell ref="C40:G40"/>
    <mergeCell ref="A30:A31"/>
    <mergeCell ref="B30:B31"/>
    <mergeCell ref="C30:C31"/>
    <mergeCell ref="A32:A33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41FA3036-03E9-47D2-BD95-F9BA0049A585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D90A-E871-4B00-905E-1DDAE572056E}">
  <sheetPr>
    <pageSetUpPr fitToPage="1"/>
  </sheetPr>
  <dimension ref="A1:R76"/>
  <sheetViews>
    <sheetView zoomScale="30" zoomScaleNormal="30" workbookViewId="0">
      <selection activeCell="A19" sqref="A19:O36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179</v>
      </c>
      <c r="C5" s="16" t="s">
        <v>2</v>
      </c>
      <c r="D5" s="17" t="s">
        <v>180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12</v>
      </c>
      <c r="B8" s="256"/>
      <c r="C8" s="257">
        <v>61169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18</v>
      </c>
      <c r="D10" s="266" t="s">
        <v>6</v>
      </c>
      <c r="E10" s="265" t="s">
        <v>19</v>
      </c>
      <c r="F10" s="266" t="s">
        <v>8</v>
      </c>
      <c r="G10" s="267" t="s">
        <v>20</v>
      </c>
      <c r="H10" s="266" t="s">
        <v>10</v>
      </c>
      <c r="I10" s="268" t="s">
        <v>21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12</v>
      </c>
      <c r="B11" s="272"/>
      <c r="C11" s="273">
        <v>64218</v>
      </c>
      <c r="D11" s="274" t="s">
        <v>13</v>
      </c>
      <c r="E11" s="275" t="s">
        <v>22</v>
      </c>
      <c r="F11" s="274" t="s">
        <v>14</v>
      </c>
      <c r="G11" s="276" t="s">
        <v>23</v>
      </c>
      <c r="H11" s="274" t="s">
        <v>15</v>
      </c>
      <c r="I11" s="277" t="s">
        <v>16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25</v>
      </c>
      <c r="D13" s="36" t="s">
        <v>6</v>
      </c>
      <c r="E13" s="35" t="s">
        <v>26</v>
      </c>
      <c r="F13" s="37" t="s">
        <v>8</v>
      </c>
      <c r="G13" s="38" t="s">
        <v>27</v>
      </c>
      <c r="H13" s="36" t="s">
        <v>10</v>
      </c>
      <c r="I13" s="39" t="s">
        <v>28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9" t="s">
        <v>29</v>
      </c>
      <c r="F14" s="46" t="s">
        <v>14</v>
      </c>
      <c r="G14" s="280"/>
      <c r="H14" s="45" t="s">
        <v>15</v>
      </c>
      <c r="I14" s="47" t="s">
        <v>30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31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32</v>
      </c>
      <c r="B17" s="64" t="s">
        <v>33</v>
      </c>
      <c r="C17" s="65" t="s">
        <v>34</v>
      </c>
      <c r="D17" s="65" t="s">
        <v>35</v>
      </c>
      <c r="E17" s="65" t="s">
        <v>34</v>
      </c>
      <c r="F17" s="66" t="s">
        <v>36</v>
      </c>
      <c r="G17" s="66" t="s">
        <v>37</v>
      </c>
      <c r="H17" s="67" t="s">
        <v>38</v>
      </c>
      <c r="I17" s="66" t="s">
        <v>39</v>
      </c>
      <c r="J17" s="68" t="s">
        <v>40</v>
      </c>
      <c r="K17" s="69"/>
      <c r="L17" s="69"/>
      <c r="M17" s="69"/>
      <c r="N17" s="69"/>
      <c r="O17" s="70"/>
      <c r="P17" s="71" t="s">
        <v>142</v>
      </c>
      <c r="Q17" s="71" t="s">
        <v>143</v>
      </c>
      <c r="R17" s="72" t="s">
        <v>144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145</v>
      </c>
      <c r="K18" s="78" t="s">
        <v>146</v>
      </c>
      <c r="L18" s="78" t="s">
        <v>147</v>
      </c>
      <c r="M18" s="77" t="s">
        <v>148</v>
      </c>
      <c r="N18" s="77" t="s">
        <v>149</v>
      </c>
      <c r="O18" s="77" t="s">
        <v>150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47</v>
      </c>
      <c r="C19" s="283">
        <f>0.2 *8.59335038363171</f>
        <v>1.7186700767263421</v>
      </c>
      <c r="D19" s="81" t="s">
        <v>48</v>
      </c>
      <c r="E19" s="82">
        <f>C19/5</f>
        <v>0.34373401534526843</v>
      </c>
      <c r="F19" s="82">
        <f>E19/$E$37* 100</f>
        <v>1.5748769627372852</v>
      </c>
      <c r="G19" s="83" t="s">
        <v>49</v>
      </c>
      <c r="H19" s="84">
        <v>1</v>
      </c>
      <c r="I19" s="85" t="s">
        <v>50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51</v>
      </c>
      <c r="P19" s="88"/>
      <c r="Q19" s="89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6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52</v>
      </c>
      <c r="E20" s="82">
        <f>C19/5</f>
        <v>0.34373401534526843</v>
      </c>
      <c r="F20" s="82">
        <f t="shared" ref="F20:F36" si="2">E20/$E$37* 100</f>
        <v>1.5748769627372852</v>
      </c>
      <c r="G20" s="83" t="s">
        <v>53</v>
      </c>
      <c r="H20" s="84">
        <v>1</v>
      </c>
      <c r="I20" s="85" t="s">
        <v>50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51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54</v>
      </c>
      <c r="E21" s="82">
        <f>C19/5</f>
        <v>0.34373401534526843</v>
      </c>
      <c r="F21" s="82">
        <f t="shared" si="2"/>
        <v>1.5748769627372852</v>
      </c>
      <c r="G21" s="83" t="s">
        <v>55</v>
      </c>
      <c r="H21" s="84">
        <v>1</v>
      </c>
      <c r="I21" s="85" t="s">
        <v>50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51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56</v>
      </c>
      <c r="E22" s="82">
        <f>C19/5</f>
        <v>0.34373401534526843</v>
      </c>
      <c r="F22" s="82">
        <f t="shared" si="2"/>
        <v>1.5748769627372852</v>
      </c>
      <c r="G22" s="83" t="s">
        <v>57</v>
      </c>
      <c r="H22" s="92">
        <v>5</v>
      </c>
      <c r="I22" s="85" t="s">
        <v>58</v>
      </c>
      <c r="J22" s="86" t="s">
        <v>59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60</v>
      </c>
      <c r="E23" s="82">
        <f>C19/5</f>
        <v>0.34373401534526843</v>
      </c>
      <c r="F23" s="82">
        <f t="shared" si="2"/>
        <v>1.5748769627372852</v>
      </c>
      <c r="G23" s="83" t="s">
        <v>61</v>
      </c>
      <c r="H23" s="84">
        <v>1</v>
      </c>
      <c r="I23" s="85" t="s">
        <v>50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51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62</v>
      </c>
      <c r="C24" s="283">
        <f>0.5 *4.29667519181586</f>
        <v>2.1483375959079298</v>
      </c>
      <c r="D24" s="81" t="s">
        <v>63</v>
      </c>
      <c r="E24" s="82">
        <f>C24/2</f>
        <v>1.0741687979539649</v>
      </c>
      <c r="F24" s="82">
        <f t="shared" si="2"/>
        <v>4.9214905085540206</v>
      </c>
      <c r="G24" s="83" t="s">
        <v>64</v>
      </c>
      <c r="H24" s="84">
        <v>0.5</v>
      </c>
      <c r="I24" s="85" t="s">
        <v>50</v>
      </c>
      <c r="J24" s="86" t="s">
        <v>65</v>
      </c>
      <c r="K24" s="87">
        <v>50</v>
      </c>
      <c r="L24" s="87">
        <v>45</v>
      </c>
      <c r="M24" s="87">
        <v>40</v>
      </c>
      <c r="N24" s="87">
        <v>25</v>
      </c>
      <c r="O24" s="87" t="s">
        <v>66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7"/>
      <c r="B25" s="288"/>
      <c r="C25" s="289"/>
      <c r="D25" s="81" t="s">
        <v>67</v>
      </c>
      <c r="E25" s="82">
        <f>C24/2</f>
        <v>1.0741687979539649</v>
      </c>
      <c r="F25" s="82">
        <f t="shared" si="2"/>
        <v>4.9214905085540206</v>
      </c>
      <c r="G25" s="83" t="s">
        <v>68</v>
      </c>
      <c r="H25" s="84">
        <v>0.5</v>
      </c>
      <c r="I25" s="85" t="s">
        <v>50</v>
      </c>
      <c r="J25" s="86" t="s">
        <v>65</v>
      </c>
      <c r="K25" s="87">
        <v>50</v>
      </c>
      <c r="L25" s="87">
        <v>45</v>
      </c>
      <c r="M25" s="87">
        <v>40</v>
      </c>
      <c r="N25" s="87">
        <v>25</v>
      </c>
      <c r="O25" s="87" t="s">
        <v>66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1">
        <v>3</v>
      </c>
      <c r="B26" s="282" t="s">
        <v>69</v>
      </c>
      <c r="C26" s="283">
        <f>0.2 *57.2122762148338</f>
        <v>11.44245524296676</v>
      </c>
      <c r="D26" s="94" t="s">
        <v>70</v>
      </c>
      <c r="E26" s="82">
        <f>C26/4</f>
        <v>2.8606138107416901</v>
      </c>
      <c r="F26" s="82">
        <f t="shared" si="2"/>
        <v>13.106397937661123</v>
      </c>
      <c r="G26" s="83" t="s">
        <v>71</v>
      </c>
      <c r="H26" s="93">
        <v>0.8</v>
      </c>
      <c r="I26" s="92" t="s">
        <v>50</v>
      </c>
      <c r="J26" s="86" t="s">
        <v>72</v>
      </c>
      <c r="K26" s="87">
        <v>80</v>
      </c>
      <c r="L26" s="87">
        <v>75</v>
      </c>
      <c r="M26" s="87">
        <v>70</v>
      </c>
      <c r="N26" s="87">
        <v>50</v>
      </c>
      <c r="O26" s="87" t="s">
        <v>73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74</v>
      </c>
      <c r="E27" s="82">
        <f>C26/4</f>
        <v>2.8606138107416901</v>
      </c>
      <c r="F27" s="82">
        <f t="shared" si="2"/>
        <v>13.106397937661123</v>
      </c>
      <c r="G27" s="83" t="s">
        <v>75</v>
      </c>
      <c r="H27" s="93">
        <v>0.8</v>
      </c>
      <c r="I27" s="92" t="s">
        <v>50</v>
      </c>
      <c r="J27" s="86" t="s">
        <v>72</v>
      </c>
      <c r="K27" s="87">
        <v>80</v>
      </c>
      <c r="L27" s="87">
        <v>75</v>
      </c>
      <c r="M27" s="87">
        <v>70</v>
      </c>
      <c r="N27" s="87">
        <v>50</v>
      </c>
      <c r="O27" s="87" t="s">
        <v>73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76</v>
      </c>
      <c r="E28" s="82">
        <f>C26/4</f>
        <v>2.8606138107416901</v>
      </c>
      <c r="F28" s="82">
        <f t="shared" si="2"/>
        <v>13.106397937661123</v>
      </c>
      <c r="G28" s="83" t="s">
        <v>77</v>
      </c>
      <c r="H28" s="93">
        <v>0.8</v>
      </c>
      <c r="I28" s="92" t="s">
        <v>50</v>
      </c>
      <c r="J28" s="86" t="s">
        <v>72</v>
      </c>
      <c r="K28" s="87">
        <v>80</v>
      </c>
      <c r="L28" s="87">
        <v>75</v>
      </c>
      <c r="M28" s="87">
        <v>70</v>
      </c>
      <c r="N28" s="87">
        <v>50</v>
      </c>
      <c r="O28" s="87" t="s">
        <v>73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78</v>
      </c>
      <c r="E29" s="82">
        <f>C26/4</f>
        <v>2.8606138107416901</v>
      </c>
      <c r="F29" s="82">
        <f t="shared" si="2"/>
        <v>13.106397937661123</v>
      </c>
      <c r="G29" s="83" t="s">
        <v>79</v>
      </c>
      <c r="H29" s="93">
        <v>1</v>
      </c>
      <c r="I29" s="85" t="s">
        <v>50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51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81">
        <v>4</v>
      </c>
      <c r="B30" s="282" t="s">
        <v>80</v>
      </c>
      <c r="C30" s="290">
        <f>0.2 *0.895140664961637</f>
        <v>0.17902813299232742</v>
      </c>
      <c r="D30" s="81" t="s">
        <v>81</v>
      </c>
      <c r="E30" s="82">
        <f>C30/2</f>
        <v>8.9514066496163711E-2</v>
      </c>
      <c r="F30" s="82">
        <f t="shared" si="2"/>
        <v>0.4101242090461682</v>
      </c>
      <c r="G30" s="83" t="s">
        <v>82</v>
      </c>
      <c r="H30" s="93">
        <v>1</v>
      </c>
      <c r="I30" s="85" t="s">
        <v>50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87"/>
      <c r="B31" s="288"/>
      <c r="C31" s="291"/>
      <c r="D31" s="81" t="s">
        <v>83</v>
      </c>
      <c r="E31" s="82">
        <f>C30/2</f>
        <v>8.9514066496163711E-2</v>
      </c>
      <c r="F31" s="82">
        <f t="shared" si="2"/>
        <v>0.4101242090461682</v>
      </c>
      <c r="G31" s="83" t="s">
        <v>84</v>
      </c>
      <c r="H31" s="92">
        <v>5</v>
      </c>
      <c r="I31" s="85" t="s">
        <v>58</v>
      </c>
      <c r="J31" s="86" t="s">
        <v>59</v>
      </c>
      <c r="K31" s="87">
        <v>5</v>
      </c>
      <c r="L31" s="87">
        <v>4</v>
      </c>
      <c r="M31" s="87">
        <v>3</v>
      </c>
      <c r="N31" s="87">
        <v>2</v>
      </c>
      <c r="O31" s="87">
        <v>1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281">
        <v>5</v>
      </c>
      <c r="B32" s="282" t="s">
        <v>85</v>
      </c>
      <c r="C32" s="290">
        <f>0.5 *1.79028132992327</f>
        <v>0.89514066496163502</v>
      </c>
      <c r="D32" s="81" t="s">
        <v>86</v>
      </c>
      <c r="E32" s="82">
        <f>C32/2</f>
        <v>0.44757033248081751</v>
      </c>
      <c r="F32" s="82">
        <f t="shared" si="2"/>
        <v>2.050621045230836</v>
      </c>
      <c r="G32" s="83" t="s">
        <v>87</v>
      </c>
      <c r="H32" s="92">
        <v>5</v>
      </c>
      <c r="I32" s="92" t="s">
        <v>58</v>
      </c>
      <c r="J32" s="86" t="s">
        <v>59</v>
      </c>
      <c r="K32" s="87">
        <v>5</v>
      </c>
      <c r="L32" s="87">
        <v>4</v>
      </c>
      <c r="M32" s="87">
        <v>3</v>
      </c>
      <c r="N32" s="87">
        <v>2</v>
      </c>
      <c r="O32" s="87">
        <v>1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287"/>
      <c r="B33" s="288"/>
      <c r="C33" s="291"/>
      <c r="D33" s="81" t="s">
        <v>88</v>
      </c>
      <c r="E33" s="82">
        <f>C32/2</f>
        <v>0.44757033248081751</v>
      </c>
      <c r="F33" s="82">
        <f t="shared" si="2"/>
        <v>2.050621045230836</v>
      </c>
      <c r="G33" s="83" t="s">
        <v>89</v>
      </c>
      <c r="H33" s="84">
        <v>0.5</v>
      </c>
      <c r="I33" s="85" t="s">
        <v>50</v>
      </c>
      <c r="J33" s="86" t="s">
        <v>65</v>
      </c>
      <c r="K33" s="87">
        <v>50</v>
      </c>
      <c r="L33" s="87">
        <v>45</v>
      </c>
      <c r="M33" s="87">
        <v>40</v>
      </c>
      <c r="N33" s="87">
        <v>25</v>
      </c>
      <c r="O33" s="87" t="s">
        <v>66</v>
      </c>
      <c r="P33" s="88"/>
      <c r="Q33" s="89">
        <f t="shared" si="0"/>
        <v>0</v>
      </c>
      <c r="R33" s="90">
        <f t="shared" si="1"/>
        <v>0</v>
      </c>
    </row>
    <row r="34" spans="1:18" s="91" customFormat="1" ht="147" customHeight="1" x14ac:dyDescent="0.25">
      <c r="A34" s="292">
        <v>6</v>
      </c>
      <c r="B34" s="293" t="s">
        <v>90</v>
      </c>
      <c r="C34" s="294">
        <f>0.2 *14.3222506393862</f>
        <v>2.8644501278772401</v>
      </c>
      <c r="D34" s="81" t="s">
        <v>91</v>
      </c>
      <c r="E34" s="82">
        <f>C34</f>
        <v>2.8644501278772401</v>
      </c>
      <c r="F34" s="82">
        <f t="shared" si="2"/>
        <v>13.123974689477388</v>
      </c>
      <c r="G34" s="83" t="s">
        <v>92</v>
      </c>
      <c r="H34" s="93">
        <v>0.8</v>
      </c>
      <c r="I34" s="92" t="s">
        <v>50</v>
      </c>
      <c r="J34" s="86" t="s">
        <v>72</v>
      </c>
      <c r="K34" s="87">
        <v>80</v>
      </c>
      <c r="L34" s="87">
        <v>75</v>
      </c>
      <c r="M34" s="87">
        <v>70</v>
      </c>
      <c r="N34" s="87">
        <v>50</v>
      </c>
      <c r="O34" s="87" t="s">
        <v>73</v>
      </c>
      <c r="P34" s="88"/>
      <c r="Q34" s="89">
        <f t="shared" si="0"/>
        <v>0</v>
      </c>
      <c r="R34" s="90">
        <f t="shared" si="1"/>
        <v>0</v>
      </c>
    </row>
    <row r="35" spans="1:18" s="91" customFormat="1" ht="147" customHeight="1" x14ac:dyDescent="0.25">
      <c r="A35" s="92">
        <v>7</v>
      </c>
      <c r="B35" s="81" t="s">
        <v>93</v>
      </c>
      <c r="C35" s="95">
        <f>0.2 *5.72890025575448</f>
        <v>1.145780051150896</v>
      </c>
      <c r="D35" s="293" t="s">
        <v>94</v>
      </c>
      <c r="E35" s="82">
        <f>C35</f>
        <v>1.145780051150896</v>
      </c>
      <c r="F35" s="82">
        <f t="shared" si="2"/>
        <v>5.2495898757909556</v>
      </c>
      <c r="G35" s="83" t="s">
        <v>95</v>
      </c>
      <c r="H35" s="84">
        <v>0.7</v>
      </c>
      <c r="I35" s="92" t="s">
        <v>50</v>
      </c>
      <c r="J35" s="86" t="s">
        <v>96</v>
      </c>
      <c r="K35" s="87">
        <v>70</v>
      </c>
      <c r="L35" s="87">
        <v>60</v>
      </c>
      <c r="M35" s="87">
        <v>50</v>
      </c>
      <c r="N35" s="87">
        <v>40</v>
      </c>
      <c r="O35" s="87" t="s">
        <v>97</v>
      </c>
      <c r="P35" s="88"/>
      <c r="Q35" s="89">
        <f t="shared" si="0"/>
        <v>0</v>
      </c>
      <c r="R35" s="90">
        <f t="shared" si="1"/>
        <v>0</v>
      </c>
    </row>
    <row r="36" spans="1:18" s="91" customFormat="1" ht="147" customHeight="1" x14ac:dyDescent="0.25">
      <c r="A36" s="92">
        <v>8</v>
      </c>
      <c r="B36" s="81" t="s">
        <v>98</v>
      </c>
      <c r="C36" s="95">
        <f>0.2 *7.16112531969309</f>
        <v>1.432225063938618</v>
      </c>
      <c r="D36" s="83" t="s">
        <v>99</v>
      </c>
      <c r="E36" s="82">
        <f>C36</f>
        <v>1.432225063938618</v>
      </c>
      <c r="F36" s="82">
        <f t="shared" si="2"/>
        <v>6.5619873447386858</v>
      </c>
      <c r="G36" s="83" t="s">
        <v>100</v>
      </c>
      <c r="H36" s="84">
        <v>0.5</v>
      </c>
      <c r="I36" s="85" t="s">
        <v>50</v>
      </c>
      <c r="J36" s="86" t="s">
        <v>65</v>
      </c>
      <c r="K36" s="87">
        <v>50</v>
      </c>
      <c r="L36" s="87">
        <v>45</v>
      </c>
      <c r="M36" s="87">
        <v>40</v>
      </c>
      <c r="N36" s="87">
        <v>25</v>
      </c>
      <c r="O36" s="87" t="s">
        <v>66</v>
      </c>
      <c r="P36" s="88"/>
      <c r="Q36" s="89">
        <f t="shared" si="0"/>
        <v>0</v>
      </c>
      <c r="R36" s="90">
        <f t="shared" si="1"/>
        <v>0</v>
      </c>
    </row>
    <row r="37" spans="1:18" s="106" customFormat="1" ht="44.25" x14ac:dyDescent="0.25">
      <c r="A37" s="96"/>
      <c r="B37" s="97" t="s">
        <v>101</v>
      </c>
      <c r="C37" s="98">
        <f>SUM(C19:C36)</f>
        <v>21.826086956521749</v>
      </c>
      <c r="D37" s="97"/>
      <c r="E37" s="98">
        <f>SUM(E19:E36)</f>
        <v>21.826086956521749</v>
      </c>
      <c r="F37" s="98">
        <f>SUM(F19:F36)</f>
        <v>100.00000000000003</v>
      </c>
      <c r="G37" s="99"/>
      <c r="H37" s="100"/>
      <c r="I37" s="101"/>
      <c r="J37" s="102"/>
      <c r="K37" s="102"/>
      <c r="L37" s="102"/>
      <c r="M37" s="102"/>
      <c r="N37" s="102"/>
      <c r="O37" s="102"/>
      <c r="P37" s="103"/>
      <c r="Q37" s="104"/>
      <c r="R37" s="105">
        <f>SUM(R19:R36)</f>
        <v>0</v>
      </c>
    </row>
    <row r="38" spans="1:18" s="108" customFormat="1" ht="66" customHeight="1" x14ac:dyDescent="0.7">
      <c r="A38" s="107"/>
      <c r="G38" s="109"/>
      <c r="H38" s="109"/>
      <c r="I38" s="110" t="s">
        <v>151</v>
      </c>
      <c r="J38" s="111"/>
      <c r="K38" s="111"/>
      <c r="L38" s="111"/>
      <c r="M38" s="111"/>
      <c r="N38" s="111"/>
      <c r="O38" s="111"/>
      <c r="P38" s="111"/>
      <c r="Q38" s="112"/>
      <c r="R38" s="113">
        <f>R37/100 * 70</f>
        <v>0</v>
      </c>
    </row>
    <row r="39" spans="1:18" s="122" customFormat="1" ht="36" x14ac:dyDescent="0.55000000000000004">
      <c r="A39" s="114" t="s">
        <v>102</v>
      </c>
      <c r="B39" s="115"/>
      <c r="C39" s="115"/>
      <c r="D39" s="115"/>
      <c r="E39" s="115"/>
      <c r="F39" s="115"/>
      <c r="G39" s="116"/>
      <c r="H39" s="117"/>
      <c r="I39" s="117"/>
      <c r="J39" s="117"/>
      <c r="K39" s="117"/>
      <c r="L39" s="71" t="s">
        <v>107</v>
      </c>
      <c r="M39" s="118" t="s">
        <v>103</v>
      </c>
      <c r="N39" s="118"/>
      <c r="O39" s="118"/>
      <c r="P39" s="119"/>
      <c r="Q39" s="120"/>
      <c r="R39" s="121"/>
    </row>
    <row r="40" spans="1:18" s="122" customFormat="1" ht="31.5" customHeight="1" x14ac:dyDescent="0.55000000000000004">
      <c r="A40" s="123"/>
      <c r="B40" s="124"/>
      <c r="C40" s="125" t="s">
        <v>104</v>
      </c>
      <c r="D40" s="125"/>
      <c r="E40" s="125"/>
      <c r="F40" s="125"/>
      <c r="G40" s="125"/>
      <c r="H40" s="126" t="s">
        <v>152</v>
      </c>
      <c r="I40" s="126" t="s">
        <v>153</v>
      </c>
      <c r="J40" s="126"/>
      <c r="K40" s="127"/>
      <c r="L40" s="79"/>
      <c r="M40" s="128"/>
      <c r="N40" s="128"/>
      <c r="O40" s="128"/>
      <c r="P40" s="129"/>
      <c r="Q40" s="120"/>
      <c r="R40" s="121"/>
    </row>
    <row r="41" spans="1:18" s="122" customFormat="1" ht="36" customHeight="1" x14ac:dyDescent="0.55000000000000004">
      <c r="A41" s="130">
        <v>1</v>
      </c>
      <c r="B41" s="131" t="s">
        <v>108</v>
      </c>
      <c r="C41" s="132"/>
      <c r="D41" s="133"/>
      <c r="E41" s="133"/>
      <c r="F41" s="133"/>
      <c r="G41" s="134"/>
      <c r="H41" s="135"/>
      <c r="I41" s="135"/>
      <c r="J41" s="135"/>
      <c r="K41" s="135"/>
      <c r="L41" s="136"/>
      <c r="M41" s="137" t="s">
        <v>41</v>
      </c>
      <c r="N41" s="138" t="s">
        <v>109</v>
      </c>
      <c r="O41" s="139"/>
      <c r="P41" s="129"/>
      <c r="Q41" s="120"/>
      <c r="R41" s="121"/>
    </row>
    <row r="42" spans="1:18" s="122" customFormat="1" ht="84.75" customHeight="1" x14ac:dyDescent="0.55000000000000004">
      <c r="A42" s="140" t="s">
        <v>110</v>
      </c>
      <c r="B42" s="141" t="s">
        <v>154</v>
      </c>
      <c r="C42" s="142"/>
      <c r="D42" s="143"/>
      <c r="E42" s="143"/>
      <c r="F42" s="143"/>
      <c r="G42" s="144"/>
      <c r="H42" s="145">
        <v>4</v>
      </c>
      <c r="I42" s="146"/>
      <c r="J42" s="145"/>
      <c r="K42" s="145"/>
      <c r="L42" s="136"/>
      <c r="M42" s="137" t="s">
        <v>42</v>
      </c>
      <c r="N42" s="138" t="s">
        <v>111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112</v>
      </c>
      <c r="B43" s="141" t="s">
        <v>155</v>
      </c>
      <c r="C43" s="142"/>
      <c r="D43" s="143"/>
      <c r="E43" s="143"/>
      <c r="F43" s="143"/>
      <c r="G43" s="144"/>
      <c r="H43" s="145">
        <v>2</v>
      </c>
      <c r="I43" s="146"/>
      <c r="J43" s="145"/>
      <c r="K43" s="145"/>
      <c r="L43" s="136"/>
      <c r="M43" s="137" t="s">
        <v>43</v>
      </c>
      <c r="N43" s="138" t="s">
        <v>113</v>
      </c>
      <c r="O43" s="139"/>
      <c r="P43" s="129"/>
      <c r="Q43" s="120"/>
      <c r="R43" s="121"/>
    </row>
    <row r="44" spans="1:18" s="122" customFormat="1" ht="78.75" customHeight="1" x14ac:dyDescent="0.55000000000000004">
      <c r="A44" s="140" t="s">
        <v>114</v>
      </c>
      <c r="B44" s="141" t="s">
        <v>115</v>
      </c>
      <c r="C44" s="142"/>
      <c r="D44" s="143"/>
      <c r="E44" s="143"/>
      <c r="F44" s="143"/>
      <c r="G44" s="144"/>
      <c r="H44" s="145">
        <v>2</v>
      </c>
      <c r="I44" s="146"/>
      <c r="J44" s="145"/>
      <c r="K44" s="145"/>
      <c r="L44" s="136"/>
      <c r="M44" s="137" t="s">
        <v>44</v>
      </c>
      <c r="N44" s="138" t="s">
        <v>116</v>
      </c>
      <c r="O44" s="139"/>
      <c r="P44" s="129"/>
      <c r="Q44" s="120"/>
      <c r="R44" s="121"/>
    </row>
    <row r="45" spans="1:18" s="122" customFormat="1" ht="36" x14ac:dyDescent="0.55000000000000004">
      <c r="A45" s="147">
        <v>2</v>
      </c>
      <c r="B45" s="148" t="s">
        <v>117</v>
      </c>
      <c r="C45" s="149"/>
      <c r="D45" s="150"/>
      <c r="E45" s="150"/>
      <c r="F45" s="150"/>
      <c r="G45" s="151"/>
      <c r="H45" s="145"/>
      <c r="I45" s="146"/>
      <c r="J45" s="145"/>
      <c r="K45" s="145"/>
      <c r="L45" s="136"/>
      <c r="M45" s="137" t="s">
        <v>45</v>
      </c>
      <c r="N45" s="138" t="s">
        <v>118</v>
      </c>
      <c r="O45" s="139"/>
      <c r="P45" s="129"/>
      <c r="Q45" s="120"/>
      <c r="R45" s="121"/>
    </row>
    <row r="46" spans="1:18" s="122" customFormat="1" ht="82.5" customHeight="1" x14ac:dyDescent="0.55000000000000004">
      <c r="A46" s="140" t="s">
        <v>110</v>
      </c>
      <c r="B46" s="152" t="s">
        <v>156</v>
      </c>
      <c r="C46" s="153"/>
      <c r="D46" s="154"/>
      <c r="E46" s="154"/>
      <c r="F46" s="154"/>
      <c r="G46" s="155"/>
      <c r="H46" s="145">
        <v>2</v>
      </c>
      <c r="I46" s="146"/>
      <c r="J46" s="145"/>
      <c r="K46" s="145"/>
      <c r="L46" s="136"/>
      <c r="M46" s="137" t="s">
        <v>46</v>
      </c>
      <c r="N46" s="138" t="s">
        <v>119</v>
      </c>
      <c r="O46" s="139"/>
      <c r="P46" s="156"/>
      <c r="Q46" s="120"/>
      <c r="R46" s="121"/>
    </row>
    <row r="47" spans="1:18" s="122" customFormat="1" ht="114.75" customHeight="1" x14ac:dyDescent="0.55000000000000004">
      <c r="A47" s="140" t="s">
        <v>112</v>
      </c>
      <c r="B47" s="152" t="s">
        <v>157</v>
      </c>
      <c r="C47" s="153"/>
      <c r="D47" s="154"/>
      <c r="E47" s="154"/>
      <c r="F47" s="154"/>
      <c r="G47" s="155"/>
      <c r="H47" s="145">
        <v>2</v>
      </c>
      <c r="I47" s="146"/>
      <c r="J47" s="145"/>
      <c r="K47" s="145"/>
      <c r="L47" s="136"/>
      <c r="M47" s="129" t="s">
        <v>107</v>
      </c>
      <c r="N47" s="157" t="s">
        <v>120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114</v>
      </c>
      <c r="B48" s="152" t="s">
        <v>158</v>
      </c>
      <c r="C48" s="153"/>
      <c r="D48" s="154"/>
      <c r="E48" s="154"/>
      <c r="F48" s="154"/>
      <c r="G48" s="155"/>
      <c r="H48" s="145">
        <v>2</v>
      </c>
      <c r="I48" s="146"/>
      <c r="J48" s="145"/>
      <c r="K48" s="145"/>
      <c r="L48" s="136"/>
      <c r="M48" s="129" t="s">
        <v>121</v>
      </c>
      <c r="N48" s="157" t="s">
        <v>122</v>
      </c>
      <c r="O48" s="158"/>
      <c r="P48" s="156"/>
      <c r="Q48" s="120"/>
      <c r="R48" s="121"/>
    </row>
    <row r="49" spans="1:18" s="122" customFormat="1" ht="66" customHeight="1" x14ac:dyDescent="0.55000000000000004">
      <c r="A49" s="147">
        <v>3</v>
      </c>
      <c r="B49" s="148" t="s">
        <v>123</v>
      </c>
      <c r="C49" s="149"/>
      <c r="D49" s="150"/>
      <c r="E49" s="150"/>
      <c r="F49" s="150"/>
      <c r="G49" s="151"/>
      <c r="H49" s="145"/>
      <c r="I49" s="146"/>
      <c r="J49" s="145"/>
      <c r="K49" s="145"/>
      <c r="L49" s="136"/>
      <c r="M49" s="129" t="s">
        <v>105</v>
      </c>
      <c r="N49" s="157" t="s">
        <v>124</v>
      </c>
      <c r="O49" s="158"/>
      <c r="P49" s="156"/>
      <c r="Q49" s="120"/>
      <c r="R49" s="121"/>
    </row>
    <row r="50" spans="1:18" s="122" customFormat="1" ht="72" customHeight="1" x14ac:dyDescent="0.55000000000000004">
      <c r="A50" s="140" t="s">
        <v>110</v>
      </c>
      <c r="B50" s="152" t="s">
        <v>125</v>
      </c>
      <c r="C50" s="159"/>
      <c r="D50" s="160"/>
      <c r="E50" s="160"/>
      <c r="F50" s="160"/>
      <c r="G50" s="161"/>
      <c r="H50" s="145">
        <v>2</v>
      </c>
      <c r="I50" s="146"/>
      <c r="J50" s="145"/>
      <c r="K50" s="145"/>
      <c r="L50" s="136"/>
      <c r="M50" s="129" t="s">
        <v>106</v>
      </c>
      <c r="N50" s="157" t="s">
        <v>126</v>
      </c>
      <c r="O50" s="158"/>
      <c r="P50" s="156"/>
      <c r="Q50" s="120"/>
      <c r="R50" s="121"/>
    </row>
    <row r="51" spans="1:18" s="122" customFormat="1" ht="72" customHeight="1" x14ac:dyDescent="0.55000000000000004">
      <c r="A51" s="140" t="s">
        <v>112</v>
      </c>
      <c r="B51" s="152" t="s">
        <v>159</v>
      </c>
      <c r="C51" s="159"/>
      <c r="D51" s="160"/>
      <c r="E51" s="160"/>
      <c r="F51" s="160"/>
      <c r="G51" s="161"/>
      <c r="H51" s="145">
        <v>2</v>
      </c>
      <c r="I51" s="146"/>
      <c r="J51" s="145"/>
      <c r="K51" s="145"/>
      <c r="L51" s="136"/>
      <c r="M51" s="129" t="s">
        <v>127</v>
      </c>
      <c r="N51" s="157" t="s">
        <v>128</v>
      </c>
      <c r="O51" s="158"/>
      <c r="P51" s="156"/>
      <c r="Q51" s="120"/>
      <c r="R51" s="121"/>
    </row>
    <row r="52" spans="1:18" s="122" customFormat="1" ht="44.25" customHeight="1" x14ac:dyDescent="0.55000000000000004">
      <c r="A52" s="140" t="s">
        <v>114</v>
      </c>
      <c r="B52" s="152" t="s">
        <v>160</v>
      </c>
      <c r="C52" s="159"/>
      <c r="D52" s="160"/>
      <c r="E52" s="160"/>
      <c r="F52" s="160"/>
      <c r="G52" s="161"/>
      <c r="H52" s="145">
        <v>2</v>
      </c>
      <c r="I52" s="146"/>
      <c r="J52" s="145"/>
      <c r="K52" s="145"/>
      <c r="L52" s="136"/>
      <c r="M52" s="162"/>
      <c r="N52" s="162"/>
      <c r="O52" s="162"/>
      <c r="P52" s="163"/>
      <c r="Q52" s="120"/>
      <c r="R52" s="121"/>
    </row>
    <row r="53" spans="1:18" s="122" customFormat="1" ht="31.5" customHeight="1" x14ac:dyDescent="0.55000000000000004">
      <c r="A53" s="164" t="s">
        <v>129</v>
      </c>
      <c r="B53" s="165"/>
      <c r="C53" s="165"/>
      <c r="D53" s="165"/>
      <c r="E53" s="165"/>
      <c r="F53" s="165"/>
      <c r="G53" s="165"/>
      <c r="H53" s="166">
        <f>SUM(H42:H52)</f>
        <v>20</v>
      </c>
      <c r="I53" s="166">
        <f>SUM(I42:I52)</f>
        <v>0</v>
      </c>
      <c r="J53" s="166"/>
      <c r="K53" s="167"/>
      <c r="L53" s="136"/>
      <c r="M53" s="162"/>
      <c r="N53" s="162"/>
      <c r="O53" s="162"/>
      <c r="P53" s="163"/>
      <c r="Q53" s="120"/>
      <c r="R53" s="121"/>
    </row>
    <row r="54" spans="1:18" s="122" customFormat="1" ht="36" customHeight="1" x14ac:dyDescent="0.55000000000000004">
      <c r="A54" s="168" t="s">
        <v>110</v>
      </c>
      <c r="B54" s="169" t="s">
        <v>130</v>
      </c>
      <c r="C54" s="153" t="s">
        <v>131</v>
      </c>
      <c r="D54" s="154"/>
      <c r="E54" s="154"/>
      <c r="F54" s="154"/>
      <c r="G54" s="155"/>
      <c r="H54" s="170">
        <v>4</v>
      </c>
      <c r="I54" s="171"/>
      <c r="J54" s="170"/>
      <c r="K54" s="172"/>
      <c r="L54" s="136"/>
      <c r="M54" s="162"/>
      <c r="N54" s="162"/>
      <c r="O54" s="162"/>
      <c r="P54" s="163"/>
      <c r="Q54" s="120"/>
      <c r="R54" s="121"/>
    </row>
    <row r="55" spans="1:18" s="122" customFormat="1" ht="129" customHeight="1" x14ac:dyDescent="0.55000000000000004">
      <c r="A55" s="168" t="s">
        <v>112</v>
      </c>
      <c r="B55" s="169" t="s">
        <v>132</v>
      </c>
      <c r="C55" s="153" t="s">
        <v>133</v>
      </c>
      <c r="D55" s="154"/>
      <c r="E55" s="154"/>
      <c r="F55" s="154"/>
      <c r="G55" s="155"/>
      <c r="H55" s="170">
        <v>3</v>
      </c>
      <c r="I55" s="171"/>
      <c r="J55" s="170"/>
      <c r="K55" s="172"/>
      <c r="L55" s="136"/>
      <c r="M55" s="162"/>
      <c r="N55" s="162"/>
      <c r="O55" s="162"/>
      <c r="P55" s="163"/>
      <c r="Q55" s="120"/>
      <c r="R55" s="121"/>
    </row>
    <row r="56" spans="1:18" s="122" customFormat="1" ht="69" customHeight="1" x14ac:dyDescent="0.55000000000000004">
      <c r="A56" s="168" t="s">
        <v>112</v>
      </c>
      <c r="B56" s="169" t="s">
        <v>134</v>
      </c>
      <c r="C56" s="153" t="s">
        <v>135</v>
      </c>
      <c r="D56" s="154"/>
      <c r="E56" s="154"/>
      <c r="F56" s="154"/>
      <c r="G56" s="155"/>
      <c r="H56" s="170">
        <v>3</v>
      </c>
      <c r="I56" s="171"/>
      <c r="J56" s="170"/>
      <c r="K56" s="172"/>
      <c r="L56" s="136"/>
      <c r="M56" s="162"/>
      <c r="N56" s="162"/>
      <c r="O56" s="162"/>
      <c r="P56" s="163"/>
      <c r="Q56" s="120"/>
      <c r="R56" s="121"/>
    </row>
    <row r="57" spans="1:18" s="122" customFormat="1" ht="46.5" customHeight="1" x14ac:dyDescent="0.55000000000000004">
      <c r="A57" s="173"/>
      <c r="B57" s="174" t="s">
        <v>136</v>
      </c>
      <c r="C57" s="174"/>
      <c r="D57" s="174"/>
      <c r="E57" s="175"/>
      <c r="F57" s="175"/>
      <c r="G57" s="175"/>
      <c r="H57" s="166">
        <f>SUM(H54:H56)</f>
        <v>10</v>
      </c>
      <c r="I57" s="166">
        <f>SUM(I54:I56)</f>
        <v>0</v>
      </c>
      <c r="J57" s="175"/>
      <c r="K57" s="176"/>
      <c r="L57" s="162"/>
      <c r="M57" s="162"/>
      <c r="N57" s="162"/>
      <c r="O57" s="162"/>
      <c r="P57" s="163"/>
      <c r="Q57" s="120"/>
      <c r="R57" s="121"/>
    </row>
    <row r="58" spans="1:18" s="184" customFormat="1" ht="45" customHeight="1" x14ac:dyDescent="0.7">
      <c r="A58" s="177"/>
      <c r="B58" s="178"/>
      <c r="C58" s="179"/>
      <c r="D58" s="179"/>
      <c r="E58" s="179"/>
      <c r="F58" s="180"/>
      <c r="G58" s="180"/>
      <c r="H58" s="180"/>
      <c r="I58" s="180"/>
      <c r="J58" s="180"/>
      <c r="K58" s="179"/>
      <c r="L58" s="179"/>
      <c r="M58" s="179"/>
      <c r="N58" s="179"/>
      <c r="O58" s="181" t="s">
        <v>161</v>
      </c>
      <c r="P58" s="182"/>
      <c r="Q58" s="181" t="s">
        <v>162</v>
      </c>
      <c r="R58" s="183"/>
    </row>
    <row r="59" spans="1:18" s="184" customFormat="1" ht="45" customHeight="1" x14ac:dyDescent="0.7">
      <c r="A59" s="177"/>
      <c r="B59" s="185"/>
      <c r="C59" s="186" t="s">
        <v>163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R38</f>
        <v>0</v>
      </c>
      <c r="P59" s="193"/>
      <c r="Q59" s="194">
        <f>O62/100 * 20</f>
        <v>0</v>
      </c>
      <c r="R59" s="195"/>
    </row>
    <row r="60" spans="1:18" s="184" customFormat="1" ht="45" customHeight="1" x14ac:dyDescent="0.7">
      <c r="A60" s="177"/>
      <c r="B60" s="185"/>
      <c r="C60" s="187" t="s">
        <v>164</v>
      </c>
      <c r="D60" s="187"/>
      <c r="E60" s="187"/>
      <c r="F60" s="187"/>
      <c r="G60" s="187"/>
      <c r="H60" s="187"/>
      <c r="I60" s="187"/>
      <c r="J60" s="187"/>
      <c r="K60" s="187"/>
      <c r="L60" s="190"/>
      <c r="M60" s="190"/>
      <c r="N60" s="191"/>
      <c r="O60" s="192">
        <f>I53</f>
        <v>0</v>
      </c>
      <c r="P60" s="193"/>
      <c r="Q60" s="196"/>
      <c r="R60" s="197"/>
    </row>
    <row r="61" spans="1:18" s="184" customFormat="1" ht="45" customHeight="1" x14ac:dyDescent="0.7">
      <c r="A61" s="177"/>
      <c r="B61" s="185"/>
      <c r="C61" s="186" t="s">
        <v>165</v>
      </c>
      <c r="D61" s="187"/>
      <c r="E61" s="187"/>
      <c r="F61" s="187"/>
      <c r="G61" s="187"/>
      <c r="H61" s="187"/>
      <c r="I61" s="187"/>
      <c r="J61" s="187"/>
      <c r="K61" s="188"/>
      <c r="L61" s="189"/>
      <c r="M61" s="190"/>
      <c r="N61" s="191"/>
      <c r="O61" s="192">
        <f>I57</f>
        <v>0</v>
      </c>
      <c r="P61" s="193"/>
      <c r="Q61" s="196"/>
      <c r="R61" s="197"/>
    </row>
    <row r="62" spans="1:18" s="184" customFormat="1" ht="45" customHeight="1" x14ac:dyDescent="0.7">
      <c r="A62" s="177"/>
      <c r="B62" s="198"/>
      <c r="C62" s="186" t="s">
        <v>166</v>
      </c>
      <c r="D62" s="187"/>
      <c r="E62" s="187"/>
      <c r="F62" s="187"/>
      <c r="G62" s="187"/>
      <c r="H62" s="187"/>
      <c r="I62" s="187"/>
      <c r="J62" s="187"/>
      <c r="K62" s="188"/>
      <c r="L62" s="189"/>
      <c r="M62" s="190"/>
      <c r="N62" s="191"/>
      <c r="O62" s="192">
        <f>SUM(O59:P61)</f>
        <v>0</v>
      </c>
      <c r="P62" s="193"/>
      <c r="Q62" s="199"/>
      <c r="R62" s="200"/>
    </row>
    <row r="63" spans="1:18" s="184" customFormat="1" ht="64.900000000000006" customHeight="1" x14ac:dyDescent="0.7">
      <c r="A63" s="177"/>
      <c r="B63" s="201" t="s">
        <v>167</v>
      </c>
      <c r="C63" s="201"/>
      <c r="D63" s="201"/>
      <c r="E63" s="201"/>
      <c r="F63" s="201"/>
      <c r="G63" s="201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3"/>
    </row>
    <row r="64" spans="1:18" s="184" customFormat="1" ht="64.900000000000006" customHeight="1" x14ac:dyDescent="0.7">
      <c r="A64" s="177"/>
      <c r="B64" s="204" t="s">
        <v>168</v>
      </c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5"/>
    </row>
    <row r="65" spans="1:18" s="184" customFormat="1" ht="48.75" customHeight="1" x14ac:dyDescent="0.7">
      <c r="A65" s="177"/>
      <c r="B65" s="206" t="s">
        <v>169</v>
      </c>
      <c r="C65" s="206"/>
      <c r="D65" s="206"/>
      <c r="E65" s="206"/>
      <c r="F65" s="206"/>
      <c r="G65" s="206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8"/>
    </row>
    <row r="66" spans="1:18" s="184" customFormat="1" ht="45.75" x14ac:dyDescent="0.7">
      <c r="A66" s="177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5"/>
    </row>
    <row r="67" spans="1:18" s="122" customFormat="1" ht="31.5" customHeight="1" x14ac:dyDescent="0.55000000000000004">
      <c r="A67" s="209" t="s">
        <v>170</v>
      </c>
      <c r="B67" s="210"/>
      <c r="C67" s="211"/>
      <c r="D67" s="212"/>
      <c r="E67" s="213" t="s">
        <v>171</v>
      </c>
      <c r="F67" s="214"/>
      <c r="G67" s="210" t="s">
        <v>172</v>
      </c>
      <c r="H67" s="211"/>
      <c r="I67" s="211"/>
      <c r="J67" s="211"/>
      <c r="K67" s="215"/>
      <c r="L67" s="136"/>
      <c r="M67" s="216"/>
      <c r="N67" s="216"/>
      <c r="O67" s="216"/>
      <c r="P67" s="216"/>
      <c r="Q67" s="216"/>
      <c r="R67" s="121"/>
    </row>
    <row r="68" spans="1:18" s="122" customFormat="1" ht="31.5" customHeight="1" x14ac:dyDescent="0.55000000000000004">
      <c r="A68" s="217"/>
      <c r="B68" s="218"/>
      <c r="C68" s="219"/>
      <c r="D68" s="220"/>
      <c r="E68" s="221"/>
      <c r="F68" s="222"/>
      <c r="G68" s="218"/>
      <c r="H68" s="219"/>
      <c r="I68" s="219"/>
      <c r="J68" s="219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17"/>
      <c r="B69" s="218"/>
      <c r="C69" s="219"/>
      <c r="D69" s="220"/>
      <c r="E69" s="221"/>
      <c r="F69" s="222"/>
      <c r="G69" s="218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24"/>
      <c r="B70" s="225"/>
      <c r="C70" s="226"/>
      <c r="D70" s="227"/>
      <c r="E70" s="228"/>
      <c r="F70" s="229"/>
      <c r="G70" s="225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30" t="s">
        <v>137</v>
      </c>
      <c r="B71" s="231"/>
      <c r="C71" s="211"/>
      <c r="D71" s="212"/>
      <c r="E71" s="232" t="s">
        <v>173</v>
      </c>
      <c r="F71" s="214"/>
      <c r="G71" s="231" t="s">
        <v>173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33"/>
      <c r="B72" s="234"/>
      <c r="C72" s="219"/>
      <c r="D72" s="220"/>
      <c r="E72" s="235"/>
      <c r="F72" s="222"/>
      <c r="G72" s="234"/>
      <c r="H72" s="219"/>
      <c r="I72" s="219"/>
      <c r="J72" s="219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x14ac:dyDescent="0.55000000000000004">
      <c r="A73" s="233"/>
      <c r="B73" s="234"/>
      <c r="C73" s="226"/>
      <c r="D73" s="227"/>
      <c r="E73" s="236"/>
      <c r="F73" s="229"/>
      <c r="G73" s="237"/>
      <c r="H73" s="226"/>
      <c r="I73" s="226"/>
      <c r="J73" s="226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17" t="s">
        <v>138</v>
      </c>
      <c r="B74" s="218"/>
      <c r="C74" s="211"/>
      <c r="D74" s="212"/>
      <c r="E74" s="213" t="s">
        <v>174</v>
      </c>
      <c r="F74" s="214"/>
      <c r="G74" s="210" t="s">
        <v>174</v>
      </c>
      <c r="H74" s="211"/>
      <c r="I74" s="211"/>
      <c r="J74" s="211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17"/>
      <c r="B75" s="218"/>
      <c r="C75" s="226"/>
      <c r="D75" s="227"/>
      <c r="E75" s="228"/>
      <c r="F75" s="229"/>
      <c r="G75" s="225"/>
      <c r="H75" s="226"/>
      <c r="I75" s="226"/>
      <c r="J75" s="226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thickBot="1" x14ac:dyDescent="0.6">
      <c r="A76" s="238"/>
      <c r="B76" s="239"/>
      <c r="C76" s="239"/>
      <c r="D76" s="239"/>
      <c r="E76" s="239"/>
      <c r="F76" s="239"/>
      <c r="G76" s="239"/>
      <c r="H76" s="239"/>
      <c r="I76" s="239"/>
      <c r="J76" s="239"/>
      <c r="K76" s="240"/>
      <c r="L76" s="241"/>
      <c r="M76" s="242"/>
      <c r="N76" s="242"/>
      <c r="O76" s="242"/>
      <c r="P76" s="242"/>
      <c r="Q76" s="242"/>
      <c r="R76" s="243"/>
    </row>
  </sheetData>
  <mergeCells count="118">
    <mergeCell ref="B32:B33"/>
    <mergeCell ref="C32:C33"/>
    <mergeCell ref="A76:J76"/>
    <mergeCell ref="A19:A23"/>
    <mergeCell ref="B19:B23"/>
    <mergeCell ref="C19:C23"/>
    <mergeCell ref="A24:A25"/>
    <mergeCell ref="B24:B25"/>
    <mergeCell ref="C24:C25"/>
    <mergeCell ref="A26:A29"/>
    <mergeCell ref="B26:B29"/>
    <mergeCell ref="C26:C29"/>
    <mergeCell ref="A74:B75"/>
    <mergeCell ref="C74:D75"/>
    <mergeCell ref="E74:E75"/>
    <mergeCell ref="F74:F75"/>
    <mergeCell ref="G74:G75"/>
    <mergeCell ref="H74:J75"/>
    <mergeCell ref="A71:B73"/>
    <mergeCell ref="C71:D73"/>
    <mergeCell ref="E71:E73"/>
    <mergeCell ref="F71:F73"/>
    <mergeCell ref="G71:G73"/>
    <mergeCell ref="H71:J73"/>
    <mergeCell ref="B64:R64"/>
    <mergeCell ref="B65:G65"/>
    <mergeCell ref="B66:R66"/>
    <mergeCell ref="A67:B70"/>
    <mergeCell ref="C67:D70"/>
    <mergeCell ref="E67:E70"/>
    <mergeCell ref="F67:F70"/>
    <mergeCell ref="G67:G70"/>
    <mergeCell ref="H67:J70"/>
    <mergeCell ref="M67:Q76"/>
    <mergeCell ref="L61:N61"/>
    <mergeCell ref="O61:P61"/>
    <mergeCell ref="C62:K62"/>
    <mergeCell ref="L62:N62"/>
    <mergeCell ref="O62:P62"/>
    <mergeCell ref="B63:G63"/>
    <mergeCell ref="O58:P58"/>
    <mergeCell ref="Q58:R58"/>
    <mergeCell ref="C59:K59"/>
    <mergeCell ref="L59:N59"/>
    <mergeCell ref="O59:P59"/>
    <mergeCell ref="Q59:R62"/>
    <mergeCell ref="C60:K60"/>
    <mergeCell ref="L60:N60"/>
    <mergeCell ref="O60:P60"/>
    <mergeCell ref="C61:K61"/>
    <mergeCell ref="A53:G53"/>
    <mergeCell ref="C54:G54"/>
    <mergeCell ref="C55:G55"/>
    <mergeCell ref="C56:G56"/>
    <mergeCell ref="B57:D57"/>
    <mergeCell ref="B58:B62"/>
    <mergeCell ref="F58:J58"/>
    <mergeCell ref="C47:G47"/>
    <mergeCell ref="C48:G48"/>
    <mergeCell ref="C49:G49"/>
    <mergeCell ref="C50:G50"/>
    <mergeCell ref="C51:G51"/>
    <mergeCell ref="C52:G52"/>
    <mergeCell ref="C44:G44"/>
    <mergeCell ref="N44:O44"/>
    <mergeCell ref="C45:G45"/>
    <mergeCell ref="N45:O45"/>
    <mergeCell ref="C46:G46"/>
    <mergeCell ref="N46:O46"/>
    <mergeCell ref="C41:G41"/>
    <mergeCell ref="N41:O41"/>
    <mergeCell ref="C42:G42"/>
    <mergeCell ref="N42:O42"/>
    <mergeCell ref="C43:G43"/>
    <mergeCell ref="N43:O43"/>
    <mergeCell ref="R17:R18"/>
    <mergeCell ref="I38:Q38"/>
    <mergeCell ref="A39:G39"/>
    <mergeCell ref="H39:K39"/>
    <mergeCell ref="L39:L40"/>
    <mergeCell ref="C40:G40"/>
    <mergeCell ref="A30:A31"/>
    <mergeCell ref="B30:B31"/>
    <mergeCell ref="C30:C31"/>
    <mergeCell ref="A32:A33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52A9C10F-D739-41CF-902E-309CC5439F5F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2026-04-09T09:57:56Z</dcterms:created>
  <dcterms:modified xsi:type="dcterms:W3CDTF">2026-04-09T20:09:00Z</dcterms:modified>
</cp:coreProperties>
</file>