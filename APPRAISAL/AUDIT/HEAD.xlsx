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USER\Desktop\servicom_2026\20\AUDIT\"/>
    </mc:Choice>
  </mc:AlternateContent>
  <xr:revisionPtr revIDLastSave="0" documentId="13_ncr:1_{48F8F69D-AD5F-42ED-8AB3-668903244C74}" xr6:coauthVersionLast="47" xr6:coauthVersionMax="47" xr10:uidLastSave="{00000000-0000-0000-0000-000000000000}"/>
  <bookViews>
    <workbookView xWindow="-120" yWindow="-120" windowWidth="20730" windowHeight="11040" xr2:uid="{E1518398-F05E-4AEA-BDD6-04B92E66A8AD}"/>
  </bookViews>
  <sheets>
    <sheet name="FIRST QUARTER" sheetId="2" r:id="rId1"/>
    <sheet name="SECOND QUARTER" sheetId="3" r:id="rId2"/>
    <sheet name="THIRD QUARTER" sheetId="4" r:id="rId3"/>
    <sheet name="FOURTH QUARTER" sheetId="5" r:id="rId4"/>
  </sheets>
  <definedNames>
    <definedName name="_xlnm.Print_Area" localSheetId="0">'FIRST QUARTER'!$A$1:$R$88</definedName>
    <definedName name="_xlnm.Print_Area" localSheetId="3">'FOURTH QUARTER'!$A$1:$R$88</definedName>
    <definedName name="_xlnm.Print_Area" localSheetId="1">'SECOND QUARTER'!$A$1:$R$88</definedName>
    <definedName name="_xlnm.Print_Area" localSheetId="2">'THIRD QUARTER'!$A$1:$R$88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20" i="3" l="1"/>
  <c r="F21" i="3"/>
  <c r="F22" i="3"/>
  <c r="F23" i="3"/>
  <c r="F49" i="3" s="1"/>
  <c r="F24" i="3"/>
  <c r="F25" i="3"/>
  <c r="F26" i="3"/>
  <c r="F27" i="3"/>
  <c r="F28" i="3"/>
  <c r="F29" i="3"/>
  <c r="F30" i="3"/>
  <c r="F31" i="3"/>
  <c r="F32" i="3"/>
  <c r="F33" i="3"/>
  <c r="F34" i="3"/>
  <c r="F35" i="3"/>
  <c r="F36" i="3"/>
  <c r="F37" i="3"/>
  <c r="F38" i="3"/>
  <c r="F39" i="3"/>
  <c r="F40" i="3"/>
  <c r="F41" i="3"/>
  <c r="F42" i="3"/>
  <c r="F43" i="3"/>
  <c r="F44" i="3"/>
  <c r="F45" i="3"/>
  <c r="F46" i="3"/>
  <c r="F47" i="3"/>
  <c r="F48" i="3"/>
  <c r="F20" i="4"/>
  <c r="F21" i="4"/>
  <c r="F22" i="4"/>
  <c r="F23" i="4"/>
  <c r="F24" i="4"/>
  <c r="F25" i="4"/>
  <c r="F26" i="4"/>
  <c r="F27" i="4"/>
  <c r="F28" i="4"/>
  <c r="F29" i="4"/>
  <c r="F30" i="4"/>
  <c r="R30" i="4" s="1"/>
  <c r="F31" i="4"/>
  <c r="F32" i="4"/>
  <c r="F33" i="4"/>
  <c r="F34" i="4"/>
  <c r="R34" i="4" s="1"/>
  <c r="F35" i="4"/>
  <c r="F36" i="4"/>
  <c r="F37" i="4"/>
  <c r="F38" i="4"/>
  <c r="F39" i="4"/>
  <c r="F40" i="4"/>
  <c r="F41" i="4"/>
  <c r="F42" i="4"/>
  <c r="F43" i="4"/>
  <c r="F44" i="4"/>
  <c r="F45" i="4"/>
  <c r="F46" i="4"/>
  <c r="F47" i="4"/>
  <c r="F48" i="4"/>
  <c r="F20" i="5"/>
  <c r="F21" i="5"/>
  <c r="F49" i="5" s="1"/>
  <c r="F22" i="5"/>
  <c r="F23" i="5"/>
  <c r="F24" i="5"/>
  <c r="F25" i="5"/>
  <c r="F26" i="5"/>
  <c r="F27" i="5"/>
  <c r="F28" i="5"/>
  <c r="F29" i="5"/>
  <c r="F30" i="5"/>
  <c r="F31" i="5"/>
  <c r="F32" i="5"/>
  <c r="F33" i="5"/>
  <c r="F34" i="5"/>
  <c r="F35" i="5"/>
  <c r="F36" i="5"/>
  <c r="F37" i="5"/>
  <c r="F38" i="5"/>
  <c r="F39" i="5"/>
  <c r="F40" i="5"/>
  <c r="F41" i="5"/>
  <c r="F42" i="5"/>
  <c r="F43" i="5"/>
  <c r="F44" i="5"/>
  <c r="F45" i="5"/>
  <c r="F46" i="5"/>
  <c r="F47" i="5"/>
  <c r="F48" i="5"/>
  <c r="F20" i="2"/>
  <c r="F21" i="2"/>
  <c r="F22" i="2"/>
  <c r="F23" i="2"/>
  <c r="F24" i="2"/>
  <c r="F25" i="2"/>
  <c r="F26" i="2"/>
  <c r="F27" i="2"/>
  <c r="F28" i="2"/>
  <c r="R28" i="2" s="1"/>
  <c r="F29" i="2"/>
  <c r="F30" i="2"/>
  <c r="F31" i="2"/>
  <c r="F32" i="2"/>
  <c r="F33" i="2"/>
  <c r="F34" i="2"/>
  <c r="F35" i="2"/>
  <c r="F36" i="2"/>
  <c r="R36" i="2" s="1"/>
  <c r="F37" i="2"/>
  <c r="F38" i="2"/>
  <c r="F39" i="2"/>
  <c r="F40" i="2"/>
  <c r="F41" i="2"/>
  <c r="F42" i="2"/>
  <c r="F43" i="2"/>
  <c r="F44" i="2"/>
  <c r="F45" i="2"/>
  <c r="F46" i="2"/>
  <c r="F47" i="2"/>
  <c r="F48" i="2"/>
  <c r="F19" i="3"/>
  <c r="F19" i="4"/>
  <c r="F19" i="5"/>
  <c r="F19" i="2"/>
  <c r="F49" i="2" s="1"/>
  <c r="C47" i="3"/>
  <c r="C44" i="3"/>
  <c r="C42" i="3"/>
  <c r="R40" i="3"/>
  <c r="C39" i="3"/>
  <c r="C36" i="3"/>
  <c r="R34" i="3"/>
  <c r="R30" i="3"/>
  <c r="R26" i="3"/>
  <c r="C19" i="3"/>
  <c r="C49" i="3" s="1"/>
  <c r="C47" i="4"/>
  <c r="C44" i="4"/>
  <c r="C42" i="4"/>
  <c r="R40" i="4"/>
  <c r="C39" i="4"/>
  <c r="C36" i="4"/>
  <c r="F49" i="4"/>
  <c r="C19" i="4"/>
  <c r="C49" i="4" s="1"/>
  <c r="C47" i="5"/>
  <c r="C44" i="5"/>
  <c r="C42" i="5"/>
  <c r="R40" i="5"/>
  <c r="C39" i="5"/>
  <c r="C36" i="5"/>
  <c r="R34" i="5"/>
  <c r="R30" i="5"/>
  <c r="R26" i="5"/>
  <c r="C19" i="5"/>
  <c r="C49" i="5" s="1"/>
  <c r="C47" i="2"/>
  <c r="C44" i="2"/>
  <c r="C42" i="2"/>
  <c r="R40" i="2"/>
  <c r="C39" i="2"/>
  <c r="C36" i="2"/>
  <c r="R34" i="2"/>
  <c r="R30" i="2"/>
  <c r="R26" i="2"/>
  <c r="C19" i="2"/>
  <c r="C49" i="2" s="1"/>
  <c r="Q23" i="3"/>
  <c r="Q24" i="3"/>
  <c r="R24" i="3" s="1"/>
  <c r="Q25" i="3"/>
  <c r="R25" i="3" s="1"/>
  <c r="Q26" i="3"/>
  <c r="Q27" i="3"/>
  <c r="Q28" i="3"/>
  <c r="R28" i="3" s="1"/>
  <c r="Q29" i="3"/>
  <c r="R29" i="3" s="1"/>
  <c r="Q30" i="3"/>
  <c r="Q31" i="3"/>
  <c r="Q32" i="3"/>
  <c r="R32" i="3" s="1"/>
  <c r="Q33" i="3"/>
  <c r="R33" i="3" s="1"/>
  <c r="Q34" i="3"/>
  <c r="Q35" i="3"/>
  <c r="Q36" i="3"/>
  <c r="R36" i="3" s="1"/>
  <c r="Q37" i="3"/>
  <c r="Q38" i="3"/>
  <c r="R38" i="3"/>
  <c r="Q39" i="3"/>
  <c r="R39" i="3" s="1"/>
  <c r="Q40" i="3"/>
  <c r="Q41" i="3"/>
  <c r="R41" i="3" s="1"/>
  <c r="Q42" i="3"/>
  <c r="R42" i="3" s="1"/>
  <c r="Q43" i="3"/>
  <c r="Q44" i="3"/>
  <c r="R44" i="3" s="1"/>
  <c r="Q23" i="4"/>
  <c r="Q24" i="4"/>
  <c r="R24" i="4"/>
  <c r="Q25" i="4"/>
  <c r="R25" i="4" s="1"/>
  <c r="Q26" i="4"/>
  <c r="Q27" i="4"/>
  <c r="R27" i="4" s="1"/>
  <c r="Q28" i="4"/>
  <c r="R28" i="4" s="1"/>
  <c r="Q29" i="4"/>
  <c r="R29" i="4" s="1"/>
  <c r="Q30" i="4"/>
  <c r="Q31" i="4"/>
  <c r="Q32" i="4"/>
  <c r="R32" i="4"/>
  <c r="Q33" i="4"/>
  <c r="R33" i="4" s="1"/>
  <c r="Q34" i="4"/>
  <c r="Q35" i="4"/>
  <c r="R35" i="4" s="1"/>
  <c r="Q36" i="4"/>
  <c r="R36" i="4" s="1"/>
  <c r="Q37" i="4"/>
  <c r="Q38" i="4"/>
  <c r="Q39" i="4"/>
  <c r="R39" i="4" s="1"/>
  <c r="Q40" i="4"/>
  <c r="Q41" i="4"/>
  <c r="Q42" i="4"/>
  <c r="Q43" i="4"/>
  <c r="Q44" i="4"/>
  <c r="R44" i="4"/>
  <c r="Q23" i="5"/>
  <c r="R23" i="5" s="1"/>
  <c r="Q24" i="5"/>
  <c r="R24" i="5" s="1"/>
  <c r="Q25" i="5"/>
  <c r="Q26" i="5"/>
  <c r="Q27" i="5"/>
  <c r="Q28" i="5"/>
  <c r="R28" i="5"/>
  <c r="Q29" i="5"/>
  <c r="Q30" i="5"/>
  <c r="Q31" i="5"/>
  <c r="R31" i="5" s="1"/>
  <c r="Q32" i="5"/>
  <c r="R32" i="5" s="1"/>
  <c r="Q33" i="5"/>
  <c r="Q34" i="5"/>
  <c r="Q35" i="5"/>
  <c r="Q36" i="5"/>
  <c r="R36" i="5"/>
  <c r="Q37" i="5"/>
  <c r="Q38" i="5"/>
  <c r="Q39" i="5"/>
  <c r="R39" i="5" s="1"/>
  <c r="Q40" i="5"/>
  <c r="Q41" i="5"/>
  <c r="Q42" i="5"/>
  <c r="R42" i="5" s="1"/>
  <c r="Q43" i="5"/>
  <c r="Q44" i="5"/>
  <c r="R44" i="5"/>
  <c r="Q23" i="2"/>
  <c r="R23" i="2" s="1"/>
  <c r="Q24" i="2"/>
  <c r="Q25" i="2"/>
  <c r="R25" i="2" s="1"/>
  <c r="Q26" i="2"/>
  <c r="Q27" i="2"/>
  <c r="Q28" i="2"/>
  <c r="Q29" i="2"/>
  <c r="R29" i="2" s="1"/>
  <c r="Q30" i="2"/>
  <c r="Q31" i="2"/>
  <c r="R31" i="2" s="1"/>
  <c r="Q32" i="2"/>
  <c r="Q33" i="2"/>
  <c r="R33" i="2" s="1"/>
  <c r="Q34" i="2"/>
  <c r="Q35" i="2"/>
  <c r="Q36" i="2"/>
  <c r="Q37" i="2"/>
  <c r="Q38" i="2"/>
  <c r="R38" i="2" s="1"/>
  <c r="Q39" i="2"/>
  <c r="R39" i="2" s="1"/>
  <c r="Q40" i="2"/>
  <c r="Q41" i="2"/>
  <c r="R41" i="2" s="1"/>
  <c r="Q42" i="2"/>
  <c r="R42" i="2" s="1"/>
  <c r="Q43" i="2"/>
  <c r="Q44" i="2"/>
  <c r="R44" i="2"/>
  <c r="I69" i="5"/>
  <c r="O73" i="5" s="1"/>
  <c r="H69" i="5"/>
  <c r="I65" i="5"/>
  <c r="O72" i="5" s="1"/>
  <c r="H65" i="5"/>
  <c r="E49" i="5"/>
  <c r="Q48" i="5"/>
  <c r="R48" i="5" s="1"/>
  <c r="Q47" i="5"/>
  <c r="R47" i="5" s="1"/>
  <c r="Q46" i="5"/>
  <c r="Q45" i="5"/>
  <c r="Q22" i="5"/>
  <c r="Q21" i="5"/>
  <c r="Q20" i="5"/>
  <c r="R20" i="5" s="1"/>
  <c r="Q19" i="5"/>
  <c r="R19" i="5" s="1"/>
  <c r="I69" i="4"/>
  <c r="O73" i="4" s="1"/>
  <c r="H69" i="4"/>
  <c r="I65" i="4"/>
  <c r="O72" i="4" s="1"/>
  <c r="H65" i="4"/>
  <c r="E49" i="4"/>
  <c r="Q48" i="4"/>
  <c r="R48" i="4" s="1"/>
  <c r="Q47" i="4"/>
  <c r="R47" i="4" s="1"/>
  <c r="Q46" i="4"/>
  <c r="Q45" i="4"/>
  <c r="R45" i="4" s="1"/>
  <c r="Q22" i="4"/>
  <c r="Q21" i="4"/>
  <c r="R21" i="4" s="1"/>
  <c r="Q20" i="4"/>
  <c r="R20" i="4" s="1"/>
  <c r="Q19" i="4"/>
  <c r="R19" i="4" s="1"/>
  <c r="I69" i="3"/>
  <c r="O73" i="3" s="1"/>
  <c r="H69" i="3"/>
  <c r="I65" i="3"/>
  <c r="O72" i="3" s="1"/>
  <c r="H65" i="3"/>
  <c r="E49" i="3"/>
  <c r="Q48" i="3"/>
  <c r="R48" i="3" s="1"/>
  <c r="Q47" i="3"/>
  <c r="Q46" i="3"/>
  <c r="Q45" i="3"/>
  <c r="R45" i="3" s="1"/>
  <c r="Q22" i="3"/>
  <c r="Q21" i="3"/>
  <c r="R21" i="3" s="1"/>
  <c r="Q20" i="3"/>
  <c r="R20" i="3" s="1"/>
  <c r="Q19" i="3"/>
  <c r="R19" i="3" s="1"/>
  <c r="I69" i="2"/>
  <c r="O73" i="2" s="1"/>
  <c r="H69" i="2"/>
  <c r="I65" i="2"/>
  <c r="O72" i="2" s="1"/>
  <c r="H65" i="2"/>
  <c r="E49" i="2"/>
  <c r="Q48" i="2"/>
  <c r="Q47" i="2"/>
  <c r="R47" i="2" s="1"/>
  <c r="Q46" i="2"/>
  <c r="Q45" i="2"/>
  <c r="R45" i="2" s="1"/>
  <c r="Q22" i="2"/>
  <c r="Q21" i="2"/>
  <c r="R21" i="2" s="1"/>
  <c r="Q20" i="2"/>
  <c r="Q19" i="2"/>
  <c r="R20" i="2" l="1"/>
  <c r="R49" i="2" s="1"/>
  <c r="R50" i="2" s="1"/>
  <c r="O71" i="2" s="1"/>
  <c r="O74" i="2" s="1"/>
  <c r="Q71" i="2" s="1"/>
  <c r="R21" i="5"/>
  <c r="R49" i="5" s="1"/>
  <c r="R50" i="5" s="1"/>
  <c r="O71" i="5" s="1"/>
  <c r="O74" i="5" s="1"/>
  <c r="Q71" i="5" s="1"/>
  <c r="R42" i="4"/>
  <c r="R35" i="3"/>
  <c r="R27" i="3"/>
  <c r="R32" i="2"/>
  <c r="R33" i="5"/>
  <c r="R29" i="5"/>
  <c r="R48" i="2"/>
  <c r="R47" i="3"/>
  <c r="R45" i="5"/>
  <c r="R24" i="2"/>
  <c r="R25" i="5"/>
  <c r="R19" i="2"/>
  <c r="R37" i="5"/>
  <c r="R38" i="5"/>
  <c r="R38" i="4"/>
  <c r="R26" i="4"/>
  <c r="R43" i="4"/>
  <c r="R46" i="3"/>
  <c r="R46" i="4"/>
  <c r="R46" i="5"/>
  <c r="R43" i="3"/>
  <c r="R43" i="2"/>
  <c r="R35" i="2"/>
  <c r="R27" i="2"/>
  <c r="R41" i="5"/>
  <c r="R31" i="4"/>
  <c r="R23" i="4"/>
  <c r="R37" i="3"/>
  <c r="R46" i="2"/>
  <c r="R37" i="4"/>
  <c r="R22" i="2"/>
  <c r="R22" i="3"/>
  <c r="R49" i="3" s="1"/>
  <c r="R50" i="3" s="1"/>
  <c r="O71" i="3" s="1"/>
  <c r="O74" i="3" s="1"/>
  <c r="Q71" i="3" s="1"/>
  <c r="R22" i="4"/>
  <c r="R22" i="5"/>
  <c r="R37" i="2"/>
  <c r="R43" i="5"/>
  <c r="R35" i="5"/>
  <c r="R27" i="5"/>
  <c r="R41" i="4"/>
  <c r="R31" i="3"/>
  <c r="R23" i="3"/>
  <c r="R49" i="4"/>
  <c r="R50" i="4" s="1"/>
  <c r="O71" i="4" s="1"/>
  <c r="O74" i="4" s="1"/>
  <c r="Q71" i="4" s="1"/>
</calcChain>
</file>

<file path=xl/sharedStrings.xml><?xml version="1.0" encoding="utf-8"?>
<sst xmlns="http://schemas.openxmlformats.org/spreadsheetml/2006/main" count="1060" uniqueCount="189">
  <si>
    <t>PERFORMANCE APPRAISAL PERIOD:</t>
  </si>
  <si>
    <t>FROM</t>
  </si>
  <si>
    <t>To</t>
  </si>
  <si>
    <t>SECTION 1: EMPLOYEE INFORMATION</t>
  </si>
  <si>
    <t>Surname:</t>
  </si>
  <si>
    <t>OLADIPO</t>
  </si>
  <si>
    <t>Firstname</t>
  </si>
  <si>
    <t>KOREDE</t>
  </si>
  <si>
    <t>Othername</t>
  </si>
  <si>
    <t>FAITH</t>
  </si>
  <si>
    <t>Designation</t>
  </si>
  <si>
    <t>PEO</t>
  </si>
  <si>
    <t>IPPIS No.</t>
  </si>
  <si>
    <t>Email</t>
  </si>
  <si>
    <t>ifyarukwe@yahoo.com</t>
  </si>
  <si>
    <t>Phone No.</t>
  </si>
  <si>
    <t>Department</t>
  </si>
  <si>
    <t>AUDIT</t>
  </si>
  <si>
    <t>SECTION 2: SUPERVISOR INFORMATION</t>
  </si>
  <si>
    <t>LAWAL</t>
  </si>
  <si>
    <t>HELEN</t>
  </si>
  <si>
    <t>OBEHI</t>
  </si>
  <si>
    <t xml:space="preserve">DEPUTY DIRECTOR </t>
  </si>
  <si>
    <t>helenlawal6a@gmail.com</t>
  </si>
  <si>
    <t>SERVICOM</t>
  </si>
  <si>
    <t>SECTION 3: COUNTER-SIGNING OFFICER'S INFORMATION</t>
  </si>
  <si>
    <t xml:space="preserve">SECTION 4: EMPLOYEE'S TASKS </t>
  </si>
  <si>
    <t>S/N</t>
  </si>
  <si>
    <t>Key Result Areas</t>
  </si>
  <si>
    <t>Weight</t>
  </si>
  <si>
    <t>Objectives</t>
  </si>
  <si>
    <t>Graded
Weight</t>
  </si>
  <si>
    <t>KPIs</t>
  </si>
  <si>
    <t>Target
Set</t>
  </si>
  <si>
    <t>Unit of
Measurement</t>
  </si>
  <si>
    <t>Criteria Values</t>
  </si>
  <si>
    <t>O</t>
  </si>
  <si>
    <t>E</t>
  </si>
  <si>
    <t>VG</t>
  </si>
  <si>
    <t>G</t>
  </si>
  <si>
    <t>F</t>
  </si>
  <si>
    <t>P</t>
  </si>
  <si>
    <t>Governance &amp; Service Delivery</t>
  </si>
  <si>
    <t>Strengthen and institutionalize the effective utilization of the Performance Management System (PMS) to enhance accountability, performance tracking, and service delivery outcomes across SERVICOM.</t>
  </si>
  <si>
    <t xml:space="preserve">PMS Implementation Rate across Units </t>
  </si>
  <si>
    <t>PERCENTAGE</t>
  </si>
  <si>
    <t>&lt;80</t>
  </si>
  <si>
    <t>Percentage of staff with completed and approved performance contract aligned to SERVICOM objectives.</t>
  </si>
  <si>
    <t>Percentage of performance reviews and appraisals completed within approved PMS timelines.</t>
  </si>
  <si>
    <t>Initiate and institutionalize the digitization of records and work processes to improve information management, workflow efficiency, and readiness for the  adoption of an Enterprise Content Management (ECM) system.</t>
  </si>
  <si>
    <t>Percentage of Staff Trained on Digital Records and Workflow Management</t>
  </si>
  <si>
    <t>&gt;50</t>
  </si>
  <si>
    <t>&lt;25</t>
  </si>
  <si>
    <t>Percentage increase in the use of digital documentation and approval processes compared to baseline.</t>
  </si>
  <si>
    <t>Percentage of Transactions Processed Digitally</t>
  </si>
  <si>
    <t>&gt;75</t>
  </si>
  <si>
    <t>&lt;50</t>
  </si>
  <si>
    <t>Internal Audit, Financial Control, and Compliance Assurance</t>
  </si>
  <si>
    <t>Ensure timely audit, certification, and reporting of SERVICOM financial statements</t>
  </si>
  <si>
    <t>Timely submission of annual, half-yearly, quarterly, and monthly audit reports</t>
  </si>
  <si>
    <t>Percentage of statutory audit reports submitted within approved timelines</t>
  </si>
  <si>
    <t>Compliance rate with reporting requirements of OAuGF and OAGF</t>
  </si>
  <si>
    <t>Strengthen pre-payment and post-payment audit controls</t>
  </si>
  <si>
    <t>Percentage of payment vouchers subjected to pre-payment audit</t>
  </si>
  <si>
    <t>Percentage of post-payment audits conducted as scheduled</t>
  </si>
  <si>
    <t>Conduct routine and periodic audit of financial records and transactions</t>
  </si>
  <si>
    <t>Percentage of monthly audits completed as planned</t>
  </si>
  <si>
    <t>Number of quarterly audit reviews conducted across departments</t>
  </si>
  <si>
    <t>&gt;4</t>
  </si>
  <si>
    <t>Evaluate the effectiveness of internal controls and safeguard government assets</t>
  </si>
  <si>
    <t>Percentage of capital assets audited quarterly</t>
  </si>
  <si>
    <t>Percentage of audit recommendations implemented by management</t>
  </si>
  <si>
    <t>Ensure proper auditing of revenue collection and remittance</t>
  </si>
  <si>
    <t>Percentage of revenue collections audited</t>
  </si>
  <si>
    <t>Percentage of revenue remitted in full and on time</t>
  </si>
  <si>
    <t>Service Innovation And Improvement</t>
  </si>
  <si>
    <t>Strengthen a culture of innovation and technology adoption within SERVICOM by identifying, piloting, and implementing service-improvement initiatives, while actively promoting staff participation in the OHCSF Innovation Challenge.</t>
  </si>
  <si>
    <t>Number of Innovation, Initiative, and Technology Ideas Generated</t>
  </si>
  <si>
    <t>NUMBER</t>
  </si>
  <si>
    <t>&gt;5</t>
  </si>
  <si>
    <t>Percentage of Identified Innovations and Initiatives Implemented or Piloted</t>
  </si>
  <si>
    <t>&gt;10</t>
  </si>
  <si>
    <t>&lt;5</t>
  </si>
  <si>
    <t>Number of SERVICOM Staff Participating in the OHCSF Innovation Challenge</t>
  </si>
  <si>
    <t>&gt;2</t>
  </si>
  <si>
    <t>Automated Service Delivery</t>
  </si>
  <si>
    <t>Identify, prioritize, and automate key service delivery processes, forms, and routine tasks, while standardizing the use of official email communication to improve efficiency, accuracy, transparency, and accountability across SERVICOM.</t>
  </si>
  <si>
    <t>Number of Processes, Forms, and Tasks Identified for Automation</t>
  </si>
  <si>
    <t>Percentage of Identified Processes and Forms Automated or Digitized</t>
  </si>
  <si>
    <t>&gt;20</t>
  </si>
  <si>
    <t>Percentage of Staff Actively Using Official Email for Work-Related Communication</t>
  </si>
  <si>
    <t>&gt;80</t>
  </si>
  <si>
    <t>Capacity Building</t>
  </si>
  <si>
    <t>Enhance the skills, competencies, and knowledge of SERVICOM staff through training, induction, and orientation, ensuring excellent service delivery, adoption of best practices, and seamless integration of new, transferred, and promoted staff within their respective units.</t>
  </si>
  <si>
    <t>Percentage of all staff trained on service delivery standards, best practices, and functional skills</t>
  </si>
  <si>
    <t>Percentage of new, transferred, and promoted staff successfully inducted/oriented within 30 days of joining, transfer, or promotion</t>
  </si>
  <si>
    <t>Support For Service Delivery</t>
  </si>
  <si>
    <t>Ensure the efficient and effective implementation of services and programmes within SERVICOM and streamline payment processes to guarantee that payments and staff claims are processed and disbursed within required timelines, thereby optimizing financial efficiency and reducing delays</t>
  </si>
  <si>
    <t>Percentage of services and programmes implemented within approved timelines</t>
  </si>
  <si>
    <t>Percentage of payments and staff claims processed within the required timeline</t>
  </si>
  <si>
    <t>Strengthen regulatory compliance within the SERVICOM by implementing robust financial control measures to prevent and eliminate cases of fraud, irregularities, and non-adherence to financial regulations and government policies.</t>
  </si>
  <si>
    <t>Percentage compliance with financial regulations and government policies</t>
  </si>
  <si>
    <t>Staff Welfare</t>
  </si>
  <si>
    <t>Promote staff welfare, motivation, and recognition</t>
  </si>
  <si>
    <t>Staff satisfaction level with welfare and recognition initiatives</t>
  </si>
  <si>
    <t>&gt;70</t>
  </si>
  <si>
    <t>&lt;40</t>
  </si>
  <si>
    <t>Promote work-life balance, wellness, and staff health</t>
  </si>
  <si>
    <t>Staff participation rate in wellness programmes</t>
  </si>
  <si>
    <t>TOTAL</t>
  </si>
  <si>
    <t>SECTION 5: COMPETENCIES</t>
  </si>
  <si>
    <t>LEGEND</t>
  </si>
  <si>
    <t>Describe Expectations</t>
  </si>
  <si>
    <t>Q2</t>
  </si>
  <si>
    <t>Q3</t>
  </si>
  <si>
    <t>A</t>
  </si>
  <si>
    <t>Generic Compentencies</t>
  </si>
  <si>
    <t>Outstanding</t>
  </si>
  <si>
    <t>i</t>
  </si>
  <si>
    <t>Excellent</t>
  </si>
  <si>
    <t>ii</t>
  </si>
  <si>
    <t>Very Good</t>
  </si>
  <si>
    <t>iii</t>
  </si>
  <si>
    <t>Effective Communication</t>
  </si>
  <si>
    <t>Good</t>
  </si>
  <si>
    <t>Functional Competencies</t>
  </si>
  <si>
    <t>Fair</t>
  </si>
  <si>
    <t>Poor</t>
  </si>
  <si>
    <t>Aggregrate</t>
  </si>
  <si>
    <t>Q1</t>
  </si>
  <si>
    <t>First Quarter</t>
  </si>
  <si>
    <t>Ethic and value</t>
  </si>
  <si>
    <t>Second Quarter</t>
  </si>
  <si>
    <t>Integrity</t>
  </si>
  <si>
    <t>Third Quarter</t>
  </si>
  <si>
    <t>Q4</t>
  </si>
  <si>
    <t>Fourth Quarter</t>
  </si>
  <si>
    <t>SECTION 6: OPERATIONS AND PROCESSES</t>
  </si>
  <si>
    <t>Punctuality/Attendance</t>
  </si>
  <si>
    <t>Get to work at the specified time and days</t>
  </si>
  <si>
    <t>Work turn around time</t>
  </si>
  <si>
    <t>Display efficiency and effectiveness in service delivery</t>
  </si>
  <si>
    <t>Innovation on the job</t>
  </si>
  <si>
    <t>Introduce improvements in work processes as may be required</t>
  </si>
  <si>
    <t>SECTION 7: COMMENTS</t>
  </si>
  <si>
    <t>Signature</t>
  </si>
  <si>
    <t>Date</t>
  </si>
  <si>
    <t xml:space="preserve">PERFORMANCE APPRAISAL </t>
  </si>
  <si>
    <t>JANUARY 2025</t>
  </si>
  <si>
    <t>MARCH 2025</t>
  </si>
  <si>
    <t>ACHIEVEMENT</t>
  </si>
  <si>
    <t>RAW SCORE</t>
  </si>
  <si>
    <t>WEIGHTED RAW SCORE</t>
  </si>
  <si>
    <t>O -100%</t>
  </si>
  <si>
    <t>E -90%</t>
  </si>
  <si>
    <t>VG-80%</t>
  </si>
  <si>
    <t>G -70%</t>
  </si>
  <si>
    <t>F- 60%</t>
  </si>
  <si>
    <t>P - 50%</t>
  </si>
  <si>
    <t>COMPOSITE SCORE (SUM OF WEIGHTED SCORE CONVERTED TO 70%)</t>
  </si>
  <si>
    <t>TARGET</t>
  </si>
  <si>
    <t>SCORE</t>
  </si>
  <si>
    <t>Drive for Results</t>
  </si>
  <si>
    <t>Collaborating &amp; Partnering</t>
  </si>
  <si>
    <t>Policy Management</t>
  </si>
  <si>
    <t>Public Relations Management</t>
  </si>
  <si>
    <t>Information &amp; Records Management</t>
  </si>
  <si>
    <t xml:space="preserve">Inclusiveness </t>
  </si>
  <si>
    <t xml:space="preserve">Transparency &amp; Accountability </t>
  </si>
  <si>
    <t>APPRAISER RATING</t>
  </si>
  <si>
    <t>APPRAISER SCORE</t>
  </si>
  <si>
    <t xml:space="preserve">SUB-TOTAL RATING OF APPRAISEE PERFORMANCE (EXPECTATIONS AND GOALS FROM )SECTION 4 </t>
  </si>
  <si>
    <t>SUB-TOTAL RATING OF APPRAISEE PERFORMANCE (COMPETENCIES) IN SECTION 5</t>
  </si>
  <si>
    <t>SUB-TOTAL RATING OF APPRAISEE PERFORMANCE (OPERATIONS AND PROCESSES) SECTION 6</t>
  </si>
  <si>
    <t>OVERALL RATING (SECTION 4 + 5 + 6)</t>
  </si>
  <si>
    <t>What are the employee’s strengths?</t>
  </si>
  <si>
    <t>AUTOMATED SERVICE DELIVERY</t>
  </si>
  <si>
    <t>What are the employee’s areas for improvement?</t>
  </si>
  <si>
    <t>Appraisee's
 Comments:</t>
  </si>
  <si>
    <t>Supervisor's Comment</t>
  </si>
  <si>
    <t>Counter Supervisor's Comment</t>
  </si>
  <si>
    <t>Signature:</t>
  </si>
  <si>
    <t>Date:</t>
  </si>
  <si>
    <t>APRIL 2025</t>
  </si>
  <si>
    <t>JUNE 2025</t>
  </si>
  <si>
    <t>JULY 2025</t>
  </si>
  <si>
    <t>SEPTEMBER 2025</t>
  </si>
  <si>
    <t>OCTOBER 2025</t>
  </si>
  <si>
    <t>DECEMBER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</si>
</sst>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0" x14ac:knownFonts="1">
    <font>
      <sz val="11"/>
      <color theme="1"/>
      <name val="Calibri"/>
      <family val="2"/>
      <scheme val="minor"/>
    </font>
    <font>
      <sz val="11"/>
      <color theme="1"/>
      <name val="Calibri"/>
      <family val="2"/>
      <scheme val="minor"/>
    </font>
    <font>
      <u/>
      <sz val="11"/>
      <color theme="10"/>
      <name val="Calibri"/>
      <family val="2"/>
      <scheme val="minor"/>
    </font>
    <font>
      <sz val="28"/>
      <color theme="1"/>
      <name val="Calibri"/>
      <family val="2"/>
      <scheme val="minor"/>
    </font>
    <font>
      <u/>
      <sz val="11"/>
      <color theme="10"/>
      <name val="Calibri"/>
      <family val="2"/>
      <charset val="1"/>
      <scheme val="minor"/>
    </font>
    <font>
      <b/>
      <sz val="40"/>
      <color theme="1"/>
      <name val="Calibri"/>
      <family val="2"/>
      <scheme val="minor"/>
    </font>
    <font>
      <b/>
      <sz val="80"/>
      <color theme="1"/>
      <name val="Century Gothic"/>
      <family val="2"/>
    </font>
    <font>
      <b/>
      <sz val="35"/>
      <name val="Century Gothic"/>
      <family val="2"/>
    </font>
    <font>
      <b/>
      <sz val="18"/>
      <name val="Century Gothic"/>
      <family val="2"/>
    </font>
    <font>
      <sz val="35"/>
      <color theme="1"/>
      <name val="Calibri"/>
      <family val="2"/>
      <scheme val="minor"/>
    </font>
    <font>
      <b/>
      <sz val="24"/>
      <name val="Century Gothic"/>
      <family val="2"/>
    </font>
    <font>
      <sz val="24"/>
      <name val="Century Gothic"/>
      <family val="2"/>
    </font>
    <font>
      <sz val="24"/>
      <color theme="1"/>
      <name val="Calibri"/>
      <family val="2"/>
      <scheme val="minor"/>
    </font>
    <font>
      <b/>
      <sz val="28"/>
      <name val="Century Gothic"/>
      <family val="2"/>
    </font>
    <font>
      <b/>
      <sz val="30"/>
      <name val="Century Gothic"/>
      <family val="2"/>
    </font>
    <font>
      <sz val="30"/>
      <color theme="1"/>
      <name val="Calibri"/>
      <family val="2"/>
      <scheme val="minor"/>
    </font>
    <font>
      <b/>
      <sz val="30"/>
      <color theme="1"/>
      <name val="Century Gothic"/>
      <family val="2"/>
    </font>
    <font>
      <b/>
      <sz val="30"/>
      <color theme="1"/>
      <name val="Calibri"/>
      <family val="2"/>
      <scheme val="minor"/>
    </font>
    <font>
      <sz val="35"/>
      <name val="Calibri"/>
      <family val="2"/>
      <scheme val="minor"/>
    </font>
    <font>
      <sz val="35"/>
      <name val="Century Gothic"/>
      <family val="2"/>
    </font>
    <font>
      <sz val="35"/>
      <color theme="1"/>
      <name val="Century Gothic"/>
      <family val="2"/>
    </font>
    <font>
      <b/>
      <sz val="26"/>
      <name val="Century Gothic"/>
      <family val="2"/>
    </font>
    <font>
      <b/>
      <sz val="28"/>
      <name val="Candara"/>
      <family val="2"/>
    </font>
    <font>
      <sz val="18"/>
      <color theme="1"/>
      <name val="Calibri"/>
      <family val="2"/>
      <scheme val="minor"/>
    </font>
    <font>
      <sz val="30"/>
      <color theme="1"/>
      <name val="Century Gothic"/>
      <family val="2"/>
    </font>
    <font>
      <sz val="11"/>
      <color theme="1"/>
      <name val="Calibri"/>
      <family val="2"/>
      <charset val="1"/>
      <scheme val="minor"/>
    </font>
    <font>
      <sz val="25"/>
      <color theme="1"/>
      <name val="Century Gothic"/>
      <family val="2"/>
    </font>
    <font>
      <sz val="16"/>
      <color theme="1"/>
      <name val="Calibri"/>
      <family val="2"/>
      <scheme val="minor"/>
    </font>
    <font>
      <sz val="34"/>
      <color theme="1"/>
      <name val="Century Gothic"/>
      <family val="2"/>
    </font>
    <font>
      <b/>
      <sz val="34"/>
      <color theme="1" tint="4.9989318521683403E-2"/>
      <name val="Century Gothic"/>
      <family val="2"/>
    </font>
    <font>
      <sz val="34"/>
      <color theme="1" tint="4.9989318521683403E-2"/>
      <name val="Century Gothic"/>
      <family val="2"/>
    </font>
    <font>
      <b/>
      <sz val="34"/>
      <color theme="1"/>
      <name val="Calibri"/>
      <family val="2"/>
      <scheme val="minor"/>
    </font>
    <font>
      <sz val="28"/>
      <color theme="1" tint="4.9989318521683403E-2"/>
      <name val="Century Gothic"/>
      <family val="2"/>
    </font>
    <font>
      <b/>
      <sz val="16"/>
      <color theme="1"/>
      <name val="Calibri"/>
      <family val="2"/>
      <scheme val="minor"/>
    </font>
    <font>
      <b/>
      <sz val="28"/>
      <color theme="1" tint="4.9989318521683403E-2"/>
      <name val="Century Gothic"/>
      <family val="2"/>
    </font>
    <font>
      <b/>
      <sz val="35"/>
      <color theme="0"/>
      <name val="Calibri"/>
      <family val="2"/>
      <scheme val="minor"/>
    </font>
    <font>
      <b/>
      <sz val="32"/>
      <color theme="1"/>
      <name val="Calibri"/>
      <family val="2"/>
      <scheme val="minor"/>
    </font>
    <font>
      <sz val="28"/>
      <name val="Century Gothic"/>
      <family val="2"/>
    </font>
    <font>
      <b/>
      <sz val="28"/>
      <color theme="1"/>
      <name val="Calibri"/>
      <family val="2"/>
      <scheme val="minor"/>
    </font>
    <font>
      <sz val="26"/>
      <name val="Century Gothic"/>
      <family val="2"/>
    </font>
    <font>
      <sz val="28"/>
      <color theme="1"/>
      <name val="Century Gothic"/>
      <family val="2"/>
    </font>
    <font>
      <b/>
      <sz val="28"/>
      <name val="Bahnschrift"/>
      <family val="2"/>
    </font>
    <font>
      <b/>
      <sz val="28"/>
      <color theme="0"/>
      <name val="Century Gothic"/>
      <family val="2"/>
    </font>
    <font>
      <b/>
      <sz val="35"/>
      <name val="Calibri"/>
      <family val="2"/>
    </font>
    <font>
      <b/>
      <sz val="60"/>
      <name val="Calibri"/>
      <family val="2"/>
    </font>
    <font>
      <sz val="35"/>
      <name val="Calibri"/>
      <family val="2"/>
    </font>
    <font>
      <sz val="16"/>
      <color theme="1"/>
      <name val="Century Gothic"/>
      <family val="2"/>
    </font>
    <font>
      <u/>
      <sz val="30"/>
      <color theme="10"/>
      <name val="Calibri"/>
      <family val="2"/>
      <charset val="1"/>
      <scheme val="minor"/>
    </font>
    <font>
      <sz val="30"/>
      <name val="Century Gothic"/>
      <family val="2"/>
    </font>
    <font>
      <u/>
      <sz val="30"/>
      <color theme="1"/>
      <name val="Calibri"/>
      <family val="2"/>
      <scheme val="minor"/>
    </font>
  </fonts>
  <fills count="9">
    <fill>
      <patternFill patternType="none"/>
    </fill>
    <fill>
      <patternFill patternType="gray125"/>
    </fill>
    <fill>
      <patternFill patternType="solid">
        <fgColor rgb="FFFFC000"/>
        <bgColor indexed="64"/>
      </patternFill>
    </fill>
    <fill>
      <patternFill patternType="solid">
        <fgColor theme="9" tint="-0.249977111117893"/>
        <bgColor indexed="64"/>
      </patternFill>
    </fill>
    <fill>
      <patternFill patternType="solid">
        <fgColor theme="0"/>
        <bgColor indexed="64"/>
      </patternFill>
    </fill>
    <fill>
      <patternFill patternType="solid">
        <fgColor rgb="FFFF0000"/>
        <bgColor indexed="64"/>
      </patternFill>
    </fill>
    <fill>
      <patternFill patternType="solid">
        <fgColor theme="0" tint="-0.14999847407452621"/>
        <bgColor indexed="64"/>
      </patternFill>
    </fill>
    <fill>
      <patternFill patternType="solid">
        <fgColor theme="9" tint="-0.499984740745262"/>
        <bgColor indexed="64"/>
      </patternFill>
    </fill>
    <fill>
      <patternFill patternType="solid">
        <fgColor rgb="FF00B0F0"/>
        <bgColor indexed="64"/>
      </patternFill>
    </fill>
  </fills>
  <borders count="37">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style="medium">
        <color auto="1"/>
      </left>
      <right/>
      <top/>
      <bottom/>
      <diagonal/>
    </border>
    <border>
      <left style="thin">
        <color auto="1"/>
      </left>
      <right style="thin">
        <color auto="1"/>
      </right>
      <top/>
      <bottom style="thin">
        <color auto="1"/>
      </bottom>
      <diagonal/>
    </border>
    <border>
      <left/>
      <right style="medium">
        <color auto="1"/>
      </right>
      <top/>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medium">
        <color auto="1"/>
      </left>
      <right/>
      <top style="medium">
        <color auto="1"/>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thin">
        <color indexed="64"/>
      </top>
      <bottom/>
      <diagonal/>
    </border>
    <border>
      <left style="medium">
        <color indexed="64"/>
      </left>
      <right style="thin">
        <color indexed="64"/>
      </right>
      <top style="thin">
        <color indexed="64"/>
      </top>
      <bottom/>
      <diagonal/>
    </border>
    <border>
      <left style="thin">
        <color auto="1"/>
      </left>
      <right style="medium">
        <color indexed="64"/>
      </right>
      <top style="thin">
        <color auto="1"/>
      </top>
      <bottom/>
      <diagonal/>
    </border>
    <border>
      <left style="medium">
        <color indexed="64"/>
      </left>
      <right style="thin">
        <color auto="1"/>
      </right>
      <top/>
      <bottom/>
      <diagonal/>
    </border>
    <border>
      <left style="thin">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right style="medium">
        <color auto="1"/>
      </right>
      <top style="thin">
        <color auto="1"/>
      </top>
      <bottom style="thin">
        <color auto="1"/>
      </bottom>
      <diagonal/>
    </border>
    <border>
      <left/>
      <right style="medium">
        <color indexed="64"/>
      </right>
      <top style="thin">
        <color indexed="64"/>
      </top>
      <bottom/>
      <diagonal/>
    </border>
    <border>
      <left/>
      <right style="medium">
        <color auto="1"/>
      </right>
      <top/>
      <bottom style="thin">
        <color auto="1"/>
      </bottom>
      <diagonal/>
    </border>
    <border>
      <left style="medium">
        <color auto="1"/>
      </left>
      <right/>
      <top/>
      <bottom style="thin">
        <color auto="1"/>
      </bottom>
      <diagonal/>
    </border>
  </borders>
  <cellStyleXfs count="14">
    <xf numFmtId="0" fontId="0" fillId="0" borderId="0"/>
    <xf numFmtId="0" fontId="2" fillId="0" borderId="0" applyNumberFormat="0" applyFill="0" applyBorder="0" applyAlignment="0" applyProtection="0"/>
    <xf numFmtId="0" fontId="1" fillId="0" borderId="0"/>
    <xf numFmtId="0" fontId="1" fillId="0" borderId="0"/>
    <xf numFmtId="0" fontId="4"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25" fillId="0" borderId="0"/>
    <xf numFmtId="0" fontId="25" fillId="0" borderId="0"/>
    <xf numFmtId="0" fontId="1" fillId="0" borderId="0"/>
    <xf numFmtId="9" fontId="1" fillId="0" borderId="0" applyFont="0" applyFill="0" applyBorder="0" applyAlignment="0" applyProtection="0"/>
  </cellStyleXfs>
  <cellXfs count="288">
    <xf numFmtId="0" fontId="0" fillId="0" borderId="0" xfId="0"/>
    <xf numFmtId="0" fontId="6" fillId="0" borderId="18" xfId="7" applyFont="1" applyBorder="1" applyAlignment="1">
      <alignment horizontal="center" vertical="center"/>
    </xf>
    <xf numFmtId="0" fontId="6" fillId="0" borderId="19" xfId="7" applyFont="1" applyBorder="1" applyAlignment="1">
      <alignment horizontal="center" vertical="center"/>
    </xf>
    <xf numFmtId="0" fontId="6" fillId="0" borderId="20" xfId="7" applyFont="1" applyBorder="1" applyAlignment="1">
      <alignment horizontal="center" vertical="center"/>
    </xf>
    <xf numFmtId="0" fontId="1" fillId="0" borderId="0" xfId="7" applyAlignment="1">
      <alignment vertical="top"/>
    </xf>
    <xf numFmtId="0" fontId="6" fillId="0" borderId="10" xfId="7" applyFont="1" applyBorder="1" applyAlignment="1">
      <alignment horizontal="center" vertical="center"/>
    </xf>
    <xf numFmtId="0" fontId="6" fillId="0" borderId="0" xfId="7" applyFont="1" applyAlignment="1">
      <alignment horizontal="center" vertical="center"/>
    </xf>
    <xf numFmtId="0" fontId="6" fillId="0" borderId="12" xfId="7" applyFont="1" applyBorder="1" applyAlignment="1">
      <alignment horizontal="center" vertical="center"/>
    </xf>
    <xf numFmtId="0" fontId="7" fillId="2" borderId="18" xfId="7" applyFont="1" applyFill="1" applyBorder="1" applyAlignment="1">
      <alignment horizontal="left" vertical="top" wrapText="1"/>
    </xf>
    <xf numFmtId="0" fontId="7" fillId="2" borderId="19" xfId="7" applyFont="1" applyFill="1" applyBorder="1" applyAlignment="1">
      <alignment horizontal="left" vertical="top" wrapText="1"/>
    </xf>
    <xf numFmtId="0" fontId="8" fillId="2" borderId="18" xfId="7" applyFont="1" applyFill="1" applyBorder="1" applyAlignment="1">
      <alignment horizontal="center" vertical="top" wrapText="1"/>
    </xf>
    <xf numFmtId="0" fontId="8" fillId="2" borderId="19" xfId="7" applyFont="1" applyFill="1" applyBorder="1" applyAlignment="1">
      <alignment horizontal="center" vertical="top" wrapText="1"/>
    </xf>
    <xf numFmtId="0" fontId="8" fillId="2" borderId="20" xfId="7" applyFont="1" applyFill="1" applyBorder="1" applyAlignment="1">
      <alignment horizontal="center" vertical="top" wrapText="1"/>
    </xf>
    <xf numFmtId="0" fontId="9" fillId="0" borderId="0" xfId="7" applyFont="1" applyAlignment="1">
      <alignment vertical="top"/>
    </xf>
    <xf numFmtId="0" fontId="10" fillId="3" borderId="10" xfId="2" applyFont="1" applyFill="1" applyBorder="1" applyAlignment="1">
      <alignment vertical="center"/>
    </xf>
    <xf numFmtId="49" fontId="10" fillId="4" borderId="0" xfId="2" applyNumberFormat="1" applyFont="1" applyFill="1" applyAlignment="1">
      <alignment vertical="center"/>
    </xf>
    <xf numFmtId="0" fontId="10" fillId="3" borderId="0" xfId="2" applyFont="1" applyFill="1" applyAlignment="1">
      <alignment horizontal="center" vertical="center"/>
    </xf>
    <xf numFmtId="49" fontId="10" fillId="0" borderId="9" xfId="2" applyNumberFormat="1" applyFont="1" applyBorder="1" applyAlignment="1">
      <alignment horizontal="center"/>
    </xf>
    <xf numFmtId="0" fontId="11" fillId="2" borderId="0" xfId="2" applyFont="1" applyFill="1" applyAlignment="1">
      <alignment horizontal="center"/>
    </xf>
    <xf numFmtId="0" fontId="11" fillId="2" borderId="0" xfId="2" applyFont="1" applyFill="1" applyAlignment="1">
      <alignment horizontal="center"/>
    </xf>
    <xf numFmtId="0" fontId="12" fillId="2" borderId="0" xfId="2" applyFont="1" applyFill="1"/>
    <xf numFmtId="0" fontId="8" fillId="2" borderId="10" xfId="7" applyFont="1" applyFill="1" applyBorder="1" applyAlignment="1">
      <alignment horizontal="center" vertical="top" wrapText="1"/>
    </xf>
    <xf numFmtId="0" fontId="8" fillId="2" borderId="0" xfId="7" applyFont="1" applyFill="1" applyAlignment="1">
      <alignment horizontal="center" vertical="top" wrapText="1"/>
    </xf>
    <xf numFmtId="0" fontId="8" fillId="2" borderId="12" xfId="7" applyFont="1" applyFill="1" applyBorder="1" applyAlignment="1">
      <alignment horizontal="center" vertical="top" wrapText="1"/>
    </xf>
    <xf numFmtId="0" fontId="12" fillId="0" borderId="0" xfId="2" applyFont="1"/>
    <xf numFmtId="0" fontId="13" fillId="2" borderId="10" xfId="8" applyFont="1" applyFill="1" applyBorder="1" applyAlignment="1">
      <alignment horizontal="left"/>
    </xf>
    <xf numFmtId="0" fontId="13" fillId="2" borderId="0" xfId="8" applyFont="1" applyFill="1" applyAlignment="1">
      <alignment horizontal="left"/>
    </xf>
    <xf numFmtId="0" fontId="13" fillId="2" borderId="0" xfId="8" applyFont="1" applyFill="1" applyAlignment="1">
      <alignment horizontal="left"/>
    </xf>
    <xf numFmtId="0" fontId="3" fillId="2" borderId="0" xfId="8" applyFont="1" applyFill="1"/>
    <xf numFmtId="0" fontId="3" fillId="0" borderId="0" xfId="8" applyFont="1"/>
    <xf numFmtId="0" fontId="16" fillId="2" borderId="0" xfId="2" applyFont="1" applyFill="1" applyAlignment="1">
      <alignment horizontal="left"/>
    </xf>
    <xf numFmtId="0" fontId="16" fillId="2" borderId="0" xfId="2" applyFont="1" applyFill="1" applyAlignment="1">
      <alignment horizontal="left"/>
    </xf>
    <xf numFmtId="0" fontId="17" fillId="0" borderId="0" xfId="2" applyFont="1" applyAlignment="1">
      <alignment horizontal="left"/>
    </xf>
    <xf numFmtId="0" fontId="16" fillId="3" borderId="0" xfId="3" applyFont="1" applyFill="1" applyAlignment="1">
      <alignment horizontal="left" vertical="center"/>
    </xf>
    <xf numFmtId="0" fontId="16" fillId="3" borderId="5" xfId="3" applyFont="1" applyFill="1" applyBorder="1" applyAlignment="1">
      <alignment horizontal="left" vertical="center"/>
    </xf>
    <xf numFmtId="0" fontId="16" fillId="0" borderId="8" xfId="3" applyFont="1" applyBorder="1" applyAlignment="1">
      <alignment horizontal="left"/>
    </xf>
    <xf numFmtId="0" fontId="16" fillId="3" borderId="11" xfId="3" applyFont="1" applyFill="1" applyBorder="1" applyAlignment="1">
      <alignment horizontal="left"/>
    </xf>
    <xf numFmtId="0" fontId="16" fillId="3" borderId="6" xfId="3" applyFont="1" applyFill="1" applyBorder="1" applyAlignment="1">
      <alignment horizontal="left"/>
    </xf>
    <xf numFmtId="0" fontId="16" fillId="0" borderId="6" xfId="3" applyFont="1" applyBorder="1" applyAlignment="1">
      <alignment horizontal="left"/>
    </xf>
    <xf numFmtId="0" fontId="16" fillId="0" borderId="7" xfId="5" applyFont="1" applyBorder="1" applyAlignment="1">
      <alignment horizontal="left"/>
    </xf>
    <xf numFmtId="0" fontId="16" fillId="0" borderId="8" xfId="5" applyFont="1" applyBorder="1" applyAlignment="1">
      <alignment horizontal="left"/>
    </xf>
    <xf numFmtId="0" fontId="15" fillId="0" borderId="0" xfId="3" applyFont="1"/>
    <xf numFmtId="0" fontId="16" fillId="3" borderId="0" xfId="3" applyFont="1" applyFill="1" applyAlignment="1">
      <alignment horizontal="left"/>
    </xf>
    <xf numFmtId="0" fontId="16" fillId="3" borderId="5" xfId="3" applyFont="1" applyFill="1" applyBorder="1" applyAlignment="1">
      <alignment horizontal="left"/>
    </xf>
    <xf numFmtId="0" fontId="16" fillId="0" borderId="13" xfId="3" applyFont="1" applyBorder="1" applyAlignment="1">
      <alignment horizontal="left"/>
    </xf>
    <xf numFmtId="0" fontId="16" fillId="3" borderId="14" xfId="3" applyFont="1" applyFill="1" applyBorder="1" applyAlignment="1">
      <alignment horizontal="left"/>
    </xf>
    <xf numFmtId="0" fontId="16" fillId="3" borderId="9" xfId="3" applyFont="1" applyFill="1" applyBorder="1" applyAlignment="1">
      <alignment horizontal="left"/>
    </xf>
    <xf numFmtId="0" fontId="16" fillId="0" borderId="9" xfId="5" applyFont="1" applyBorder="1" applyAlignment="1">
      <alignment horizontal="left"/>
    </xf>
    <xf numFmtId="0" fontId="16" fillId="0" borderId="13" xfId="5" applyFont="1" applyBorder="1" applyAlignment="1">
      <alignment horizontal="left"/>
    </xf>
    <xf numFmtId="0" fontId="18" fillId="2" borderId="10" xfId="2" applyFont="1" applyFill="1" applyBorder="1"/>
    <xf numFmtId="0" fontId="18" fillId="2" borderId="0" xfId="2" applyFont="1" applyFill="1"/>
    <xf numFmtId="0" fontId="19" fillId="2" borderId="0" xfId="2" applyFont="1" applyFill="1" applyAlignment="1">
      <alignment horizontal="center"/>
    </xf>
    <xf numFmtId="0" fontId="8" fillId="2" borderId="21" xfId="7" applyFont="1" applyFill="1" applyBorder="1" applyAlignment="1">
      <alignment horizontal="center" vertical="top" wrapText="1"/>
    </xf>
    <xf numFmtId="0" fontId="8" fillId="2" borderId="22" xfId="7" applyFont="1" applyFill="1" applyBorder="1" applyAlignment="1">
      <alignment horizontal="center" vertical="top" wrapText="1"/>
    </xf>
    <xf numFmtId="0" fontId="8" fillId="2" borderId="23" xfId="7" applyFont="1" applyFill="1" applyBorder="1" applyAlignment="1">
      <alignment horizontal="center" vertical="top" wrapText="1"/>
    </xf>
    <xf numFmtId="0" fontId="9" fillId="0" borderId="0" xfId="2" applyFont="1"/>
    <xf numFmtId="0" fontId="7" fillId="3" borderId="24" xfId="2" applyFont="1" applyFill="1" applyBorder="1" applyAlignment="1">
      <alignment horizontal="left"/>
    </xf>
    <xf numFmtId="0" fontId="7" fillId="3" borderId="2" xfId="2" applyFont="1" applyFill="1" applyBorder="1" applyAlignment="1">
      <alignment horizontal="left"/>
    </xf>
    <xf numFmtId="0" fontId="7" fillId="3" borderId="0" xfId="2" applyFont="1" applyFill="1" applyAlignment="1">
      <alignment horizontal="left"/>
    </xf>
    <xf numFmtId="0" fontId="19" fillId="3" borderId="0" xfId="2" applyFont="1" applyFill="1"/>
    <xf numFmtId="0" fontId="20" fillId="3" borderId="0" xfId="2" applyFont="1" applyFill="1"/>
    <xf numFmtId="0" fontId="9" fillId="3" borderId="0" xfId="2" applyFont="1" applyFill="1"/>
    <xf numFmtId="0" fontId="9" fillId="3" borderId="12" xfId="2" applyFont="1" applyFill="1" applyBorder="1"/>
    <xf numFmtId="0" fontId="21" fillId="2" borderId="25" xfId="2" applyFont="1" applyFill="1" applyBorder="1" applyAlignment="1">
      <alignment horizontal="center" vertical="center"/>
    </xf>
    <xf numFmtId="0" fontId="21" fillId="2" borderId="17" xfId="2" applyFont="1" applyFill="1" applyBorder="1" applyAlignment="1">
      <alignment horizontal="center" vertical="center"/>
    </xf>
    <xf numFmtId="0" fontId="21" fillId="2" borderId="16" xfId="2" applyFont="1" applyFill="1" applyBorder="1" applyAlignment="1">
      <alignment horizontal="center" vertical="center"/>
    </xf>
    <xf numFmtId="0" fontId="21" fillId="2" borderId="16" xfId="2" applyFont="1" applyFill="1" applyBorder="1" applyAlignment="1">
      <alignment horizontal="center" vertical="center" wrapText="1"/>
    </xf>
    <xf numFmtId="0" fontId="21" fillId="2" borderId="1" xfId="2" applyFont="1" applyFill="1" applyBorder="1" applyAlignment="1">
      <alignment horizontal="center" vertical="center" wrapText="1"/>
    </xf>
    <xf numFmtId="0" fontId="22" fillId="2" borderId="9" xfId="7" applyFont="1" applyFill="1" applyBorder="1" applyAlignment="1">
      <alignment horizontal="center" vertical="center" wrapText="1"/>
    </xf>
    <xf numFmtId="0" fontId="22" fillId="2" borderId="15" xfId="7" applyFont="1" applyFill="1" applyBorder="1" applyAlignment="1">
      <alignment horizontal="center" vertical="center" wrapText="1"/>
    </xf>
    <xf numFmtId="0" fontId="22" fillId="2" borderId="13" xfId="7" applyFont="1" applyFill="1" applyBorder="1" applyAlignment="1">
      <alignment horizontal="center" vertical="center" wrapText="1"/>
    </xf>
    <xf numFmtId="0" fontId="22" fillId="2" borderId="16" xfId="7" applyFont="1" applyFill="1" applyBorder="1" applyAlignment="1">
      <alignment horizontal="center" vertical="center" wrapText="1"/>
    </xf>
    <xf numFmtId="2" fontId="22" fillId="2" borderId="26" xfId="7" applyNumberFormat="1" applyFont="1" applyFill="1" applyBorder="1" applyAlignment="1">
      <alignment horizontal="center" vertical="center" wrapText="1"/>
    </xf>
    <xf numFmtId="0" fontId="23" fillId="0" borderId="0" xfId="7" applyFont="1" applyAlignment="1">
      <alignment vertical="top"/>
    </xf>
    <xf numFmtId="0" fontId="21" fillId="2" borderId="27" xfId="2" applyFont="1" applyFill="1" applyBorder="1" applyAlignment="1">
      <alignment horizontal="center" vertical="center"/>
    </xf>
    <xf numFmtId="0" fontId="21" fillId="2" borderId="17" xfId="2" applyFont="1" applyFill="1" applyBorder="1" applyAlignment="1">
      <alignment horizontal="center" vertical="center" wrapText="1"/>
    </xf>
    <xf numFmtId="0" fontId="21" fillId="2" borderId="4" xfId="2" applyFont="1" applyFill="1" applyBorder="1" applyAlignment="1">
      <alignment horizontal="center" vertical="center"/>
    </xf>
    <xf numFmtId="0" fontId="22" fillId="2" borderId="16" xfId="7" applyFont="1" applyFill="1" applyBorder="1" applyAlignment="1">
      <alignment horizontal="center" vertical="center"/>
    </xf>
    <xf numFmtId="0" fontId="22" fillId="2" borderId="16" xfId="7" applyFont="1" applyFill="1" applyBorder="1" applyAlignment="1">
      <alignment horizontal="center" vertical="center" wrapText="1"/>
    </xf>
    <xf numFmtId="0" fontId="22" fillId="2" borderId="11" xfId="7" applyFont="1" applyFill="1" applyBorder="1" applyAlignment="1">
      <alignment horizontal="center" vertical="center" wrapText="1"/>
    </xf>
    <xf numFmtId="2" fontId="22" fillId="2" borderId="28" xfId="7" applyNumberFormat="1" applyFont="1" applyFill="1" applyBorder="1" applyAlignment="1">
      <alignment horizontal="center" vertical="center" wrapText="1"/>
    </xf>
    <xf numFmtId="0" fontId="24" fillId="0" borderId="14" xfId="2" applyFont="1" applyBorder="1" applyAlignment="1">
      <alignment vertical="center" wrapText="1"/>
    </xf>
    <xf numFmtId="2" fontId="24" fillId="0" borderId="14" xfId="0" applyNumberFormat="1" applyFont="1" applyBorder="1" applyAlignment="1">
      <alignment horizontal="center" vertical="center"/>
    </xf>
    <xf numFmtId="0" fontId="24" fillId="0" borderId="14" xfId="2" applyFont="1" applyBorder="1" applyAlignment="1">
      <alignment horizontal="left" vertical="center" wrapText="1"/>
    </xf>
    <xf numFmtId="9" fontId="24" fillId="0" borderId="14" xfId="2" applyNumberFormat="1" applyFont="1" applyBorder="1" applyAlignment="1">
      <alignment horizontal="center" vertical="center" wrapText="1"/>
    </xf>
    <xf numFmtId="0" fontId="24" fillId="0" borderId="14" xfId="6" applyFont="1" applyBorder="1" applyAlignment="1">
      <alignment horizontal="center" vertical="center" wrapText="1"/>
    </xf>
    <xf numFmtId="0" fontId="24" fillId="0" borderId="14" xfId="7" applyFont="1" applyBorder="1" applyAlignment="1">
      <alignment horizontal="center" vertical="center" wrapText="1"/>
    </xf>
    <xf numFmtId="0" fontId="15" fillId="0" borderId="14" xfId="7" applyFont="1" applyBorder="1" applyAlignment="1">
      <alignment horizontal="center" vertical="center"/>
    </xf>
    <xf numFmtId="0" fontId="26" fillId="0" borderId="14" xfId="10" applyFont="1" applyBorder="1" applyAlignment="1">
      <alignment horizontal="center" vertical="center"/>
    </xf>
    <xf numFmtId="0" fontId="5" fillId="2" borderId="14" xfId="7" applyFont="1" applyFill="1" applyBorder="1" applyAlignment="1">
      <alignment horizontal="center" vertical="center"/>
    </xf>
    <xf numFmtId="2" fontId="5" fillId="2" borderId="14" xfId="7" applyNumberFormat="1" applyFont="1" applyFill="1" applyBorder="1" applyAlignment="1">
      <alignment horizontal="center" vertical="center"/>
    </xf>
    <xf numFmtId="0" fontId="27" fillId="0" borderId="0" xfId="7" applyFont="1" applyAlignment="1">
      <alignment horizontal="left" vertical="top" wrapText="1"/>
    </xf>
    <xf numFmtId="0" fontId="24" fillId="0" borderId="14" xfId="2" applyFont="1" applyBorder="1" applyAlignment="1">
      <alignment horizontal="center" vertical="center"/>
    </xf>
    <xf numFmtId="9" fontId="24" fillId="0" borderId="14" xfId="2" applyNumberFormat="1" applyFont="1" applyBorder="1" applyAlignment="1">
      <alignment horizontal="center" vertical="center"/>
    </xf>
    <xf numFmtId="0" fontId="28" fillId="0" borderId="29" xfId="11" applyFont="1" applyBorder="1" applyAlignment="1">
      <alignment horizontal="center" vertical="center"/>
    </xf>
    <xf numFmtId="0" fontId="29" fillId="0" borderId="11" xfId="7" applyFont="1" applyBorder="1" applyAlignment="1">
      <alignment horizontal="center" vertical="center" wrapText="1"/>
    </xf>
    <xf numFmtId="2" fontId="29" fillId="0" borderId="11" xfId="7" applyNumberFormat="1" applyFont="1" applyBorder="1" applyAlignment="1">
      <alignment horizontal="center" vertical="center" wrapText="1"/>
    </xf>
    <xf numFmtId="2" fontId="28" fillId="0" borderId="11" xfId="11" applyNumberFormat="1" applyFont="1" applyBorder="1" applyAlignment="1">
      <alignment horizontal="left" vertical="center" wrapText="1"/>
    </xf>
    <xf numFmtId="9" fontId="28" fillId="0" borderId="11" xfId="11" applyNumberFormat="1" applyFont="1" applyBorder="1" applyAlignment="1">
      <alignment horizontal="center" vertical="center"/>
    </xf>
    <xf numFmtId="0" fontId="30" fillId="0" borderId="6" xfId="8" applyFont="1" applyBorder="1" applyAlignment="1">
      <alignment vertical="center"/>
    </xf>
    <xf numFmtId="49" fontId="30" fillId="0" borderId="7" xfId="8" applyNumberFormat="1" applyFont="1" applyBorder="1" applyAlignment="1">
      <alignment horizontal="center" vertical="center"/>
    </xf>
    <xf numFmtId="0" fontId="29" fillId="0" borderId="15" xfId="7" applyFont="1" applyBorder="1" applyAlignment="1" applyProtection="1">
      <alignment horizontal="center" vertical="center"/>
      <protection locked="0"/>
    </xf>
    <xf numFmtId="2" fontId="31" fillId="2" borderId="14" xfId="7" applyNumberFormat="1" applyFont="1" applyFill="1" applyBorder="1" applyAlignment="1">
      <alignment horizontal="center" vertical="center"/>
    </xf>
    <xf numFmtId="2" fontId="31" fillId="2" borderId="30" xfId="7" applyNumberFormat="1" applyFont="1" applyFill="1" applyBorder="1" applyAlignment="1">
      <alignment horizontal="center" vertical="center"/>
    </xf>
    <xf numFmtId="0" fontId="27" fillId="0" borderId="0" xfId="12" applyFont="1" applyAlignment="1">
      <alignment horizontal="left" vertical="top" wrapText="1"/>
    </xf>
    <xf numFmtId="0" fontId="32" fillId="0" borderId="31" xfId="7" applyFont="1" applyBorder="1" applyAlignment="1">
      <alignment vertical="center" wrapText="1"/>
    </xf>
    <xf numFmtId="0" fontId="33" fillId="0" borderId="0" xfId="7" applyFont="1" applyAlignment="1">
      <alignment vertical="top" wrapText="1"/>
    </xf>
    <xf numFmtId="0" fontId="34" fillId="0" borderId="11" xfId="7" applyFont="1" applyBorder="1" applyAlignment="1">
      <alignment horizontal="center" vertical="center" wrapText="1"/>
    </xf>
    <xf numFmtId="0" fontId="35" fillId="5" borderId="9" xfId="7" applyFont="1" applyFill="1" applyBorder="1" applyAlignment="1">
      <alignment horizontal="center"/>
    </xf>
    <xf numFmtId="0" fontId="35" fillId="5" borderId="15" xfId="7" applyFont="1" applyFill="1" applyBorder="1" applyAlignment="1">
      <alignment horizontal="center"/>
    </xf>
    <xf numFmtId="0" fontId="35" fillId="5" borderId="13" xfId="7" applyFont="1" applyFill="1" applyBorder="1" applyAlignment="1">
      <alignment horizontal="center"/>
    </xf>
    <xf numFmtId="2" fontId="36" fillId="6" borderId="30" xfId="13" applyNumberFormat="1" applyFont="1" applyFill="1" applyBorder="1" applyAlignment="1" applyProtection="1">
      <alignment horizontal="center"/>
    </xf>
    <xf numFmtId="0" fontId="13" fillId="2" borderId="24" xfId="7" applyFont="1" applyFill="1" applyBorder="1" applyAlignment="1">
      <alignment horizontal="right" vertical="top" wrapText="1"/>
    </xf>
    <xf numFmtId="0" fontId="13" fillId="2" borderId="2" xfId="7" applyFont="1" applyFill="1" applyBorder="1" applyAlignment="1">
      <alignment horizontal="right" vertical="top" wrapText="1"/>
    </xf>
    <xf numFmtId="0" fontId="13" fillId="2" borderId="3" xfId="7" applyFont="1" applyFill="1" applyBorder="1" applyAlignment="1">
      <alignment horizontal="right" vertical="top" wrapText="1"/>
    </xf>
    <xf numFmtId="0" fontId="13" fillId="2" borderId="14" xfId="7" applyFont="1" applyFill="1" applyBorder="1" applyAlignment="1">
      <alignment horizontal="center" vertical="top" wrapText="1"/>
    </xf>
    <xf numFmtId="0" fontId="22" fillId="2" borderId="2" xfId="7" applyFont="1" applyFill="1" applyBorder="1" applyAlignment="1">
      <alignment horizontal="center" vertical="top" wrapText="1"/>
    </xf>
    <xf numFmtId="0" fontId="22" fillId="2" borderId="8" xfId="7" applyFont="1" applyFill="1" applyBorder="1" applyAlignment="1">
      <alignment horizontal="center" vertical="top" wrapText="1"/>
    </xf>
    <xf numFmtId="0" fontId="3" fillId="3" borderId="0" xfId="7" applyFont="1" applyFill="1" applyAlignment="1">
      <alignment horizontal="center"/>
    </xf>
    <xf numFmtId="2" fontId="3" fillId="3" borderId="12" xfId="7" applyNumberFormat="1" applyFont="1" applyFill="1" applyBorder="1" applyAlignment="1">
      <alignment horizontal="center"/>
    </xf>
    <xf numFmtId="0" fontId="27" fillId="0" borderId="0" xfId="7" applyFont="1" applyAlignment="1">
      <alignment vertical="top" wrapText="1"/>
    </xf>
    <xf numFmtId="0" fontId="3" fillId="2" borderId="10" xfId="7" applyFont="1" applyFill="1" applyBorder="1" applyAlignment="1">
      <alignment horizontal="right" vertical="top" wrapText="1"/>
    </xf>
    <xf numFmtId="0" fontId="37" fillId="2" borderId="0" xfId="7" applyFont="1" applyFill="1" applyAlignment="1">
      <alignment horizontal="right" vertical="top" wrapText="1"/>
    </xf>
    <xf numFmtId="0" fontId="13" fillId="3" borderId="0" xfId="7" applyFont="1" applyFill="1" applyAlignment="1">
      <alignment horizontal="right" vertical="top" wrapText="1"/>
    </xf>
    <xf numFmtId="0" fontId="13" fillId="2" borderId="0" xfId="7" applyFont="1" applyFill="1" applyAlignment="1">
      <alignment horizontal="center" vertical="top" wrapText="1"/>
    </xf>
    <xf numFmtId="0" fontId="13" fillId="2" borderId="5" xfId="7" applyFont="1" applyFill="1" applyBorder="1" applyAlignment="1">
      <alignment horizontal="center" vertical="top" wrapText="1"/>
    </xf>
    <xf numFmtId="0" fontId="22" fillId="2" borderId="7" xfId="7" applyFont="1" applyFill="1" applyBorder="1" applyAlignment="1">
      <alignment horizontal="center" vertical="top" wrapText="1"/>
    </xf>
    <xf numFmtId="0" fontId="38" fillId="2" borderId="14" xfId="7" applyFont="1" applyFill="1" applyBorder="1" applyAlignment="1">
      <alignment horizontal="center" vertical="top" wrapText="1"/>
    </xf>
    <xf numFmtId="0" fontId="21" fillId="0" borderId="29" xfId="2" applyFont="1" applyBorder="1" applyAlignment="1">
      <alignment horizontal="center" vertical="center"/>
    </xf>
    <xf numFmtId="0" fontId="21" fillId="0" borderId="14" xfId="2" applyFont="1" applyBorder="1" applyAlignment="1">
      <alignment horizontal="left" vertical="center"/>
    </xf>
    <xf numFmtId="0" fontId="39" fillId="0" borderId="6" xfId="2" applyFont="1" applyBorder="1" applyAlignment="1">
      <alignment vertical="center"/>
    </xf>
    <xf numFmtId="0" fontId="39" fillId="0" borderId="7" xfId="2" applyFont="1" applyBorder="1" applyAlignment="1">
      <alignment vertical="center"/>
    </xf>
    <xf numFmtId="0" fontId="39" fillId="0" borderId="8" xfId="2" applyFont="1" applyBorder="1" applyAlignment="1">
      <alignment vertical="center"/>
    </xf>
    <xf numFmtId="0" fontId="40" fillId="0" borderId="11" xfId="7" applyFont="1" applyBorder="1" applyAlignment="1">
      <alignment horizontal="center" vertical="top" wrapText="1"/>
    </xf>
    <xf numFmtId="0" fontId="3" fillId="3" borderId="0" xfId="7" applyFont="1" applyFill="1" applyAlignment="1">
      <alignment horizontal="center" vertical="top" wrapText="1"/>
    </xf>
    <xf numFmtId="0" fontId="41" fillId="2" borderId="14" xfId="7" applyFont="1" applyFill="1" applyBorder="1" applyAlignment="1">
      <alignment horizontal="center" vertical="top" wrapText="1"/>
    </xf>
    <xf numFmtId="0" fontId="38" fillId="2" borderId="9" xfId="7" applyFont="1" applyFill="1" applyBorder="1" applyAlignment="1">
      <alignment horizontal="left" vertical="top" wrapText="1"/>
    </xf>
    <xf numFmtId="0" fontId="38" fillId="2" borderId="13" xfId="7" applyFont="1" applyFill="1" applyBorder="1" applyAlignment="1">
      <alignment horizontal="left" vertical="top" wrapText="1"/>
    </xf>
    <xf numFmtId="0" fontId="39" fillId="0" borderId="31" xfId="2" applyFont="1" applyBorder="1" applyAlignment="1">
      <alignment horizontal="center" vertical="center"/>
    </xf>
    <xf numFmtId="0" fontId="39" fillId="0" borderId="14" xfId="2" applyFont="1" applyBorder="1" applyAlignment="1">
      <alignment vertical="center" wrapText="1"/>
    </xf>
    <xf numFmtId="0" fontId="37" fillId="0" borderId="9" xfId="10" applyFont="1" applyBorder="1" applyAlignment="1">
      <alignment horizontal="left" vertical="center" wrapText="1"/>
    </xf>
    <xf numFmtId="0" fontId="37" fillId="0" borderId="15" xfId="10" applyFont="1" applyBorder="1" applyAlignment="1">
      <alignment horizontal="left" vertical="center" wrapText="1"/>
    </xf>
    <xf numFmtId="0" fontId="37" fillId="0" borderId="13" xfId="10" applyFont="1" applyBorder="1" applyAlignment="1">
      <alignment horizontal="left" vertical="center" wrapText="1"/>
    </xf>
    <xf numFmtId="0" fontId="40" fillId="0" borderId="14" xfId="7" applyFont="1" applyBorder="1" applyAlignment="1">
      <alignment horizontal="center" vertical="top" wrapText="1"/>
    </xf>
    <xf numFmtId="0" fontId="40" fillId="0" borderId="14" xfId="7" applyFont="1" applyBorder="1" applyAlignment="1" applyProtection="1">
      <alignment horizontal="center" vertical="top" wrapText="1"/>
      <protection locked="0"/>
    </xf>
    <xf numFmtId="0" fontId="21" fillId="0" borderId="31" xfId="2" applyFont="1" applyBorder="1" applyAlignment="1">
      <alignment horizontal="center" vertical="center"/>
    </xf>
    <xf numFmtId="0" fontId="21" fillId="0" borderId="14" xfId="2" applyFont="1" applyBorder="1" applyAlignment="1">
      <alignment horizontal="left" vertical="center" wrapText="1"/>
    </xf>
    <xf numFmtId="0" fontId="39" fillId="0" borderId="9" xfId="2" applyFont="1" applyBorder="1" applyAlignment="1">
      <alignment vertical="center"/>
    </xf>
    <xf numFmtId="0" fontId="39" fillId="0" borderId="15" xfId="2" applyFont="1" applyBorder="1" applyAlignment="1">
      <alignment vertical="center"/>
    </xf>
    <xf numFmtId="0" fontId="39" fillId="0" borderId="13" xfId="2" applyFont="1" applyBorder="1" applyAlignment="1">
      <alignment vertical="center"/>
    </xf>
    <xf numFmtId="0" fontId="39" fillId="0" borderId="14" xfId="2" applyFont="1" applyBorder="1" applyAlignment="1">
      <alignment horizontal="left" vertical="center" wrapText="1"/>
    </xf>
    <xf numFmtId="0" fontId="37" fillId="0" borderId="9" xfId="10" applyFont="1" applyBorder="1" applyAlignment="1">
      <alignment vertical="center" wrapText="1"/>
    </xf>
    <xf numFmtId="0" fontId="37" fillId="0" borderId="15" xfId="10" applyFont="1" applyBorder="1" applyAlignment="1">
      <alignment vertical="center" wrapText="1"/>
    </xf>
    <xf numFmtId="0" fontId="37" fillId="0" borderId="13" xfId="10" applyFont="1" applyBorder="1" applyAlignment="1">
      <alignment vertical="center" wrapText="1"/>
    </xf>
    <xf numFmtId="0" fontId="38" fillId="2" borderId="13" xfId="7" applyFont="1" applyFill="1" applyBorder="1" applyAlignment="1">
      <alignment horizontal="center" vertical="top" wrapText="1"/>
    </xf>
    <xf numFmtId="0" fontId="38" fillId="2" borderId="9" xfId="7" applyFont="1" applyFill="1" applyBorder="1" applyAlignment="1">
      <alignment horizontal="left" vertical="top" wrapText="1"/>
    </xf>
    <xf numFmtId="0" fontId="38" fillId="2" borderId="13" xfId="7" applyFont="1" applyFill="1" applyBorder="1" applyAlignment="1">
      <alignment horizontal="left" vertical="top" wrapText="1"/>
    </xf>
    <xf numFmtId="0" fontId="39" fillId="0" borderId="9" xfId="2" applyFont="1" applyBorder="1" applyAlignment="1">
      <alignment horizontal="left" vertical="center" wrapText="1"/>
    </xf>
    <xf numFmtId="0" fontId="39" fillId="0" borderId="15" xfId="2" applyFont="1" applyBorder="1" applyAlignment="1">
      <alignment horizontal="left" vertical="center" wrapText="1"/>
    </xf>
    <xf numFmtId="0" fontId="39" fillId="0" borderId="13" xfId="2" applyFont="1" applyBorder="1" applyAlignment="1">
      <alignment horizontal="left" vertical="center" wrapText="1"/>
    </xf>
    <xf numFmtId="0" fontId="3" fillId="2" borderId="0" xfId="7" applyFont="1" applyFill="1" applyAlignment="1">
      <alignment horizontal="center" vertical="top" wrapText="1"/>
    </xf>
    <xf numFmtId="0" fontId="13" fillId="2" borderId="5" xfId="7" applyFont="1" applyFill="1" applyBorder="1" applyAlignment="1">
      <alignment horizontal="center" vertical="center" wrapText="1"/>
    </xf>
    <xf numFmtId="0" fontId="21" fillId="2" borderId="32" xfId="2" applyFont="1" applyFill="1" applyBorder="1" applyAlignment="1">
      <alignment horizontal="left" vertical="center"/>
    </xf>
    <xf numFmtId="0" fontId="21" fillId="2" borderId="15" xfId="2" applyFont="1" applyFill="1" applyBorder="1" applyAlignment="1">
      <alignment horizontal="left" vertical="center"/>
    </xf>
    <xf numFmtId="0" fontId="13" fillId="2" borderId="15" xfId="7" applyFont="1" applyFill="1" applyBorder="1" applyAlignment="1">
      <alignment horizontal="center" vertical="top" wrapText="1"/>
    </xf>
    <xf numFmtId="0" fontId="13" fillId="2" borderId="13" xfId="7" applyFont="1" applyFill="1" applyBorder="1" applyAlignment="1">
      <alignment horizontal="center" vertical="top" wrapText="1"/>
    </xf>
    <xf numFmtId="0" fontId="39" fillId="0" borderId="31" xfId="2" applyFont="1" applyBorder="1" applyAlignment="1">
      <alignment vertical="center"/>
    </xf>
    <xf numFmtId="0" fontId="21" fillId="0" borderId="9" xfId="2" applyFont="1" applyBorder="1" applyAlignment="1">
      <alignment vertical="center"/>
    </xf>
    <xf numFmtId="0" fontId="37" fillId="0" borderId="14" xfId="7" applyFont="1" applyBorder="1" applyAlignment="1">
      <alignment horizontal="center" vertical="top" wrapText="1"/>
    </xf>
    <xf numFmtId="0" fontId="13" fillId="0" borderId="14" xfId="7" applyFont="1" applyBorder="1" applyAlignment="1" applyProtection="1">
      <alignment horizontal="center" vertical="top" wrapText="1"/>
      <protection locked="0"/>
    </xf>
    <xf numFmtId="0" fontId="13" fillId="0" borderId="14" xfId="7" applyFont="1" applyBorder="1" applyAlignment="1">
      <alignment horizontal="center" vertical="top" wrapText="1"/>
    </xf>
    <xf numFmtId="0" fontId="13" fillId="2" borderId="32" xfId="7" applyFont="1" applyFill="1" applyBorder="1" applyAlignment="1">
      <alignment vertical="top" wrapText="1"/>
    </xf>
    <xf numFmtId="0" fontId="13" fillId="2" borderId="15" xfId="7" applyFont="1" applyFill="1" applyBorder="1" applyAlignment="1">
      <alignment horizontal="left" vertical="top" wrapText="1"/>
    </xf>
    <xf numFmtId="0" fontId="13" fillId="2" borderId="15" xfId="7" applyFont="1" applyFill="1" applyBorder="1" applyAlignment="1">
      <alignment vertical="top" wrapText="1"/>
    </xf>
    <xf numFmtId="0" fontId="42" fillId="2" borderId="0" xfId="7" applyFont="1" applyFill="1" applyAlignment="1">
      <alignment horizontal="center" vertical="top" wrapText="1"/>
    </xf>
    <xf numFmtId="0" fontId="9" fillId="7" borderId="10" xfId="7" applyFont="1" applyFill="1" applyBorder="1"/>
    <xf numFmtId="0" fontId="9" fillId="7" borderId="2" xfId="7" applyFont="1" applyFill="1" applyBorder="1" applyAlignment="1">
      <alignment horizontal="center"/>
    </xf>
    <xf numFmtId="0" fontId="43" fillId="2" borderId="2" xfId="7" applyFont="1" applyFill="1" applyBorder="1" applyAlignment="1">
      <alignment vertical="center" wrapText="1"/>
    </xf>
    <xf numFmtId="0" fontId="43" fillId="2" borderId="15" xfId="7" applyFont="1" applyFill="1" applyBorder="1" applyAlignment="1">
      <alignment horizontal="center" vertical="center" wrapText="1"/>
    </xf>
    <xf numFmtId="0" fontId="43" fillId="8" borderId="9" xfId="7" applyFont="1" applyFill="1" applyBorder="1" applyAlignment="1">
      <alignment horizontal="center" vertical="center" wrapText="1"/>
    </xf>
    <xf numFmtId="0" fontId="43" fillId="8" borderId="13" xfId="7" applyFont="1" applyFill="1" applyBorder="1" applyAlignment="1">
      <alignment horizontal="center" vertical="center" wrapText="1"/>
    </xf>
    <xf numFmtId="0" fontId="43" fillId="8" borderId="33" xfId="7" applyFont="1" applyFill="1" applyBorder="1" applyAlignment="1">
      <alignment horizontal="center" vertical="center" wrapText="1"/>
    </xf>
    <xf numFmtId="0" fontId="9" fillId="0" borderId="0" xfId="7" applyFont="1"/>
    <xf numFmtId="0" fontId="9" fillId="7" borderId="0" xfId="7" applyFont="1" applyFill="1" applyAlignment="1">
      <alignment horizontal="center"/>
    </xf>
    <xf numFmtId="0" fontId="43" fillId="0" borderId="9" xfId="7" applyFont="1" applyBorder="1" applyAlignment="1">
      <alignment horizontal="left" vertical="center" wrapText="1"/>
    </xf>
    <xf numFmtId="0" fontId="43" fillId="0" borderId="15" xfId="7" applyFont="1" applyBorder="1" applyAlignment="1">
      <alignment horizontal="left" vertical="center" wrapText="1"/>
    </xf>
    <xf numFmtId="0" fontId="43" fillId="0" borderId="13" xfId="7" applyFont="1" applyBorder="1" applyAlignment="1">
      <alignment horizontal="left" vertical="center" wrapText="1"/>
    </xf>
    <xf numFmtId="0" fontId="43" fillId="0" borderId="9" xfId="7" applyFont="1" applyBorder="1" applyAlignment="1">
      <alignment horizontal="center" vertical="center" wrapText="1"/>
    </xf>
    <xf numFmtId="0" fontId="43" fillId="0" borderId="15" xfId="7" applyFont="1" applyBorder="1" applyAlignment="1">
      <alignment horizontal="center" vertical="center" wrapText="1"/>
    </xf>
    <xf numFmtId="0" fontId="43" fillId="0" borderId="13" xfId="7" applyFont="1" applyBorder="1" applyAlignment="1">
      <alignment horizontal="center" vertical="center" wrapText="1"/>
    </xf>
    <xf numFmtId="2" fontId="43" fillId="8" borderId="9" xfId="7" applyNumberFormat="1" applyFont="1" applyFill="1" applyBorder="1" applyAlignment="1">
      <alignment horizontal="center" vertical="center" wrapText="1"/>
    </xf>
    <xf numFmtId="2" fontId="43" fillId="8" borderId="13" xfId="7" applyNumberFormat="1" applyFont="1" applyFill="1" applyBorder="1" applyAlignment="1">
      <alignment horizontal="center" vertical="center" wrapText="1"/>
    </xf>
    <xf numFmtId="2" fontId="44" fillId="2" borderId="1" xfId="13" applyNumberFormat="1" applyFont="1" applyFill="1" applyBorder="1" applyAlignment="1" applyProtection="1">
      <alignment horizontal="center" vertical="center" wrapText="1"/>
    </xf>
    <xf numFmtId="2" fontId="44" fillId="2" borderId="34" xfId="13" applyNumberFormat="1" applyFont="1" applyFill="1" applyBorder="1" applyAlignment="1" applyProtection="1">
      <alignment horizontal="center" vertical="center" wrapText="1"/>
    </xf>
    <xf numFmtId="2" fontId="44" fillId="2" borderId="4" xfId="13" applyNumberFormat="1" applyFont="1" applyFill="1" applyBorder="1" applyAlignment="1" applyProtection="1">
      <alignment horizontal="center" vertical="center" wrapText="1"/>
    </xf>
    <xf numFmtId="2" fontId="44" fillId="2" borderId="12" xfId="13" applyNumberFormat="1" applyFont="1" applyFill="1" applyBorder="1" applyAlignment="1" applyProtection="1">
      <alignment horizontal="center" vertical="center" wrapText="1"/>
    </xf>
    <xf numFmtId="0" fontId="9" fillId="7" borderId="7" xfId="7" applyFont="1" applyFill="1" applyBorder="1" applyAlignment="1">
      <alignment horizontal="center"/>
    </xf>
    <xf numFmtId="2" fontId="44" fillId="2" borderId="6" xfId="13" applyNumberFormat="1" applyFont="1" applyFill="1" applyBorder="1" applyAlignment="1" applyProtection="1">
      <alignment horizontal="center" vertical="center" wrapText="1"/>
    </xf>
    <xf numFmtId="2" fontId="44" fillId="2" borderId="35" xfId="13" applyNumberFormat="1" applyFont="1" applyFill="1" applyBorder="1" applyAlignment="1" applyProtection="1">
      <alignment horizontal="center" vertical="center" wrapText="1"/>
    </xf>
    <xf numFmtId="0" fontId="43" fillId="2" borderId="14" xfId="7" applyFont="1" applyFill="1" applyBorder="1" applyAlignment="1">
      <alignment horizontal="center" vertical="center" wrapText="1"/>
    </xf>
    <xf numFmtId="0" fontId="43" fillId="4" borderId="14" xfId="7" applyFont="1" applyFill="1" applyBorder="1" applyAlignment="1">
      <alignment vertical="center" wrapText="1"/>
    </xf>
    <xf numFmtId="0" fontId="43" fillId="4" borderId="30" xfId="7" applyFont="1" applyFill="1" applyBorder="1" applyAlignment="1">
      <alignment vertical="center" wrapText="1"/>
    </xf>
    <xf numFmtId="0" fontId="45" fillId="4" borderId="14" xfId="7" applyFont="1" applyFill="1" applyBorder="1" applyAlignment="1">
      <alignment horizontal="center" vertical="center" wrapText="1"/>
    </xf>
    <xf numFmtId="0" fontId="45" fillId="4" borderId="30" xfId="7" applyFont="1" applyFill="1" applyBorder="1" applyAlignment="1">
      <alignment horizontal="center" vertical="center" wrapText="1"/>
    </xf>
    <xf numFmtId="0" fontId="43" fillId="2" borderId="14" xfId="7" applyFont="1" applyFill="1" applyBorder="1" applyAlignment="1">
      <alignment horizontal="left" vertical="center" wrapText="1"/>
    </xf>
    <xf numFmtId="0" fontId="43" fillId="0" borderId="14" xfId="7" applyFont="1" applyBorder="1" applyAlignment="1">
      <alignment vertical="center" wrapText="1"/>
    </xf>
    <xf numFmtId="0" fontId="43" fillId="0" borderId="30" xfId="7" applyFont="1" applyBorder="1" applyAlignment="1">
      <alignment vertical="center" wrapText="1"/>
    </xf>
    <xf numFmtId="0" fontId="13" fillId="2" borderId="24" xfId="7" applyFont="1" applyFill="1" applyBorder="1" applyAlignment="1">
      <alignment vertical="center" wrapText="1"/>
    </xf>
    <xf numFmtId="0" fontId="13" fillId="2" borderId="3" xfId="7" applyFont="1" applyFill="1" applyBorder="1" applyAlignment="1">
      <alignment vertical="center" wrapText="1"/>
    </xf>
    <xf numFmtId="0" fontId="37" fillId="0" borderId="2" xfId="7" applyFont="1" applyBorder="1" applyAlignment="1">
      <alignment vertical="center" wrapText="1"/>
    </xf>
    <xf numFmtId="0" fontId="37" fillId="0" borderId="3" xfId="7" applyFont="1" applyBorder="1" applyAlignment="1">
      <alignment vertical="center" wrapText="1"/>
    </xf>
    <xf numFmtId="0" fontId="13" fillId="2" borderId="1" xfId="7" applyFont="1" applyFill="1" applyBorder="1" applyAlignment="1">
      <alignment vertical="center" wrapText="1"/>
    </xf>
    <xf numFmtId="0" fontId="37" fillId="0" borderId="2" xfId="7" applyFont="1" applyBorder="1" applyAlignment="1">
      <alignment horizontal="center" vertical="center" wrapText="1"/>
    </xf>
    <xf numFmtId="0" fontId="40" fillId="3" borderId="0" xfId="7" applyFont="1" applyFill="1" applyAlignment="1">
      <alignment horizontal="center" vertical="top" wrapText="1"/>
    </xf>
    <xf numFmtId="0" fontId="3" fillId="3" borderId="2" xfId="7" applyFont="1" applyFill="1" applyBorder="1" applyAlignment="1">
      <alignment horizontal="center" vertical="top" wrapText="1"/>
    </xf>
    <xf numFmtId="0" fontId="13" fillId="2" borderId="10" xfId="7" applyFont="1" applyFill="1" applyBorder="1" applyAlignment="1">
      <alignment vertical="center" wrapText="1"/>
    </xf>
    <xf numFmtId="0" fontId="13" fillId="2" borderId="5" xfId="7" applyFont="1" applyFill="1" applyBorder="1" applyAlignment="1">
      <alignment vertical="center" wrapText="1"/>
    </xf>
    <xf numFmtId="0" fontId="37" fillId="0" borderId="0" xfId="7" applyFont="1" applyAlignment="1">
      <alignment vertical="center" wrapText="1"/>
    </xf>
    <xf numFmtId="0" fontId="37" fillId="0" borderId="5" xfId="7" applyFont="1" applyBorder="1" applyAlignment="1">
      <alignment vertical="center" wrapText="1"/>
    </xf>
    <xf numFmtId="0" fontId="13" fillId="2" borderId="4" xfId="7" applyFont="1" applyFill="1" applyBorder="1" applyAlignment="1">
      <alignment vertical="center" wrapText="1"/>
    </xf>
    <xf numFmtId="0" fontId="37" fillId="0" borderId="0" xfId="7" applyFont="1" applyAlignment="1">
      <alignment horizontal="center" vertical="center" wrapText="1"/>
    </xf>
    <xf numFmtId="0" fontId="3" fillId="3" borderId="0" xfId="7" applyFont="1" applyFill="1" applyAlignment="1">
      <alignment horizontal="center" vertical="top" wrapText="1"/>
    </xf>
    <xf numFmtId="0" fontId="13" fillId="2" borderId="36" xfId="7" applyFont="1" applyFill="1" applyBorder="1" applyAlignment="1">
      <alignment vertical="center" wrapText="1"/>
    </xf>
    <xf numFmtId="0" fontId="13" fillId="2" borderId="8" xfId="7" applyFont="1" applyFill="1" applyBorder="1" applyAlignment="1">
      <alignment vertical="center" wrapText="1"/>
    </xf>
    <xf numFmtId="0" fontId="37" fillId="0" borderId="7" xfId="7" applyFont="1" applyBorder="1" applyAlignment="1">
      <alignment vertical="center" wrapText="1"/>
    </xf>
    <xf numFmtId="0" fontId="37" fillId="0" borderId="8" xfId="7" applyFont="1" applyBorder="1" applyAlignment="1">
      <alignment vertical="center" wrapText="1"/>
    </xf>
    <xf numFmtId="0" fontId="13" fillId="2" borderId="6" xfId="7" applyFont="1" applyFill="1" applyBorder="1" applyAlignment="1">
      <alignment vertical="center" wrapText="1"/>
    </xf>
    <xf numFmtId="0" fontId="37" fillId="0" borderId="7" xfId="7" applyFont="1" applyBorder="1" applyAlignment="1">
      <alignment horizontal="center" vertical="center" wrapText="1"/>
    </xf>
    <xf numFmtId="0" fontId="13" fillId="3" borderId="24" xfId="7" applyFont="1" applyFill="1" applyBorder="1" applyAlignment="1">
      <alignment vertical="center" wrapText="1"/>
    </xf>
    <xf numFmtId="0" fontId="13" fillId="3" borderId="3" xfId="7" applyFont="1" applyFill="1" applyBorder="1" applyAlignment="1">
      <alignment vertical="center" wrapText="1"/>
    </xf>
    <xf numFmtId="0" fontId="13" fillId="3" borderId="1" xfId="7" applyFont="1" applyFill="1" applyBorder="1" applyAlignment="1">
      <alignment vertical="center" wrapText="1"/>
    </xf>
    <xf numFmtId="0" fontId="13" fillId="3" borderId="10" xfId="7" applyFont="1" applyFill="1" applyBorder="1" applyAlignment="1">
      <alignment vertical="center" wrapText="1"/>
    </xf>
    <xf numFmtId="0" fontId="13" fillId="3" borderId="5" xfId="7" applyFont="1" applyFill="1" applyBorder="1" applyAlignment="1">
      <alignment vertical="center" wrapText="1"/>
    </xf>
    <xf numFmtId="0" fontId="13" fillId="3" borderId="4" xfId="7" applyFont="1" applyFill="1" applyBorder="1" applyAlignment="1">
      <alignment vertical="center" wrapText="1"/>
    </xf>
    <xf numFmtId="0" fontId="13" fillId="3" borderId="6" xfId="7" applyFont="1" applyFill="1" applyBorder="1" applyAlignment="1">
      <alignment vertical="center" wrapText="1"/>
    </xf>
    <xf numFmtId="0" fontId="13" fillId="3" borderId="8" xfId="7" applyFont="1" applyFill="1" applyBorder="1" applyAlignment="1">
      <alignment vertical="center" wrapText="1"/>
    </xf>
    <xf numFmtId="0" fontId="27" fillId="3" borderId="21" xfId="7" applyFont="1" applyFill="1" applyBorder="1" applyAlignment="1">
      <alignment vertical="center" wrapText="1"/>
    </xf>
    <xf numFmtId="0" fontId="27" fillId="3" borderId="22" xfId="7" applyFont="1" applyFill="1" applyBorder="1" applyAlignment="1">
      <alignment vertical="center" wrapText="1"/>
    </xf>
    <xf numFmtId="0" fontId="46" fillId="3" borderId="22" xfId="7" applyFont="1" applyFill="1" applyBorder="1" applyAlignment="1">
      <alignment horizontal="center" vertical="top" wrapText="1"/>
    </xf>
    <xf numFmtId="0" fontId="27" fillId="3" borderId="22" xfId="7" applyFont="1" applyFill="1" applyBorder="1" applyAlignment="1">
      <alignment horizontal="center" vertical="top" wrapText="1"/>
    </xf>
    <xf numFmtId="0" fontId="3" fillId="3" borderId="22" xfId="7" applyFont="1" applyFill="1" applyBorder="1" applyAlignment="1">
      <alignment horizontal="center" vertical="top" wrapText="1"/>
    </xf>
    <xf numFmtId="2" fontId="3" fillId="3" borderId="23" xfId="7" applyNumberFormat="1" applyFont="1" applyFill="1" applyBorder="1" applyAlignment="1">
      <alignment horizontal="center"/>
    </xf>
    <xf numFmtId="0" fontId="1" fillId="0" borderId="0" xfId="7" applyAlignment="1">
      <alignment horizontal="center" vertical="top"/>
    </xf>
    <xf numFmtId="0" fontId="3" fillId="0" borderId="0" xfId="7" applyFont="1" applyAlignment="1">
      <alignment horizontal="center"/>
    </xf>
    <xf numFmtId="2" fontId="3" fillId="0" borderId="0" xfId="7" applyNumberFormat="1" applyFont="1" applyAlignment="1">
      <alignment horizontal="center"/>
    </xf>
    <xf numFmtId="0" fontId="14" fillId="3" borderId="10" xfId="3" applyFont="1" applyFill="1" applyBorder="1" applyAlignment="1">
      <alignment horizontal="left" vertical="center"/>
    </xf>
    <xf numFmtId="0" fontId="14" fillId="3" borderId="5" xfId="3" applyFont="1" applyFill="1" applyBorder="1" applyAlignment="1">
      <alignment horizontal="left" vertical="center"/>
    </xf>
    <xf numFmtId="0" fontId="14" fillId="0" borderId="8" xfId="3" applyFont="1" applyBorder="1" applyAlignment="1">
      <alignment horizontal="left"/>
    </xf>
    <xf numFmtId="0" fontId="14" fillId="3" borderId="11" xfId="3" applyFont="1" applyFill="1" applyBorder="1" applyAlignment="1">
      <alignment horizontal="left"/>
    </xf>
    <xf numFmtId="0" fontId="14" fillId="0" borderId="6" xfId="3" applyFont="1" applyBorder="1" applyAlignment="1">
      <alignment horizontal="left"/>
    </xf>
    <xf numFmtId="0" fontId="14" fillId="0" borderId="7" xfId="3" applyFont="1" applyBorder="1" applyAlignment="1">
      <alignment horizontal="left"/>
    </xf>
    <xf numFmtId="0" fontId="14" fillId="0" borderId="8" xfId="3" applyFont="1" applyBorder="1" applyAlignment="1">
      <alignment horizontal="left"/>
    </xf>
    <xf numFmtId="0" fontId="15" fillId="2" borderId="12" xfId="3" applyFont="1" applyFill="1" applyBorder="1"/>
    <xf numFmtId="0" fontId="14" fillId="3" borderId="10" xfId="3" applyFont="1" applyFill="1" applyBorder="1" applyAlignment="1">
      <alignment horizontal="left"/>
    </xf>
    <xf numFmtId="0" fontId="14" fillId="3" borderId="5" xfId="3" applyFont="1" applyFill="1" applyBorder="1" applyAlignment="1">
      <alignment horizontal="left"/>
    </xf>
    <xf numFmtId="0" fontId="14" fillId="0" borderId="13" xfId="3" applyFont="1" applyBorder="1" applyAlignment="1">
      <alignment horizontal="left"/>
    </xf>
    <xf numFmtId="0" fontId="14" fillId="3" borderId="14" xfId="3" applyFont="1" applyFill="1" applyBorder="1" applyAlignment="1">
      <alignment horizontal="left"/>
    </xf>
    <xf numFmtId="0" fontId="47" fillId="0" borderId="13" xfId="4" applyFont="1" applyBorder="1" applyAlignment="1">
      <alignment horizontal="left"/>
    </xf>
    <xf numFmtId="0" fontId="48" fillId="0" borderId="9" xfId="3" applyFont="1" applyBorder="1" applyAlignment="1">
      <alignment horizontal="left"/>
    </xf>
    <xf numFmtId="0" fontId="48" fillId="0" borderId="15" xfId="3" applyFont="1" applyBorder="1" applyAlignment="1">
      <alignment horizontal="left"/>
    </xf>
    <xf numFmtId="0" fontId="48" fillId="0" borderId="13" xfId="3" applyFont="1" applyBorder="1" applyAlignment="1">
      <alignment horizontal="left"/>
    </xf>
    <xf numFmtId="0" fontId="49" fillId="0" borderId="13" xfId="1" quotePrefix="1" applyFont="1" applyBorder="1" applyAlignment="1">
      <alignment horizontal="left"/>
    </xf>
    <xf numFmtId="0" fontId="24" fillId="0" borderId="9" xfId="3" applyFont="1" applyBorder="1" applyAlignment="1">
      <alignment horizontal="left"/>
    </xf>
    <xf numFmtId="0" fontId="16" fillId="3" borderId="14" xfId="3" applyFont="1" applyFill="1" applyBorder="1" applyAlignment="1">
      <alignment horizontal="left" vertical="center"/>
    </xf>
    <xf numFmtId="0" fontId="16" fillId="0" borderId="7" xfId="2" applyFont="1" applyBorder="1" applyAlignment="1">
      <alignment horizontal="left"/>
    </xf>
    <xf numFmtId="0" fontId="16" fillId="0" borderId="8" xfId="2" applyFont="1" applyBorder="1" applyAlignment="1">
      <alignment horizontal="left"/>
    </xf>
    <xf numFmtId="0" fontId="16" fillId="3" borderId="14" xfId="3" applyFont="1" applyFill="1" applyBorder="1" applyAlignment="1">
      <alignment horizontal="left"/>
    </xf>
    <xf numFmtId="0" fontId="49" fillId="0" borderId="13" xfId="1" applyFont="1" applyBorder="1" applyAlignment="1">
      <alignment horizontal="left"/>
    </xf>
    <xf numFmtId="0" fontId="16" fillId="0" borderId="15" xfId="2" applyFont="1" applyBorder="1" applyAlignment="1">
      <alignment horizontal="left"/>
    </xf>
    <xf numFmtId="0" fontId="16" fillId="0" borderId="13" xfId="2" applyFont="1" applyBorder="1" applyAlignment="1">
      <alignment horizontal="left"/>
    </xf>
    <xf numFmtId="0" fontId="24" fillId="0" borderId="14" xfId="2" applyFont="1" applyBorder="1" applyAlignment="1">
      <alignment horizontal="center" vertical="center"/>
    </xf>
    <xf numFmtId="0" fontId="24" fillId="0" borderId="14" xfId="2" applyFont="1" applyBorder="1" applyAlignment="1">
      <alignment horizontal="left" vertical="center" wrapText="1"/>
    </xf>
    <xf numFmtId="2" fontId="24" fillId="0" borderId="14" xfId="2" applyNumberFormat="1" applyFont="1" applyBorder="1" applyAlignment="1">
      <alignment horizontal="center" vertical="center"/>
    </xf>
    <xf numFmtId="0" fontId="24" fillId="0" borderId="16" xfId="2" applyFont="1" applyBorder="1" applyAlignment="1">
      <alignment horizontal="left" vertical="center" wrapText="1"/>
    </xf>
    <xf numFmtId="0" fontId="24" fillId="0" borderId="17" xfId="2" applyFont="1" applyBorder="1" applyAlignment="1">
      <alignment horizontal="left" vertical="center" wrapText="1"/>
    </xf>
    <xf numFmtId="0" fontId="24" fillId="0" borderId="11" xfId="2" applyFont="1" applyBorder="1" applyAlignment="1">
      <alignment horizontal="left" vertical="center" wrapText="1"/>
    </xf>
    <xf numFmtId="0" fontId="24" fillId="0" borderId="16" xfId="2" applyFont="1" applyBorder="1" applyAlignment="1">
      <alignment horizontal="center" vertical="center"/>
    </xf>
    <xf numFmtId="2" fontId="24" fillId="0" borderId="16" xfId="2" applyNumberFormat="1" applyFont="1" applyBorder="1" applyAlignment="1">
      <alignment horizontal="center" vertical="center"/>
    </xf>
    <xf numFmtId="0" fontId="24" fillId="0" borderId="17" xfId="2" applyFont="1" applyBorder="1" applyAlignment="1">
      <alignment horizontal="center" vertical="center"/>
    </xf>
    <xf numFmtId="2" fontId="24" fillId="0" borderId="17" xfId="2" applyNumberFormat="1" applyFont="1" applyBorder="1" applyAlignment="1">
      <alignment horizontal="center" vertical="center"/>
    </xf>
    <xf numFmtId="0" fontId="24" fillId="0" borderId="11" xfId="2" applyFont="1" applyBorder="1" applyAlignment="1">
      <alignment horizontal="center" vertical="center"/>
    </xf>
    <xf numFmtId="2" fontId="24" fillId="0" borderId="11" xfId="2" applyNumberFormat="1" applyFont="1" applyBorder="1" applyAlignment="1">
      <alignment horizontal="center" vertical="center"/>
    </xf>
    <xf numFmtId="0" fontId="24" fillId="0" borderId="14" xfId="0" applyFont="1" applyBorder="1" applyAlignment="1">
      <alignment horizontal="center" vertical="center"/>
    </xf>
    <xf numFmtId="0" fontId="24" fillId="0" borderId="14" xfId="0" applyFont="1" applyBorder="1" applyAlignment="1">
      <alignment vertical="center"/>
    </xf>
    <xf numFmtId="2" fontId="24" fillId="0" borderId="14" xfId="2" applyNumberFormat="1" applyFont="1" applyBorder="1" applyAlignment="1">
      <alignment horizontal="center" vertical="center" wrapText="1"/>
    </xf>
    <xf numFmtId="2" fontId="24" fillId="0" borderId="16" xfId="2" applyNumberFormat="1" applyFont="1" applyBorder="1" applyAlignment="1">
      <alignment horizontal="center" vertical="center" wrapText="1"/>
    </xf>
    <xf numFmtId="2" fontId="24" fillId="0" borderId="17" xfId="2" applyNumberFormat="1" applyFont="1" applyBorder="1" applyAlignment="1">
      <alignment horizontal="center" vertical="center" wrapText="1"/>
    </xf>
    <xf numFmtId="2" fontId="24" fillId="0" borderId="11" xfId="2" applyNumberFormat="1" applyFont="1" applyBorder="1" applyAlignment="1">
      <alignment horizontal="center" vertical="center" wrapText="1"/>
    </xf>
  </cellXfs>
  <cellStyles count="14">
    <cellStyle name="Hyperlink" xfId="1" builtinId="8"/>
    <cellStyle name="Hyperlink 2" xfId="4" xr:uid="{1B6D0968-2076-477F-B5F6-10DEF6CEE523}"/>
    <cellStyle name="Normal" xfId="0" builtinId="0"/>
    <cellStyle name="Normal 2 2" xfId="10" xr:uid="{0B6602EC-972B-4B51-B8FD-355C6D85D7C8}"/>
    <cellStyle name="Normal 2 2 3 2" xfId="12" xr:uid="{A92605CF-C1E1-42D7-B95A-677FE408B18F}"/>
    <cellStyle name="Normal 2 3" xfId="2" xr:uid="{D50084E1-E0B8-4D25-B207-E86E96D79D9E}"/>
    <cellStyle name="Normal 2 3 2" xfId="5" xr:uid="{B7BD9843-52AD-447B-AA65-3924C7A21130}"/>
    <cellStyle name="Normal 2 3 5" xfId="9" xr:uid="{B36D8D34-8405-412E-A8CC-3A31E7D505AF}"/>
    <cellStyle name="Normal 2 4 2" xfId="3" xr:uid="{D728D510-2DE0-4BCE-8E3D-4972F2503BDF}"/>
    <cellStyle name="Normal 2 5 2 2" xfId="8" xr:uid="{07833FF4-8E71-4DC3-B109-DEC7F60B8CAA}"/>
    <cellStyle name="Normal 2 7" xfId="11" xr:uid="{E301392F-AA16-41CB-A06E-249A31CC2B99}"/>
    <cellStyle name="Normal 4 2 2 2 2" xfId="7" xr:uid="{AC60107F-CC2B-4D5F-8EA8-4D78D99BC0CC}"/>
    <cellStyle name="Normal 5 2 2" xfId="6" xr:uid="{EBC5A4A8-EB6D-4921-BBC4-3673952C1BE4}"/>
    <cellStyle name="Percent 2 2" xfId="13" xr:uid="{6886A78E-2897-4FFE-ADF1-8AA67A2BC2A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2</xdr:col>
      <xdr:colOff>711199</xdr:colOff>
      <xdr:row>0</xdr:row>
      <xdr:rowOff>114300</xdr:rowOff>
    </xdr:from>
    <xdr:ext cx="1216479" cy="949887"/>
    <xdr:pic>
      <xdr:nvPicPr>
        <xdr:cNvPr id="2" name="Picture 1">
          <a:extLst>
            <a:ext uri="{FF2B5EF4-FFF2-40B4-BE49-F238E27FC236}">
              <a16:creationId xmlns:a16="http://schemas.microsoft.com/office/drawing/2014/main" id="{2CEC31CC-311D-4752-B577-D552F0127644}"/>
            </a:ext>
          </a:extLst>
        </xdr:cNvPr>
        <xdr:cNvPicPr>
          <a:picLocks noChangeAspect="1"/>
        </xdr:cNvPicPr>
      </xdr:nvPicPr>
      <xdr:blipFill>
        <a:blip xmlns:r="http://schemas.openxmlformats.org/officeDocument/2006/relationships" r:embed="rId1"/>
        <a:stretch>
          <a:fillRect/>
        </a:stretch>
      </xdr:blipFill>
      <xdr:spPr>
        <a:xfrm>
          <a:off x="7445374" y="114300"/>
          <a:ext cx="1216479" cy="949887"/>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2</xdr:col>
      <xdr:colOff>711199</xdr:colOff>
      <xdr:row>0</xdr:row>
      <xdr:rowOff>114300</xdr:rowOff>
    </xdr:from>
    <xdr:ext cx="1216479" cy="949887"/>
    <xdr:pic>
      <xdr:nvPicPr>
        <xdr:cNvPr id="2" name="Picture 1">
          <a:extLst>
            <a:ext uri="{FF2B5EF4-FFF2-40B4-BE49-F238E27FC236}">
              <a16:creationId xmlns:a16="http://schemas.microsoft.com/office/drawing/2014/main" id="{6D9CE8B1-3569-430B-A8DF-B6A0AD9A6913}"/>
            </a:ext>
          </a:extLst>
        </xdr:cNvPr>
        <xdr:cNvPicPr>
          <a:picLocks noChangeAspect="1"/>
        </xdr:cNvPicPr>
      </xdr:nvPicPr>
      <xdr:blipFill>
        <a:blip xmlns:r="http://schemas.openxmlformats.org/officeDocument/2006/relationships" r:embed="rId1"/>
        <a:stretch>
          <a:fillRect/>
        </a:stretch>
      </xdr:blipFill>
      <xdr:spPr>
        <a:xfrm>
          <a:off x="7445374" y="114300"/>
          <a:ext cx="1216479" cy="949887"/>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2</xdr:col>
      <xdr:colOff>711199</xdr:colOff>
      <xdr:row>0</xdr:row>
      <xdr:rowOff>114300</xdr:rowOff>
    </xdr:from>
    <xdr:ext cx="1216479" cy="949887"/>
    <xdr:pic>
      <xdr:nvPicPr>
        <xdr:cNvPr id="2" name="Picture 1">
          <a:extLst>
            <a:ext uri="{FF2B5EF4-FFF2-40B4-BE49-F238E27FC236}">
              <a16:creationId xmlns:a16="http://schemas.microsoft.com/office/drawing/2014/main" id="{A3A81146-657B-4296-BA67-AA2C5F33E815}"/>
            </a:ext>
          </a:extLst>
        </xdr:cNvPr>
        <xdr:cNvPicPr>
          <a:picLocks noChangeAspect="1"/>
        </xdr:cNvPicPr>
      </xdr:nvPicPr>
      <xdr:blipFill>
        <a:blip xmlns:r="http://schemas.openxmlformats.org/officeDocument/2006/relationships" r:embed="rId1"/>
        <a:stretch>
          <a:fillRect/>
        </a:stretch>
      </xdr:blipFill>
      <xdr:spPr>
        <a:xfrm>
          <a:off x="7445374" y="114300"/>
          <a:ext cx="1216479" cy="949887"/>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2</xdr:col>
      <xdr:colOff>711199</xdr:colOff>
      <xdr:row>0</xdr:row>
      <xdr:rowOff>114300</xdr:rowOff>
    </xdr:from>
    <xdr:ext cx="1216479" cy="949887"/>
    <xdr:pic>
      <xdr:nvPicPr>
        <xdr:cNvPr id="2" name="Picture 1">
          <a:extLst>
            <a:ext uri="{FF2B5EF4-FFF2-40B4-BE49-F238E27FC236}">
              <a16:creationId xmlns:a16="http://schemas.microsoft.com/office/drawing/2014/main" id="{BB9BA6D0-4EF9-4943-B644-4E2DB41CB206}"/>
            </a:ext>
          </a:extLst>
        </xdr:cNvPr>
        <xdr:cNvPicPr>
          <a:picLocks noChangeAspect="1"/>
        </xdr:cNvPicPr>
      </xdr:nvPicPr>
      <xdr:blipFill>
        <a:blip xmlns:r="http://schemas.openxmlformats.org/officeDocument/2006/relationships" r:embed="rId1"/>
        <a:stretch>
          <a:fillRect/>
        </a:stretch>
      </xdr:blipFill>
      <xdr:spPr>
        <a:xfrm>
          <a:off x="7445374" y="114300"/>
          <a:ext cx="1216479" cy="949887"/>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ifyarukwe@yahoo.com"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mailto:ifyarukwe@yahoo.com"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mailto:ifyarukwe@yahoo.com" TargetMode="Externa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hyperlink" Target="mailto:ifyarukwe@yahoo.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17CCD1-11A5-4615-A030-A014DDE51CFB}">
  <sheetPr>
    <pageSetUpPr fitToPage="1"/>
  </sheetPr>
  <dimension ref="A1:S88"/>
  <sheetViews>
    <sheetView tabSelected="1" zoomScale="30" zoomScaleNormal="30" workbookViewId="0">
      <selection activeCell="A19" sqref="A19:O48"/>
    </sheetView>
  </sheetViews>
  <sheetFormatPr defaultRowHeight="31.5" customHeight="1" x14ac:dyDescent="0.55000000000000004"/>
  <cols>
    <col min="1" max="1" width="15.5703125" style="242" bestFit="1" customWidth="1"/>
    <col min="2" max="2" width="85.42578125" style="4" bestFit="1" customWidth="1"/>
    <col min="3" max="3" width="39.5703125" style="4" bestFit="1" customWidth="1"/>
    <col min="4" max="4" width="114.85546875" style="4" customWidth="1"/>
    <col min="5" max="5" width="64.7109375" style="242" bestFit="1" customWidth="1"/>
    <col min="6" max="6" width="42" style="242" customWidth="1"/>
    <col min="7" max="7" width="255.7109375" style="4" bestFit="1" customWidth="1"/>
    <col min="8" max="8" width="33" style="242" customWidth="1"/>
    <col min="9" max="9" width="62.42578125" style="242" customWidth="1"/>
    <col min="10" max="10" width="45.140625" style="242" customWidth="1"/>
    <col min="11" max="13" width="35.28515625" style="242" bestFit="1" customWidth="1"/>
    <col min="14" max="14" width="40.7109375" style="242" bestFit="1" customWidth="1"/>
    <col min="15" max="15" width="36.85546875" style="242" bestFit="1" customWidth="1"/>
    <col min="16" max="17" width="36.85546875" style="243" customWidth="1"/>
    <col min="18" max="18" width="36.85546875" style="244" customWidth="1"/>
    <col min="19" max="16384" width="9.140625" style="4"/>
  </cols>
  <sheetData>
    <row r="1" spans="1:19" ht="31.5" customHeight="1" x14ac:dyDescent="0.25">
      <c r="A1" s="1" t="s">
        <v>147</v>
      </c>
      <c r="B1" s="2"/>
      <c r="C1" s="2"/>
      <c r="D1" s="2"/>
      <c r="E1" s="2"/>
      <c r="F1" s="2"/>
      <c r="G1" s="2"/>
      <c r="H1" s="2"/>
      <c r="I1" s="2"/>
      <c r="J1" s="2"/>
      <c r="K1" s="2"/>
      <c r="L1" s="2"/>
      <c r="M1" s="2"/>
      <c r="N1" s="2"/>
      <c r="O1" s="2"/>
      <c r="P1" s="2"/>
      <c r="Q1" s="2"/>
      <c r="R1" s="3"/>
    </row>
    <row r="2" spans="1:19" ht="31.5" customHeight="1" x14ac:dyDescent="0.25">
      <c r="A2" s="5"/>
      <c r="B2" s="6"/>
      <c r="C2" s="6"/>
      <c r="D2" s="6"/>
      <c r="E2" s="6"/>
      <c r="F2" s="6"/>
      <c r="G2" s="6"/>
      <c r="H2" s="6"/>
      <c r="I2" s="6"/>
      <c r="J2" s="6"/>
      <c r="K2" s="6"/>
      <c r="L2" s="6"/>
      <c r="M2" s="6"/>
      <c r="N2" s="6"/>
      <c r="O2" s="6"/>
      <c r="P2" s="6"/>
      <c r="Q2" s="6"/>
      <c r="R2" s="7"/>
    </row>
    <row r="3" spans="1:19" ht="31.5" customHeight="1" thickBot="1" x14ac:dyDescent="0.3">
      <c r="A3" s="5"/>
      <c r="B3" s="6"/>
      <c r="C3" s="6"/>
      <c r="D3" s="6"/>
      <c r="E3" s="6"/>
      <c r="F3" s="6"/>
      <c r="G3" s="6"/>
      <c r="H3" s="6"/>
      <c r="I3" s="6"/>
      <c r="J3" s="6"/>
      <c r="K3" s="6"/>
      <c r="L3" s="6"/>
      <c r="M3" s="6"/>
      <c r="N3" s="6"/>
      <c r="O3" s="6"/>
      <c r="P3" s="6"/>
      <c r="Q3" s="6"/>
      <c r="R3" s="7"/>
    </row>
    <row r="4" spans="1:19" s="13" customFormat="1" ht="45.75" x14ac:dyDescent="0.25">
      <c r="A4" s="8" t="s">
        <v>0</v>
      </c>
      <c r="B4" s="9"/>
      <c r="C4" s="9"/>
      <c r="D4" s="9"/>
      <c r="E4" s="9"/>
      <c r="F4" s="9"/>
      <c r="G4" s="9"/>
      <c r="H4" s="9"/>
      <c r="I4" s="9"/>
      <c r="J4" s="9"/>
      <c r="K4" s="10"/>
      <c r="L4" s="11"/>
      <c r="M4" s="11"/>
      <c r="N4" s="11"/>
      <c r="O4" s="11"/>
      <c r="P4" s="11"/>
      <c r="Q4" s="11"/>
      <c r="R4" s="12"/>
    </row>
    <row r="5" spans="1:19" s="24" customFormat="1" ht="32.25" x14ac:dyDescent="0.5">
      <c r="A5" s="14" t="s">
        <v>1</v>
      </c>
      <c r="B5" s="15" t="s">
        <v>148</v>
      </c>
      <c r="C5" s="16" t="s">
        <v>2</v>
      </c>
      <c r="D5" s="17" t="s">
        <v>149</v>
      </c>
      <c r="E5" s="18"/>
      <c r="F5" s="18"/>
      <c r="G5" s="18"/>
      <c r="H5" s="18"/>
      <c r="I5" s="19"/>
      <c r="J5" s="20"/>
      <c r="K5" s="21"/>
      <c r="L5" s="22"/>
      <c r="M5" s="22"/>
      <c r="N5" s="22"/>
      <c r="O5" s="22"/>
      <c r="P5" s="22"/>
      <c r="Q5" s="22"/>
      <c r="R5" s="23"/>
    </row>
    <row r="6" spans="1:19" s="29" customFormat="1" ht="38.25" customHeight="1" x14ac:dyDescent="0.55000000000000004">
      <c r="A6" s="25" t="s">
        <v>3</v>
      </c>
      <c r="B6" s="26"/>
      <c r="C6" s="26"/>
      <c r="D6" s="26"/>
      <c r="E6" s="26"/>
      <c r="F6" s="26"/>
      <c r="G6" s="26"/>
      <c r="H6" s="26"/>
      <c r="I6" s="27"/>
      <c r="J6" s="28"/>
      <c r="K6" s="21"/>
      <c r="L6" s="22"/>
      <c r="M6" s="22"/>
      <c r="N6" s="22"/>
      <c r="O6" s="22"/>
      <c r="P6" s="22"/>
      <c r="Q6" s="22"/>
      <c r="R6" s="23"/>
    </row>
    <row r="7" spans="1:19" s="41" customFormat="1" ht="39" x14ac:dyDescent="0.6">
      <c r="A7" s="245" t="s">
        <v>4</v>
      </c>
      <c r="B7" s="246"/>
      <c r="C7" s="247" t="s">
        <v>5</v>
      </c>
      <c r="D7" s="248" t="s">
        <v>6</v>
      </c>
      <c r="E7" s="247" t="s">
        <v>7</v>
      </c>
      <c r="F7" s="248" t="s">
        <v>8</v>
      </c>
      <c r="G7" s="249" t="s">
        <v>9</v>
      </c>
      <c r="H7" s="248" t="s">
        <v>10</v>
      </c>
      <c r="I7" s="250" t="s">
        <v>11</v>
      </c>
      <c r="J7" s="251"/>
      <c r="K7" s="21"/>
      <c r="L7" s="22"/>
      <c r="M7" s="22"/>
      <c r="N7" s="22"/>
      <c r="O7" s="22"/>
      <c r="P7" s="22"/>
      <c r="Q7" s="22"/>
      <c r="R7" s="23"/>
      <c r="S7" s="252"/>
    </row>
    <row r="8" spans="1:19" s="41" customFormat="1" ht="39.75" x14ac:dyDescent="0.6">
      <c r="A8" s="253" t="s">
        <v>12</v>
      </c>
      <c r="B8" s="254"/>
      <c r="C8" s="255">
        <v>60730</v>
      </c>
      <c r="D8" s="256" t="s">
        <v>13</v>
      </c>
      <c r="E8" s="257" t="s">
        <v>14</v>
      </c>
      <c r="F8" s="256" t="s">
        <v>15</v>
      </c>
      <c r="G8" s="258"/>
      <c r="H8" s="256" t="s">
        <v>16</v>
      </c>
      <c r="I8" s="259" t="s">
        <v>17</v>
      </c>
      <c r="J8" s="260"/>
      <c r="K8" s="21"/>
      <c r="L8" s="22"/>
      <c r="M8" s="22"/>
      <c r="N8" s="22"/>
      <c r="O8" s="22"/>
      <c r="P8" s="22"/>
      <c r="Q8" s="22"/>
      <c r="R8" s="23"/>
      <c r="S8" s="252"/>
    </row>
    <row r="9" spans="1:19" s="32" customFormat="1" ht="62.25" customHeight="1" x14ac:dyDescent="0.6">
      <c r="A9" s="30" t="s">
        <v>18</v>
      </c>
      <c r="B9" s="30"/>
      <c r="C9" s="30"/>
      <c r="D9" s="30"/>
      <c r="E9" s="30"/>
      <c r="F9" s="30"/>
      <c r="G9" s="30"/>
      <c r="H9" s="30"/>
      <c r="I9" s="30"/>
      <c r="J9" s="31"/>
      <c r="K9" s="21"/>
      <c r="L9" s="22"/>
      <c r="M9" s="22"/>
      <c r="N9" s="22"/>
      <c r="O9" s="22"/>
      <c r="P9" s="22"/>
      <c r="Q9" s="22"/>
      <c r="R9" s="23"/>
    </row>
    <row r="10" spans="1:19" s="41" customFormat="1" ht="39" x14ac:dyDescent="0.6">
      <c r="A10" s="33" t="s">
        <v>4</v>
      </c>
      <c r="B10" s="34"/>
      <c r="C10" s="35" t="s">
        <v>19</v>
      </c>
      <c r="D10" s="36" t="s">
        <v>6</v>
      </c>
      <c r="E10" s="35" t="s">
        <v>20</v>
      </c>
      <c r="F10" s="37" t="s">
        <v>8</v>
      </c>
      <c r="G10" s="38" t="s">
        <v>21</v>
      </c>
      <c r="H10" s="36" t="s">
        <v>10</v>
      </c>
      <c r="I10" s="39" t="s">
        <v>22</v>
      </c>
      <c r="J10" s="40"/>
      <c r="K10" s="21"/>
      <c r="L10" s="22"/>
      <c r="M10" s="22"/>
      <c r="N10" s="22"/>
      <c r="O10" s="22"/>
      <c r="P10" s="22"/>
      <c r="Q10" s="22"/>
      <c r="R10" s="23"/>
    </row>
    <row r="11" spans="1:19" s="41" customFormat="1" ht="39.75" x14ac:dyDescent="0.6">
      <c r="A11" s="42" t="s">
        <v>12</v>
      </c>
      <c r="B11" s="43"/>
      <c r="C11" s="44">
        <v>60529</v>
      </c>
      <c r="D11" s="45" t="s">
        <v>13</v>
      </c>
      <c r="E11" s="261" t="s">
        <v>23</v>
      </c>
      <c r="F11" s="46" t="s">
        <v>15</v>
      </c>
      <c r="G11" s="262"/>
      <c r="H11" s="45" t="s">
        <v>16</v>
      </c>
      <c r="I11" s="47" t="s">
        <v>24</v>
      </c>
      <c r="J11" s="48"/>
      <c r="K11" s="21"/>
      <c r="L11" s="22"/>
      <c r="M11" s="22"/>
      <c r="N11" s="22"/>
      <c r="O11" s="22"/>
      <c r="P11" s="22"/>
      <c r="Q11" s="22"/>
      <c r="R11" s="23"/>
    </row>
    <row r="12" spans="1:19" s="32" customFormat="1" ht="39" x14ac:dyDescent="0.6">
      <c r="A12" s="30" t="s">
        <v>25</v>
      </c>
      <c r="B12" s="30"/>
      <c r="C12" s="30"/>
      <c r="D12" s="30"/>
      <c r="E12" s="30"/>
      <c r="F12" s="30"/>
      <c r="G12" s="30"/>
      <c r="H12" s="30"/>
      <c r="I12" s="30"/>
      <c r="J12" s="31"/>
      <c r="K12" s="21"/>
      <c r="L12" s="22"/>
      <c r="M12" s="22"/>
      <c r="N12" s="22"/>
      <c r="O12" s="22"/>
      <c r="P12" s="22"/>
      <c r="Q12" s="22"/>
      <c r="R12" s="23"/>
    </row>
    <row r="13" spans="1:19" s="41" customFormat="1" ht="56.25" customHeight="1" x14ac:dyDescent="0.6">
      <c r="A13" s="263" t="s">
        <v>4</v>
      </c>
      <c r="B13" s="263"/>
      <c r="C13" s="35"/>
      <c r="D13" s="36" t="s">
        <v>6</v>
      </c>
      <c r="E13" s="35"/>
      <c r="F13" s="37" t="s">
        <v>8</v>
      </c>
      <c r="G13" s="38"/>
      <c r="H13" s="36" t="s">
        <v>10</v>
      </c>
      <c r="I13" s="264"/>
      <c r="J13" s="265"/>
      <c r="K13" s="21"/>
      <c r="L13" s="22"/>
      <c r="M13" s="22"/>
      <c r="N13" s="22"/>
      <c r="O13" s="22"/>
      <c r="P13" s="22"/>
      <c r="Q13" s="22"/>
      <c r="R13" s="23"/>
    </row>
    <row r="14" spans="1:19" s="41" customFormat="1" ht="57" customHeight="1" x14ac:dyDescent="0.6">
      <c r="A14" s="266" t="s">
        <v>12</v>
      </c>
      <c r="B14" s="266"/>
      <c r="C14" s="44"/>
      <c r="D14" s="45" t="s">
        <v>13</v>
      </c>
      <c r="E14" s="267"/>
      <c r="F14" s="46" t="s">
        <v>15</v>
      </c>
      <c r="G14" s="262"/>
      <c r="H14" s="45" t="s">
        <v>16</v>
      </c>
      <c r="I14" s="268"/>
      <c r="J14" s="269"/>
      <c r="K14" s="21"/>
      <c r="L14" s="22"/>
      <c r="M14" s="22"/>
      <c r="N14" s="22"/>
      <c r="O14" s="22"/>
      <c r="P14" s="22"/>
      <c r="Q14" s="22"/>
      <c r="R14" s="23"/>
    </row>
    <row r="15" spans="1:19" s="55" customFormat="1" ht="20.25" customHeight="1" thickBot="1" x14ac:dyDescent="0.75">
      <c r="A15" s="49"/>
      <c r="B15" s="50"/>
      <c r="C15" s="50"/>
      <c r="D15" s="50"/>
      <c r="E15" s="50"/>
      <c r="F15" s="50"/>
      <c r="G15" s="50"/>
      <c r="H15" s="50"/>
      <c r="I15" s="50"/>
      <c r="J15" s="51"/>
      <c r="K15" s="52"/>
      <c r="L15" s="53"/>
      <c r="M15" s="53"/>
      <c r="N15" s="53"/>
      <c r="O15" s="53"/>
      <c r="P15" s="53"/>
      <c r="Q15" s="53"/>
      <c r="R15" s="54"/>
    </row>
    <row r="16" spans="1:19" s="55" customFormat="1" ht="47.25" x14ac:dyDescent="0.7">
      <c r="A16" s="56" t="s">
        <v>26</v>
      </c>
      <c r="B16" s="57"/>
      <c r="C16" s="57"/>
      <c r="D16" s="57"/>
      <c r="E16" s="57"/>
      <c r="F16" s="57"/>
      <c r="G16" s="57"/>
      <c r="H16" s="57"/>
      <c r="I16" s="57"/>
      <c r="J16" s="58"/>
      <c r="K16" s="59"/>
      <c r="L16" s="60"/>
      <c r="M16" s="60"/>
      <c r="N16" s="60"/>
      <c r="O16" s="60"/>
      <c r="P16" s="61"/>
      <c r="Q16" s="61"/>
      <c r="R16" s="62"/>
    </row>
    <row r="17" spans="1:18" s="73" customFormat="1" ht="31.5" customHeight="1" x14ac:dyDescent="0.25">
      <c r="A17" s="63" t="s">
        <v>27</v>
      </c>
      <c r="B17" s="64" t="s">
        <v>28</v>
      </c>
      <c r="C17" s="65" t="s">
        <v>29</v>
      </c>
      <c r="D17" s="65" t="s">
        <v>30</v>
      </c>
      <c r="E17" s="65" t="s">
        <v>29</v>
      </c>
      <c r="F17" s="66" t="s">
        <v>31</v>
      </c>
      <c r="G17" s="66" t="s">
        <v>32</v>
      </c>
      <c r="H17" s="67" t="s">
        <v>33</v>
      </c>
      <c r="I17" s="66" t="s">
        <v>34</v>
      </c>
      <c r="J17" s="68" t="s">
        <v>35</v>
      </c>
      <c r="K17" s="69"/>
      <c r="L17" s="69"/>
      <c r="M17" s="69"/>
      <c r="N17" s="69"/>
      <c r="O17" s="70"/>
      <c r="P17" s="71" t="s">
        <v>150</v>
      </c>
      <c r="Q17" s="71" t="s">
        <v>151</v>
      </c>
      <c r="R17" s="72" t="s">
        <v>152</v>
      </c>
    </row>
    <row r="18" spans="1:18" s="73" customFormat="1" ht="36" x14ac:dyDescent="0.25">
      <c r="A18" s="74"/>
      <c r="B18" s="64"/>
      <c r="C18" s="64"/>
      <c r="D18" s="64"/>
      <c r="E18" s="64"/>
      <c r="F18" s="75"/>
      <c r="G18" s="75"/>
      <c r="H18" s="76"/>
      <c r="I18" s="75"/>
      <c r="J18" s="77" t="s">
        <v>153</v>
      </c>
      <c r="K18" s="78" t="s">
        <v>154</v>
      </c>
      <c r="L18" s="78" t="s">
        <v>155</v>
      </c>
      <c r="M18" s="77" t="s">
        <v>156</v>
      </c>
      <c r="N18" s="77" t="s">
        <v>157</v>
      </c>
      <c r="O18" s="77" t="s">
        <v>158</v>
      </c>
      <c r="P18" s="79"/>
      <c r="Q18" s="79"/>
      <c r="R18" s="80"/>
    </row>
    <row r="19" spans="1:18" s="91" customFormat="1" ht="147" customHeight="1" x14ac:dyDescent="0.25">
      <c r="A19" s="270">
        <v>1</v>
      </c>
      <c r="B19" s="271" t="s">
        <v>42</v>
      </c>
      <c r="C19" s="272">
        <f>SUM(E19:E24)</f>
        <v>0.42666666666666664</v>
      </c>
      <c r="D19" s="273" t="s">
        <v>43</v>
      </c>
      <c r="E19" s="82">
        <v>6.6666666666666666E-2</v>
      </c>
      <c r="F19" s="82">
        <f>E19/$E$49* 100</f>
        <v>0.96545065857527068</v>
      </c>
      <c r="G19" s="83" t="s">
        <v>44</v>
      </c>
      <c r="H19" s="84">
        <v>1</v>
      </c>
      <c r="I19" s="85" t="s">
        <v>45</v>
      </c>
      <c r="J19" s="86">
        <v>100</v>
      </c>
      <c r="K19" s="87">
        <v>95</v>
      </c>
      <c r="L19" s="87">
        <v>90</v>
      </c>
      <c r="M19" s="87">
        <v>85</v>
      </c>
      <c r="N19" s="87">
        <v>80</v>
      </c>
      <c r="O19" s="87" t="s">
        <v>46</v>
      </c>
      <c r="P19" s="88"/>
      <c r="Q19" s="89">
        <f t="shared" ref="Q19:Q48" si="0">IF(OR(TRIM(P19)="",P19=0),0,
IF(P19&lt;N19,50,
IF(P19&lt;M19,60,
IF(P19&lt;L19,70,
IF(P19&lt;K19,80,
IF(ISNUMBER(J19),
    IF(P19&lt;J19,IF(P19&gt;=K19,90,80),100),
    IF(P19=K19,90,100)
))))))</f>
        <v>0</v>
      </c>
      <c r="R19" s="90">
        <f t="shared" ref="R19:R48" si="1">F19*Q19/100</f>
        <v>0</v>
      </c>
    </row>
    <row r="20" spans="1:18" s="91" customFormat="1" ht="147" customHeight="1" x14ac:dyDescent="0.25">
      <c r="A20" s="270"/>
      <c r="B20" s="271"/>
      <c r="C20" s="272"/>
      <c r="D20" s="274"/>
      <c r="E20" s="82">
        <v>6.6666666666666666E-2</v>
      </c>
      <c r="F20" s="82">
        <f t="shared" ref="F20:F48" si="2">E20/$E$49* 100</f>
        <v>0.96545065857527068</v>
      </c>
      <c r="G20" s="83" t="s">
        <v>47</v>
      </c>
      <c r="H20" s="84">
        <v>1</v>
      </c>
      <c r="I20" s="85" t="s">
        <v>45</v>
      </c>
      <c r="J20" s="86">
        <v>100</v>
      </c>
      <c r="K20" s="87">
        <v>95</v>
      </c>
      <c r="L20" s="87">
        <v>90</v>
      </c>
      <c r="M20" s="87">
        <v>85</v>
      </c>
      <c r="N20" s="87">
        <v>80</v>
      </c>
      <c r="O20" s="87" t="s">
        <v>46</v>
      </c>
      <c r="P20" s="88"/>
      <c r="Q20" s="89">
        <f t="shared" si="0"/>
        <v>0</v>
      </c>
      <c r="R20" s="90">
        <f t="shared" si="1"/>
        <v>0</v>
      </c>
    </row>
    <row r="21" spans="1:18" s="91" customFormat="1" ht="147" customHeight="1" x14ac:dyDescent="0.25">
      <c r="A21" s="270"/>
      <c r="B21" s="271"/>
      <c r="C21" s="272"/>
      <c r="D21" s="275"/>
      <c r="E21" s="82">
        <v>0.13333333333333333</v>
      </c>
      <c r="F21" s="82">
        <f t="shared" si="2"/>
        <v>1.9309013171505414</v>
      </c>
      <c r="G21" s="83" t="s">
        <v>48</v>
      </c>
      <c r="H21" s="84">
        <v>1</v>
      </c>
      <c r="I21" s="85" t="s">
        <v>45</v>
      </c>
      <c r="J21" s="86">
        <v>100</v>
      </c>
      <c r="K21" s="87">
        <v>95</v>
      </c>
      <c r="L21" s="87">
        <v>90</v>
      </c>
      <c r="M21" s="87">
        <v>85</v>
      </c>
      <c r="N21" s="87">
        <v>80</v>
      </c>
      <c r="O21" s="87" t="s">
        <v>46</v>
      </c>
      <c r="P21" s="88"/>
      <c r="Q21" s="89">
        <f t="shared" si="0"/>
        <v>0</v>
      </c>
      <c r="R21" s="90">
        <f t="shared" si="1"/>
        <v>0</v>
      </c>
    </row>
    <row r="22" spans="1:18" s="91" customFormat="1" ht="147" customHeight="1" x14ac:dyDescent="0.25">
      <c r="A22" s="270"/>
      <c r="B22" s="271"/>
      <c r="C22" s="272"/>
      <c r="D22" s="271" t="s">
        <v>49</v>
      </c>
      <c r="E22" s="82">
        <v>0.08</v>
      </c>
      <c r="F22" s="82">
        <f t="shared" si="2"/>
        <v>1.1585407902903249</v>
      </c>
      <c r="G22" s="83" t="s">
        <v>50</v>
      </c>
      <c r="H22" s="84">
        <v>0.5</v>
      </c>
      <c r="I22" s="85" t="s">
        <v>45</v>
      </c>
      <c r="J22" s="86" t="s">
        <v>51</v>
      </c>
      <c r="K22" s="87">
        <v>50</v>
      </c>
      <c r="L22" s="87">
        <v>45</v>
      </c>
      <c r="M22" s="87">
        <v>40</v>
      </c>
      <c r="N22" s="87">
        <v>25</v>
      </c>
      <c r="O22" s="87" t="s">
        <v>52</v>
      </c>
      <c r="P22" s="88"/>
      <c r="Q22" s="89">
        <f t="shared" si="0"/>
        <v>0</v>
      </c>
      <c r="R22" s="90">
        <f t="shared" si="1"/>
        <v>0</v>
      </c>
    </row>
    <row r="23" spans="1:18" s="91" customFormat="1" ht="147" customHeight="1" x14ac:dyDescent="0.25">
      <c r="A23" s="270"/>
      <c r="B23" s="271"/>
      <c r="C23" s="272"/>
      <c r="D23" s="271"/>
      <c r="E23" s="82">
        <v>0.04</v>
      </c>
      <c r="F23" s="82">
        <f t="shared" si="2"/>
        <v>0.57927039514516243</v>
      </c>
      <c r="G23" s="83" t="s">
        <v>53</v>
      </c>
      <c r="H23" s="84">
        <v>0.5</v>
      </c>
      <c r="I23" s="85" t="s">
        <v>45</v>
      </c>
      <c r="J23" s="86" t="s">
        <v>51</v>
      </c>
      <c r="K23" s="87">
        <v>50</v>
      </c>
      <c r="L23" s="87">
        <v>45</v>
      </c>
      <c r="M23" s="87">
        <v>40</v>
      </c>
      <c r="N23" s="87">
        <v>25</v>
      </c>
      <c r="O23" s="87" t="s">
        <v>52</v>
      </c>
      <c r="P23" s="88"/>
      <c r="Q23" s="89">
        <f t="shared" ref="Q23:Q44" si="3">IF(OR(TRIM(P23)="",P23=0),0,
IF(P23&lt;N23,50,
IF(P23&lt;M23,60,
IF(P23&lt;L23,70,
IF(P23&lt;K23,80,
IF(ISNUMBER(J23),
    IF(P23&lt;J23,IF(P23&gt;=K23,90,80),100),
    IF(P23=K23,90,100)
))))))</f>
        <v>0</v>
      </c>
      <c r="R23" s="90">
        <f t="shared" ref="R23:R44" si="4">F23*Q23/100</f>
        <v>0</v>
      </c>
    </row>
    <row r="24" spans="1:18" s="91" customFormat="1" ht="147" customHeight="1" x14ac:dyDescent="0.25">
      <c r="A24" s="270"/>
      <c r="B24" s="271"/>
      <c r="C24" s="272"/>
      <c r="D24" s="271"/>
      <c r="E24" s="82">
        <v>0.04</v>
      </c>
      <c r="F24" s="82">
        <f t="shared" si="2"/>
        <v>0.57927039514516243</v>
      </c>
      <c r="G24" s="83" t="s">
        <v>54</v>
      </c>
      <c r="H24" s="84">
        <v>0.75</v>
      </c>
      <c r="I24" s="85" t="s">
        <v>45</v>
      </c>
      <c r="J24" s="86" t="s">
        <v>55</v>
      </c>
      <c r="K24" s="87">
        <v>75</v>
      </c>
      <c r="L24" s="87">
        <v>70</v>
      </c>
      <c r="M24" s="87">
        <v>60</v>
      </c>
      <c r="N24" s="87">
        <v>50</v>
      </c>
      <c r="O24" s="87" t="s">
        <v>56</v>
      </c>
      <c r="P24" s="88"/>
      <c r="Q24" s="89">
        <f t="shared" si="3"/>
        <v>0</v>
      </c>
      <c r="R24" s="90">
        <f t="shared" si="4"/>
        <v>0</v>
      </c>
    </row>
    <row r="25" spans="1:18" s="91" customFormat="1" ht="147" customHeight="1" x14ac:dyDescent="0.25">
      <c r="A25" s="276">
        <v>2</v>
      </c>
      <c r="B25" s="273" t="s">
        <v>57</v>
      </c>
      <c r="C25" s="277">
        <v>3</v>
      </c>
      <c r="D25" s="273" t="s">
        <v>58</v>
      </c>
      <c r="E25" s="82">
        <v>0.3</v>
      </c>
      <c r="F25" s="82">
        <f t="shared" si="2"/>
        <v>4.3445279635887184</v>
      </c>
      <c r="G25" s="83" t="s">
        <v>59</v>
      </c>
      <c r="H25" s="93">
        <v>1</v>
      </c>
      <c r="I25" s="85" t="s">
        <v>45</v>
      </c>
      <c r="J25" s="86">
        <v>100</v>
      </c>
      <c r="K25" s="87">
        <v>95</v>
      </c>
      <c r="L25" s="87">
        <v>90</v>
      </c>
      <c r="M25" s="87">
        <v>85</v>
      </c>
      <c r="N25" s="87">
        <v>80</v>
      </c>
      <c r="O25" s="87" t="s">
        <v>46</v>
      </c>
      <c r="P25" s="88"/>
      <c r="Q25" s="89">
        <f t="shared" si="3"/>
        <v>0</v>
      </c>
      <c r="R25" s="90">
        <f t="shared" si="4"/>
        <v>0</v>
      </c>
    </row>
    <row r="26" spans="1:18" s="91" customFormat="1" ht="147" customHeight="1" x14ac:dyDescent="0.25">
      <c r="A26" s="278"/>
      <c r="B26" s="274"/>
      <c r="C26" s="279"/>
      <c r="D26" s="274"/>
      <c r="E26" s="82">
        <v>0.3</v>
      </c>
      <c r="F26" s="82">
        <f t="shared" si="2"/>
        <v>4.3445279635887184</v>
      </c>
      <c r="G26" s="83" t="s">
        <v>60</v>
      </c>
      <c r="H26" s="93">
        <v>1</v>
      </c>
      <c r="I26" s="85" t="s">
        <v>45</v>
      </c>
      <c r="J26" s="86">
        <v>100</v>
      </c>
      <c r="K26" s="87">
        <v>95</v>
      </c>
      <c r="L26" s="87">
        <v>90</v>
      </c>
      <c r="M26" s="87">
        <v>85</v>
      </c>
      <c r="N26" s="87">
        <v>80</v>
      </c>
      <c r="O26" s="87" t="s">
        <v>46</v>
      </c>
      <c r="P26" s="88"/>
      <c r="Q26" s="89">
        <f t="shared" si="3"/>
        <v>0</v>
      </c>
      <c r="R26" s="90">
        <f t="shared" si="4"/>
        <v>0</v>
      </c>
    </row>
    <row r="27" spans="1:18" s="91" customFormat="1" ht="147" customHeight="1" x14ac:dyDescent="0.25">
      <c r="A27" s="278"/>
      <c r="B27" s="274"/>
      <c r="C27" s="279"/>
      <c r="D27" s="275"/>
      <c r="E27" s="82">
        <v>0.4</v>
      </c>
      <c r="F27" s="82">
        <f t="shared" si="2"/>
        <v>5.7927039514516245</v>
      </c>
      <c r="G27" s="83" t="s">
        <v>61</v>
      </c>
      <c r="H27" s="93">
        <v>1</v>
      </c>
      <c r="I27" s="85" t="s">
        <v>45</v>
      </c>
      <c r="J27" s="86">
        <v>100</v>
      </c>
      <c r="K27" s="87">
        <v>95</v>
      </c>
      <c r="L27" s="87">
        <v>90</v>
      </c>
      <c r="M27" s="87">
        <v>85</v>
      </c>
      <c r="N27" s="87">
        <v>80</v>
      </c>
      <c r="O27" s="87" t="s">
        <v>46</v>
      </c>
      <c r="P27" s="88"/>
      <c r="Q27" s="89">
        <f t="shared" si="3"/>
        <v>0</v>
      </c>
      <c r="R27" s="90">
        <f t="shared" si="4"/>
        <v>0</v>
      </c>
    </row>
    <row r="28" spans="1:18" s="91" customFormat="1" ht="147" customHeight="1" x14ac:dyDescent="0.25">
      <c r="A28" s="278"/>
      <c r="B28" s="274"/>
      <c r="C28" s="279"/>
      <c r="D28" s="273" t="s">
        <v>62</v>
      </c>
      <c r="E28" s="82">
        <v>0.35</v>
      </c>
      <c r="F28" s="82">
        <f t="shared" si="2"/>
        <v>5.068615957520171</v>
      </c>
      <c r="G28" s="83" t="s">
        <v>63</v>
      </c>
      <c r="H28" s="93">
        <v>1</v>
      </c>
      <c r="I28" s="85" t="s">
        <v>45</v>
      </c>
      <c r="J28" s="86">
        <v>100</v>
      </c>
      <c r="K28" s="87">
        <v>95</v>
      </c>
      <c r="L28" s="87">
        <v>90</v>
      </c>
      <c r="M28" s="87">
        <v>85</v>
      </c>
      <c r="N28" s="87">
        <v>80</v>
      </c>
      <c r="O28" s="87" t="s">
        <v>46</v>
      </c>
      <c r="P28" s="88"/>
      <c r="Q28" s="89">
        <f t="shared" si="3"/>
        <v>0</v>
      </c>
      <c r="R28" s="90">
        <f t="shared" si="4"/>
        <v>0</v>
      </c>
    </row>
    <row r="29" spans="1:18" s="91" customFormat="1" ht="147" customHeight="1" x14ac:dyDescent="0.25">
      <c r="A29" s="278"/>
      <c r="B29" s="274"/>
      <c r="C29" s="279"/>
      <c r="D29" s="275"/>
      <c r="E29" s="82">
        <v>0.35</v>
      </c>
      <c r="F29" s="82">
        <f t="shared" si="2"/>
        <v>5.068615957520171</v>
      </c>
      <c r="G29" s="83" t="s">
        <v>64</v>
      </c>
      <c r="H29" s="93">
        <v>1</v>
      </c>
      <c r="I29" s="85" t="s">
        <v>45</v>
      </c>
      <c r="J29" s="86">
        <v>100</v>
      </c>
      <c r="K29" s="87">
        <v>95</v>
      </c>
      <c r="L29" s="87">
        <v>90</v>
      </c>
      <c r="M29" s="87">
        <v>85</v>
      </c>
      <c r="N29" s="87">
        <v>80</v>
      </c>
      <c r="O29" s="87" t="s">
        <v>46</v>
      </c>
      <c r="P29" s="88"/>
      <c r="Q29" s="89">
        <f t="shared" si="3"/>
        <v>0</v>
      </c>
      <c r="R29" s="90">
        <f t="shared" si="4"/>
        <v>0</v>
      </c>
    </row>
    <row r="30" spans="1:18" s="91" customFormat="1" ht="147" customHeight="1" x14ac:dyDescent="0.25">
      <c r="A30" s="278"/>
      <c r="B30" s="274"/>
      <c r="C30" s="279"/>
      <c r="D30" s="273" t="s">
        <v>65</v>
      </c>
      <c r="E30" s="82">
        <v>0.2</v>
      </c>
      <c r="F30" s="82">
        <f t="shared" si="2"/>
        <v>2.8963519757258123</v>
      </c>
      <c r="G30" s="83" t="s">
        <v>66</v>
      </c>
      <c r="H30" s="93">
        <v>1</v>
      </c>
      <c r="I30" s="85" t="s">
        <v>45</v>
      </c>
      <c r="J30" s="86">
        <v>100</v>
      </c>
      <c r="K30" s="87">
        <v>95</v>
      </c>
      <c r="L30" s="87">
        <v>90</v>
      </c>
      <c r="M30" s="87">
        <v>85</v>
      </c>
      <c r="N30" s="87">
        <v>80</v>
      </c>
      <c r="O30" s="87" t="s">
        <v>46</v>
      </c>
      <c r="P30" s="88"/>
      <c r="Q30" s="89">
        <f t="shared" si="3"/>
        <v>0</v>
      </c>
      <c r="R30" s="90">
        <f t="shared" si="4"/>
        <v>0</v>
      </c>
    </row>
    <row r="31" spans="1:18" s="91" customFormat="1" ht="147" customHeight="1" x14ac:dyDescent="0.25">
      <c r="A31" s="278"/>
      <c r="B31" s="274"/>
      <c r="C31" s="279"/>
      <c r="D31" s="275"/>
      <c r="E31" s="82">
        <v>0.3</v>
      </c>
      <c r="F31" s="82">
        <f t="shared" si="2"/>
        <v>4.3445279635887184</v>
      </c>
      <c r="G31" s="83" t="s">
        <v>67</v>
      </c>
      <c r="H31" s="92">
        <v>4</v>
      </c>
      <c r="I31" s="85" t="s">
        <v>68</v>
      </c>
      <c r="J31" s="86">
        <v>4</v>
      </c>
      <c r="K31" s="87">
        <v>3</v>
      </c>
      <c r="L31" s="87">
        <v>2</v>
      </c>
      <c r="M31" s="87">
        <v>1</v>
      </c>
      <c r="N31" s="87">
        <v>0</v>
      </c>
      <c r="O31" s="87">
        <v>0</v>
      </c>
      <c r="P31" s="88"/>
      <c r="Q31" s="89">
        <f t="shared" si="3"/>
        <v>0</v>
      </c>
      <c r="R31" s="90">
        <f t="shared" si="4"/>
        <v>0</v>
      </c>
    </row>
    <row r="32" spans="1:18" s="91" customFormat="1" ht="147" customHeight="1" x14ac:dyDescent="0.25">
      <c r="A32" s="278"/>
      <c r="B32" s="274"/>
      <c r="C32" s="279"/>
      <c r="D32" s="273" t="s">
        <v>69</v>
      </c>
      <c r="E32" s="82">
        <v>0.25</v>
      </c>
      <c r="F32" s="82">
        <f t="shared" si="2"/>
        <v>3.6204399696572653</v>
      </c>
      <c r="G32" s="83" t="s">
        <v>70</v>
      </c>
      <c r="H32" s="93">
        <v>1</v>
      </c>
      <c r="I32" s="85" t="s">
        <v>45</v>
      </c>
      <c r="J32" s="86">
        <v>100</v>
      </c>
      <c r="K32" s="87">
        <v>95</v>
      </c>
      <c r="L32" s="87">
        <v>90</v>
      </c>
      <c r="M32" s="87">
        <v>85</v>
      </c>
      <c r="N32" s="87">
        <v>80</v>
      </c>
      <c r="O32" s="87" t="s">
        <v>46</v>
      </c>
      <c r="P32" s="88"/>
      <c r="Q32" s="89">
        <f t="shared" si="3"/>
        <v>0</v>
      </c>
      <c r="R32" s="90">
        <f t="shared" si="4"/>
        <v>0</v>
      </c>
    </row>
    <row r="33" spans="1:18" s="91" customFormat="1" ht="147" customHeight="1" x14ac:dyDescent="0.25">
      <c r="A33" s="278"/>
      <c r="B33" s="274"/>
      <c r="C33" s="279"/>
      <c r="D33" s="275"/>
      <c r="E33" s="82">
        <v>0.25</v>
      </c>
      <c r="F33" s="82">
        <f t="shared" si="2"/>
        <v>3.6204399696572653</v>
      </c>
      <c r="G33" s="83" t="s">
        <v>71</v>
      </c>
      <c r="H33" s="93">
        <v>1</v>
      </c>
      <c r="I33" s="85" t="s">
        <v>45</v>
      </c>
      <c r="J33" s="86">
        <v>100</v>
      </c>
      <c r="K33" s="87">
        <v>95</v>
      </c>
      <c r="L33" s="87">
        <v>90</v>
      </c>
      <c r="M33" s="87">
        <v>85</v>
      </c>
      <c r="N33" s="87">
        <v>80</v>
      </c>
      <c r="O33" s="87" t="s">
        <v>46</v>
      </c>
      <c r="P33" s="88"/>
      <c r="Q33" s="89">
        <f t="shared" si="3"/>
        <v>0</v>
      </c>
      <c r="R33" s="90">
        <f t="shared" si="4"/>
        <v>0</v>
      </c>
    </row>
    <row r="34" spans="1:18" s="91" customFormat="1" ht="147" customHeight="1" x14ac:dyDescent="0.25">
      <c r="A34" s="278"/>
      <c r="B34" s="274"/>
      <c r="C34" s="279"/>
      <c r="D34" s="273" t="s">
        <v>72</v>
      </c>
      <c r="E34" s="82">
        <v>0.15</v>
      </c>
      <c r="F34" s="82">
        <f t="shared" si="2"/>
        <v>2.1722639817943592</v>
      </c>
      <c r="G34" s="83" t="s">
        <v>73</v>
      </c>
      <c r="H34" s="93">
        <v>1</v>
      </c>
      <c r="I34" s="85" t="s">
        <v>45</v>
      </c>
      <c r="J34" s="86">
        <v>100</v>
      </c>
      <c r="K34" s="87">
        <v>95</v>
      </c>
      <c r="L34" s="87">
        <v>90</v>
      </c>
      <c r="M34" s="87">
        <v>85</v>
      </c>
      <c r="N34" s="87">
        <v>80</v>
      </c>
      <c r="O34" s="87" t="s">
        <v>46</v>
      </c>
      <c r="P34" s="88"/>
      <c r="Q34" s="89">
        <f t="shared" si="3"/>
        <v>0</v>
      </c>
      <c r="R34" s="90">
        <f t="shared" si="4"/>
        <v>0</v>
      </c>
    </row>
    <row r="35" spans="1:18" s="91" customFormat="1" ht="147" customHeight="1" x14ac:dyDescent="0.25">
      <c r="A35" s="280"/>
      <c r="B35" s="275"/>
      <c r="C35" s="281"/>
      <c r="D35" s="275"/>
      <c r="E35" s="282">
        <v>0.15</v>
      </c>
      <c r="F35" s="82">
        <f t="shared" si="2"/>
        <v>2.1722639817943592</v>
      </c>
      <c r="G35" s="283" t="s">
        <v>74</v>
      </c>
      <c r="H35" s="93">
        <v>1</v>
      </c>
      <c r="I35" s="85" t="s">
        <v>45</v>
      </c>
      <c r="J35" s="86">
        <v>100</v>
      </c>
      <c r="K35" s="87">
        <v>95</v>
      </c>
      <c r="L35" s="87">
        <v>90</v>
      </c>
      <c r="M35" s="87">
        <v>85</v>
      </c>
      <c r="N35" s="87">
        <v>80</v>
      </c>
      <c r="O35" s="87" t="s">
        <v>46</v>
      </c>
      <c r="P35" s="88"/>
      <c r="Q35" s="89">
        <f t="shared" si="3"/>
        <v>0</v>
      </c>
      <c r="R35" s="90">
        <f t="shared" si="4"/>
        <v>0</v>
      </c>
    </row>
    <row r="36" spans="1:18" s="91" customFormat="1" ht="147" customHeight="1" x14ac:dyDescent="0.25">
      <c r="A36" s="270">
        <v>3</v>
      </c>
      <c r="B36" s="271" t="s">
        <v>75</v>
      </c>
      <c r="C36" s="284">
        <f>SUM(E36:E38)</f>
        <v>0.24999999999999997</v>
      </c>
      <c r="D36" s="271" t="s">
        <v>76</v>
      </c>
      <c r="E36" s="82">
        <v>9.9999999999999992E-2</v>
      </c>
      <c r="F36" s="82">
        <f t="shared" si="2"/>
        <v>1.4481759878629061</v>
      </c>
      <c r="G36" s="83" t="s">
        <v>77</v>
      </c>
      <c r="H36" s="92">
        <v>5</v>
      </c>
      <c r="I36" s="85" t="s">
        <v>78</v>
      </c>
      <c r="J36" s="86" t="s">
        <v>79</v>
      </c>
      <c r="K36" s="87">
        <v>5</v>
      </c>
      <c r="L36" s="87">
        <v>4</v>
      </c>
      <c r="M36" s="87">
        <v>3</v>
      </c>
      <c r="N36" s="87">
        <v>2</v>
      </c>
      <c r="O36" s="87">
        <v>1</v>
      </c>
      <c r="P36" s="88"/>
      <c r="Q36" s="89">
        <f t="shared" si="3"/>
        <v>0</v>
      </c>
      <c r="R36" s="90">
        <f t="shared" si="4"/>
        <v>0</v>
      </c>
    </row>
    <row r="37" spans="1:18" s="91" customFormat="1" ht="147" customHeight="1" x14ac:dyDescent="0.25">
      <c r="A37" s="270"/>
      <c r="B37" s="271"/>
      <c r="C37" s="284"/>
      <c r="D37" s="271"/>
      <c r="E37" s="82">
        <v>9.9999999999999992E-2</v>
      </c>
      <c r="F37" s="82">
        <f t="shared" si="2"/>
        <v>1.4481759878629061</v>
      </c>
      <c r="G37" s="83" t="s">
        <v>80</v>
      </c>
      <c r="H37" s="93">
        <v>0.1</v>
      </c>
      <c r="I37" s="92" t="s">
        <v>45</v>
      </c>
      <c r="J37" s="86" t="s">
        <v>81</v>
      </c>
      <c r="K37" s="87">
        <v>10</v>
      </c>
      <c r="L37" s="87">
        <v>7</v>
      </c>
      <c r="M37" s="87">
        <v>6</v>
      </c>
      <c r="N37" s="87">
        <v>5</v>
      </c>
      <c r="O37" s="87" t="s">
        <v>82</v>
      </c>
      <c r="P37" s="88"/>
      <c r="Q37" s="89">
        <f t="shared" si="3"/>
        <v>0</v>
      </c>
      <c r="R37" s="90">
        <f t="shared" si="4"/>
        <v>0</v>
      </c>
    </row>
    <row r="38" spans="1:18" s="91" customFormat="1" ht="147" customHeight="1" x14ac:dyDescent="0.25">
      <c r="A38" s="270"/>
      <c r="B38" s="271"/>
      <c r="C38" s="284"/>
      <c r="D38" s="271"/>
      <c r="E38" s="82">
        <v>4.9999999999999996E-2</v>
      </c>
      <c r="F38" s="82">
        <f t="shared" si="2"/>
        <v>0.72408799393145307</v>
      </c>
      <c r="G38" s="83" t="s">
        <v>83</v>
      </c>
      <c r="H38" s="92">
        <v>2</v>
      </c>
      <c r="I38" s="85" t="s">
        <v>78</v>
      </c>
      <c r="J38" s="86" t="s">
        <v>84</v>
      </c>
      <c r="K38" s="87">
        <v>2</v>
      </c>
      <c r="L38" s="87">
        <v>1</v>
      </c>
      <c r="M38" s="87">
        <v>0</v>
      </c>
      <c r="N38" s="87"/>
      <c r="O38" s="87"/>
      <c r="P38" s="88"/>
      <c r="Q38" s="89">
        <f t="shared" si="3"/>
        <v>0</v>
      </c>
      <c r="R38" s="90">
        <f t="shared" si="4"/>
        <v>0</v>
      </c>
    </row>
    <row r="39" spans="1:18" s="91" customFormat="1" ht="147" customHeight="1" x14ac:dyDescent="0.25">
      <c r="A39" s="276">
        <v>4</v>
      </c>
      <c r="B39" s="273" t="s">
        <v>85</v>
      </c>
      <c r="C39" s="285">
        <f>SUM(E39:E41)</f>
        <v>0.5</v>
      </c>
      <c r="D39" s="273" t="s">
        <v>86</v>
      </c>
      <c r="E39" s="82">
        <v>9.9999999999999992E-2</v>
      </c>
      <c r="F39" s="82">
        <f t="shared" si="2"/>
        <v>1.4481759878629061</v>
      </c>
      <c r="G39" s="83" t="s">
        <v>87</v>
      </c>
      <c r="H39" s="92">
        <v>5</v>
      </c>
      <c r="I39" s="92" t="s">
        <v>78</v>
      </c>
      <c r="J39" s="86" t="s">
        <v>79</v>
      </c>
      <c r="K39" s="87">
        <v>5</v>
      </c>
      <c r="L39" s="87">
        <v>4</v>
      </c>
      <c r="M39" s="87">
        <v>3</v>
      </c>
      <c r="N39" s="87">
        <v>2</v>
      </c>
      <c r="O39" s="87">
        <v>1</v>
      </c>
      <c r="P39" s="88"/>
      <c r="Q39" s="89">
        <f t="shared" si="3"/>
        <v>0</v>
      </c>
      <c r="R39" s="90">
        <f t="shared" si="4"/>
        <v>0</v>
      </c>
    </row>
    <row r="40" spans="1:18" s="91" customFormat="1" ht="147" customHeight="1" x14ac:dyDescent="0.25">
      <c r="A40" s="278"/>
      <c r="B40" s="274"/>
      <c r="C40" s="286"/>
      <c r="D40" s="274"/>
      <c r="E40" s="82">
        <v>0.19999999999999998</v>
      </c>
      <c r="F40" s="82">
        <f t="shared" si="2"/>
        <v>2.8963519757258123</v>
      </c>
      <c r="G40" s="83" t="s">
        <v>88</v>
      </c>
      <c r="H40" s="93">
        <v>0.2</v>
      </c>
      <c r="I40" s="85" t="s">
        <v>45</v>
      </c>
      <c r="J40" s="86" t="s">
        <v>89</v>
      </c>
      <c r="K40" s="87">
        <v>20</v>
      </c>
      <c r="L40" s="87">
        <v>15</v>
      </c>
      <c r="M40" s="87">
        <v>10</v>
      </c>
      <c r="N40" s="87">
        <v>5</v>
      </c>
      <c r="O40" s="87" t="s">
        <v>82</v>
      </c>
      <c r="P40" s="88"/>
      <c r="Q40" s="89">
        <f t="shared" si="3"/>
        <v>0</v>
      </c>
      <c r="R40" s="90">
        <f t="shared" si="4"/>
        <v>0</v>
      </c>
    </row>
    <row r="41" spans="1:18" s="91" customFormat="1" ht="147" customHeight="1" x14ac:dyDescent="0.25">
      <c r="A41" s="280"/>
      <c r="B41" s="275"/>
      <c r="C41" s="287"/>
      <c r="D41" s="275"/>
      <c r="E41" s="82">
        <v>0.19999999999999998</v>
      </c>
      <c r="F41" s="82">
        <f t="shared" si="2"/>
        <v>2.8963519757258123</v>
      </c>
      <c r="G41" s="83" t="s">
        <v>90</v>
      </c>
      <c r="H41" s="93">
        <v>0.8</v>
      </c>
      <c r="I41" s="92" t="s">
        <v>45</v>
      </c>
      <c r="J41" s="86" t="s">
        <v>91</v>
      </c>
      <c r="K41" s="87">
        <v>80</v>
      </c>
      <c r="L41" s="87">
        <v>75</v>
      </c>
      <c r="M41" s="87">
        <v>70</v>
      </c>
      <c r="N41" s="87">
        <v>50</v>
      </c>
      <c r="O41" s="87" t="s">
        <v>56</v>
      </c>
      <c r="P41" s="88"/>
      <c r="Q41" s="89">
        <f t="shared" si="3"/>
        <v>0</v>
      </c>
      <c r="R41" s="90">
        <f t="shared" si="4"/>
        <v>0</v>
      </c>
    </row>
    <row r="42" spans="1:18" s="91" customFormat="1" ht="147" customHeight="1" x14ac:dyDescent="0.25">
      <c r="A42" s="270">
        <v>5</v>
      </c>
      <c r="B42" s="271" t="s">
        <v>92</v>
      </c>
      <c r="C42" s="284">
        <f>SUM(E42:E43)</f>
        <v>0.16666666666666669</v>
      </c>
      <c r="D42" s="271" t="s">
        <v>93</v>
      </c>
      <c r="E42" s="82">
        <v>0.10000000000000002</v>
      </c>
      <c r="F42" s="82">
        <f t="shared" si="2"/>
        <v>1.4481759878629064</v>
      </c>
      <c r="G42" s="83" t="s">
        <v>94</v>
      </c>
      <c r="H42" s="93">
        <v>0.8</v>
      </c>
      <c r="I42" s="92" t="s">
        <v>45</v>
      </c>
      <c r="J42" s="86" t="s">
        <v>91</v>
      </c>
      <c r="K42" s="87">
        <v>80</v>
      </c>
      <c r="L42" s="87">
        <v>75</v>
      </c>
      <c r="M42" s="87">
        <v>70</v>
      </c>
      <c r="N42" s="87">
        <v>50</v>
      </c>
      <c r="O42" s="87" t="s">
        <v>56</v>
      </c>
      <c r="P42" s="88"/>
      <c r="Q42" s="89">
        <f t="shared" si="3"/>
        <v>0</v>
      </c>
      <c r="R42" s="90">
        <f t="shared" si="4"/>
        <v>0</v>
      </c>
    </row>
    <row r="43" spans="1:18" s="91" customFormat="1" ht="147" customHeight="1" x14ac:dyDescent="0.25">
      <c r="A43" s="270"/>
      <c r="B43" s="271"/>
      <c r="C43" s="284"/>
      <c r="D43" s="271"/>
      <c r="E43" s="82">
        <v>6.6666666666666666E-2</v>
      </c>
      <c r="F43" s="82">
        <f t="shared" si="2"/>
        <v>0.96545065857527068</v>
      </c>
      <c r="G43" s="83" t="s">
        <v>95</v>
      </c>
      <c r="H43" s="93">
        <v>0.8</v>
      </c>
      <c r="I43" s="92" t="s">
        <v>45</v>
      </c>
      <c r="J43" s="86" t="s">
        <v>91</v>
      </c>
      <c r="K43" s="87">
        <v>80</v>
      </c>
      <c r="L43" s="87">
        <v>75</v>
      </c>
      <c r="M43" s="87">
        <v>70</v>
      </c>
      <c r="N43" s="87">
        <v>50</v>
      </c>
      <c r="O43" s="87" t="s">
        <v>56</v>
      </c>
      <c r="P43" s="88"/>
      <c r="Q43" s="89">
        <f t="shared" si="3"/>
        <v>0</v>
      </c>
      <c r="R43" s="90">
        <f t="shared" si="4"/>
        <v>0</v>
      </c>
    </row>
    <row r="44" spans="1:18" s="91" customFormat="1" ht="147" customHeight="1" x14ac:dyDescent="0.25">
      <c r="A44" s="276">
        <v>6</v>
      </c>
      <c r="B44" s="273" t="s">
        <v>96</v>
      </c>
      <c r="C44" s="285">
        <f>SUM(E44:E46)</f>
        <v>2.4285714285714284</v>
      </c>
      <c r="D44" s="273" t="s">
        <v>97</v>
      </c>
      <c r="E44" s="82">
        <v>1</v>
      </c>
      <c r="F44" s="82">
        <f t="shared" si="2"/>
        <v>14.481759878629061</v>
      </c>
      <c r="G44" s="83" t="s">
        <v>98</v>
      </c>
      <c r="H44" s="93">
        <v>1</v>
      </c>
      <c r="I44" s="85" t="s">
        <v>45</v>
      </c>
      <c r="J44" s="86">
        <v>100</v>
      </c>
      <c r="K44" s="87">
        <v>95</v>
      </c>
      <c r="L44" s="87">
        <v>90</v>
      </c>
      <c r="M44" s="87">
        <v>85</v>
      </c>
      <c r="N44" s="87">
        <v>80</v>
      </c>
      <c r="O44" s="87" t="s">
        <v>46</v>
      </c>
      <c r="P44" s="88"/>
      <c r="Q44" s="89">
        <f t="shared" si="3"/>
        <v>0</v>
      </c>
      <c r="R44" s="90">
        <f t="shared" si="4"/>
        <v>0</v>
      </c>
    </row>
    <row r="45" spans="1:18" s="91" customFormat="1" ht="147" customHeight="1" x14ac:dyDescent="0.25">
      <c r="A45" s="278"/>
      <c r="B45" s="274"/>
      <c r="C45" s="286"/>
      <c r="D45" s="275"/>
      <c r="E45" s="82">
        <v>1</v>
      </c>
      <c r="F45" s="82">
        <f t="shared" si="2"/>
        <v>14.481759878629061</v>
      </c>
      <c r="G45" s="83" t="s">
        <v>99</v>
      </c>
      <c r="H45" s="93">
        <v>1</v>
      </c>
      <c r="I45" s="85" t="s">
        <v>45</v>
      </c>
      <c r="J45" s="86">
        <v>100</v>
      </c>
      <c r="K45" s="87">
        <v>95</v>
      </c>
      <c r="L45" s="87">
        <v>90</v>
      </c>
      <c r="M45" s="87">
        <v>85</v>
      </c>
      <c r="N45" s="87">
        <v>80</v>
      </c>
      <c r="O45" s="87" t="s">
        <v>46</v>
      </c>
      <c r="P45" s="88"/>
      <c r="Q45" s="89">
        <f t="shared" si="0"/>
        <v>0</v>
      </c>
      <c r="R45" s="90">
        <f t="shared" si="1"/>
        <v>0</v>
      </c>
    </row>
    <row r="46" spans="1:18" s="91" customFormat="1" ht="147" customHeight="1" x14ac:dyDescent="0.25">
      <c r="A46" s="280"/>
      <c r="B46" s="275"/>
      <c r="C46" s="287"/>
      <c r="D46" s="81" t="s">
        <v>100</v>
      </c>
      <c r="E46" s="82">
        <v>0.42857142857142855</v>
      </c>
      <c r="F46" s="82">
        <f t="shared" si="2"/>
        <v>6.2064685194124545</v>
      </c>
      <c r="G46" s="83" t="s">
        <v>101</v>
      </c>
      <c r="H46" s="93">
        <v>1</v>
      </c>
      <c r="I46" s="85" t="s">
        <v>45</v>
      </c>
      <c r="J46" s="86">
        <v>100</v>
      </c>
      <c r="K46" s="87">
        <v>95</v>
      </c>
      <c r="L46" s="87">
        <v>90</v>
      </c>
      <c r="M46" s="87">
        <v>85</v>
      </c>
      <c r="N46" s="87">
        <v>80</v>
      </c>
      <c r="O46" s="87" t="s">
        <v>46</v>
      </c>
      <c r="P46" s="88"/>
      <c r="Q46" s="89">
        <f t="shared" si="0"/>
        <v>0</v>
      </c>
      <c r="R46" s="90">
        <f t="shared" si="1"/>
        <v>0</v>
      </c>
    </row>
    <row r="47" spans="1:18" s="91" customFormat="1" ht="147" customHeight="1" x14ac:dyDescent="0.25">
      <c r="A47" s="270">
        <v>7</v>
      </c>
      <c r="B47" s="271" t="s">
        <v>102</v>
      </c>
      <c r="C47" s="284">
        <f>SUM(E47:E48)</f>
        <v>0.13333333333333333</v>
      </c>
      <c r="D47" s="83" t="s">
        <v>103</v>
      </c>
      <c r="E47" s="82">
        <v>6.6666666666666666E-2</v>
      </c>
      <c r="F47" s="82">
        <f t="shared" si="2"/>
        <v>0.96545065857527068</v>
      </c>
      <c r="G47" s="83" t="s">
        <v>104</v>
      </c>
      <c r="H47" s="84">
        <v>0.7</v>
      </c>
      <c r="I47" s="92" t="s">
        <v>45</v>
      </c>
      <c r="J47" s="86" t="s">
        <v>105</v>
      </c>
      <c r="K47" s="87">
        <v>70</v>
      </c>
      <c r="L47" s="87">
        <v>60</v>
      </c>
      <c r="M47" s="87">
        <v>50</v>
      </c>
      <c r="N47" s="87">
        <v>40</v>
      </c>
      <c r="O47" s="87" t="s">
        <v>106</v>
      </c>
      <c r="P47" s="88"/>
      <c r="Q47" s="89">
        <f t="shared" si="0"/>
        <v>0</v>
      </c>
      <c r="R47" s="90">
        <f t="shared" si="1"/>
        <v>0</v>
      </c>
    </row>
    <row r="48" spans="1:18" s="91" customFormat="1" ht="147" customHeight="1" x14ac:dyDescent="0.25">
      <c r="A48" s="270"/>
      <c r="B48" s="271"/>
      <c r="C48" s="284"/>
      <c r="D48" s="83" t="s">
        <v>107</v>
      </c>
      <c r="E48" s="82">
        <v>6.6666666666666666E-2</v>
      </c>
      <c r="F48" s="82">
        <f t="shared" si="2"/>
        <v>0.96545065857527068</v>
      </c>
      <c r="G48" s="83" t="s">
        <v>108</v>
      </c>
      <c r="H48" s="84">
        <v>0.5</v>
      </c>
      <c r="I48" s="85" t="s">
        <v>45</v>
      </c>
      <c r="J48" s="86" t="s">
        <v>51</v>
      </c>
      <c r="K48" s="87">
        <v>50</v>
      </c>
      <c r="L48" s="87">
        <v>45</v>
      </c>
      <c r="M48" s="87">
        <v>40</v>
      </c>
      <c r="N48" s="87">
        <v>25</v>
      </c>
      <c r="O48" s="87" t="s">
        <v>52</v>
      </c>
      <c r="P48" s="88"/>
      <c r="Q48" s="89">
        <f t="shared" si="0"/>
        <v>0</v>
      </c>
      <c r="R48" s="90">
        <f t="shared" si="1"/>
        <v>0</v>
      </c>
    </row>
    <row r="49" spans="1:18" s="104" customFormat="1" ht="44.25" x14ac:dyDescent="0.25">
      <c r="A49" s="94"/>
      <c r="B49" s="95" t="s">
        <v>109</v>
      </c>
      <c r="C49" s="96">
        <f>SUM(C19:C48)</f>
        <v>6.9052380952380963</v>
      </c>
      <c r="D49" s="95"/>
      <c r="E49" s="96">
        <f>SUM(E19:E48)</f>
        <v>6.9052380952380945</v>
      </c>
      <c r="F49" s="96">
        <f>SUM(F19:F48)</f>
        <v>99.999999999999986</v>
      </c>
      <c r="G49" s="97"/>
      <c r="H49" s="98"/>
      <c r="I49" s="99"/>
      <c r="J49" s="100"/>
      <c r="K49" s="100"/>
      <c r="L49" s="100"/>
      <c r="M49" s="100"/>
      <c r="N49" s="100"/>
      <c r="O49" s="100"/>
      <c r="P49" s="101"/>
      <c r="Q49" s="102"/>
      <c r="R49" s="103">
        <f>SUM(R19:R48)</f>
        <v>0</v>
      </c>
    </row>
    <row r="50" spans="1:18" s="106" customFormat="1" ht="66" customHeight="1" x14ac:dyDescent="0.7">
      <c r="A50" s="105"/>
      <c r="G50" s="107"/>
      <c r="H50" s="107"/>
      <c r="I50" s="108" t="s">
        <v>159</v>
      </c>
      <c r="J50" s="109"/>
      <c r="K50" s="109"/>
      <c r="L50" s="109"/>
      <c r="M50" s="109"/>
      <c r="N50" s="109"/>
      <c r="O50" s="109"/>
      <c r="P50" s="109"/>
      <c r="Q50" s="110"/>
      <c r="R50" s="111">
        <f>R49/100 * 70</f>
        <v>0</v>
      </c>
    </row>
    <row r="51" spans="1:18" s="120" customFormat="1" ht="36" x14ac:dyDescent="0.55000000000000004">
      <c r="A51" s="112" t="s">
        <v>110</v>
      </c>
      <c r="B51" s="113"/>
      <c r="C51" s="113"/>
      <c r="D51" s="113"/>
      <c r="E51" s="113"/>
      <c r="F51" s="113"/>
      <c r="G51" s="114"/>
      <c r="H51" s="115"/>
      <c r="I51" s="115"/>
      <c r="J51" s="115"/>
      <c r="K51" s="115"/>
      <c r="L51" s="71" t="s">
        <v>115</v>
      </c>
      <c r="M51" s="116" t="s">
        <v>111</v>
      </c>
      <c r="N51" s="116"/>
      <c r="O51" s="116"/>
      <c r="P51" s="117"/>
      <c r="Q51" s="118"/>
      <c r="R51" s="119"/>
    </row>
    <row r="52" spans="1:18" s="120" customFormat="1" ht="31.5" customHeight="1" x14ac:dyDescent="0.55000000000000004">
      <c r="A52" s="121"/>
      <c r="B52" s="122"/>
      <c r="C52" s="123" t="s">
        <v>112</v>
      </c>
      <c r="D52" s="123"/>
      <c r="E52" s="123"/>
      <c r="F52" s="123"/>
      <c r="G52" s="123"/>
      <c r="H52" s="124" t="s">
        <v>160</v>
      </c>
      <c r="I52" s="124" t="s">
        <v>161</v>
      </c>
      <c r="J52" s="124"/>
      <c r="K52" s="125"/>
      <c r="L52" s="79"/>
      <c r="M52" s="126"/>
      <c r="N52" s="126"/>
      <c r="O52" s="126"/>
      <c r="P52" s="127"/>
      <c r="Q52" s="118"/>
      <c r="R52" s="119"/>
    </row>
    <row r="53" spans="1:18" s="120" customFormat="1" ht="36" customHeight="1" x14ac:dyDescent="0.55000000000000004">
      <c r="A53" s="128">
        <v>1</v>
      </c>
      <c r="B53" s="129" t="s">
        <v>116</v>
      </c>
      <c r="C53" s="130"/>
      <c r="D53" s="131"/>
      <c r="E53" s="131"/>
      <c r="F53" s="131"/>
      <c r="G53" s="132"/>
      <c r="H53" s="133"/>
      <c r="I53" s="133"/>
      <c r="J53" s="133"/>
      <c r="K53" s="133"/>
      <c r="L53" s="134"/>
      <c r="M53" s="135" t="s">
        <v>36</v>
      </c>
      <c r="N53" s="136" t="s">
        <v>117</v>
      </c>
      <c r="O53" s="137"/>
      <c r="P53" s="127"/>
      <c r="Q53" s="118"/>
      <c r="R53" s="119"/>
    </row>
    <row r="54" spans="1:18" s="120" customFormat="1" ht="84.75" customHeight="1" x14ac:dyDescent="0.55000000000000004">
      <c r="A54" s="138" t="s">
        <v>118</v>
      </c>
      <c r="B54" s="139" t="s">
        <v>162</v>
      </c>
      <c r="C54" s="140"/>
      <c r="D54" s="141"/>
      <c r="E54" s="141"/>
      <c r="F54" s="141"/>
      <c r="G54" s="142"/>
      <c r="H54" s="143">
        <v>4</v>
      </c>
      <c r="I54" s="144"/>
      <c r="J54" s="143"/>
      <c r="K54" s="143"/>
      <c r="L54" s="134"/>
      <c r="M54" s="135" t="s">
        <v>37</v>
      </c>
      <c r="N54" s="136" t="s">
        <v>119</v>
      </c>
      <c r="O54" s="137"/>
      <c r="P54" s="127"/>
      <c r="Q54" s="118"/>
      <c r="R54" s="119"/>
    </row>
    <row r="55" spans="1:18" s="120" customFormat="1" ht="82.5" customHeight="1" x14ac:dyDescent="0.55000000000000004">
      <c r="A55" s="138" t="s">
        <v>120</v>
      </c>
      <c r="B55" s="139" t="s">
        <v>163</v>
      </c>
      <c r="C55" s="140"/>
      <c r="D55" s="141"/>
      <c r="E55" s="141"/>
      <c r="F55" s="141"/>
      <c r="G55" s="142"/>
      <c r="H55" s="143">
        <v>2</v>
      </c>
      <c r="I55" s="144"/>
      <c r="J55" s="143"/>
      <c r="K55" s="143"/>
      <c r="L55" s="134"/>
      <c r="M55" s="135" t="s">
        <v>38</v>
      </c>
      <c r="N55" s="136" t="s">
        <v>121</v>
      </c>
      <c r="O55" s="137"/>
      <c r="P55" s="127"/>
      <c r="Q55" s="118"/>
      <c r="R55" s="119"/>
    </row>
    <row r="56" spans="1:18" s="120" customFormat="1" ht="78.75" customHeight="1" x14ac:dyDescent="0.55000000000000004">
      <c r="A56" s="138" t="s">
        <v>122</v>
      </c>
      <c r="B56" s="139" t="s">
        <v>123</v>
      </c>
      <c r="C56" s="140"/>
      <c r="D56" s="141"/>
      <c r="E56" s="141"/>
      <c r="F56" s="141"/>
      <c r="G56" s="142"/>
      <c r="H56" s="143">
        <v>2</v>
      </c>
      <c r="I56" s="144"/>
      <c r="J56" s="143"/>
      <c r="K56" s="143"/>
      <c r="L56" s="134"/>
      <c r="M56" s="135" t="s">
        <v>39</v>
      </c>
      <c r="N56" s="136" t="s">
        <v>124</v>
      </c>
      <c r="O56" s="137"/>
      <c r="P56" s="127"/>
      <c r="Q56" s="118"/>
      <c r="R56" s="119"/>
    </row>
    <row r="57" spans="1:18" s="120" customFormat="1" ht="36" x14ac:dyDescent="0.55000000000000004">
      <c r="A57" s="145">
        <v>2</v>
      </c>
      <c r="B57" s="146" t="s">
        <v>125</v>
      </c>
      <c r="C57" s="147"/>
      <c r="D57" s="148"/>
      <c r="E57" s="148"/>
      <c r="F57" s="148"/>
      <c r="G57" s="149"/>
      <c r="H57" s="143"/>
      <c r="I57" s="144"/>
      <c r="J57" s="143"/>
      <c r="K57" s="143"/>
      <c r="L57" s="134"/>
      <c r="M57" s="135" t="s">
        <v>40</v>
      </c>
      <c r="N57" s="136" t="s">
        <v>126</v>
      </c>
      <c r="O57" s="137"/>
      <c r="P57" s="127"/>
      <c r="Q57" s="118"/>
      <c r="R57" s="119"/>
    </row>
    <row r="58" spans="1:18" s="120" customFormat="1" ht="82.5" customHeight="1" x14ac:dyDescent="0.55000000000000004">
      <c r="A58" s="138" t="s">
        <v>118</v>
      </c>
      <c r="B58" s="150" t="s">
        <v>164</v>
      </c>
      <c r="C58" s="151"/>
      <c r="D58" s="152"/>
      <c r="E58" s="152"/>
      <c r="F58" s="152"/>
      <c r="G58" s="153"/>
      <c r="H58" s="143">
        <v>2</v>
      </c>
      <c r="I58" s="144"/>
      <c r="J58" s="143"/>
      <c r="K58" s="143"/>
      <c r="L58" s="134"/>
      <c r="M58" s="135" t="s">
        <v>41</v>
      </c>
      <c r="N58" s="136" t="s">
        <v>127</v>
      </c>
      <c r="O58" s="137"/>
      <c r="P58" s="154"/>
      <c r="Q58" s="118"/>
      <c r="R58" s="119"/>
    </row>
    <row r="59" spans="1:18" s="120" customFormat="1" ht="114.75" customHeight="1" x14ac:dyDescent="0.55000000000000004">
      <c r="A59" s="138" t="s">
        <v>120</v>
      </c>
      <c r="B59" s="150" t="s">
        <v>165</v>
      </c>
      <c r="C59" s="151"/>
      <c r="D59" s="152"/>
      <c r="E59" s="152"/>
      <c r="F59" s="152"/>
      <c r="G59" s="153"/>
      <c r="H59" s="143">
        <v>2</v>
      </c>
      <c r="I59" s="144"/>
      <c r="J59" s="143"/>
      <c r="K59" s="143"/>
      <c r="L59" s="134"/>
      <c r="M59" s="127" t="s">
        <v>115</v>
      </c>
      <c r="N59" s="155" t="s">
        <v>128</v>
      </c>
      <c r="O59" s="156"/>
      <c r="P59" s="154"/>
      <c r="Q59" s="118"/>
      <c r="R59" s="119"/>
    </row>
    <row r="60" spans="1:18" s="120" customFormat="1" ht="72" customHeight="1" x14ac:dyDescent="0.55000000000000004">
      <c r="A60" s="138" t="s">
        <v>122</v>
      </c>
      <c r="B60" s="150" t="s">
        <v>166</v>
      </c>
      <c r="C60" s="151"/>
      <c r="D60" s="152"/>
      <c r="E60" s="152"/>
      <c r="F60" s="152"/>
      <c r="G60" s="153"/>
      <c r="H60" s="143">
        <v>2</v>
      </c>
      <c r="I60" s="144"/>
      <c r="J60" s="143"/>
      <c r="K60" s="143"/>
      <c r="L60" s="134"/>
      <c r="M60" s="127" t="s">
        <v>129</v>
      </c>
      <c r="N60" s="155" t="s">
        <v>130</v>
      </c>
      <c r="O60" s="156"/>
      <c r="P60" s="154"/>
      <c r="Q60" s="118"/>
      <c r="R60" s="119"/>
    </row>
    <row r="61" spans="1:18" s="120" customFormat="1" ht="66" customHeight="1" x14ac:dyDescent="0.55000000000000004">
      <c r="A61" s="145">
        <v>3</v>
      </c>
      <c r="B61" s="146" t="s">
        <v>131</v>
      </c>
      <c r="C61" s="147"/>
      <c r="D61" s="148"/>
      <c r="E61" s="148"/>
      <c r="F61" s="148"/>
      <c r="G61" s="149"/>
      <c r="H61" s="143"/>
      <c r="I61" s="144"/>
      <c r="J61" s="143"/>
      <c r="K61" s="143"/>
      <c r="L61" s="134"/>
      <c r="M61" s="127" t="s">
        <v>113</v>
      </c>
      <c r="N61" s="155" t="s">
        <v>132</v>
      </c>
      <c r="O61" s="156"/>
      <c r="P61" s="154"/>
      <c r="Q61" s="118"/>
      <c r="R61" s="119"/>
    </row>
    <row r="62" spans="1:18" s="120" customFormat="1" ht="72" customHeight="1" x14ac:dyDescent="0.55000000000000004">
      <c r="A62" s="138" t="s">
        <v>118</v>
      </c>
      <c r="B62" s="150" t="s">
        <v>133</v>
      </c>
      <c r="C62" s="157"/>
      <c r="D62" s="158"/>
      <c r="E62" s="158"/>
      <c r="F62" s="158"/>
      <c r="G62" s="159"/>
      <c r="H62" s="143">
        <v>2</v>
      </c>
      <c r="I62" s="144"/>
      <c r="J62" s="143"/>
      <c r="K62" s="143"/>
      <c r="L62" s="134"/>
      <c r="M62" s="127" t="s">
        <v>114</v>
      </c>
      <c r="N62" s="155" t="s">
        <v>134</v>
      </c>
      <c r="O62" s="156"/>
      <c r="P62" s="154"/>
      <c r="Q62" s="118"/>
      <c r="R62" s="119"/>
    </row>
    <row r="63" spans="1:18" s="120" customFormat="1" ht="72" customHeight="1" x14ac:dyDescent="0.55000000000000004">
      <c r="A63" s="138" t="s">
        <v>120</v>
      </c>
      <c r="B63" s="150" t="s">
        <v>167</v>
      </c>
      <c r="C63" s="157"/>
      <c r="D63" s="158"/>
      <c r="E63" s="158"/>
      <c r="F63" s="158"/>
      <c r="G63" s="159"/>
      <c r="H63" s="143">
        <v>2</v>
      </c>
      <c r="I63" s="144"/>
      <c r="J63" s="143"/>
      <c r="K63" s="143"/>
      <c r="L63" s="134"/>
      <c r="M63" s="127" t="s">
        <v>135</v>
      </c>
      <c r="N63" s="155" t="s">
        <v>136</v>
      </c>
      <c r="O63" s="156"/>
      <c r="P63" s="154"/>
      <c r="Q63" s="118"/>
      <c r="R63" s="119"/>
    </row>
    <row r="64" spans="1:18" s="120" customFormat="1" ht="44.25" customHeight="1" x14ac:dyDescent="0.55000000000000004">
      <c r="A64" s="138" t="s">
        <v>122</v>
      </c>
      <c r="B64" s="150" t="s">
        <v>168</v>
      </c>
      <c r="C64" s="157"/>
      <c r="D64" s="158"/>
      <c r="E64" s="158"/>
      <c r="F64" s="158"/>
      <c r="G64" s="159"/>
      <c r="H64" s="143">
        <v>2</v>
      </c>
      <c r="I64" s="144"/>
      <c r="J64" s="143"/>
      <c r="K64" s="143"/>
      <c r="L64" s="134"/>
      <c r="M64" s="160"/>
      <c r="N64" s="160"/>
      <c r="O64" s="160"/>
      <c r="P64" s="161"/>
      <c r="Q64" s="118"/>
      <c r="R64" s="119"/>
    </row>
    <row r="65" spans="1:18" s="120" customFormat="1" ht="31.5" customHeight="1" x14ac:dyDescent="0.55000000000000004">
      <c r="A65" s="162" t="s">
        <v>137</v>
      </c>
      <c r="B65" s="163"/>
      <c r="C65" s="163"/>
      <c r="D65" s="163"/>
      <c r="E65" s="163"/>
      <c r="F65" s="163"/>
      <c r="G65" s="163"/>
      <c r="H65" s="164">
        <f>SUM(H54:H64)</f>
        <v>20</v>
      </c>
      <c r="I65" s="164">
        <f>SUM(I54:I64)</f>
        <v>0</v>
      </c>
      <c r="J65" s="164"/>
      <c r="K65" s="165"/>
      <c r="L65" s="134"/>
      <c r="M65" s="160"/>
      <c r="N65" s="160"/>
      <c r="O65" s="160"/>
      <c r="P65" s="161"/>
      <c r="Q65" s="118"/>
      <c r="R65" s="119"/>
    </row>
    <row r="66" spans="1:18" s="120" customFormat="1" ht="36" customHeight="1" x14ac:dyDescent="0.55000000000000004">
      <c r="A66" s="166" t="s">
        <v>118</v>
      </c>
      <c r="B66" s="167" t="s">
        <v>138</v>
      </c>
      <c r="C66" s="151" t="s">
        <v>139</v>
      </c>
      <c r="D66" s="152"/>
      <c r="E66" s="152"/>
      <c r="F66" s="152"/>
      <c r="G66" s="153"/>
      <c r="H66" s="168">
        <v>4</v>
      </c>
      <c r="I66" s="169"/>
      <c r="J66" s="168"/>
      <c r="K66" s="170"/>
      <c r="L66" s="134"/>
      <c r="M66" s="160"/>
      <c r="N66" s="160"/>
      <c r="O66" s="160"/>
      <c r="P66" s="161"/>
      <c r="Q66" s="118"/>
      <c r="R66" s="119"/>
    </row>
    <row r="67" spans="1:18" s="120" customFormat="1" ht="129" customHeight="1" x14ac:dyDescent="0.55000000000000004">
      <c r="A67" s="166" t="s">
        <v>120</v>
      </c>
      <c r="B67" s="167" t="s">
        <v>140</v>
      </c>
      <c r="C67" s="151" t="s">
        <v>141</v>
      </c>
      <c r="D67" s="152"/>
      <c r="E67" s="152"/>
      <c r="F67" s="152"/>
      <c r="G67" s="153"/>
      <c r="H67" s="168">
        <v>3</v>
      </c>
      <c r="I67" s="169"/>
      <c r="J67" s="168"/>
      <c r="K67" s="170"/>
      <c r="L67" s="134"/>
      <c r="M67" s="160"/>
      <c r="N67" s="160"/>
      <c r="O67" s="160"/>
      <c r="P67" s="161"/>
      <c r="Q67" s="118"/>
      <c r="R67" s="119"/>
    </row>
    <row r="68" spans="1:18" s="120" customFormat="1" ht="69" customHeight="1" x14ac:dyDescent="0.55000000000000004">
      <c r="A68" s="166" t="s">
        <v>120</v>
      </c>
      <c r="B68" s="167" t="s">
        <v>142</v>
      </c>
      <c r="C68" s="151" t="s">
        <v>143</v>
      </c>
      <c r="D68" s="152"/>
      <c r="E68" s="152"/>
      <c r="F68" s="152"/>
      <c r="G68" s="153"/>
      <c r="H68" s="168">
        <v>3</v>
      </c>
      <c r="I68" s="169"/>
      <c r="J68" s="168"/>
      <c r="K68" s="170"/>
      <c r="L68" s="134"/>
      <c r="M68" s="160"/>
      <c r="N68" s="160"/>
      <c r="O68" s="160"/>
      <c r="P68" s="161"/>
      <c r="Q68" s="118"/>
      <c r="R68" s="119"/>
    </row>
    <row r="69" spans="1:18" s="120" customFormat="1" ht="46.5" customHeight="1" x14ac:dyDescent="0.55000000000000004">
      <c r="A69" s="171"/>
      <c r="B69" s="172" t="s">
        <v>144</v>
      </c>
      <c r="C69" s="172"/>
      <c r="D69" s="172"/>
      <c r="E69" s="173"/>
      <c r="F69" s="173"/>
      <c r="G69" s="173"/>
      <c r="H69" s="164">
        <f>SUM(H66:H68)</f>
        <v>10</v>
      </c>
      <c r="I69" s="164">
        <f>SUM(I66:I68)</f>
        <v>0</v>
      </c>
      <c r="J69" s="173"/>
      <c r="K69" s="174"/>
      <c r="L69" s="160"/>
      <c r="M69" s="160"/>
      <c r="N69" s="160"/>
      <c r="O69" s="160"/>
      <c r="P69" s="161"/>
      <c r="Q69" s="118"/>
      <c r="R69" s="119"/>
    </row>
    <row r="70" spans="1:18" s="182" customFormat="1" ht="45" customHeight="1" x14ac:dyDescent="0.7">
      <c r="A70" s="175"/>
      <c r="B70" s="176"/>
      <c r="C70" s="177"/>
      <c r="D70" s="177"/>
      <c r="E70" s="177"/>
      <c r="F70" s="178"/>
      <c r="G70" s="178"/>
      <c r="H70" s="178"/>
      <c r="I70" s="178"/>
      <c r="J70" s="178"/>
      <c r="K70" s="177"/>
      <c r="L70" s="177"/>
      <c r="M70" s="177"/>
      <c r="N70" s="177"/>
      <c r="O70" s="179" t="s">
        <v>169</v>
      </c>
      <c r="P70" s="180"/>
      <c r="Q70" s="179" t="s">
        <v>170</v>
      </c>
      <c r="R70" s="181"/>
    </row>
    <row r="71" spans="1:18" s="182" customFormat="1" ht="45" customHeight="1" x14ac:dyDescent="0.7">
      <c r="A71" s="175"/>
      <c r="B71" s="183"/>
      <c r="C71" s="184" t="s">
        <v>171</v>
      </c>
      <c r="D71" s="185"/>
      <c r="E71" s="185"/>
      <c r="F71" s="185"/>
      <c r="G71" s="185"/>
      <c r="H71" s="185"/>
      <c r="I71" s="185"/>
      <c r="J71" s="185"/>
      <c r="K71" s="186"/>
      <c r="L71" s="187"/>
      <c r="M71" s="188"/>
      <c r="N71" s="189"/>
      <c r="O71" s="190">
        <f>R50</f>
        <v>0</v>
      </c>
      <c r="P71" s="191"/>
      <c r="Q71" s="192">
        <f>O74/100 * 20</f>
        <v>0</v>
      </c>
      <c r="R71" s="193"/>
    </row>
    <row r="72" spans="1:18" s="182" customFormat="1" ht="45" customHeight="1" x14ac:dyDescent="0.7">
      <c r="A72" s="175"/>
      <c r="B72" s="183"/>
      <c r="C72" s="185" t="s">
        <v>172</v>
      </c>
      <c r="D72" s="185"/>
      <c r="E72" s="185"/>
      <c r="F72" s="185"/>
      <c r="G72" s="185"/>
      <c r="H72" s="185"/>
      <c r="I72" s="185"/>
      <c r="J72" s="185"/>
      <c r="K72" s="185"/>
      <c r="L72" s="188"/>
      <c r="M72" s="188"/>
      <c r="N72" s="189"/>
      <c r="O72" s="190">
        <f>I65</f>
        <v>0</v>
      </c>
      <c r="P72" s="191"/>
      <c r="Q72" s="194"/>
      <c r="R72" s="195"/>
    </row>
    <row r="73" spans="1:18" s="182" customFormat="1" ht="45" customHeight="1" x14ac:dyDescent="0.7">
      <c r="A73" s="175"/>
      <c r="B73" s="183"/>
      <c r="C73" s="184" t="s">
        <v>173</v>
      </c>
      <c r="D73" s="185"/>
      <c r="E73" s="185"/>
      <c r="F73" s="185"/>
      <c r="G73" s="185"/>
      <c r="H73" s="185"/>
      <c r="I73" s="185"/>
      <c r="J73" s="185"/>
      <c r="K73" s="186"/>
      <c r="L73" s="187"/>
      <c r="M73" s="188"/>
      <c r="N73" s="189"/>
      <c r="O73" s="190">
        <f>I69</f>
        <v>0</v>
      </c>
      <c r="P73" s="191"/>
      <c r="Q73" s="194"/>
      <c r="R73" s="195"/>
    </row>
    <row r="74" spans="1:18" s="182" customFormat="1" ht="45" customHeight="1" x14ac:dyDescent="0.7">
      <c r="A74" s="175"/>
      <c r="B74" s="196"/>
      <c r="C74" s="184" t="s">
        <v>174</v>
      </c>
      <c r="D74" s="185"/>
      <c r="E74" s="185"/>
      <c r="F74" s="185"/>
      <c r="G74" s="185"/>
      <c r="H74" s="185"/>
      <c r="I74" s="185"/>
      <c r="J74" s="185"/>
      <c r="K74" s="186"/>
      <c r="L74" s="187"/>
      <c r="M74" s="188"/>
      <c r="N74" s="189"/>
      <c r="O74" s="190">
        <f>SUM(O71:P73)</f>
        <v>0</v>
      </c>
      <c r="P74" s="191"/>
      <c r="Q74" s="197"/>
      <c r="R74" s="198"/>
    </row>
    <row r="75" spans="1:18" s="182" customFormat="1" ht="64.900000000000006" customHeight="1" x14ac:dyDescent="0.7">
      <c r="A75" s="175"/>
      <c r="B75" s="199" t="s">
        <v>175</v>
      </c>
      <c r="C75" s="199"/>
      <c r="D75" s="199"/>
      <c r="E75" s="199"/>
      <c r="F75" s="199"/>
      <c r="G75" s="199"/>
      <c r="H75" s="200"/>
      <c r="I75" s="200"/>
      <c r="J75" s="200"/>
      <c r="K75" s="200"/>
      <c r="L75" s="200"/>
      <c r="M75" s="200"/>
      <c r="N75" s="200"/>
      <c r="O75" s="200"/>
      <c r="P75" s="200"/>
      <c r="Q75" s="200"/>
      <c r="R75" s="201"/>
    </row>
    <row r="76" spans="1:18" s="182" customFormat="1" ht="64.900000000000006" customHeight="1" x14ac:dyDescent="0.7">
      <c r="A76" s="175"/>
      <c r="B76" s="202" t="s">
        <v>176</v>
      </c>
      <c r="C76" s="202"/>
      <c r="D76" s="202"/>
      <c r="E76" s="202"/>
      <c r="F76" s="202"/>
      <c r="G76" s="202"/>
      <c r="H76" s="202"/>
      <c r="I76" s="202"/>
      <c r="J76" s="202"/>
      <c r="K76" s="202"/>
      <c r="L76" s="202"/>
      <c r="M76" s="202"/>
      <c r="N76" s="202"/>
      <c r="O76" s="202"/>
      <c r="P76" s="202"/>
      <c r="Q76" s="202"/>
      <c r="R76" s="203"/>
    </row>
    <row r="77" spans="1:18" s="182" customFormat="1" ht="48.75" customHeight="1" x14ac:dyDescent="0.7">
      <c r="A77" s="175"/>
      <c r="B77" s="204" t="s">
        <v>177</v>
      </c>
      <c r="C77" s="204"/>
      <c r="D77" s="204"/>
      <c r="E77" s="204"/>
      <c r="F77" s="204"/>
      <c r="G77" s="204"/>
      <c r="H77" s="205"/>
      <c r="I77" s="205"/>
      <c r="J77" s="205"/>
      <c r="K77" s="205"/>
      <c r="L77" s="205"/>
      <c r="M77" s="205"/>
      <c r="N77" s="205"/>
      <c r="O77" s="205"/>
      <c r="P77" s="205"/>
      <c r="Q77" s="205"/>
      <c r="R77" s="206"/>
    </row>
    <row r="78" spans="1:18" s="182" customFormat="1" ht="45.75" x14ac:dyDescent="0.7">
      <c r="A78" s="175"/>
      <c r="B78" s="202"/>
      <c r="C78" s="202"/>
      <c r="D78" s="202"/>
      <c r="E78" s="202"/>
      <c r="F78" s="202"/>
      <c r="G78" s="202"/>
      <c r="H78" s="202"/>
      <c r="I78" s="202"/>
      <c r="J78" s="202"/>
      <c r="K78" s="202"/>
      <c r="L78" s="202"/>
      <c r="M78" s="202"/>
      <c r="N78" s="202"/>
      <c r="O78" s="202"/>
      <c r="P78" s="202"/>
      <c r="Q78" s="202"/>
      <c r="R78" s="203"/>
    </row>
    <row r="79" spans="1:18" s="120" customFormat="1" ht="31.5" customHeight="1" x14ac:dyDescent="0.55000000000000004">
      <c r="A79" s="207" t="s">
        <v>178</v>
      </c>
      <c r="B79" s="208"/>
      <c r="C79" s="209"/>
      <c r="D79" s="210"/>
      <c r="E79" s="211" t="s">
        <v>179</v>
      </c>
      <c r="F79" s="212"/>
      <c r="G79" s="208" t="s">
        <v>180</v>
      </c>
      <c r="H79" s="209"/>
      <c r="I79" s="209"/>
      <c r="J79" s="209"/>
      <c r="K79" s="213"/>
      <c r="L79" s="134"/>
      <c r="M79" s="214"/>
      <c r="N79" s="214"/>
      <c r="O79" s="214"/>
      <c r="P79" s="214"/>
      <c r="Q79" s="214"/>
      <c r="R79" s="119"/>
    </row>
    <row r="80" spans="1:18" s="120" customFormat="1" ht="31.5" customHeight="1" x14ac:dyDescent="0.55000000000000004">
      <c r="A80" s="215"/>
      <c r="B80" s="216"/>
      <c r="C80" s="217"/>
      <c r="D80" s="218"/>
      <c r="E80" s="219"/>
      <c r="F80" s="220"/>
      <c r="G80" s="216"/>
      <c r="H80" s="217"/>
      <c r="I80" s="217"/>
      <c r="J80" s="217"/>
      <c r="K80" s="213"/>
      <c r="L80" s="134"/>
      <c r="M80" s="221"/>
      <c r="N80" s="221"/>
      <c r="O80" s="221"/>
      <c r="P80" s="221"/>
      <c r="Q80" s="221"/>
      <c r="R80" s="119"/>
    </row>
    <row r="81" spans="1:18" s="120" customFormat="1" ht="31.5" customHeight="1" x14ac:dyDescent="0.55000000000000004">
      <c r="A81" s="215"/>
      <c r="B81" s="216"/>
      <c r="C81" s="217"/>
      <c r="D81" s="218"/>
      <c r="E81" s="219"/>
      <c r="F81" s="220"/>
      <c r="G81" s="216"/>
      <c r="H81" s="217"/>
      <c r="I81" s="217"/>
      <c r="J81" s="217"/>
      <c r="K81" s="213"/>
      <c r="L81" s="134"/>
      <c r="M81" s="221"/>
      <c r="N81" s="221"/>
      <c r="O81" s="221"/>
      <c r="P81" s="221"/>
      <c r="Q81" s="221"/>
      <c r="R81" s="119"/>
    </row>
    <row r="82" spans="1:18" s="120" customFormat="1" ht="31.5" customHeight="1" x14ac:dyDescent="0.55000000000000004">
      <c r="A82" s="222"/>
      <c r="B82" s="223"/>
      <c r="C82" s="224"/>
      <c r="D82" s="225"/>
      <c r="E82" s="226"/>
      <c r="F82" s="227"/>
      <c r="G82" s="223"/>
      <c r="H82" s="224"/>
      <c r="I82" s="224"/>
      <c r="J82" s="224"/>
      <c r="K82" s="213"/>
      <c r="L82" s="134"/>
      <c r="M82" s="221"/>
      <c r="N82" s="221"/>
      <c r="O82" s="221"/>
      <c r="P82" s="221"/>
      <c r="Q82" s="221"/>
      <c r="R82" s="119"/>
    </row>
    <row r="83" spans="1:18" s="120" customFormat="1" ht="31.5" customHeight="1" x14ac:dyDescent="0.55000000000000004">
      <c r="A83" s="228" t="s">
        <v>145</v>
      </c>
      <c r="B83" s="229"/>
      <c r="C83" s="209"/>
      <c r="D83" s="210"/>
      <c r="E83" s="230" t="s">
        <v>181</v>
      </c>
      <c r="F83" s="212"/>
      <c r="G83" s="229" t="s">
        <v>181</v>
      </c>
      <c r="H83" s="209"/>
      <c r="I83" s="209"/>
      <c r="J83" s="209"/>
      <c r="K83" s="213"/>
      <c r="L83" s="134"/>
      <c r="M83" s="221"/>
      <c r="N83" s="221"/>
      <c r="O83" s="221"/>
      <c r="P83" s="221"/>
      <c r="Q83" s="221"/>
      <c r="R83" s="119"/>
    </row>
    <row r="84" spans="1:18" s="120" customFormat="1" ht="31.5" customHeight="1" x14ac:dyDescent="0.55000000000000004">
      <c r="A84" s="231"/>
      <c r="B84" s="232"/>
      <c r="C84" s="217"/>
      <c r="D84" s="218"/>
      <c r="E84" s="233"/>
      <c r="F84" s="220"/>
      <c r="G84" s="232"/>
      <c r="H84" s="217"/>
      <c r="I84" s="217"/>
      <c r="J84" s="217"/>
      <c r="K84" s="213"/>
      <c r="L84" s="134"/>
      <c r="M84" s="221"/>
      <c r="N84" s="221"/>
      <c r="O84" s="221"/>
      <c r="P84" s="221"/>
      <c r="Q84" s="221"/>
      <c r="R84" s="119"/>
    </row>
    <row r="85" spans="1:18" s="120" customFormat="1" ht="31.5" customHeight="1" x14ac:dyDescent="0.55000000000000004">
      <c r="A85" s="231"/>
      <c r="B85" s="232"/>
      <c r="C85" s="224"/>
      <c r="D85" s="225"/>
      <c r="E85" s="234"/>
      <c r="F85" s="227"/>
      <c r="G85" s="235"/>
      <c r="H85" s="224"/>
      <c r="I85" s="224"/>
      <c r="J85" s="224"/>
      <c r="K85" s="213"/>
      <c r="L85" s="134"/>
      <c r="M85" s="221"/>
      <c r="N85" s="221"/>
      <c r="O85" s="221"/>
      <c r="P85" s="221"/>
      <c r="Q85" s="221"/>
      <c r="R85" s="119"/>
    </row>
    <row r="86" spans="1:18" s="120" customFormat="1" ht="31.5" customHeight="1" x14ac:dyDescent="0.55000000000000004">
      <c r="A86" s="215" t="s">
        <v>146</v>
      </c>
      <c r="B86" s="216"/>
      <c r="C86" s="209"/>
      <c r="D86" s="210"/>
      <c r="E86" s="211" t="s">
        <v>182</v>
      </c>
      <c r="F86" s="212"/>
      <c r="G86" s="208" t="s">
        <v>182</v>
      </c>
      <c r="H86" s="209"/>
      <c r="I86" s="209"/>
      <c r="J86" s="209"/>
      <c r="K86" s="213"/>
      <c r="L86" s="134"/>
      <c r="M86" s="221"/>
      <c r="N86" s="221"/>
      <c r="O86" s="221"/>
      <c r="P86" s="221"/>
      <c r="Q86" s="221"/>
      <c r="R86" s="119"/>
    </row>
    <row r="87" spans="1:18" s="120" customFormat="1" ht="31.5" customHeight="1" x14ac:dyDescent="0.55000000000000004">
      <c r="A87" s="215"/>
      <c r="B87" s="216"/>
      <c r="C87" s="224"/>
      <c r="D87" s="225"/>
      <c r="E87" s="226"/>
      <c r="F87" s="227"/>
      <c r="G87" s="223"/>
      <c r="H87" s="224"/>
      <c r="I87" s="224"/>
      <c r="J87" s="224"/>
      <c r="K87" s="213"/>
      <c r="L87" s="134"/>
      <c r="M87" s="221"/>
      <c r="N87" s="221"/>
      <c r="O87" s="221"/>
      <c r="P87" s="221"/>
      <c r="Q87" s="221"/>
      <c r="R87" s="119"/>
    </row>
    <row r="88" spans="1:18" s="120" customFormat="1" ht="31.5" customHeight="1" thickBot="1" x14ac:dyDescent="0.6">
      <c r="A88" s="236"/>
      <c r="B88" s="237"/>
      <c r="C88" s="237"/>
      <c r="D88" s="237"/>
      <c r="E88" s="237"/>
      <c r="F88" s="237"/>
      <c r="G88" s="237"/>
      <c r="H88" s="237"/>
      <c r="I88" s="237"/>
      <c r="J88" s="237"/>
      <c r="K88" s="238"/>
      <c r="L88" s="239"/>
      <c r="M88" s="240"/>
      <c r="N88" s="240"/>
      <c r="O88" s="240"/>
      <c r="P88" s="240"/>
      <c r="Q88" s="240"/>
      <c r="R88" s="241"/>
    </row>
  </sheetData>
  <mergeCells count="135">
    <mergeCell ref="A47:A48"/>
    <mergeCell ref="B47:B48"/>
    <mergeCell ref="C47:C48"/>
    <mergeCell ref="A42:A43"/>
    <mergeCell ref="B42:B43"/>
    <mergeCell ref="C42:C43"/>
    <mergeCell ref="D42:D43"/>
    <mergeCell ref="A44:A46"/>
    <mergeCell ref="B44:B46"/>
    <mergeCell ref="C44:C46"/>
    <mergeCell ref="D44:D45"/>
    <mergeCell ref="A36:A38"/>
    <mergeCell ref="B36:B38"/>
    <mergeCell ref="C36:C38"/>
    <mergeCell ref="D36:D38"/>
    <mergeCell ref="A39:A41"/>
    <mergeCell ref="B39:B41"/>
    <mergeCell ref="C39:C41"/>
    <mergeCell ref="D39:D41"/>
    <mergeCell ref="A88:J88"/>
    <mergeCell ref="A19:A24"/>
    <mergeCell ref="B19:B24"/>
    <mergeCell ref="C19:C24"/>
    <mergeCell ref="D19:D21"/>
    <mergeCell ref="D22:D24"/>
    <mergeCell ref="A25:A35"/>
    <mergeCell ref="B25:B35"/>
    <mergeCell ref="C25:C35"/>
    <mergeCell ref="D25:D27"/>
    <mergeCell ref="A86:B87"/>
    <mergeCell ref="C86:D87"/>
    <mergeCell ref="E86:E87"/>
    <mergeCell ref="F86:F87"/>
    <mergeCell ref="G86:G87"/>
    <mergeCell ref="H86:J87"/>
    <mergeCell ref="A83:B85"/>
    <mergeCell ref="C83:D85"/>
    <mergeCell ref="E83:E85"/>
    <mergeCell ref="F83:F85"/>
    <mergeCell ref="G83:G85"/>
    <mergeCell ref="H83:J85"/>
    <mergeCell ref="B76:R76"/>
    <mergeCell ref="B77:G77"/>
    <mergeCell ref="B78:R78"/>
    <mergeCell ref="A79:B82"/>
    <mergeCell ref="C79:D82"/>
    <mergeCell ref="E79:E82"/>
    <mergeCell ref="F79:F82"/>
    <mergeCell ref="G79:G82"/>
    <mergeCell ref="H79:J82"/>
    <mergeCell ref="M79:Q88"/>
    <mergeCell ref="L73:N73"/>
    <mergeCell ref="O73:P73"/>
    <mergeCell ref="C74:K74"/>
    <mergeCell ref="L74:N74"/>
    <mergeCell ref="O74:P74"/>
    <mergeCell ref="B75:G75"/>
    <mergeCell ref="O70:P70"/>
    <mergeCell ref="Q70:R70"/>
    <mergeCell ref="C71:K71"/>
    <mergeCell ref="L71:N71"/>
    <mergeCell ref="O71:P71"/>
    <mergeCell ref="Q71:R74"/>
    <mergeCell ref="C72:K72"/>
    <mergeCell ref="L72:N72"/>
    <mergeCell ref="O72:P72"/>
    <mergeCell ref="C73:K73"/>
    <mergeCell ref="A65:G65"/>
    <mergeCell ref="C66:G66"/>
    <mergeCell ref="C67:G67"/>
    <mergeCell ref="C68:G68"/>
    <mergeCell ref="B69:D69"/>
    <mergeCell ref="B70:B74"/>
    <mergeCell ref="F70:J70"/>
    <mergeCell ref="C59:G59"/>
    <mergeCell ref="C60:G60"/>
    <mergeCell ref="C61:G61"/>
    <mergeCell ref="C62:G62"/>
    <mergeCell ref="C63:G63"/>
    <mergeCell ref="C64:G64"/>
    <mergeCell ref="C56:G56"/>
    <mergeCell ref="N56:O56"/>
    <mergeCell ref="C57:G57"/>
    <mergeCell ref="N57:O57"/>
    <mergeCell ref="C58:G58"/>
    <mergeCell ref="N58:O58"/>
    <mergeCell ref="C53:G53"/>
    <mergeCell ref="N53:O53"/>
    <mergeCell ref="C54:G54"/>
    <mergeCell ref="N54:O54"/>
    <mergeCell ref="C55:G55"/>
    <mergeCell ref="N55:O55"/>
    <mergeCell ref="R17:R18"/>
    <mergeCell ref="I50:Q50"/>
    <mergeCell ref="A51:G51"/>
    <mergeCell ref="H51:K51"/>
    <mergeCell ref="L51:L52"/>
    <mergeCell ref="C52:G52"/>
    <mergeCell ref="D28:D29"/>
    <mergeCell ref="D30:D31"/>
    <mergeCell ref="D32:D33"/>
    <mergeCell ref="D34:D35"/>
    <mergeCell ref="G17:G18"/>
    <mergeCell ref="H17:H18"/>
    <mergeCell ref="I17:I18"/>
    <mergeCell ref="J17:O17"/>
    <mergeCell ref="P17:P18"/>
    <mergeCell ref="Q17:Q18"/>
    <mergeCell ref="A14:B14"/>
    <mergeCell ref="I14:J14"/>
    <mergeCell ref="A15:I15"/>
    <mergeCell ref="A16:I16"/>
    <mergeCell ref="A17:A18"/>
    <mergeCell ref="B17:B18"/>
    <mergeCell ref="C17:C18"/>
    <mergeCell ref="D17:D18"/>
    <mergeCell ref="E17:E18"/>
    <mergeCell ref="F17:F18"/>
    <mergeCell ref="A10:B10"/>
    <mergeCell ref="I10:J10"/>
    <mergeCell ref="A11:B11"/>
    <mergeCell ref="I11:J11"/>
    <mergeCell ref="A12:I12"/>
    <mergeCell ref="A13:B13"/>
    <mergeCell ref="I13:J13"/>
    <mergeCell ref="A1:R3"/>
    <mergeCell ref="A4:J4"/>
    <mergeCell ref="K4:R15"/>
    <mergeCell ref="E5:H5"/>
    <mergeCell ref="A6:H6"/>
    <mergeCell ref="A7:B7"/>
    <mergeCell ref="I7:J7"/>
    <mergeCell ref="A8:B8"/>
    <mergeCell ref="I8:J8"/>
    <mergeCell ref="A9:I9"/>
  </mergeCells>
  <hyperlinks>
    <hyperlink ref="E8" r:id="rId1" xr:uid="{852666A1-09B2-44E2-90FE-778593842CEE}"/>
  </hyperlinks>
  <pageMargins left="0.7" right="0.7" top="0.75" bottom="0.75" header="0.3" footer="0.3"/>
  <pageSetup scale="14" fitToHeight="0" orientation="landscape"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938EB8-518C-4E69-8AFE-A2D05428EE1C}">
  <sheetPr>
    <pageSetUpPr fitToPage="1"/>
  </sheetPr>
  <dimension ref="A1:S88"/>
  <sheetViews>
    <sheetView topLeftCell="H5" zoomScale="30" zoomScaleNormal="30" workbookViewId="0">
      <selection activeCell="A19" sqref="A19:O48"/>
    </sheetView>
  </sheetViews>
  <sheetFormatPr defaultRowHeight="31.5" customHeight="1" x14ac:dyDescent="0.55000000000000004"/>
  <cols>
    <col min="1" max="1" width="15.5703125" style="242" bestFit="1" customWidth="1"/>
    <col min="2" max="2" width="85.42578125" style="4" bestFit="1" customWidth="1"/>
    <col min="3" max="3" width="39.5703125" style="4" bestFit="1" customWidth="1"/>
    <col min="4" max="4" width="114.85546875" style="4" customWidth="1"/>
    <col min="5" max="5" width="64.7109375" style="242" bestFit="1" customWidth="1"/>
    <col min="6" max="6" width="42" style="242" customWidth="1"/>
    <col min="7" max="7" width="255.7109375" style="4" bestFit="1" customWidth="1"/>
    <col min="8" max="8" width="33" style="242" customWidth="1"/>
    <col min="9" max="9" width="62.42578125" style="242" customWidth="1"/>
    <col min="10" max="10" width="45.140625" style="242" customWidth="1"/>
    <col min="11" max="13" width="35.28515625" style="242" bestFit="1" customWidth="1"/>
    <col min="14" max="14" width="40.7109375" style="242" bestFit="1" customWidth="1"/>
    <col min="15" max="15" width="36.85546875" style="242" bestFit="1" customWidth="1"/>
    <col min="16" max="17" width="36.85546875" style="243" customWidth="1"/>
    <col min="18" max="18" width="36.85546875" style="244" customWidth="1"/>
    <col min="19" max="16384" width="9.140625" style="4"/>
  </cols>
  <sheetData>
    <row r="1" spans="1:19" ht="31.5" customHeight="1" x14ac:dyDescent="0.25">
      <c r="A1" s="1" t="s">
        <v>147</v>
      </c>
      <c r="B1" s="2"/>
      <c r="C1" s="2"/>
      <c r="D1" s="2"/>
      <c r="E1" s="2"/>
      <c r="F1" s="2"/>
      <c r="G1" s="2"/>
      <c r="H1" s="2"/>
      <c r="I1" s="2"/>
      <c r="J1" s="2"/>
      <c r="K1" s="2"/>
      <c r="L1" s="2"/>
      <c r="M1" s="2"/>
      <c r="N1" s="2"/>
      <c r="O1" s="2"/>
      <c r="P1" s="2"/>
      <c r="Q1" s="2"/>
      <c r="R1" s="3"/>
    </row>
    <row r="2" spans="1:19" ht="31.5" customHeight="1" x14ac:dyDescent="0.25">
      <c r="A2" s="5"/>
      <c r="B2" s="6"/>
      <c r="C2" s="6"/>
      <c r="D2" s="6"/>
      <c r="E2" s="6"/>
      <c r="F2" s="6"/>
      <c r="G2" s="6"/>
      <c r="H2" s="6"/>
      <c r="I2" s="6"/>
      <c r="J2" s="6"/>
      <c r="K2" s="6"/>
      <c r="L2" s="6"/>
      <c r="M2" s="6"/>
      <c r="N2" s="6"/>
      <c r="O2" s="6"/>
      <c r="P2" s="6"/>
      <c r="Q2" s="6"/>
      <c r="R2" s="7"/>
    </row>
    <row r="3" spans="1:19" ht="31.5" customHeight="1" thickBot="1" x14ac:dyDescent="0.3">
      <c r="A3" s="5"/>
      <c r="B3" s="6"/>
      <c r="C3" s="6"/>
      <c r="D3" s="6"/>
      <c r="E3" s="6"/>
      <c r="F3" s="6"/>
      <c r="G3" s="6"/>
      <c r="H3" s="6"/>
      <c r="I3" s="6"/>
      <c r="J3" s="6"/>
      <c r="K3" s="6"/>
      <c r="L3" s="6"/>
      <c r="M3" s="6"/>
      <c r="N3" s="6"/>
      <c r="O3" s="6"/>
      <c r="P3" s="6"/>
      <c r="Q3" s="6"/>
      <c r="R3" s="7"/>
    </row>
    <row r="4" spans="1:19" s="13" customFormat="1" ht="45.75" x14ac:dyDescent="0.25">
      <c r="A4" s="8" t="s">
        <v>0</v>
      </c>
      <c r="B4" s="9"/>
      <c r="C4" s="9"/>
      <c r="D4" s="9"/>
      <c r="E4" s="9"/>
      <c r="F4" s="9"/>
      <c r="G4" s="9"/>
      <c r="H4" s="9"/>
      <c r="I4" s="9"/>
      <c r="J4" s="9"/>
      <c r="K4" s="10"/>
      <c r="L4" s="11"/>
      <c r="M4" s="11"/>
      <c r="N4" s="11"/>
      <c r="O4" s="11"/>
      <c r="P4" s="11"/>
      <c r="Q4" s="11"/>
      <c r="R4" s="12"/>
    </row>
    <row r="5" spans="1:19" s="24" customFormat="1" ht="32.25" x14ac:dyDescent="0.5">
      <c r="A5" s="14" t="s">
        <v>1</v>
      </c>
      <c r="B5" s="15" t="s">
        <v>183</v>
      </c>
      <c r="C5" s="16" t="s">
        <v>2</v>
      </c>
      <c r="D5" s="17" t="s">
        <v>184</v>
      </c>
      <c r="E5" s="18"/>
      <c r="F5" s="18"/>
      <c r="G5" s="18"/>
      <c r="H5" s="18"/>
      <c r="I5" s="19"/>
      <c r="J5" s="20"/>
      <c r="K5" s="21"/>
      <c r="L5" s="22"/>
      <c r="M5" s="22"/>
      <c r="N5" s="22"/>
      <c r="O5" s="22"/>
      <c r="P5" s="22"/>
      <c r="Q5" s="22"/>
      <c r="R5" s="23"/>
    </row>
    <row r="6" spans="1:19" s="29" customFormat="1" ht="38.25" customHeight="1" x14ac:dyDescent="0.55000000000000004">
      <c r="A6" s="25" t="s">
        <v>3</v>
      </c>
      <c r="B6" s="26"/>
      <c r="C6" s="26"/>
      <c r="D6" s="26"/>
      <c r="E6" s="26"/>
      <c r="F6" s="26"/>
      <c r="G6" s="26"/>
      <c r="H6" s="26"/>
      <c r="I6" s="27"/>
      <c r="J6" s="28"/>
      <c r="K6" s="21"/>
      <c r="L6" s="22"/>
      <c r="M6" s="22"/>
      <c r="N6" s="22"/>
      <c r="O6" s="22"/>
      <c r="P6" s="22"/>
      <c r="Q6" s="22"/>
      <c r="R6" s="23"/>
    </row>
    <row r="7" spans="1:19" s="41" customFormat="1" ht="39" x14ac:dyDescent="0.6">
      <c r="A7" s="245" t="s">
        <v>4</v>
      </c>
      <c r="B7" s="246"/>
      <c r="C7" s="247" t="s">
        <v>5</v>
      </c>
      <c r="D7" s="248" t="s">
        <v>6</v>
      </c>
      <c r="E7" s="247" t="s">
        <v>7</v>
      </c>
      <c r="F7" s="248" t="s">
        <v>8</v>
      </c>
      <c r="G7" s="249" t="s">
        <v>9</v>
      </c>
      <c r="H7" s="248" t="s">
        <v>10</v>
      </c>
      <c r="I7" s="250" t="s">
        <v>11</v>
      </c>
      <c r="J7" s="251"/>
      <c r="K7" s="21"/>
      <c r="L7" s="22"/>
      <c r="M7" s="22"/>
      <c r="N7" s="22"/>
      <c r="O7" s="22"/>
      <c r="P7" s="22"/>
      <c r="Q7" s="22"/>
      <c r="R7" s="23"/>
      <c r="S7" s="252"/>
    </row>
    <row r="8" spans="1:19" s="41" customFormat="1" ht="39.75" x14ac:dyDescent="0.6">
      <c r="A8" s="253" t="s">
        <v>12</v>
      </c>
      <c r="B8" s="254"/>
      <c r="C8" s="255">
        <v>60730</v>
      </c>
      <c r="D8" s="256" t="s">
        <v>13</v>
      </c>
      <c r="E8" s="257" t="s">
        <v>14</v>
      </c>
      <c r="F8" s="256" t="s">
        <v>15</v>
      </c>
      <c r="G8" s="258"/>
      <c r="H8" s="256" t="s">
        <v>16</v>
      </c>
      <c r="I8" s="259" t="s">
        <v>17</v>
      </c>
      <c r="J8" s="260"/>
      <c r="K8" s="21"/>
      <c r="L8" s="22"/>
      <c r="M8" s="22"/>
      <c r="N8" s="22"/>
      <c r="O8" s="22"/>
      <c r="P8" s="22"/>
      <c r="Q8" s="22"/>
      <c r="R8" s="23"/>
      <c r="S8" s="252"/>
    </row>
    <row r="9" spans="1:19" s="32" customFormat="1" ht="62.25" customHeight="1" x14ac:dyDescent="0.6">
      <c r="A9" s="30" t="s">
        <v>18</v>
      </c>
      <c r="B9" s="30"/>
      <c r="C9" s="30"/>
      <c r="D9" s="30"/>
      <c r="E9" s="30"/>
      <c r="F9" s="30"/>
      <c r="G9" s="30"/>
      <c r="H9" s="30"/>
      <c r="I9" s="30"/>
      <c r="J9" s="31"/>
      <c r="K9" s="21"/>
      <c r="L9" s="22"/>
      <c r="M9" s="22"/>
      <c r="N9" s="22"/>
      <c r="O9" s="22"/>
      <c r="P9" s="22"/>
      <c r="Q9" s="22"/>
      <c r="R9" s="23"/>
    </row>
    <row r="10" spans="1:19" s="41" customFormat="1" ht="39" x14ac:dyDescent="0.6">
      <c r="A10" s="33" t="s">
        <v>4</v>
      </c>
      <c r="B10" s="34"/>
      <c r="C10" s="35" t="s">
        <v>19</v>
      </c>
      <c r="D10" s="36" t="s">
        <v>6</v>
      </c>
      <c r="E10" s="35" t="s">
        <v>20</v>
      </c>
      <c r="F10" s="37" t="s">
        <v>8</v>
      </c>
      <c r="G10" s="38" t="s">
        <v>21</v>
      </c>
      <c r="H10" s="36" t="s">
        <v>10</v>
      </c>
      <c r="I10" s="39" t="s">
        <v>22</v>
      </c>
      <c r="J10" s="40"/>
      <c r="K10" s="21"/>
      <c r="L10" s="22"/>
      <c r="M10" s="22"/>
      <c r="N10" s="22"/>
      <c r="O10" s="22"/>
      <c r="P10" s="22"/>
      <c r="Q10" s="22"/>
      <c r="R10" s="23"/>
    </row>
    <row r="11" spans="1:19" s="41" customFormat="1" ht="39.75" x14ac:dyDescent="0.6">
      <c r="A11" s="42" t="s">
        <v>12</v>
      </c>
      <c r="B11" s="43"/>
      <c r="C11" s="44">
        <v>60529</v>
      </c>
      <c r="D11" s="45" t="s">
        <v>13</v>
      </c>
      <c r="E11" s="261" t="s">
        <v>23</v>
      </c>
      <c r="F11" s="46" t="s">
        <v>15</v>
      </c>
      <c r="G11" s="262"/>
      <c r="H11" s="45" t="s">
        <v>16</v>
      </c>
      <c r="I11" s="47" t="s">
        <v>24</v>
      </c>
      <c r="J11" s="48"/>
      <c r="K11" s="21"/>
      <c r="L11" s="22"/>
      <c r="M11" s="22"/>
      <c r="N11" s="22"/>
      <c r="O11" s="22"/>
      <c r="P11" s="22"/>
      <c r="Q11" s="22"/>
      <c r="R11" s="23"/>
    </row>
    <row r="12" spans="1:19" s="32" customFormat="1" ht="39" x14ac:dyDescent="0.6">
      <c r="A12" s="30" t="s">
        <v>25</v>
      </c>
      <c r="B12" s="30"/>
      <c r="C12" s="30"/>
      <c r="D12" s="30"/>
      <c r="E12" s="30"/>
      <c r="F12" s="30"/>
      <c r="G12" s="30"/>
      <c r="H12" s="30"/>
      <c r="I12" s="30"/>
      <c r="J12" s="31"/>
      <c r="K12" s="21"/>
      <c r="L12" s="22"/>
      <c r="M12" s="22"/>
      <c r="N12" s="22"/>
      <c r="O12" s="22"/>
      <c r="P12" s="22"/>
      <c r="Q12" s="22"/>
      <c r="R12" s="23"/>
    </row>
    <row r="13" spans="1:19" s="41" customFormat="1" ht="56.25" customHeight="1" x14ac:dyDescent="0.6">
      <c r="A13" s="263" t="s">
        <v>4</v>
      </c>
      <c r="B13" s="263"/>
      <c r="C13" s="35"/>
      <c r="D13" s="36" t="s">
        <v>6</v>
      </c>
      <c r="E13" s="35"/>
      <c r="F13" s="37" t="s">
        <v>8</v>
      </c>
      <c r="G13" s="38"/>
      <c r="H13" s="36" t="s">
        <v>10</v>
      </c>
      <c r="I13" s="264"/>
      <c r="J13" s="265"/>
      <c r="K13" s="21"/>
      <c r="L13" s="22"/>
      <c r="M13" s="22"/>
      <c r="N13" s="22"/>
      <c r="O13" s="22"/>
      <c r="P13" s="22"/>
      <c r="Q13" s="22"/>
      <c r="R13" s="23"/>
    </row>
    <row r="14" spans="1:19" s="41" customFormat="1" ht="57" customHeight="1" x14ac:dyDescent="0.6">
      <c r="A14" s="266" t="s">
        <v>12</v>
      </c>
      <c r="B14" s="266"/>
      <c r="C14" s="44"/>
      <c r="D14" s="45" t="s">
        <v>13</v>
      </c>
      <c r="E14" s="267"/>
      <c r="F14" s="46" t="s">
        <v>15</v>
      </c>
      <c r="G14" s="262"/>
      <c r="H14" s="45" t="s">
        <v>16</v>
      </c>
      <c r="I14" s="268"/>
      <c r="J14" s="269"/>
      <c r="K14" s="21"/>
      <c r="L14" s="22"/>
      <c r="M14" s="22"/>
      <c r="N14" s="22"/>
      <c r="O14" s="22"/>
      <c r="P14" s="22"/>
      <c r="Q14" s="22"/>
      <c r="R14" s="23"/>
    </row>
    <row r="15" spans="1:19" s="55" customFormat="1" ht="20.25" customHeight="1" thickBot="1" x14ac:dyDescent="0.75">
      <c r="A15" s="49"/>
      <c r="B15" s="50"/>
      <c r="C15" s="50"/>
      <c r="D15" s="50"/>
      <c r="E15" s="50"/>
      <c r="F15" s="50"/>
      <c r="G15" s="50"/>
      <c r="H15" s="50"/>
      <c r="I15" s="50"/>
      <c r="J15" s="51"/>
      <c r="K15" s="52"/>
      <c r="L15" s="53"/>
      <c r="M15" s="53"/>
      <c r="N15" s="53"/>
      <c r="O15" s="53"/>
      <c r="P15" s="53"/>
      <c r="Q15" s="53"/>
      <c r="R15" s="54"/>
    </row>
    <row r="16" spans="1:19" s="55" customFormat="1" ht="47.25" x14ac:dyDescent="0.7">
      <c r="A16" s="56" t="s">
        <v>26</v>
      </c>
      <c r="B16" s="57"/>
      <c r="C16" s="57"/>
      <c r="D16" s="57"/>
      <c r="E16" s="57"/>
      <c r="F16" s="57"/>
      <c r="G16" s="57"/>
      <c r="H16" s="57"/>
      <c r="I16" s="57"/>
      <c r="J16" s="58"/>
      <c r="K16" s="59"/>
      <c r="L16" s="60"/>
      <c r="M16" s="60"/>
      <c r="N16" s="60"/>
      <c r="O16" s="60"/>
      <c r="P16" s="61"/>
      <c r="Q16" s="61"/>
      <c r="R16" s="62"/>
    </row>
    <row r="17" spans="1:18" s="73" customFormat="1" ht="31.5" customHeight="1" x14ac:dyDescent="0.25">
      <c r="A17" s="63" t="s">
        <v>27</v>
      </c>
      <c r="B17" s="64" t="s">
        <v>28</v>
      </c>
      <c r="C17" s="65" t="s">
        <v>29</v>
      </c>
      <c r="D17" s="65" t="s">
        <v>30</v>
      </c>
      <c r="E17" s="65" t="s">
        <v>29</v>
      </c>
      <c r="F17" s="66" t="s">
        <v>31</v>
      </c>
      <c r="G17" s="66" t="s">
        <v>32</v>
      </c>
      <c r="H17" s="67" t="s">
        <v>33</v>
      </c>
      <c r="I17" s="66" t="s">
        <v>34</v>
      </c>
      <c r="J17" s="68" t="s">
        <v>35</v>
      </c>
      <c r="K17" s="69"/>
      <c r="L17" s="69"/>
      <c r="M17" s="69"/>
      <c r="N17" s="69"/>
      <c r="O17" s="70"/>
      <c r="P17" s="71" t="s">
        <v>150</v>
      </c>
      <c r="Q17" s="71" t="s">
        <v>151</v>
      </c>
      <c r="R17" s="72" t="s">
        <v>152</v>
      </c>
    </row>
    <row r="18" spans="1:18" s="73" customFormat="1" ht="36" x14ac:dyDescent="0.25">
      <c r="A18" s="74"/>
      <c r="B18" s="64"/>
      <c r="C18" s="64"/>
      <c r="D18" s="64"/>
      <c r="E18" s="64"/>
      <c r="F18" s="75"/>
      <c r="G18" s="75"/>
      <c r="H18" s="76"/>
      <c r="I18" s="75"/>
      <c r="J18" s="77" t="s">
        <v>153</v>
      </c>
      <c r="K18" s="78" t="s">
        <v>154</v>
      </c>
      <c r="L18" s="78" t="s">
        <v>155</v>
      </c>
      <c r="M18" s="77" t="s">
        <v>156</v>
      </c>
      <c r="N18" s="77" t="s">
        <v>157</v>
      </c>
      <c r="O18" s="77" t="s">
        <v>158</v>
      </c>
      <c r="P18" s="79"/>
      <c r="Q18" s="79"/>
      <c r="R18" s="80"/>
    </row>
    <row r="19" spans="1:18" s="91" customFormat="1" ht="147" customHeight="1" x14ac:dyDescent="0.25">
      <c r="A19" s="270">
        <v>1</v>
      </c>
      <c r="B19" s="271" t="s">
        <v>42</v>
      </c>
      <c r="C19" s="272">
        <f>SUM(E19:E24)</f>
        <v>0.42666666666666664</v>
      </c>
      <c r="D19" s="273" t="s">
        <v>43</v>
      </c>
      <c r="E19" s="82">
        <v>6.6666666666666666E-2</v>
      </c>
      <c r="F19" s="82">
        <f>E19/$E$49* 100</f>
        <v>0.96545065857527068</v>
      </c>
      <c r="G19" s="83" t="s">
        <v>44</v>
      </c>
      <c r="H19" s="84">
        <v>1</v>
      </c>
      <c r="I19" s="85" t="s">
        <v>45</v>
      </c>
      <c r="J19" s="86">
        <v>100</v>
      </c>
      <c r="K19" s="87">
        <v>95</v>
      </c>
      <c r="L19" s="87">
        <v>90</v>
      </c>
      <c r="M19" s="87">
        <v>85</v>
      </c>
      <c r="N19" s="87">
        <v>80</v>
      </c>
      <c r="O19" s="87" t="s">
        <v>46</v>
      </c>
      <c r="P19" s="88"/>
      <c r="Q19" s="89">
        <f t="shared" ref="Q19:Q48" si="0">IF(OR(TRIM(P19)="",P19=0),0,
IF(P19&lt;N19,50,
IF(P19&lt;M19,60,
IF(P19&lt;L19,70,
IF(P19&lt;K19,80,
IF(ISNUMBER(J19),
    IF(P19&lt;J19,IF(P19&gt;=K19,90,80),100),
    IF(P19=K19,90,100)
))))))</f>
        <v>0</v>
      </c>
      <c r="R19" s="90">
        <f t="shared" ref="R19:R48" si="1">F19*Q19/100</f>
        <v>0</v>
      </c>
    </row>
    <row r="20" spans="1:18" s="91" customFormat="1" ht="147" customHeight="1" x14ac:dyDescent="0.25">
      <c r="A20" s="270"/>
      <c r="B20" s="271"/>
      <c r="C20" s="272"/>
      <c r="D20" s="274"/>
      <c r="E20" s="82">
        <v>6.6666666666666666E-2</v>
      </c>
      <c r="F20" s="82">
        <f t="shared" ref="F20:F48" si="2">E20/$E$49* 100</f>
        <v>0.96545065857527068</v>
      </c>
      <c r="G20" s="83" t="s">
        <v>47</v>
      </c>
      <c r="H20" s="84">
        <v>1</v>
      </c>
      <c r="I20" s="85" t="s">
        <v>45</v>
      </c>
      <c r="J20" s="86">
        <v>100</v>
      </c>
      <c r="K20" s="87">
        <v>95</v>
      </c>
      <c r="L20" s="87">
        <v>90</v>
      </c>
      <c r="M20" s="87">
        <v>85</v>
      </c>
      <c r="N20" s="87">
        <v>80</v>
      </c>
      <c r="O20" s="87" t="s">
        <v>46</v>
      </c>
      <c r="P20" s="88"/>
      <c r="Q20" s="89">
        <f t="shared" si="0"/>
        <v>0</v>
      </c>
      <c r="R20" s="90">
        <f t="shared" si="1"/>
        <v>0</v>
      </c>
    </row>
    <row r="21" spans="1:18" s="91" customFormat="1" ht="147" customHeight="1" x14ac:dyDescent="0.25">
      <c r="A21" s="270"/>
      <c r="B21" s="271"/>
      <c r="C21" s="272"/>
      <c r="D21" s="275"/>
      <c r="E21" s="82">
        <v>0.13333333333333333</v>
      </c>
      <c r="F21" s="82">
        <f t="shared" si="2"/>
        <v>1.9309013171505414</v>
      </c>
      <c r="G21" s="83" t="s">
        <v>48</v>
      </c>
      <c r="H21" s="84">
        <v>1</v>
      </c>
      <c r="I21" s="85" t="s">
        <v>45</v>
      </c>
      <c r="J21" s="86">
        <v>100</v>
      </c>
      <c r="K21" s="87">
        <v>95</v>
      </c>
      <c r="L21" s="87">
        <v>90</v>
      </c>
      <c r="M21" s="87">
        <v>85</v>
      </c>
      <c r="N21" s="87">
        <v>80</v>
      </c>
      <c r="O21" s="87" t="s">
        <v>46</v>
      </c>
      <c r="P21" s="88"/>
      <c r="Q21" s="89">
        <f t="shared" si="0"/>
        <v>0</v>
      </c>
      <c r="R21" s="90">
        <f t="shared" si="1"/>
        <v>0</v>
      </c>
    </row>
    <row r="22" spans="1:18" s="91" customFormat="1" ht="147" customHeight="1" x14ac:dyDescent="0.25">
      <c r="A22" s="270"/>
      <c r="B22" s="271"/>
      <c r="C22" s="272"/>
      <c r="D22" s="271" t="s">
        <v>49</v>
      </c>
      <c r="E22" s="82">
        <v>0.08</v>
      </c>
      <c r="F22" s="82">
        <f t="shared" si="2"/>
        <v>1.1585407902903249</v>
      </c>
      <c r="G22" s="83" t="s">
        <v>50</v>
      </c>
      <c r="H22" s="84">
        <v>0.5</v>
      </c>
      <c r="I22" s="85" t="s">
        <v>45</v>
      </c>
      <c r="J22" s="86" t="s">
        <v>51</v>
      </c>
      <c r="K22" s="87">
        <v>50</v>
      </c>
      <c r="L22" s="87">
        <v>45</v>
      </c>
      <c r="M22" s="87">
        <v>40</v>
      </c>
      <c r="N22" s="87">
        <v>25</v>
      </c>
      <c r="O22" s="87" t="s">
        <v>52</v>
      </c>
      <c r="P22" s="88"/>
      <c r="Q22" s="89">
        <f t="shared" si="0"/>
        <v>0</v>
      </c>
      <c r="R22" s="90">
        <f t="shared" si="1"/>
        <v>0</v>
      </c>
    </row>
    <row r="23" spans="1:18" s="91" customFormat="1" ht="147" customHeight="1" x14ac:dyDescent="0.25">
      <c r="A23" s="270"/>
      <c r="B23" s="271"/>
      <c r="C23" s="272"/>
      <c r="D23" s="271"/>
      <c r="E23" s="82">
        <v>0.04</v>
      </c>
      <c r="F23" s="82">
        <f t="shared" si="2"/>
        <v>0.57927039514516243</v>
      </c>
      <c r="G23" s="83" t="s">
        <v>53</v>
      </c>
      <c r="H23" s="84">
        <v>0.5</v>
      </c>
      <c r="I23" s="85" t="s">
        <v>45</v>
      </c>
      <c r="J23" s="86" t="s">
        <v>51</v>
      </c>
      <c r="K23" s="87">
        <v>50</v>
      </c>
      <c r="L23" s="87">
        <v>45</v>
      </c>
      <c r="M23" s="87">
        <v>40</v>
      </c>
      <c r="N23" s="87">
        <v>25</v>
      </c>
      <c r="O23" s="87" t="s">
        <v>52</v>
      </c>
      <c r="P23" s="88"/>
      <c r="Q23" s="89">
        <f t="shared" ref="Q23:Q44" si="3">IF(OR(TRIM(P23)="",P23=0),0,
IF(P23&lt;N23,50,
IF(P23&lt;M23,60,
IF(P23&lt;L23,70,
IF(P23&lt;K23,80,
IF(ISNUMBER(J23),
    IF(P23&lt;J23,IF(P23&gt;=K23,90,80),100),
    IF(P23=K23,90,100)
))))))</f>
        <v>0</v>
      </c>
      <c r="R23" s="90">
        <f t="shared" ref="R23:R44" si="4">F23*Q23/100</f>
        <v>0</v>
      </c>
    </row>
    <row r="24" spans="1:18" s="91" customFormat="1" ht="147" customHeight="1" x14ac:dyDescent="0.25">
      <c r="A24" s="270"/>
      <c r="B24" s="271"/>
      <c r="C24" s="272"/>
      <c r="D24" s="271"/>
      <c r="E24" s="82">
        <v>0.04</v>
      </c>
      <c r="F24" s="82">
        <f t="shared" si="2"/>
        <v>0.57927039514516243</v>
      </c>
      <c r="G24" s="83" t="s">
        <v>54</v>
      </c>
      <c r="H24" s="84">
        <v>0.75</v>
      </c>
      <c r="I24" s="85" t="s">
        <v>45</v>
      </c>
      <c r="J24" s="86" t="s">
        <v>55</v>
      </c>
      <c r="K24" s="87">
        <v>75</v>
      </c>
      <c r="L24" s="87">
        <v>70</v>
      </c>
      <c r="M24" s="87">
        <v>60</v>
      </c>
      <c r="N24" s="87">
        <v>50</v>
      </c>
      <c r="O24" s="87" t="s">
        <v>56</v>
      </c>
      <c r="P24" s="88"/>
      <c r="Q24" s="89">
        <f t="shared" si="3"/>
        <v>0</v>
      </c>
      <c r="R24" s="90">
        <f t="shared" si="4"/>
        <v>0</v>
      </c>
    </row>
    <row r="25" spans="1:18" s="91" customFormat="1" ht="147" customHeight="1" x14ac:dyDescent="0.25">
      <c r="A25" s="276">
        <v>2</v>
      </c>
      <c r="B25" s="273" t="s">
        <v>57</v>
      </c>
      <c r="C25" s="277">
        <v>3</v>
      </c>
      <c r="D25" s="273" t="s">
        <v>58</v>
      </c>
      <c r="E25" s="82">
        <v>0.3</v>
      </c>
      <c r="F25" s="82">
        <f t="shared" si="2"/>
        <v>4.3445279635887184</v>
      </c>
      <c r="G25" s="83" t="s">
        <v>59</v>
      </c>
      <c r="H25" s="93">
        <v>1</v>
      </c>
      <c r="I25" s="85" t="s">
        <v>45</v>
      </c>
      <c r="J25" s="86">
        <v>100</v>
      </c>
      <c r="K25" s="87">
        <v>95</v>
      </c>
      <c r="L25" s="87">
        <v>90</v>
      </c>
      <c r="M25" s="87">
        <v>85</v>
      </c>
      <c r="N25" s="87">
        <v>80</v>
      </c>
      <c r="O25" s="87" t="s">
        <v>46</v>
      </c>
      <c r="P25" s="88"/>
      <c r="Q25" s="89">
        <f t="shared" si="3"/>
        <v>0</v>
      </c>
      <c r="R25" s="90">
        <f t="shared" si="4"/>
        <v>0</v>
      </c>
    </row>
    <row r="26" spans="1:18" s="91" customFormat="1" ht="147" customHeight="1" x14ac:dyDescent="0.25">
      <c r="A26" s="278"/>
      <c r="B26" s="274"/>
      <c r="C26" s="279"/>
      <c r="D26" s="274"/>
      <c r="E26" s="82">
        <v>0.3</v>
      </c>
      <c r="F26" s="82">
        <f t="shared" si="2"/>
        <v>4.3445279635887184</v>
      </c>
      <c r="G26" s="83" t="s">
        <v>60</v>
      </c>
      <c r="H26" s="93">
        <v>1</v>
      </c>
      <c r="I26" s="85" t="s">
        <v>45</v>
      </c>
      <c r="J26" s="86">
        <v>100</v>
      </c>
      <c r="K26" s="87">
        <v>95</v>
      </c>
      <c r="L26" s="87">
        <v>90</v>
      </c>
      <c r="M26" s="87">
        <v>85</v>
      </c>
      <c r="N26" s="87">
        <v>80</v>
      </c>
      <c r="O26" s="87" t="s">
        <v>46</v>
      </c>
      <c r="P26" s="88"/>
      <c r="Q26" s="89">
        <f t="shared" si="3"/>
        <v>0</v>
      </c>
      <c r="R26" s="90">
        <f t="shared" si="4"/>
        <v>0</v>
      </c>
    </row>
    <row r="27" spans="1:18" s="91" customFormat="1" ht="147" customHeight="1" x14ac:dyDescent="0.25">
      <c r="A27" s="278"/>
      <c r="B27" s="274"/>
      <c r="C27" s="279"/>
      <c r="D27" s="275"/>
      <c r="E27" s="82">
        <v>0.4</v>
      </c>
      <c r="F27" s="82">
        <f t="shared" si="2"/>
        <v>5.7927039514516245</v>
      </c>
      <c r="G27" s="83" t="s">
        <v>61</v>
      </c>
      <c r="H27" s="93">
        <v>1</v>
      </c>
      <c r="I27" s="85" t="s">
        <v>45</v>
      </c>
      <c r="J27" s="86">
        <v>100</v>
      </c>
      <c r="K27" s="87">
        <v>95</v>
      </c>
      <c r="L27" s="87">
        <v>90</v>
      </c>
      <c r="M27" s="87">
        <v>85</v>
      </c>
      <c r="N27" s="87">
        <v>80</v>
      </c>
      <c r="O27" s="87" t="s">
        <v>46</v>
      </c>
      <c r="P27" s="88"/>
      <c r="Q27" s="89">
        <f t="shared" si="3"/>
        <v>0</v>
      </c>
      <c r="R27" s="90">
        <f t="shared" si="4"/>
        <v>0</v>
      </c>
    </row>
    <row r="28" spans="1:18" s="91" customFormat="1" ht="147" customHeight="1" x14ac:dyDescent="0.25">
      <c r="A28" s="278"/>
      <c r="B28" s="274"/>
      <c r="C28" s="279"/>
      <c r="D28" s="273" t="s">
        <v>62</v>
      </c>
      <c r="E28" s="82">
        <v>0.35</v>
      </c>
      <c r="F28" s="82">
        <f t="shared" si="2"/>
        <v>5.068615957520171</v>
      </c>
      <c r="G28" s="83" t="s">
        <v>63</v>
      </c>
      <c r="H28" s="93">
        <v>1</v>
      </c>
      <c r="I28" s="85" t="s">
        <v>45</v>
      </c>
      <c r="J28" s="86">
        <v>100</v>
      </c>
      <c r="K28" s="87">
        <v>95</v>
      </c>
      <c r="L28" s="87">
        <v>90</v>
      </c>
      <c r="M28" s="87">
        <v>85</v>
      </c>
      <c r="N28" s="87">
        <v>80</v>
      </c>
      <c r="O28" s="87" t="s">
        <v>46</v>
      </c>
      <c r="P28" s="88"/>
      <c r="Q28" s="89">
        <f t="shared" si="3"/>
        <v>0</v>
      </c>
      <c r="R28" s="90">
        <f t="shared" si="4"/>
        <v>0</v>
      </c>
    </row>
    <row r="29" spans="1:18" s="91" customFormat="1" ht="147" customHeight="1" x14ac:dyDescent="0.25">
      <c r="A29" s="278"/>
      <c r="B29" s="274"/>
      <c r="C29" s="279"/>
      <c r="D29" s="275"/>
      <c r="E29" s="82">
        <v>0.35</v>
      </c>
      <c r="F29" s="82">
        <f t="shared" si="2"/>
        <v>5.068615957520171</v>
      </c>
      <c r="G29" s="83" t="s">
        <v>64</v>
      </c>
      <c r="H29" s="93">
        <v>1</v>
      </c>
      <c r="I29" s="85" t="s">
        <v>45</v>
      </c>
      <c r="J29" s="86">
        <v>100</v>
      </c>
      <c r="K29" s="87">
        <v>95</v>
      </c>
      <c r="L29" s="87">
        <v>90</v>
      </c>
      <c r="M29" s="87">
        <v>85</v>
      </c>
      <c r="N29" s="87">
        <v>80</v>
      </c>
      <c r="O29" s="87" t="s">
        <v>46</v>
      </c>
      <c r="P29" s="88"/>
      <c r="Q29" s="89">
        <f t="shared" si="3"/>
        <v>0</v>
      </c>
      <c r="R29" s="90">
        <f t="shared" si="4"/>
        <v>0</v>
      </c>
    </row>
    <row r="30" spans="1:18" s="91" customFormat="1" ht="147" customHeight="1" x14ac:dyDescent="0.25">
      <c r="A30" s="278"/>
      <c r="B30" s="274"/>
      <c r="C30" s="279"/>
      <c r="D30" s="273" t="s">
        <v>65</v>
      </c>
      <c r="E30" s="82">
        <v>0.2</v>
      </c>
      <c r="F30" s="82">
        <f t="shared" si="2"/>
        <v>2.8963519757258123</v>
      </c>
      <c r="G30" s="83" t="s">
        <v>66</v>
      </c>
      <c r="H30" s="93">
        <v>1</v>
      </c>
      <c r="I30" s="85" t="s">
        <v>45</v>
      </c>
      <c r="J30" s="86">
        <v>100</v>
      </c>
      <c r="K30" s="87">
        <v>95</v>
      </c>
      <c r="L30" s="87">
        <v>90</v>
      </c>
      <c r="M30" s="87">
        <v>85</v>
      </c>
      <c r="N30" s="87">
        <v>80</v>
      </c>
      <c r="O30" s="87" t="s">
        <v>46</v>
      </c>
      <c r="P30" s="88"/>
      <c r="Q30" s="89">
        <f t="shared" si="3"/>
        <v>0</v>
      </c>
      <c r="R30" s="90">
        <f t="shared" si="4"/>
        <v>0</v>
      </c>
    </row>
    <row r="31" spans="1:18" s="91" customFormat="1" ht="147" customHeight="1" x14ac:dyDescent="0.25">
      <c r="A31" s="278"/>
      <c r="B31" s="274"/>
      <c r="C31" s="279"/>
      <c r="D31" s="275"/>
      <c r="E31" s="82">
        <v>0.3</v>
      </c>
      <c r="F31" s="82">
        <f t="shared" si="2"/>
        <v>4.3445279635887184</v>
      </c>
      <c r="G31" s="83" t="s">
        <v>67</v>
      </c>
      <c r="H31" s="92">
        <v>4</v>
      </c>
      <c r="I31" s="85" t="s">
        <v>68</v>
      </c>
      <c r="J31" s="86">
        <v>4</v>
      </c>
      <c r="K31" s="87">
        <v>3</v>
      </c>
      <c r="L31" s="87">
        <v>2</v>
      </c>
      <c r="M31" s="87">
        <v>1</v>
      </c>
      <c r="N31" s="87">
        <v>0</v>
      </c>
      <c r="O31" s="87">
        <v>0</v>
      </c>
      <c r="P31" s="88"/>
      <c r="Q31" s="89">
        <f t="shared" si="3"/>
        <v>0</v>
      </c>
      <c r="R31" s="90">
        <f t="shared" si="4"/>
        <v>0</v>
      </c>
    </row>
    <row r="32" spans="1:18" s="91" customFormat="1" ht="147" customHeight="1" x14ac:dyDescent="0.25">
      <c r="A32" s="278"/>
      <c r="B32" s="274"/>
      <c r="C32" s="279"/>
      <c r="D32" s="273" t="s">
        <v>69</v>
      </c>
      <c r="E32" s="82">
        <v>0.25</v>
      </c>
      <c r="F32" s="82">
        <f t="shared" si="2"/>
        <v>3.6204399696572653</v>
      </c>
      <c r="G32" s="83" t="s">
        <v>70</v>
      </c>
      <c r="H32" s="93">
        <v>1</v>
      </c>
      <c r="I32" s="85" t="s">
        <v>45</v>
      </c>
      <c r="J32" s="86">
        <v>100</v>
      </c>
      <c r="K32" s="87">
        <v>95</v>
      </c>
      <c r="L32" s="87">
        <v>90</v>
      </c>
      <c r="M32" s="87">
        <v>85</v>
      </c>
      <c r="N32" s="87">
        <v>80</v>
      </c>
      <c r="O32" s="87" t="s">
        <v>46</v>
      </c>
      <c r="P32" s="88"/>
      <c r="Q32" s="89">
        <f t="shared" si="3"/>
        <v>0</v>
      </c>
      <c r="R32" s="90">
        <f t="shared" si="4"/>
        <v>0</v>
      </c>
    </row>
    <row r="33" spans="1:18" s="91" customFormat="1" ht="147" customHeight="1" x14ac:dyDescent="0.25">
      <c r="A33" s="278"/>
      <c r="B33" s="274"/>
      <c r="C33" s="279"/>
      <c r="D33" s="275"/>
      <c r="E33" s="82">
        <v>0.25</v>
      </c>
      <c r="F33" s="82">
        <f t="shared" si="2"/>
        <v>3.6204399696572653</v>
      </c>
      <c r="G33" s="83" t="s">
        <v>71</v>
      </c>
      <c r="H33" s="93">
        <v>1</v>
      </c>
      <c r="I33" s="85" t="s">
        <v>45</v>
      </c>
      <c r="J33" s="86">
        <v>100</v>
      </c>
      <c r="K33" s="87">
        <v>95</v>
      </c>
      <c r="L33" s="87">
        <v>90</v>
      </c>
      <c r="M33" s="87">
        <v>85</v>
      </c>
      <c r="N33" s="87">
        <v>80</v>
      </c>
      <c r="O33" s="87" t="s">
        <v>46</v>
      </c>
      <c r="P33" s="88"/>
      <c r="Q33" s="89">
        <f t="shared" si="3"/>
        <v>0</v>
      </c>
      <c r="R33" s="90">
        <f t="shared" si="4"/>
        <v>0</v>
      </c>
    </row>
    <row r="34" spans="1:18" s="91" customFormat="1" ht="147" customHeight="1" x14ac:dyDescent="0.25">
      <c r="A34" s="278"/>
      <c r="B34" s="274"/>
      <c r="C34" s="279"/>
      <c r="D34" s="273" t="s">
        <v>72</v>
      </c>
      <c r="E34" s="82">
        <v>0.15</v>
      </c>
      <c r="F34" s="82">
        <f t="shared" si="2"/>
        <v>2.1722639817943592</v>
      </c>
      <c r="G34" s="83" t="s">
        <v>73</v>
      </c>
      <c r="H34" s="93">
        <v>1</v>
      </c>
      <c r="I34" s="85" t="s">
        <v>45</v>
      </c>
      <c r="J34" s="86">
        <v>100</v>
      </c>
      <c r="K34" s="87">
        <v>95</v>
      </c>
      <c r="L34" s="87">
        <v>90</v>
      </c>
      <c r="M34" s="87">
        <v>85</v>
      </c>
      <c r="N34" s="87">
        <v>80</v>
      </c>
      <c r="O34" s="87" t="s">
        <v>46</v>
      </c>
      <c r="P34" s="88"/>
      <c r="Q34" s="89">
        <f t="shared" si="3"/>
        <v>0</v>
      </c>
      <c r="R34" s="90">
        <f t="shared" si="4"/>
        <v>0</v>
      </c>
    </row>
    <row r="35" spans="1:18" s="91" customFormat="1" ht="147" customHeight="1" x14ac:dyDescent="0.25">
      <c r="A35" s="280"/>
      <c r="B35" s="275"/>
      <c r="C35" s="281"/>
      <c r="D35" s="275"/>
      <c r="E35" s="282">
        <v>0.15</v>
      </c>
      <c r="F35" s="82">
        <f t="shared" si="2"/>
        <v>2.1722639817943592</v>
      </c>
      <c r="G35" s="283" t="s">
        <v>74</v>
      </c>
      <c r="H35" s="93">
        <v>1</v>
      </c>
      <c r="I35" s="85" t="s">
        <v>45</v>
      </c>
      <c r="J35" s="86">
        <v>100</v>
      </c>
      <c r="K35" s="87">
        <v>95</v>
      </c>
      <c r="L35" s="87">
        <v>90</v>
      </c>
      <c r="M35" s="87">
        <v>85</v>
      </c>
      <c r="N35" s="87">
        <v>80</v>
      </c>
      <c r="O35" s="87" t="s">
        <v>46</v>
      </c>
      <c r="P35" s="88"/>
      <c r="Q35" s="89">
        <f t="shared" si="3"/>
        <v>0</v>
      </c>
      <c r="R35" s="90">
        <f t="shared" si="4"/>
        <v>0</v>
      </c>
    </row>
    <row r="36" spans="1:18" s="91" customFormat="1" ht="147" customHeight="1" x14ac:dyDescent="0.25">
      <c r="A36" s="270">
        <v>3</v>
      </c>
      <c r="B36" s="271" t="s">
        <v>75</v>
      </c>
      <c r="C36" s="284">
        <f>SUM(E36:E38)</f>
        <v>0.24999999999999997</v>
      </c>
      <c r="D36" s="271" t="s">
        <v>76</v>
      </c>
      <c r="E36" s="82">
        <v>9.9999999999999992E-2</v>
      </c>
      <c r="F36" s="82">
        <f t="shared" si="2"/>
        <v>1.4481759878629061</v>
      </c>
      <c r="G36" s="83" t="s">
        <v>77</v>
      </c>
      <c r="H36" s="92">
        <v>5</v>
      </c>
      <c r="I36" s="85" t="s">
        <v>78</v>
      </c>
      <c r="J36" s="86" t="s">
        <v>79</v>
      </c>
      <c r="K36" s="87">
        <v>5</v>
      </c>
      <c r="L36" s="87">
        <v>4</v>
      </c>
      <c r="M36" s="87">
        <v>3</v>
      </c>
      <c r="N36" s="87">
        <v>2</v>
      </c>
      <c r="O36" s="87">
        <v>1</v>
      </c>
      <c r="P36" s="88"/>
      <c r="Q36" s="89">
        <f t="shared" si="3"/>
        <v>0</v>
      </c>
      <c r="R36" s="90">
        <f t="shared" si="4"/>
        <v>0</v>
      </c>
    </row>
    <row r="37" spans="1:18" s="91" customFormat="1" ht="147" customHeight="1" x14ac:dyDescent="0.25">
      <c r="A37" s="270"/>
      <c r="B37" s="271"/>
      <c r="C37" s="284"/>
      <c r="D37" s="271"/>
      <c r="E37" s="82">
        <v>9.9999999999999992E-2</v>
      </c>
      <c r="F37" s="82">
        <f t="shared" si="2"/>
        <v>1.4481759878629061</v>
      </c>
      <c r="G37" s="83" t="s">
        <v>80</v>
      </c>
      <c r="H37" s="93">
        <v>0.1</v>
      </c>
      <c r="I37" s="92" t="s">
        <v>45</v>
      </c>
      <c r="J37" s="86" t="s">
        <v>81</v>
      </c>
      <c r="K37" s="87">
        <v>10</v>
      </c>
      <c r="L37" s="87">
        <v>7</v>
      </c>
      <c r="M37" s="87">
        <v>6</v>
      </c>
      <c r="N37" s="87">
        <v>5</v>
      </c>
      <c r="O37" s="87" t="s">
        <v>82</v>
      </c>
      <c r="P37" s="88"/>
      <c r="Q37" s="89">
        <f t="shared" si="3"/>
        <v>0</v>
      </c>
      <c r="R37" s="90">
        <f t="shared" si="4"/>
        <v>0</v>
      </c>
    </row>
    <row r="38" spans="1:18" s="91" customFormat="1" ht="147" customHeight="1" x14ac:dyDescent="0.25">
      <c r="A38" s="270"/>
      <c r="B38" s="271"/>
      <c r="C38" s="284"/>
      <c r="D38" s="271"/>
      <c r="E38" s="82">
        <v>4.9999999999999996E-2</v>
      </c>
      <c r="F38" s="82">
        <f t="shared" si="2"/>
        <v>0.72408799393145307</v>
      </c>
      <c r="G38" s="83" t="s">
        <v>83</v>
      </c>
      <c r="H38" s="92">
        <v>2</v>
      </c>
      <c r="I38" s="85" t="s">
        <v>78</v>
      </c>
      <c r="J38" s="86" t="s">
        <v>84</v>
      </c>
      <c r="K38" s="87">
        <v>2</v>
      </c>
      <c r="L38" s="87">
        <v>1</v>
      </c>
      <c r="M38" s="87">
        <v>0</v>
      </c>
      <c r="N38" s="87"/>
      <c r="O38" s="87"/>
      <c r="P38" s="88"/>
      <c r="Q38" s="89">
        <f t="shared" si="3"/>
        <v>0</v>
      </c>
      <c r="R38" s="90">
        <f t="shared" si="4"/>
        <v>0</v>
      </c>
    </row>
    <row r="39" spans="1:18" s="91" customFormat="1" ht="147" customHeight="1" x14ac:dyDescent="0.25">
      <c r="A39" s="276">
        <v>4</v>
      </c>
      <c r="B39" s="273" t="s">
        <v>85</v>
      </c>
      <c r="C39" s="285">
        <f>SUM(E39:E41)</f>
        <v>0.5</v>
      </c>
      <c r="D39" s="273" t="s">
        <v>86</v>
      </c>
      <c r="E39" s="82">
        <v>9.9999999999999992E-2</v>
      </c>
      <c r="F39" s="82">
        <f t="shared" si="2"/>
        <v>1.4481759878629061</v>
      </c>
      <c r="G39" s="83" t="s">
        <v>87</v>
      </c>
      <c r="H39" s="92">
        <v>5</v>
      </c>
      <c r="I39" s="92" t="s">
        <v>78</v>
      </c>
      <c r="J39" s="86" t="s">
        <v>79</v>
      </c>
      <c r="K39" s="87">
        <v>5</v>
      </c>
      <c r="L39" s="87">
        <v>4</v>
      </c>
      <c r="M39" s="87">
        <v>3</v>
      </c>
      <c r="N39" s="87">
        <v>2</v>
      </c>
      <c r="O39" s="87">
        <v>1</v>
      </c>
      <c r="P39" s="88"/>
      <c r="Q39" s="89">
        <f t="shared" si="3"/>
        <v>0</v>
      </c>
      <c r="R39" s="90">
        <f t="shared" si="4"/>
        <v>0</v>
      </c>
    </row>
    <row r="40" spans="1:18" s="91" customFormat="1" ht="147" customHeight="1" x14ac:dyDescent="0.25">
      <c r="A40" s="278"/>
      <c r="B40" s="274"/>
      <c r="C40" s="286"/>
      <c r="D40" s="274"/>
      <c r="E40" s="82">
        <v>0.19999999999999998</v>
      </c>
      <c r="F40" s="82">
        <f t="shared" si="2"/>
        <v>2.8963519757258123</v>
      </c>
      <c r="G40" s="83" t="s">
        <v>88</v>
      </c>
      <c r="H40" s="93">
        <v>0.2</v>
      </c>
      <c r="I40" s="85" t="s">
        <v>45</v>
      </c>
      <c r="J40" s="86" t="s">
        <v>89</v>
      </c>
      <c r="K40" s="87">
        <v>20</v>
      </c>
      <c r="L40" s="87">
        <v>15</v>
      </c>
      <c r="M40" s="87">
        <v>10</v>
      </c>
      <c r="N40" s="87">
        <v>5</v>
      </c>
      <c r="O40" s="87" t="s">
        <v>82</v>
      </c>
      <c r="P40" s="88"/>
      <c r="Q40" s="89">
        <f t="shared" si="3"/>
        <v>0</v>
      </c>
      <c r="R40" s="90">
        <f t="shared" si="4"/>
        <v>0</v>
      </c>
    </row>
    <row r="41" spans="1:18" s="91" customFormat="1" ht="147" customHeight="1" x14ac:dyDescent="0.25">
      <c r="A41" s="280"/>
      <c r="B41" s="275"/>
      <c r="C41" s="287"/>
      <c r="D41" s="275"/>
      <c r="E41" s="82">
        <v>0.19999999999999998</v>
      </c>
      <c r="F41" s="82">
        <f t="shared" si="2"/>
        <v>2.8963519757258123</v>
      </c>
      <c r="G41" s="83" t="s">
        <v>90</v>
      </c>
      <c r="H41" s="93">
        <v>0.8</v>
      </c>
      <c r="I41" s="92" t="s">
        <v>45</v>
      </c>
      <c r="J41" s="86" t="s">
        <v>91</v>
      </c>
      <c r="K41" s="87">
        <v>80</v>
      </c>
      <c r="L41" s="87">
        <v>75</v>
      </c>
      <c r="M41" s="87">
        <v>70</v>
      </c>
      <c r="N41" s="87">
        <v>50</v>
      </c>
      <c r="O41" s="87" t="s">
        <v>56</v>
      </c>
      <c r="P41" s="88"/>
      <c r="Q41" s="89">
        <f t="shared" si="3"/>
        <v>0</v>
      </c>
      <c r="R41" s="90">
        <f t="shared" si="4"/>
        <v>0</v>
      </c>
    </row>
    <row r="42" spans="1:18" s="91" customFormat="1" ht="147" customHeight="1" x14ac:dyDescent="0.25">
      <c r="A42" s="270">
        <v>5</v>
      </c>
      <c r="B42" s="271" t="s">
        <v>92</v>
      </c>
      <c r="C42" s="284">
        <f>SUM(E42:E43)</f>
        <v>0.16666666666666669</v>
      </c>
      <c r="D42" s="271" t="s">
        <v>93</v>
      </c>
      <c r="E42" s="82">
        <v>0.10000000000000002</v>
      </c>
      <c r="F42" s="82">
        <f t="shared" si="2"/>
        <v>1.4481759878629064</v>
      </c>
      <c r="G42" s="83" t="s">
        <v>94</v>
      </c>
      <c r="H42" s="93">
        <v>0.8</v>
      </c>
      <c r="I42" s="92" t="s">
        <v>45</v>
      </c>
      <c r="J42" s="86" t="s">
        <v>91</v>
      </c>
      <c r="K42" s="87">
        <v>80</v>
      </c>
      <c r="L42" s="87">
        <v>75</v>
      </c>
      <c r="M42" s="87">
        <v>70</v>
      </c>
      <c r="N42" s="87">
        <v>50</v>
      </c>
      <c r="O42" s="87" t="s">
        <v>56</v>
      </c>
      <c r="P42" s="88"/>
      <c r="Q42" s="89">
        <f t="shared" si="3"/>
        <v>0</v>
      </c>
      <c r="R42" s="90">
        <f t="shared" si="4"/>
        <v>0</v>
      </c>
    </row>
    <row r="43" spans="1:18" s="91" customFormat="1" ht="147" customHeight="1" x14ac:dyDescent="0.25">
      <c r="A43" s="270"/>
      <c r="B43" s="271"/>
      <c r="C43" s="284"/>
      <c r="D43" s="271"/>
      <c r="E43" s="82">
        <v>6.6666666666666666E-2</v>
      </c>
      <c r="F43" s="82">
        <f t="shared" si="2"/>
        <v>0.96545065857527068</v>
      </c>
      <c r="G43" s="83" t="s">
        <v>95</v>
      </c>
      <c r="H43" s="93">
        <v>0.8</v>
      </c>
      <c r="I43" s="92" t="s">
        <v>45</v>
      </c>
      <c r="J43" s="86" t="s">
        <v>91</v>
      </c>
      <c r="K43" s="87">
        <v>80</v>
      </c>
      <c r="L43" s="87">
        <v>75</v>
      </c>
      <c r="M43" s="87">
        <v>70</v>
      </c>
      <c r="N43" s="87">
        <v>50</v>
      </c>
      <c r="O43" s="87" t="s">
        <v>56</v>
      </c>
      <c r="P43" s="88"/>
      <c r="Q43" s="89">
        <f t="shared" si="3"/>
        <v>0</v>
      </c>
      <c r="R43" s="90">
        <f t="shared" si="4"/>
        <v>0</v>
      </c>
    </row>
    <row r="44" spans="1:18" s="91" customFormat="1" ht="147" customHeight="1" x14ac:dyDescent="0.25">
      <c r="A44" s="276">
        <v>6</v>
      </c>
      <c r="B44" s="273" t="s">
        <v>96</v>
      </c>
      <c r="C44" s="285">
        <f>SUM(E44:E46)</f>
        <v>2.4285714285714284</v>
      </c>
      <c r="D44" s="273" t="s">
        <v>97</v>
      </c>
      <c r="E44" s="82">
        <v>1</v>
      </c>
      <c r="F44" s="82">
        <f t="shared" si="2"/>
        <v>14.481759878629061</v>
      </c>
      <c r="G44" s="83" t="s">
        <v>98</v>
      </c>
      <c r="H44" s="93">
        <v>1</v>
      </c>
      <c r="I44" s="85" t="s">
        <v>45</v>
      </c>
      <c r="J44" s="86">
        <v>100</v>
      </c>
      <c r="K44" s="87">
        <v>95</v>
      </c>
      <c r="L44" s="87">
        <v>90</v>
      </c>
      <c r="M44" s="87">
        <v>85</v>
      </c>
      <c r="N44" s="87">
        <v>80</v>
      </c>
      <c r="O44" s="87" t="s">
        <v>46</v>
      </c>
      <c r="P44" s="88"/>
      <c r="Q44" s="89">
        <f t="shared" si="3"/>
        <v>0</v>
      </c>
      <c r="R44" s="90">
        <f t="shared" si="4"/>
        <v>0</v>
      </c>
    </row>
    <row r="45" spans="1:18" s="91" customFormat="1" ht="147" customHeight="1" x14ac:dyDescent="0.25">
      <c r="A45" s="278"/>
      <c r="B45" s="274"/>
      <c r="C45" s="286"/>
      <c r="D45" s="275"/>
      <c r="E45" s="82">
        <v>1</v>
      </c>
      <c r="F45" s="82">
        <f t="shared" si="2"/>
        <v>14.481759878629061</v>
      </c>
      <c r="G45" s="83" t="s">
        <v>99</v>
      </c>
      <c r="H45" s="93">
        <v>1</v>
      </c>
      <c r="I45" s="85" t="s">
        <v>45</v>
      </c>
      <c r="J45" s="86">
        <v>100</v>
      </c>
      <c r="K45" s="87">
        <v>95</v>
      </c>
      <c r="L45" s="87">
        <v>90</v>
      </c>
      <c r="M45" s="87">
        <v>85</v>
      </c>
      <c r="N45" s="87">
        <v>80</v>
      </c>
      <c r="O45" s="87" t="s">
        <v>46</v>
      </c>
      <c r="P45" s="88"/>
      <c r="Q45" s="89">
        <f t="shared" si="0"/>
        <v>0</v>
      </c>
      <c r="R45" s="90">
        <f t="shared" si="1"/>
        <v>0</v>
      </c>
    </row>
    <row r="46" spans="1:18" s="91" customFormat="1" ht="147" customHeight="1" x14ac:dyDescent="0.25">
      <c r="A46" s="280"/>
      <c r="B46" s="275"/>
      <c r="C46" s="287"/>
      <c r="D46" s="81" t="s">
        <v>100</v>
      </c>
      <c r="E46" s="82">
        <v>0.42857142857142855</v>
      </c>
      <c r="F46" s="82">
        <f t="shared" si="2"/>
        <v>6.2064685194124545</v>
      </c>
      <c r="G46" s="83" t="s">
        <v>101</v>
      </c>
      <c r="H46" s="93">
        <v>1</v>
      </c>
      <c r="I46" s="85" t="s">
        <v>45</v>
      </c>
      <c r="J46" s="86">
        <v>100</v>
      </c>
      <c r="K46" s="87">
        <v>95</v>
      </c>
      <c r="L46" s="87">
        <v>90</v>
      </c>
      <c r="M46" s="87">
        <v>85</v>
      </c>
      <c r="N46" s="87">
        <v>80</v>
      </c>
      <c r="O46" s="87" t="s">
        <v>46</v>
      </c>
      <c r="P46" s="88"/>
      <c r="Q46" s="89">
        <f t="shared" si="0"/>
        <v>0</v>
      </c>
      <c r="R46" s="90">
        <f t="shared" si="1"/>
        <v>0</v>
      </c>
    </row>
    <row r="47" spans="1:18" s="91" customFormat="1" ht="147" customHeight="1" x14ac:dyDescent="0.25">
      <c r="A47" s="270">
        <v>7</v>
      </c>
      <c r="B47" s="271" t="s">
        <v>102</v>
      </c>
      <c r="C47" s="284">
        <f>SUM(E47:E48)</f>
        <v>0.13333333333333333</v>
      </c>
      <c r="D47" s="83" t="s">
        <v>103</v>
      </c>
      <c r="E47" s="82">
        <v>6.6666666666666666E-2</v>
      </c>
      <c r="F47" s="82">
        <f t="shared" si="2"/>
        <v>0.96545065857527068</v>
      </c>
      <c r="G47" s="83" t="s">
        <v>104</v>
      </c>
      <c r="H47" s="84">
        <v>0.7</v>
      </c>
      <c r="I47" s="92" t="s">
        <v>45</v>
      </c>
      <c r="J47" s="86" t="s">
        <v>105</v>
      </c>
      <c r="K47" s="87">
        <v>70</v>
      </c>
      <c r="L47" s="87">
        <v>60</v>
      </c>
      <c r="M47" s="87">
        <v>50</v>
      </c>
      <c r="N47" s="87">
        <v>40</v>
      </c>
      <c r="O47" s="87" t="s">
        <v>106</v>
      </c>
      <c r="P47" s="88"/>
      <c r="Q47" s="89">
        <f t="shared" si="0"/>
        <v>0</v>
      </c>
      <c r="R47" s="90">
        <f t="shared" si="1"/>
        <v>0</v>
      </c>
    </row>
    <row r="48" spans="1:18" s="91" customFormat="1" ht="147" customHeight="1" x14ac:dyDescent="0.25">
      <c r="A48" s="270"/>
      <c r="B48" s="271"/>
      <c r="C48" s="284"/>
      <c r="D48" s="83" t="s">
        <v>107</v>
      </c>
      <c r="E48" s="82">
        <v>6.6666666666666666E-2</v>
      </c>
      <c r="F48" s="82">
        <f t="shared" si="2"/>
        <v>0.96545065857527068</v>
      </c>
      <c r="G48" s="83" t="s">
        <v>108</v>
      </c>
      <c r="H48" s="84">
        <v>0.5</v>
      </c>
      <c r="I48" s="85" t="s">
        <v>45</v>
      </c>
      <c r="J48" s="86" t="s">
        <v>51</v>
      </c>
      <c r="K48" s="87">
        <v>50</v>
      </c>
      <c r="L48" s="87">
        <v>45</v>
      </c>
      <c r="M48" s="87">
        <v>40</v>
      </c>
      <c r="N48" s="87">
        <v>25</v>
      </c>
      <c r="O48" s="87" t="s">
        <v>52</v>
      </c>
      <c r="P48" s="88"/>
      <c r="Q48" s="89">
        <f t="shared" si="0"/>
        <v>0</v>
      </c>
      <c r="R48" s="90">
        <f t="shared" si="1"/>
        <v>0</v>
      </c>
    </row>
    <row r="49" spans="1:18" s="104" customFormat="1" ht="44.25" x14ac:dyDescent="0.25">
      <c r="A49" s="94"/>
      <c r="B49" s="95" t="s">
        <v>109</v>
      </c>
      <c r="C49" s="96">
        <f>SUM(C19:C48)</f>
        <v>6.9052380952380963</v>
      </c>
      <c r="D49" s="95"/>
      <c r="E49" s="96">
        <f>SUM(E19:E48)</f>
        <v>6.9052380952380945</v>
      </c>
      <c r="F49" s="96">
        <f>SUM(F19:F48)</f>
        <v>99.999999999999986</v>
      </c>
      <c r="G49" s="97"/>
      <c r="H49" s="98"/>
      <c r="I49" s="99"/>
      <c r="J49" s="100"/>
      <c r="K49" s="100"/>
      <c r="L49" s="100"/>
      <c r="M49" s="100"/>
      <c r="N49" s="100"/>
      <c r="O49" s="100"/>
      <c r="P49" s="101"/>
      <c r="Q49" s="102"/>
      <c r="R49" s="103">
        <f>SUM(R19:R48)</f>
        <v>0</v>
      </c>
    </row>
    <row r="50" spans="1:18" s="106" customFormat="1" ht="66" customHeight="1" x14ac:dyDescent="0.7">
      <c r="A50" s="105"/>
      <c r="G50" s="107"/>
      <c r="H50" s="107"/>
      <c r="I50" s="108" t="s">
        <v>159</v>
      </c>
      <c r="J50" s="109"/>
      <c r="K50" s="109"/>
      <c r="L50" s="109"/>
      <c r="M50" s="109"/>
      <c r="N50" s="109"/>
      <c r="O50" s="109"/>
      <c r="P50" s="109"/>
      <c r="Q50" s="110"/>
      <c r="R50" s="111">
        <f>R49/100 * 70</f>
        <v>0</v>
      </c>
    </row>
    <row r="51" spans="1:18" s="120" customFormat="1" ht="36" x14ac:dyDescent="0.55000000000000004">
      <c r="A51" s="112" t="s">
        <v>110</v>
      </c>
      <c r="B51" s="113"/>
      <c r="C51" s="113"/>
      <c r="D51" s="113"/>
      <c r="E51" s="113"/>
      <c r="F51" s="113"/>
      <c r="G51" s="114"/>
      <c r="H51" s="115"/>
      <c r="I51" s="115"/>
      <c r="J51" s="115"/>
      <c r="K51" s="115"/>
      <c r="L51" s="71" t="s">
        <v>115</v>
      </c>
      <c r="M51" s="116" t="s">
        <v>111</v>
      </c>
      <c r="N51" s="116"/>
      <c r="O51" s="116"/>
      <c r="P51" s="117"/>
      <c r="Q51" s="118"/>
      <c r="R51" s="119"/>
    </row>
    <row r="52" spans="1:18" s="120" customFormat="1" ht="31.5" customHeight="1" x14ac:dyDescent="0.55000000000000004">
      <c r="A52" s="121"/>
      <c r="B52" s="122"/>
      <c r="C52" s="123" t="s">
        <v>112</v>
      </c>
      <c r="D52" s="123"/>
      <c r="E52" s="123"/>
      <c r="F52" s="123"/>
      <c r="G52" s="123"/>
      <c r="H52" s="124" t="s">
        <v>160</v>
      </c>
      <c r="I52" s="124" t="s">
        <v>161</v>
      </c>
      <c r="J52" s="124"/>
      <c r="K52" s="125"/>
      <c r="L52" s="79"/>
      <c r="M52" s="126"/>
      <c r="N52" s="126"/>
      <c r="O52" s="126"/>
      <c r="P52" s="127"/>
      <c r="Q52" s="118"/>
      <c r="R52" s="119"/>
    </row>
    <row r="53" spans="1:18" s="120" customFormat="1" ht="36" customHeight="1" x14ac:dyDescent="0.55000000000000004">
      <c r="A53" s="128">
        <v>1</v>
      </c>
      <c r="B53" s="129" t="s">
        <v>116</v>
      </c>
      <c r="C53" s="130"/>
      <c r="D53" s="131"/>
      <c r="E53" s="131"/>
      <c r="F53" s="131"/>
      <c r="G53" s="132"/>
      <c r="H53" s="133"/>
      <c r="I53" s="133"/>
      <c r="J53" s="133"/>
      <c r="K53" s="133"/>
      <c r="L53" s="134"/>
      <c r="M53" s="135" t="s">
        <v>36</v>
      </c>
      <c r="N53" s="136" t="s">
        <v>117</v>
      </c>
      <c r="O53" s="137"/>
      <c r="P53" s="127"/>
      <c r="Q53" s="118"/>
      <c r="R53" s="119"/>
    </row>
    <row r="54" spans="1:18" s="120" customFormat="1" ht="84.75" customHeight="1" x14ac:dyDescent="0.55000000000000004">
      <c r="A54" s="138" t="s">
        <v>118</v>
      </c>
      <c r="B54" s="139" t="s">
        <v>162</v>
      </c>
      <c r="C54" s="140"/>
      <c r="D54" s="141"/>
      <c r="E54" s="141"/>
      <c r="F54" s="141"/>
      <c r="G54" s="142"/>
      <c r="H54" s="143">
        <v>4</v>
      </c>
      <c r="I54" s="144"/>
      <c r="J54" s="143"/>
      <c r="K54" s="143"/>
      <c r="L54" s="134"/>
      <c r="M54" s="135" t="s">
        <v>37</v>
      </c>
      <c r="N54" s="136" t="s">
        <v>119</v>
      </c>
      <c r="O54" s="137"/>
      <c r="P54" s="127"/>
      <c r="Q54" s="118"/>
      <c r="R54" s="119"/>
    </row>
    <row r="55" spans="1:18" s="120" customFormat="1" ht="82.5" customHeight="1" x14ac:dyDescent="0.55000000000000004">
      <c r="A55" s="138" t="s">
        <v>120</v>
      </c>
      <c r="B55" s="139" t="s">
        <v>163</v>
      </c>
      <c r="C55" s="140"/>
      <c r="D55" s="141"/>
      <c r="E55" s="141"/>
      <c r="F55" s="141"/>
      <c r="G55" s="142"/>
      <c r="H55" s="143">
        <v>2</v>
      </c>
      <c r="I55" s="144"/>
      <c r="J55" s="143"/>
      <c r="K55" s="143"/>
      <c r="L55" s="134"/>
      <c r="M55" s="135" t="s">
        <v>38</v>
      </c>
      <c r="N55" s="136" t="s">
        <v>121</v>
      </c>
      <c r="O55" s="137"/>
      <c r="P55" s="127"/>
      <c r="Q55" s="118"/>
      <c r="R55" s="119"/>
    </row>
    <row r="56" spans="1:18" s="120" customFormat="1" ht="78.75" customHeight="1" x14ac:dyDescent="0.55000000000000004">
      <c r="A56" s="138" t="s">
        <v>122</v>
      </c>
      <c r="B56" s="139" t="s">
        <v>123</v>
      </c>
      <c r="C56" s="140"/>
      <c r="D56" s="141"/>
      <c r="E56" s="141"/>
      <c r="F56" s="141"/>
      <c r="G56" s="142"/>
      <c r="H56" s="143">
        <v>2</v>
      </c>
      <c r="I56" s="144"/>
      <c r="J56" s="143"/>
      <c r="K56" s="143"/>
      <c r="L56" s="134"/>
      <c r="M56" s="135" t="s">
        <v>39</v>
      </c>
      <c r="N56" s="136" t="s">
        <v>124</v>
      </c>
      <c r="O56" s="137"/>
      <c r="P56" s="127"/>
      <c r="Q56" s="118"/>
      <c r="R56" s="119"/>
    </row>
    <row r="57" spans="1:18" s="120" customFormat="1" ht="36" x14ac:dyDescent="0.55000000000000004">
      <c r="A57" s="145">
        <v>2</v>
      </c>
      <c r="B57" s="146" t="s">
        <v>125</v>
      </c>
      <c r="C57" s="147"/>
      <c r="D57" s="148"/>
      <c r="E57" s="148"/>
      <c r="F57" s="148"/>
      <c r="G57" s="149"/>
      <c r="H57" s="143"/>
      <c r="I57" s="144"/>
      <c r="J57" s="143"/>
      <c r="K57" s="143"/>
      <c r="L57" s="134"/>
      <c r="M57" s="135" t="s">
        <v>40</v>
      </c>
      <c r="N57" s="136" t="s">
        <v>126</v>
      </c>
      <c r="O57" s="137"/>
      <c r="P57" s="127"/>
      <c r="Q57" s="118"/>
      <c r="R57" s="119"/>
    </row>
    <row r="58" spans="1:18" s="120" customFormat="1" ht="82.5" customHeight="1" x14ac:dyDescent="0.55000000000000004">
      <c r="A58" s="138" t="s">
        <v>118</v>
      </c>
      <c r="B58" s="150" t="s">
        <v>164</v>
      </c>
      <c r="C58" s="151"/>
      <c r="D58" s="152"/>
      <c r="E58" s="152"/>
      <c r="F58" s="152"/>
      <c r="G58" s="153"/>
      <c r="H58" s="143">
        <v>2</v>
      </c>
      <c r="I58" s="144"/>
      <c r="J58" s="143"/>
      <c r="K58" s="143"/>
      <c r="L58" s="134"/>
      <c r="M58" s="135" t="s">
        <v>41</v>
      </c>
      <c r="N58" s="136" t="s">
        <v>127</v>
      </c>
      <c r="O58" s="137"/>
      <c r="P58" s="154"/>
      <c r="Q58" s="118"/>
      <c r="R58" s="119"/>
    </row>
    <row r="59" spans="1:18" s="120" customFormat="1" ht="114.75" customHeight="1" x14ac:dyDescent="0.55000000000000004">
      <c r="A59" s="138" t="s">
        <v>120</v>
      </c>
      <c r="B59" s="150" t="s">
        <v>165</v>
      </c>
      <c r="C59" s="151"/>
      <c r="D59" s="152"/>
      <c r="E59" s="152"/>
      <c r="F59" s="152"/>
      <c r="G59" s="153"/>
      <c r="H59" s="143">
        <v>2</v>
      </c>
      <c r="I59" s="144"/>
      <c r="J59" s="143"/>
      <c r="K59" s="143"/>
      <c r="L59" s="134"/>
      <c r="M59" s="127" t="s">
        <v>115</v>
      </c>
      <c r="N59" s="155" t="s">
        <v>128</v>
      </c>
      <c r="O59" s="156"/>
      <c r="P59" s="154"/>
      <c r="Q59" s="118"/>
      <c r="R59" s="119"/>
    </row>
    <row r="60" spans="1:18" s="120" customFormat="1" ht="72" customHeight="1" x14ac:dyDescent="0.55000000000000004">
      <c r="A60" s="138" t="s">
        <v>122</v>
      </c>
      <c r="B60" s="150" t="s">
        <v>166</v>
      </c>
      <c r="C60" s="151"/>
      <c r="D60" s="152"/>
      <c r="E60" s="152"/>
      <c r="F60" s="152"/>
      <c r="G60" s="153"/>
      <c r="H60" s="143">
        <v>2</v>
      </c>
      <c r="I60" s="144"/>
      <c r="J60" s="143"/>
      <c r="K60" s="143"/>
      <c r="L60" s="134"/>
      <c r="M60" s="127" t="s">
        <v>129</v>
      </c>
      <c r="N60" s="155" t="s">
        <v>130</v>
      </c>
      <c r="O60" s="156"/>
      <c r="P60" s="154"/>
      <c r="Q60" s="118"/>
      <c r="R60" s="119"/>
    </row>
    <row r="61" spans="1:18" s="120" customFormat="1" ht="66" customHeight="1" x14ac:dyDescent="0.55000000000000004">
      <c r="A61" s="145">
        <v>3</v>
      </c>
      <c r="B61" s="146" t="s">
        <v>131</v>
      </c>
      <c r="C61" s="147"/>
      <c r="D61" s="148"/>
      <c r="E61" s="148"/>
      <c r="F61" s="148"/>
      <c r="G61" s="149"/>
      <c r="H61" s="143"/>
      <c r="I61" s="144"/>
      <c r="J61" s="143"/>
      <c r="K61" s="143"/>
      <c r="L61" s="134"/>
      <c r="M61" s="127" t="s">
        <v>113</v>
      </c>
      <c r="N61" s="155" t="s">
        <v>132</v>
      </c>
      <c r="O61" s="156"/>
      <c r="P61" s="154"/>
      <c r="Q61" s="118"/>
      <c r="R61" s="119"/>
    </row>
    <row r="62" spans="1:18" s="120" customFormat="1" ht="72" customHeight="1" x14ac:dyDescent="0.55000000000000004">
      <c r="A62" s="138" t="s">
        <v>118</v>
      </c>
      <c r="B62" s="150" t="s">
        <v>133</v>
      </c>
      <c r="C62" s="157"/>
      <c r="D62" s="158"/>
      <c r="E62" s="158"/>
      <c r="F62" s="158"/>
      <c r="G62" s="159"/>
      <c r="H62" s="143">
        <v>2</v>
      </c>
      <c r="I62" s="144"/>
      <c r="J62" s="143"/>
      <c r="K62" s="143"/>
      <c r="L62" s="134"/>
      <c r="M62" s="127" t="s">
        <v>114</v>
      </c>
      <c r="N62" s="155" t="s">
        <v>134</v>
      </c>
      <c r="O62" s="156"/>
      <c r="P62" s="154"/>
      <c r="Q62" s="118"/>
      <c r="R62" s="119"/>
    </row>
    <row r="63" spans="1:18" s="120" customFormat="1" ht="72" customHeight="1" x14ac:dyDescent="0.55000000000000004">
      <c r="A63" s="138" t="s">
        <v>120</v>
      </c>
      <c r="B63" s="150" t="s">
        <v>167</v>
      </c>
      <c r="C63" s="157"/>
      <c r="D63" s="158"/>
      <c r="E63" s="158"/>
      <c r="F63" s="158"/>
      <c r="G63" s="159"/>
      <c r="H63" s="143">
        <v>2</v>
      </c>
      <c r="I63" s="144"/>
      <c r="J63" s="143"/>
      <c r="K63" s="143"/>
      <c r="L63" s="134"/>
      <c r="M63" s="127" t="s">
        <v>135</v>
      </c>
      <c r="N63" s="155" t="s">
        <v>136</v>
      </c>
      <c r="O63" s="156"/>
      <c r="P63" s="154"/>
      <c r="Q63" s="118"/>
      <c r="R63" s="119"/>
    </row>
    <row r="64" spans="1:18" s="120" customFormat="1" ht="44.25" customHeight="1" x14ac:dyDescent="0.55000000000000004">
      <c r="A64" s="138" t="s">
        <v>122</v>
      </c>
      <c r="B64" s="150" t="s">
        <v>168</v>
      </c>
      <c r="C64" s="157"/>
      <c r="D64" s="158"/>
      <c r="E64" s="158"/>
      <c r="F64" s="158"/>
      <c r="G64" s="159"/>
      <c r="H64" s="143">
        <v>2</v>
      </c>
      <c r="I64" s="144"/>
      <c r="J64" s="143"/>
      <c r="K64" s="143"/>
      <c r="L64" s="134"/>
      <c r="M64" s="160"/>
      <c r="N64" s="160"/>
      <c r="O64" s="160"/>
      <c r="P64" s="161"/>
      <c r="Q64" s="118"/>
      <c r="R64" s="119"/>
    </row>
    <row r="65" spans="1:18" s="120" customFormat="1" ht="31.5" customHeight="1" x14ac:dyDescent="0.55000000000000004">
      <c r="A65" s="162" t="s">
        <v>137</v>
      </c>
      <c r="B65" s="163"/>
      <c r="C65" s="163"/>
      <c r="D65" s="163"/>
      <c r="E65" s="163"/>
      <c r="F65" s="163"/>
      <c r="G65" s="163"/>
      <c r="H65" s="164">
        <f>SUM(H54:H64)</f>
        <v>20</v>
      </c>
      <c r="I65" s="164">
        <f>SUM(I54:I64)</f>
        <v>0</v>
      </c>
      <c r="J65" s="164"/>
      <c r="K65" s="165"/>
      <c r="L65" s="134"/>
      <c r="M65" s="160"/>
      <c r="N65" s="160"/>
      <c r="O65" s="160"/>
      <c r="P65" s="161"/>
      <c r="Q65" s="118"/>
      <c r="R65" s="119"/>
    </row>
    <row r="66" spans="1:18" s="120" customFormat="1" ht="36" customHeight="1" x14ac:dyDescent="0.55000000000000004">
      <c r="A66" s="166" t="s">
        <v>118</v>
      </c>
      <c r="B66" s="167" t="s">
        <v>138</v>
      </c>
      <c r="C66" s="151" t="s">
        <v>139</v>
      </c>
      <c r="D66" s="152"/>
      <c r="E66" s="152"/>
      <c r="F66" s="152"/>
      <c r="G66" s="153"/>
      <c r="H66" s="168">
        <v>4</v>
      </c>
      <c r="I66" s="169"/>
      <c r="J66" s="168"/>
      <c r="K66" s="170"/>
      <c r="L66" s="134"/>
      <c r="M66" s="160"/>
      <c r="N66" s="160"/>
      <c r="O66" s="160"/>
      <c r="P66" s="161"/>
      <c r="Q66" s="118"/>
      <c r="R66" s="119"/>
    </row>
    <row r="67" spans="1:18" s="120" customFormat="1" ht="129" customHeight="1" x14ac:dyDescent="0.55000000000000004">
      <c r="A67" s="166" t="s">
        <v>120</v>
      </c>
      <c r="B67" s="167" t="s">
        <v>140</v>
      </c>
      <c r="C67" s="151" t="s">
        <v>141</v>
      </c>
      <c r="D67" s="152"/>
      <c r="E67" s="152"/>
      <c r="F67" s="152"/>
      <c r="G67" s="153"/>
      <c r="H67" s="168">
        <v>3</v>
      </c>
      <c r="I67" s="169"/>
      <c r="J67" s="168"/>
      <c r="K67" s="170"/>
      <c r="L67" s="134"/>
      <c r="M67" s="160"/>
      <c r="N67" s="160"/>
      <c r="O67" s="160"/>
      <c r="P67" s="161"/>
      <c r="Q67" s="118"/>
      <c r="R67" s="119"/>
    </row>
    <row r="68" spans="1:18" s="120" customFormat="1" ht="69" customHeight="1" x14ac:dyDescent="0.55000000000000004">
      <c r="A68" s="166" t="s">
        <v>120</v>
      </c>
      <c r="B68" s="167" t="s">
        <v>142</v>
      </c>
      <c r="C68" s="151" t="s">
        <v>143</v>
      </c>
      <c r="D68" s="152"/>
      <c r="E68" s="152"/>
      <c r="F68" s="152"/>
      <c r="G68" s="153"/>
      <c r="H68" s="168">
        <v>3</v>
      </c>
      <c r="I68" s="169"/>
      <c r="J68" s="168"/>
      <c r="K68" s="170"/>
      <c r="L68" s="134"/>
      <c r="M68" s="160"/>
      <c r="N68" s="160"/>
      <c r="O68" s="160"/>
      <c r="P68" s="161"/>
      <c r="Q68" s="118"/>
      <c r="R68" s="119"/>
    </row>
    <row r="69" spans="1:18" s="120" customFormat="1" ht="46.5" customHeight="1" x14ac:dyDescent="0.55000000000000004">
      <c r="A69" s="171"/>
      <c r="B69" s="172" t="s">
        <v>144</v>
      </c>
      <c r="C69" s="172"/>
      <c r="D69" s="172"/>
      <c r="E69" s="173"/>
      <c r="F69" s="173"/>
      <c r="G69" s="173"/>
      <c r="H69" s="164">
        <f>SUM(H66:H68)</f>
        <v>10</v>
      </c>
      <c r="I69" s="164">
        <f>SUM(I66:I68)</f>
        <v>0</v>
      </c>
      <c r="J69" s="173"/>
      <c r="K69" s="174"/>
      <c r="L69" s="160"/>
      <c r="M69" s="160"/>
      <c r="N69" s="160"/>
      <c r="O69" s="160"/>
      <c r="P69" s="161"/>
      <c r="Q69" s="118"/>
      <c r="R69" s="119"/>
    </row>
    <row r="70" spans="1:18" s="182" customFormat="1" ht="45" customHeight="1" x14ac:dyDescent="0.7">
      <c r="A70" s="175"/>
      <c r="B70" s="176"/>
      <c r="C70" s="177"/>
      <c r="D70" s="177"/>
      <c r="E70" s="177"/>
      <c r="F70" s="178"/>
      <c r="G70" s="178"/>
      <c r="H70" s="178"/>
      <c r="I70" s="178"/>
      <c r="J70" s="178"/>
      <c r="K70" s="177"/>
      <c r="L70" s="177"/>
      <c r="M70" s="177"/>
      <c r="N70" s="177"/>
      <c r="O70" s="179" t="s">
        <v>169</v>
      </c>
      <c r="P70" s="180"/>
      <c r="Q70" s="179" t="s">
        <v>170</v>
      </c>
      <c r="R70" s="181"/>
    </row>
    <row r="71" spans="1:18" s="182" customFormat="1" ht="45" customHeight="1" x14ac:dyDescent="0.7">
      <c r="A71" s="175"/>
      <c r="B71" s="183"/>
      <c r="C71" s="184" t="s">
        <v>171</v>
      </c>
      <c r="D71" s="185"/>
      <c r="E71" s="185"/>
      <c r="F71" s="185"/>
      <c r="G71" s="185"/>
      <c r="H71" s="185"/>
      <c r="I71" s="185"/>
      <c r="J71" s="185"/>
      <c r="K71" s="186"/>
      <c r="L71" s="187"/>
      <c r="M71" s="188"/>
      <c r="N71" s="189"/>
      <c r="O71" s="190">
        <f>R50</f>
        <v>0</v>
      </c>
      <c r="P71" s="191"/>
      <c r="Q71" s="192">
        <f>O74/100 * 20</f>
        <v>0</v>
      </c>
      <c r="R71" s="193"/>
    </row>
    <row r="72" spans="1:18" s="182" customFormat="1" ht="45" customHeight="1" x14ac:dyDescent="0.7">
      <c r="A72" s="175"/>
      <c r="B72" s="183"/>
      <c r="C72" s="185" t="s">
        <v>172</v>
      </c>
      <c r="D72" s="185"/>
      <c r="E72" s="185"/>
      <c r="F72" s="185"/>
      <c r="G72" s="185"/>
      <c r="H72" s="185"/>
      <c r="I72" s="185"/>
      <c r="J72" s="185"/>
      <c r="K72" s="185"/>
      <c r="L72" s="188"/>
      <c r="M72" s="188"/>
      <c r="N72" s="189"/>
      <c r="O72" s="190">
        <f>I65</f>
        <v>0</v>
      </c>
      <c r="P72" s="191"/>
      <c r="Q72" s="194"/>
      <c r="R72" s="195"/>
    </row>
    <row r="73" spans="1:18" s="182" customFormat="1" ht="45" customHeight="1" x14ac:dyDescent="0.7">
      <c r="A73" s="175"/>
      <c r="B73" s="183"/>
      <c r="C73" s="184" t="s">
        <v>173</v>
      </c>
      <c r="D73" s="185"/>
      <c r="E73" s="185"/>
      <c r="F73" s="185"/>
      <c r="G73" s="185"/>
      <c r="H73" s="185"/>
      <c r="I73" s="185"/>
      <c r="J73" s="185"/>
      <c r="K73" s="186"/>
      <c r="L73" s="187"/>
      <c r="M73" s="188"/>
      <c r="N73" s="189"/>
      <c r="O73" s="190">
        <f>I69</f>
        <v>0</v>
      </c>
      <c r="P73" s="191"/>
      <c r="Q73" s="194"/>
      <c r="R73" s="195"/>
    </row>
    <row r="74" spans="1:18" s="182" customFormat="1" ht="45" customHeight="1" x14ac:dyDescent="0.7">
      <c r="A74" s="175"/>
      <c r="B74" s="196"/>
      <c r="C74" s="184" t="s">
        <v>174</v>
      </c>
      <c r="D74" s="185"/>
      <c r="E74" s="185"/>
      <c r="F74" s="185"/>
      <c r="G74" s="185"/>
      <c r="H74" s="185"/>
      <c r="I74" s="185"/>
      <c r="J74" s="185"/>
      <c r="K74" s="186"/>
      <c r="L74" s="187"/>
      <c r="M74" s="188"/>
      <c r="N74" s="189"/>
      <c r="O74" s="190">
        <f>SUM(O71:P73)</f>
        <v>0</v>
      </c>
      <c r="P74" s="191"/>
      <c r="Q74" s="197"/>
      <c r="R74" s="198"/>
    </row>
    <row r="75" spans="1:18" s="182" customFormat="1" ht="64.900000000000006" customHeight="1" x14ac:dyDescent="0.7">
      <c r="A75" s="175"/>
      <c r="B75" s="199" t="s">
        <v>175</v>
      </c>
      <c r="C75" s="199"/>
      <c r="D75" s="199"/>
      <c r="E75" s="199"/>
      <c r="F75" s="199"/>
      <c r="G75" s="199"/>
      <c r="H75" s="200"/>
      <c r="I75" s="200"/>
      <c r="J75" s="200"/>
      <c r="K75" s="200"/>
      <c r="L75" s="200"/>
      <c r="M75" s="200"/>
      <c r="N75" s="200"/>
      <c r="O75" s="200"/>
      <c r="P75" s="200"/>
      <c r="Q75" s="200"/>
      <c r="R75" s="201"/>
    </row>
    <row r="76" spans="1:18" s="182" customFormat="1" ht="64.900000000000006" customHeight="1" x14ac:dyDescent="0.7">
      <c r="A76" s="175"/>
      <c r="B76" s="202" t="s">
        <v>176</v>
      </c>
      <c r="C76" s="202"/>
      <c r="D76" s="202"/>
      <c r="E76" s="202"/>
      <c r="F76" s="202"/>
      <c r="G76" s="202"/>
      <c r="H76" s="202"/>
      <c r="I76" s="202"/>
      <c r="J76" s="202"/>
      <c r="K76" s="202"/>
      <c r="L76" s="202"/>
      <c r="M76" s="202"/>
      <c r="N76" s="202"/>
      <c r="O76" s="202"/>
      <c r="P76" s="202"/>
      <c r="Q76" s="202"/>
      <c r="R76" s="203"/>
    </row>
    <row r="77" spans="1:18" s="182" customFormat="1" ht="48.75" customHeight="1" x14ac:dyDescent="0.7">
      <c r="A77" s="175"/>
      <c r="B77" s="204" t="s">
        <v>177</v>
      </c>
      <c r="C77" s="204"/>
      <c r="D77" s="204"/>
      <c r="E77" s="204"/>
      <c r="F77" s="204"/>
      <c r="G77" s="204"/>
      <c r="H77" s="205"/>
      <c r="I77" s="205"/>
      <c r="J77" s="205"/>
      <c r="K77" s="205"/>
      <c r="L77" s="205"/>
      <c r="M77" s="205"/>
      <c r="N77" s="205"/>
      <c r="O77" s="205"/>
      <c r="P77" s="205"/>
      <c r="Q77" s="205"/>
      <c r="R77" s="206"/>
    </row>
    <row r="78" spans="1:18" s="182" customFormat="1" ht="45.75" x14ac:dyDescent="0.7">
      <c r="A78" s="175"/>
      <c r="B78" s="202"/>
      <c r="C78" s="202"/>
      <c r="D78" s="202"/>
      <c r="E78" s="202"/>
      <c r="F78" s="202"/>
      <c r="G78" s="202"/>
      <c r="H78" s="202"/>
      <c r="I78" s="202"/>
      <c r="J78" s="202"/>
      <c r="K78" s="202"/>
      <c r="L78" s="202"/>
      <c r="M78" s="202"/>
      <c r="N78" s="202"/>
      <c r="O78" s="202"/>
      <c r="P78" s="202"/>
      <c r="Q78" s="202"/>
      <c r="R78" s="203"/>
    </row>
    <row r="79" spans="1:18" s="120" customFormat="1" ht="31.5" customHeight="1" x14ac:dyDescent="0.55000000000000004">
      <c r="A79" s="207" t="s">
        <v>178</v>
      </c>
      <c r="B79" s="208"/>
      <c r="C79" s="209"/>
      <c r="D79" s="210"/>
      <c r="E79" s="211" t="s">
        <v>179</v>
      </c>
      <c r="F79" s="212"/>
      <c r="G79" s="208" t="s">
        <v>180</v>
      </c>
      <c r="H79" s="209"/>
      <c r="I79" s="209"/>
      <c r="J79" s="209"/>
      <c r="K79" s="213"/>
      <c r="L79" s="134"/>
      <c r="M79" s="214"/>
      <c r="N79" s="214"/>
      <c r="O79" s="214"/>
      <c r="P79" s="214"/>
      <c r="Q79" s="214"/>
      <c r="R79" s="119"/>
    </row>
    <row r="80" spans="1:18" s="120" customFormat="1" ht="31.5" customHeight="1" x14ac:dyDescent="0.55000000000000004">
      <c r="A80" s="215"/>
      <c r="B80" s="216"/>
      <c r="C80" s="217"/>
      <c r="D80" s="218"/>
      <c r="E80" s="219"/>
      <c r="F80" s="220"/>
      <c r="G80" s="216"/>
      <c r="H80" s="217"/>
      <c r="I80" s="217"/>
      <c r="J80" s="217"/>
      <c r="K80" s="213"/>
      <c r="L80" s="134"/>
      <c r="M80" s="221"/>
      <c r="N80" s="221"/>
      <c r="O80" s="221"/>
      <c r="P80" s="221"/>
      <c r="Q80" s="221"/>
      <c r="R80" s="119"/>
    </row>
    <row r="81" spans="1:18" s="120" customFormat="1" ht="31.5" customHeight="1" x14ac:dyDescent="0.55000000000000004">
      <c r="A81" s="215"/>
      <c r="B81" s="216"/>
      <c r="C81" s="217"/>
      <c r="D81" s="218"/>
      <c r="E81" s="219"/>
      <c r="F81" s="220"/>
      <c r="G81" s="216"/>
      <c r="H81" s="217"/>
      <c r="I81" s="217"/>
      <c r="J81" s="217"/>
      <c r="K81" s="213"/>
      <c r="L81" s="134"/>
      <c r="M81" s="221"/>
      <c r="N81" s="221"/>
      <c r="O81" s="221"/>
      <c r="P81" s="221"/>
      <c r="Q81" s="221"/>
      <c r="R81" s="119"/>
    </row>
    <row r="82" spans="1:18" s="120" customFormat="1" ht="31.5" customHeight="1" x14ac:dyDescent="0.55000000000000004">
      <c r="A82" s="222"/>
      <c r="B82" s="223"/>
      <c r="C82" s="224"/>
      <c r="D82" s="225"/>
      <c r="E82" s="226"/>
      <c r="F82" s="227"/>
      <c r="G82" s="223"/>
      <c r="H82" s="224"/>
      <c r="I82" s="224"/>
      <c r="J82" s="224"/>
      <c r="K82" s="213"/>
      <c r="L82" s="134"/>
      <c r="M82" s="221"/>
      <c r="N82" s="221"/>
      <c r="O82" s="221"/>
      <c r="P82" s="221"/>
      <c r="Q82" s="221"/>
      <c r="R82" s="119"/>
    </row>
    <row r="83" spans="1:18" s="120" customFormat="1" ht="31.5" customHeight="1" x14ac:dyDescent="0.55000000000000004">
      <c r="A83" s="228" t="s">
        <v>145</v>
      </c>
      <c r="B83" s="229"/>
      <c r="C83" s="209"/>
      <c r="D83" s="210"/>
      <c r="E83" s="230" t="s">
        <v>181</v>
      </c>
      <c r="F83" s="212"/>
      <c r="G83" s="229" t="s">
        <v>181</v>
      </c>
      <c r="H83" s="209"/>
      <c r="I83" s="209"/>
      <c r="J83" s="209"/>
      <c r="K83" s="213"/>
      <c r="L83" s="134"/>
      <c r="M83" s="221"/>
      <c r="N83" s="221"/>
      <c r="O83" s="221"/>
      <c r="P83" s="221"/>
      <c r="Q83" s="221"/>
      <c r="R83" s="119"/>
    </row>
    <row r="84" spans="1:18" s="120" customFormat="1" ht="31.5" customHeight="1" x14ac:dyDescent="0.55000000000000004">
      <c r="A84" s="231"/>
      <c r="B84" s="232"/>
      <c r="C84" s="217"/>
      <c r="D84" s="218"/>
      <c r="E84" s="233"/>
      <c r="F84" s="220"/>
      <c r="G84" s="232"/>
      <c r="H84" s="217"/>
      <c r="I84" s="217"/>
      <c r="J84" s="217"/>
      <c r="K84" s="213"/>
      <c r="L84" s="134"/>
      <c r="M84" s="221"/>
      <c r="N84" s="221"/>
      <c r="O84" s="221"/>
      <c r="P84" s="221"/>
      <c r="Q84" s="221"/>
      <c r="R84" s="119"/>
    </row>
    <row r="85" spans="1:18" s="120" customFormat="1" ht="31.5" customHeight="1" x14ac:dyDescent="0.55000000000000004">
      <c r="A85" s="231"/>
      <c r="B85" s="232"/>
      <c r="C85" s="224"/>
      <c r="D85" s="225"/>
      <c r="E85" s="234"/>
      <c r="F85" s="227"/>
      <c r="G85" s="235"/>
      <c r="H85" s="224"/>
      <c r="I85" s="224"/>
      <c r="J85" s="224"/>
      <c r="K85" s="213"/>
      <c r="L85" s="134"/>
      <c r="M85" s="221"/>
      <c r="N85" s="221"/>
      <c r="O85" s="221"/>
      <c r="P85" s="221"/>
      <c r="Q85" s="221"/>
      <c r="R85" s="119"/>
    </row>
    <row r="86" spans="1:18" s="120" customFormat="1" ht="31.5" customHeight="1" x14ac:dyDescent="0.55000000000000004">
      <c r="A86" s="215" t="s">
        <v>146</v>
      </c>
      <c r="B86" s="216"/>
      <c r="C86" s="209"/>
      <c r="D86" s="210"/>
      <c r="E86" s="211" t="s">
        <v>182</v>
      </c>
      <c r="F86" s="212"/>
      <c r="G86" s="208" t="s">
        <v>182</v>
      </c>
      <c r="H86" s="209"/>
      <c r="I86" s="209"/>
      <c r="J86" s="209"/>
      <c r="K86" s="213"/>
      <c r="L86" s="134"/>
      <c r="M86" s="221"/>
      <c r="N86" s="221"/>
      <c r="O86" s="221"/>
      <c r="P86" s="221"/>
      <c r="Q86" s="221"/>
      <c r="R86" s="119"/>
    </row>
    <row r="87" spans="1:18" s="120" customFormat="1" ht="31.5" customHeight="1" x14ac:dyDescent="0.55000000000000004">
      <c r="A87" s="215"/>
      <c r="B87" s="216"/>
      <c r="C87" s="224"/>
      <c r="D87" s="225"/>
      <c r="E87" s="226"/>
      <c r="F87" s="227"/>
      <c r="G87" s="223"/>
      <c r="H87" s="224"/>
      <c r="I87" s="224"/>
      <c r="J87" s="224"/>
      <c r="K87" s="213"/>
      <c r="L87" s="134"/>
      <c r="M87" s="221"/>
      <c r="N87" s="221"/>
      <c r="O87" s="221"/>
      <c r="P87" s="221"/>
      <c r="Q87" s="221"/>
      <c r="R87" s="119"/>
    </row>
    <row r="88" spans="1:18" s="120" customFormat="1" ht="31.5" customHeight="1" thickBot="1" x14ac:dyDescent="0.6">
      <c r="A88" s="236"/>
      <c r="B88" s="237"/>
      <c r="C88" s="237"/>
      <c r="D88" s="237"/>
      <c r="E88" s="237"/>
      <c r="F88" s="237"/>
      <c r="G88" s="237"/>
      <c r="H88" s="237"/>
      <c r="I88" s="237"/>
      <c r="J88" s="237"/>
      <c r="K88" s="238"/>
      <c r="L88" s="239"/>
      <c r="M88" s="240"/>
      <c r="N88" s="240"/>
      <c r="O88" s="240"/>
      <c r="P88" s="240"/>
      <c r="Q88" s="240"/>
      <c r="R88" s="241"/>
    </row>
  </sheetData>
  <mergeCells count="135">
    <mergeCell ref="A47:A48"/>
    <mergeCell ref="B47:B48"/>
    <mergeCell ref="C47:C48"/>
    <mergeCell ref="A42:A43"/>
    <mergeCell ref="B42:B43"/>
    <mergeCell ref="C42:C43"/>
    <mergeCell ref="D42:D43"/>
    <mergeCell ref="A44:A46"/>
    <mergeCell ref="B44:B46"/>
    <mergeCell ref="C44:C46"/>
    <mergeCell ref="D44:D45"/>
    <mergeCell ref="A36:A38"/>
    <mergeCell ref="B36:B38"/>
    <mergeCell ref="C36:C38"/>
    <mergeCell ref="D36:D38"/>
    <mergeCell ref="A39:A41"/>
    <mergeCell ref="B39:B41"/>
    <mergeCell ref="C39:C41"/>
    <mergeCell ref="D39:D41"/>
    <mergeCell ref="A88:J88"/>
    <mergeCell ref="A19:A24"/>
    <mergeCell ref="B19:B24"/>
    <mergeCell ref="C19:C24"/>
    <mergeCell ref="D19:D21"/>
    <mergeCell ref="D22:D24"/>
    <mergeCell ref="A25:A35"/>
    <mergeCell ref="B25:B35"/>
    <mergeCell ref="C25:C35"/>
    <mergeCell ref="D25:D27"/>
    <mergeCell ref="A86:B87"/>
    <mergeCell ref="C86:D87"/>
    <mergeCell ref="E86:E87"/>
    <mergeCell ref="F86:F87"/>
    <mergeCell ref="G86:G87"/>
    <mergeCell ref="H86:J87"/>
    <mergeCell ref="A83:B85"/>
    <mergeCell ref="C83:D85"/>
    <mergeCell ref="E83:E85"/>
    <mergeCell ref="F83:F85"/>
    <mergeCell ref="G83:G85"/>
    <mergeCell ref="H83:J85"/>
    <mergeCell ref="B76:R76"/>
    <mergeCell ref="B77:G77"/>
    <mergeCell ref="B78:R78"/>
    <mergeCell ref="A79:B82"/>
    <mergeCell ref="C79:D82"/>
    <mergeCell ref="E79:E82"/>
    <mergeCell ref="F79:F82"/>
    <mergeCell ref="G79:G82"/>
    <mergeCell ref="H79:J82"/>
    <mergeCell ref="M79:Q88"/>
    <mergeCell ref="L73:N73"/>
    <mergeCell ref="O73:P73"/>
    <mergeCell ref="C74:K74"/>
    <mergeCell ref="L74:N74"/>
    <mergeCell ref="O74:P74"/>
    <mergeCell ref="B75:G75"/>
    <mergeCell ref="O70:P70"/>
    <mergeCell ref="Q70:R70"/>
    <mergeCell ref="C71:K71"/>
    <mergeCell ref="L71:N71"/>
    <mergeCell ref="O71:P71"/>
    <mergeCell ref="Q71:R74"/>
    <mergeCell ref="C72:K72"/>
    <mergeCell ref="L72:N72"/>
    <mergeCell ref="O72:P72"/>
    <mergeCell ref="C73:K73"/>
    <mergeCell ref="A65:G65"/>
    <mergeCell ref="C66:G66"/>
    <mergeCell ref="C67:G67"/>
    <mergeCell ref="C68:G68"/>
    <mergeCell ref="B69:D69"/>
    <mergeCell ref="B70:B74"/>
    <mergeCell ref="F70:J70"/>
    <mergeCell ref="C59:G59"/>
    <mergeCell ref="C60:G60"/>
    <mergeCell ref="C61:G61"/>
    <mergeCell ref="C62:G62"/>
    <mergeCell ref="C63:G63"/>
    <mergeCell ref="C64:G64"/>
    <mergeCell ref="C56:G56"/>
    <mergeCell ref="N56:O56"/>
    <mergeCell ref="C57:G57"/>
    <mergeCell ref="N57:O57"/>
    <mergeCell ref="C58:G58"/>
    <mergeCell ref="N58:O58"/>
    <mergeCell ref="C53:G53"/>
    <mergeCell ref="N53:O53"/>
    <mergeCell ref="C54:G54"/>
    <mergeCell ref="N54:O54"/>
    <mergeCell ref="C55:G55"/>
    <mergeCell ref="N55:O55"/>
    <mergeCell ref="R17:R18"/>
    <mergeCell ref="I50:Q50"/>
    <mergeCell ref="A51:G51"/>
    <mergeCell ref="H51:K51"/>
    <mergeCell ref="L51:L52"/>
    <mergeCell ref="C52:G52"/>
    <mergeCell ref="D28:D29"/>
    <mergeCell ref="D30:D31"/>
    <mergeCell ref="D32:D33"/>
    <mergeCell ref="D34:D35"/>
    <mergeCell ref="G17:G18"/>
    <mergeCell ref="H17:H18"/>
    <mergeCell ref="I17:I18"/>
    <mergeCell ref="J17:O17"/>
    <mergeCell ref="P17:P18"/>
    <mergeCell ref="Q17:Q18"/>
    <mergeCell ref="A14:B14"/>
    <mergeCell ref="I14:J14"/>
    <mergeCell ref="A15:I15"/>
    <mergeCell ref="A16:I16"/>
    <mergeCell ref="A17:A18"/>
    <mergeCell ref="B17:B18"/>
    <mergeCell ref="C17:C18"/>
    <mergeCell ref="D17:D18"/>
    <mergeCell ref="E17:E18"/>
    <mergeCell ref="F17:F18"/>
    <mergeCell ref="A10:B10"/>
    <mergeCell ref="I10:J10"/>
    <mergeCell ref="A11:B11"/>
    <mergeCell ref="I11:J11"/>
    <mergeCell ref="A12:I12"/>
    <mergeCell ref="A13:B13"/>
    <mergeCell ref="I13:J13"/>
    <mergeCell ref="A1:R3"/>
    <mergeCell ref="A4:J4"/>
    <mergeCell ref="K4:R15"/>
    <mergeCell ref="E5:H5"/>
    <mergeCell ref="A6:H6"/>
    <mergeCell ref="A7:B7"/>
    <mergeCell ref="I7:J7"/>
    <mergeCell ref="A8:B8"/>
    <mergeCell ref="I8:J8"/>
    <mergeCell ref="A9:I9"/>
  </mergeCells>
  <hyperlinks>
    <hyperlink ref="E8" r:id="rId1" xr:uid="{85F7C165-A3CE-4AD7-B713-531688B4C887}"/>
  </hyperlinks>
  <pageMargins left="0.7" right="0.7" top="0.75" bottom="0.75" header="0.3" footer="0.3"/>
  <pageSetup scale="14" fitToHeight="0" orientation="landscape"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53C745-5C1B-47BC-B5F6-8F06A4383F09}">
  <sheetPr>
    <pageSetUpPr fitToPage="1"/>
  </sheetPr>
  <dimension ref="A1:S88"/>
  <sheetViews>
    <sheetView zoomScale="30" zoomScaleNormal="30" workbookViewId="0">
      <selection activeCell="A19" sqref="A19:O48"/>
    </sheetView>
  </sheetViews>
  <sheetFormatPr defaultRowHeight="31.5" customHeight="1" x14ac:dyDescent="0.55000000000000004"/>
  <cols>
    <col min="1" max="1" width="15.5703125" style="242" bestFit="1" customWidth="1"/>
    <col min="2" max="2" width="85.42578125" style="4" bestFit="1" customWidth="1"/>
    <col min="3" max="3" width="39.5703125" style="4" bestFit="1" customWidth="1"/>
    <col min="4" max="4" width="114.85546875" style="4" customWidth="1"/>
    <col min="5" max="5" width="64.7109375" style="242" bestFit="1" customWidth="1"/>
    <col min="6" max="6" width="42" style="242" customWidth="1"/>
    <col min="7" max="7" width="255.7109375" style="4" bestFit="1" customWidth="1"/>
    <col min="8" max="8" width="33" style="242" customWidth="1"/>
    <col min="9" max="9" width="62.42578125" style="242" customWidth="1"/>
    <col min="10" max="10" width="45.140625" style="242" customWidth="1"/>
    <col min="11" max="13" width="35.28515625" style="242" bestFit="1" customWidth="1"/>
    <col min="14" max="14" width="40.7109375" style="242" bestFit="1" customWidth="1"/>
    <col min="15" max="15" width="36.85546875" style="242" bestFit="1" customWidth="1"/>
    <col min="16" max="17" width="36.85546875" style="243" customWidth="1"/>
    <col min="18" max="18" width="36.85546875" style="244" customWidth="1"/>
    <col min="19" max="16384" width="9.140625" style="4"/>
  </cols>
  <sheetData>
    <row r="1" spans="1:19" ht="31.5" customHeight="1" x14ac:dyDescent="0.25">
      <c r="A1" s="1" t="s">
        <v>147</v>
      </c>
      <c r="B1" s="2"/>
      <c r="C1" s="2"/>
      <c r="D1" s="2"/>
      <c r="E1" s="2"/>
      <c r="F1" s="2"/>
      <c r="G1" s="2"/>
      <c r="H1" s="2"/>
      <c r="I1" s="2"/>
      <c r="J1" s="2"/>
      <c r="K1" s="2"/>
      <c r="L1" s="2"/>
      <c r="M1" s="2"/>
      <c r="N1" s="2"/>
      <c r="O1" s="2"/>
      <c r="P1" s="2"/>
      <c r="Q1" s="2"/>
      <c r="R1" s="3"/>
    </row>
    <row r="2" spans="1:19" ht="31.5" customHeight="1" x14ac:dyDescent="0.25">
      <c r="A2" s="5"/>
      <c r="B2" s="6"/>
      <c r="C2" s="6"/>
      <c r="D2" s="6"/>
      <c r="E2" s="6"/>
      <c r="F2" s="6"/>
      <c r="G2" s="6"/>
      <c r="H2" s="6"/>
      <c r="I2" s="6"/>
      <c r="J2" s="6"/>
      <c r="K2" s="6"/>
      <c r="L2" s="6"/>
      <c r="M2" s="6"/>
      <c r="N2" s="6"/>
      <c r="O2" s="6"/>
      <c r="P2" s="6"/>
      <c r="Q2" s="6"/>
      <c r="R2" s="7"/>
    </row>
    <row r="3" spans="1:19" ht="31.5" customHeight="1" thickBot="1" x14ac:dyDescent="0.3">
      <c r="A3" s="5"/>
      <c r="B3" s="6"/>
      <c r="C3" s="6"/>
      <c r="D3" s="6"/>
      <c r="E3" s="6"/>
      <c r="F3" s="6"/>
      <c r="G3" s="6"/>
      <c r="H3" s="6"/>
      <c r="I3" s="6"/>
      <c r="J3" s="6"/>
      <c r="K3" s="6"/>
      <c r="L3" s="6"/>
      <c r="M3" s="6"/>
      <c r="N3" s="6"/>
      <c r="O3" s="6"/>
      <c r="P3" s="6"/>
      <c r="Q3" s="6"/>
      <c r="R3" s="7"/>
    </row>
    <row r="4" spans="1:19" s="13" customFormat="1" ht="45.75" x14ac:dyDescent="0.25">
      <c r="A4" s="8" t="s">
        <v>0</v>
      </c>
      <c r="B4" s="9"/>
      <c r="C4" s="9"/>
      <c r="D4" s="9"/>
      <c r="E4" s="9"/>
      <c r="F4" s="9"/>
      <c r="G4" s="9"/>
      <c r="H4" s="9"/>
      <c r="I4" s="9"/>
      <c r="J4" s="9"/>
      <c r="K4" s="10"/>
      <c r="L4" s="11"/>
      <c r="M4" s="11"/>
      <c r="N4" s="11"/>
      <c r="O4" s="11"/>
      <c r="P4" s="11"/>
      <c r="Q4" s="11"/>
      <c r="R4" s="12"/>
    </row>
    <row r="5" spans="1:19" s="24" customFormat="1" ht="32.25" x14ac:dyDescent="0.5">
      <c r="A5" s="14" t="s">
        <v>1</v>
      </c>
      <c r="B5" s="15" t="s">
        <v>185</v>
      </c>
      <c r="C5" s="16" t="s">
        <v>2</v>
      </c>
      <c r="D5" s="17" t="s">
        <v>186</v>
      </c>
      <c r="E5" s="18"/>
      <c r="F5" s="18"/>
      <c r="G5" s="18"/>
      <c r="H5" s="18"/>
      <c r="I5" s="19"/>
      <c r="J5" s="20"/>
      <c r="K5" s="21"/>
      <c r="L5" s="22"/>
      <c r="M5" s="22"/>
      <c r="N5" s="22"/>
      <c r="O5" s="22"/>
      <c r="P5" s="22"/>
      <c r="Q5" s="22"/>
      <c r="R5" s="23"/>
    </row>
    <row r="6" spans="1:19" s="29" customFormat="1" ht="38.25" customHeight="1" x14ac:dyDescent="0.55000000000000004">
      <c r="A6" s="25" t="s">
        <v>3</v>
      </c>
      <c r="B6" s="26"/>
      <c r="C6" s="26"/>
      <c r="D6" s="26"/>
      <c r="E6" s="26"/>
      <c r="F6" s="26"/>
      <c r="G6" s="26"/>
      <c r="H6" s="26"/>
      <c r="I6" s="27"/>
      <c r="J6" s="28"/>
      <c r="K6" s="21"/>
      <c r="L6" s="22"/>
      <c r="M6" s="22"/>
      <c r="N6" s="22"/>
      <c r="O6" s="22"/>
      <c r="P6" s="22"/>
      <c r="Q6" s="22"/>
      <c r="R6" s="23"/>
    </row>
    <row r="7" spans="1:19" s="41" customFormat="1" ht="39" x14ac:dyDescent="0.6">
      <c r="A7" s="245" t="s">
        <v>4</v>
      </c>
      <c r="B7" s="246"/>
      <c r="C7" s="247" t="s">
        <v>5</v>
      </c>
      <c r="D7" s="248" t="s">
        <v>6</v>
      </c>
      <c r="E7" s="247" t="s">
        <v>7</v>
      </c>
      <c r="F7" s="248" t="s">
        <v>8</v>
      </c>
      <c r="G7" s="249" t="s">
        <v>9</v>
      </c>
      <c r="H7" s="248" t="s">
        <v>10</v>
      </c>
      <c r="I7" s="250" t="s">
        <v>11</v>
      </c>
      <c r="J7" s="251"/>
      <c r="K7" s="21"/>
      <c r="L7" s="22"/>
      <c r="M7" s="22"/>
      <c r="N7" s="22"/>
      <c r="O7" s="22"/>
      <c r="P7" s="22"/>
      <c r="Q7" s="22"/>
      <c r="R7" s="23"/>
      <c r="S7" s="252"/>
    </row>
    <row r="8" spans="1:19" s="41" customFormat="1" ht="39.75" x14ac:dyDescent="0.6">
      <c r="A8" s="253" t="s">
        <v>12</v>
      </c>
      <c r="B8" s="254"/>
      <c r="C8" s="255">
        <v>60730</v>
      </c>
      <c r="D8" s="256" t="s">
        <v>13</v>
      </c>
      <c r="E8" s="257" t="s">
        <v>14</v>
      </c>
      <c r="F8" s="256" t="s">
        <v>15</v>
      </c>
      <c r="G8" s="258"/>
      <c r="H8" s="256" t="s">
        <v>16</v>
      </c>
      <c r="I8" s="259" t="s">
        <v>17</v>
      </c>
      <c r="J8" s="260"/>
      <c r="K8" s="21"/>
      <c r="L8" s="22"/>
      <c r="M8" s="22"/>
      <c r="N8" s="22"/>
      <c r="O8" s="22"/>
      <c r="P8" s="22"/>
      <c r="Q8" s="22"/>
      <c r="R8" s="23"/>
      <c r="S8" s="252"/>
    </row>
    <row r="9" spans="1:19" s="32" customFormat="1" ht="62.25" customHeight="1" x14ac:dyDescent="0.6">
      <c r="A9" s="30" t="s">
        <v>18</v>
      </c>
      <c r="B9" s="30"/>
      <c r="C9" s="30"/>
      <c r="D9" s="30"/>
      <c r="E9" s="30"/>
      <c r="F9" s="30"/>
      <c r="G9" s="30"/>
      <c r="H9" s="30"/>
      <c r="I9" s="30"/>
      <c r="J9" s="31"/>
      <c r="K9" s="21"/>
      <c r="L9" s="22"/>
      <c r="M9" s="22"/>
      <c r="N9" s="22"/>
      <c r="O9" s="22"/>
      <c r="P9" s="22"/>
      <c r="Q9" s="22"/>
      <c r="R9" s="23"/>
    </row>
    <row r="10" spans="1:19" s="41" customFormat="1" ht="39" x14ac:dyDescent="0.6">
      <c r="A10" s="33" t="s">
        <v>4</v>
      </c>
      <c r="B10" s="34"/>
      <c r="C10" s="35" t="s">
        <v>19</v>
      </c>
      <c r="D10" s="36" t="s">
        <v>6</v>
      </c>
      <c r="E10" s="35" t="s">
        <v>20</v>
      </c>
      <c r="F10" s="37" t="s">
        <v>8</v>
      </c>
      <c r="G10" s="38" t="s">
        <v>21</v>
      </c>
      <c r="H10" s="36" t="s">
        <v>10</v>
      </c>
      <c r="I10" s="39" t="s">
        <v>22</v>
      </c>
      <c r="J10" s="40"/>
      <c r="K10" s="21"/>
      <c r="L10" s="22"/>
      <c r="M10" s="22"/>
      <c r="N10" s="22"/>
      <c r="O10" s="22"/>
      <c r="P10" s="22"/>
      <c r="Q10" s="22"/>
      <c r="R10" s="23"/>
    </row>
    <row r="11" spans="1:19" s="41" customFormat="1" ht="39.75" x14ac:dyDescent="0.6">
      <c r="A11" s="42" t="s">
        <v>12</v>
      </c>
      <c r="B11" s="43"/>
      <c r="C11" s="44">
        <v>60529</v>
      </c>
      <c r="D11" s="45" t="s">
        <v>13</v>
      </c>
      <c r="E11" s="261" t="s">
        <v>23</v>
      </c>
      <c r="F11" s="46" t="s">
        <v>15</v>
      </c>
      <c r="G11" s="262"/>
      <c r="H11" s="45" t="s">
        <v>16</v>
      </c>
      <c r="I11" s="47" t="s">
        <v>24</v>
      </c>
      <c r="J11" s="48"/>
      <c r="K11" s="21"/>
      <c r="L11" s="22"/>
      <c r="M11" s="22"/>
      <c r="N11" s="22"/>
      <c r="O11" s="22"/>
      <c r="P11" s="22"/>
      <c r="Q11" s="22"/>
      <c r="R11" s="23"/>
    </row>
    <row r="12" spans="1:19" s="32" customFormat="1" ht="39" x14ac:dyDescent="0.6">
      <c r="A12" s="30" t="s">
        <v>25</v>
      </c>
      <c r="B12" s="30"/>
      <c r="C12" s="30"/>
      <c r="D12" s="30"/>
      <c r="E12" s="30"/>
      <c r="F12" s="30"/>
      <c r="G12" s="30"/>
      <c r="H12" s="30"/>
      <c r="I12" s="30"/>
      <c r="J12" s="31"/>
      <c r="K12" s="21"/>
      <c r="L12" s="22"/>
      <c r="M12" s="22"/>
      <c r="N12" s="22"/>
      <c r="O12" s="22"/>
      <c r="P12" s="22"/>
      <c r="Q12" s="22"/>
      <c r="R12" s="23"/>
    </row>
    <row r="13" spans="1:19" s="41" customFormat="1" ht="56.25" customHeight="1" x14ac:dyDescent="0.6">
      <c r="A13" s="263" t="s">
        <v>4</v>
      </c>
      <c r="B13" s="263"/>
      <c r="C13" s="35"/>
      <c r="D13" s="36" t="s">
        <v>6</v>
      </c>
      <c r="E13" s="35"/>
      <c r="F13" s="37" t="s">
        <v>8</v>
      </c>
      <c r="G13" s="38"/>
      <c r="H13" s="36" t="s">
        <v>10</v>
      </c>
      <c r="I13" s="264"/>
      <c r="J13" s="265"/>
      <c r="K13" s="21"/>
      <c r="L13" s="22"/>
      <c r="M13" s="22"/>
      <c r="N13" s="22"/>
      <c r="O13" s="22"/>
      <c r="P13" s="22"/>
      <c r="Q13" s="22"/>
      <c r="R13" s="23"/>
    </row>
    <row r="14" spans="1:19" s="41" customFormat="1" ht="57" customHeight="1" x14ac:dyDescent="0.6">
      <c r="A14" s="266" t="s">
        <v>12</v>
      </c>
      <c r="B14" s="266"/>
      <c r="C14" s="44"/>
      <c r="D14" s="45" t="s">
        <v>13</v>
      </c>
      <c r="E14" s="267"/>
      <c r="F14" s="46" t="s">
        <v>15</v>
      </c>
      <c r="G14" s="262"/>
      <c r="H14" s="45" t="s">
        <v>16</v>
      </c>
      <c r="I14" s="268"/>
      <c r="J14" s="269"/>
      <c r="K14" s="21"/>
      <c r="L14" s="22"/>
      <c r="M14" s="22"/>
      <c r="N14" s="22"/>
      <c r="O14" s="22"/>
      <c r="P14" s="22"/>
      <c r="Q14" s="22"/>
      <c r="R14" s="23"/>
    </row>
    <row r="15" spans="1:19" s="55" customFormat="1" ht="20.25" customHeight="1" thickBot="1" x14ac:dyDescent="0.75">
      <c r="A15" s="49"/>
      <c r="B15" s="50"/>
      <c r="C15" s="50"/>
      <c r="D15" s="50"/>
      <c r="E15" s="50"/>
      <c r="F15" s="50"/>
      <c r="G15" s="50"/>
      <c r="H15" s="50"/>
      <c r="I15" s="50"/>
      <c r="J15" s="51"/>
      <c r="K15" s="52"/>
      <c r="L15" s="53"/>
      <c r="M15" s="53"/>
      <c r="N15" s="53"/>
      <c r="O15" s="53"/>
      <c r="P15" s="53"/>
      <c r="Q15" s="53"/>
      <c r="R15" s="54"/>
    </row>
    <row r="16" spans="1:19" s="55" customFormat="1" ht="47.25" x14ac:dyDescent="0.7">
      <c r="A16" s="56" t="s">
        <v>26</v>
      </c>
      <c r="B16" s="57"/>
      <c r="C16" s="57"/>
      <c r="D16" s="57"/>
      <c r="E16" s="57"/>
      <c r="F16" s="57"/>
      <c r="G16" s="57"/>
      <c r="H16" s="57"/>
      <c r="I16" s="57"/>
      <c r="J16" s="58"/>
      <c r="K16" s="59"/>
      <c r="L16" s="60"/>
      <c r="M16" s="60"/>
      <c r="N16" s="60"/>
      <c r="O16" s="60"/>
      <c r="P16" s="61"/>
      <c r="Q16" s="61"/>
      <c r="R16" s="62"/>
    </row>
    <row r="17" spans="1:18" s="73" customFormat="1" ht="31.5" customHeight="1" x14ac:dyDescent="0.25">
      <c r="A17" s="63" t="s">
        <v>27</v>
      </c>
      <c r="B17" s="64" t="s">
        <v>28</v>
      </c>
      <c r="C17" s="65" t="s">
        <v>29</v>
      </c>
      <c r="D17" s="65" t="s">
        <v>30</v>
      </c>
      <c r="E17" s="65" t="s">
        <v>29</v>
      </c>
      <c r="F17" s="66" t="s">
        <v>31</v>
      </c>
      <c r="G17" s="66" t="s">
        <v>32</v>
      </c>
      <c r="H17" s="67" t="s">
        <v>33</v>
      </c>
      <c r="I17" s="66" t="s">
        <v>34</v>
      </c>
      <c r="J17" s="68" t="s">
        <v>35</v>
      </c>
      <c r="K17" s="69"/>
      <c r="L17" s="69"/>
      <c r="M17" s="69"/>
      <c r="N17" s="69"/>
      <c r="O17" s="70"/>
      <c r="P17" s="71" t="s">
        <v>150</v>
      </c>
      <c r="Q17" s="71" t="s">
        <v>151</v>
      </c>
      <c r="R17" s="72" t="s">
        <v>152</v>
      </c>
    </row>
    <row r="18" spans="1:18" s="73" customFormat="1" ht="36" x14ac:dyDescent="0.25">
      <c r="A18" s="74"/>
      <c r="B18" s="64"/>
      <c r="C18" s="64"/>
      <c r="D18" s="64"/>
      <c r="E18" s="64"/>
      <c r="F18" s="75"/>
      <c r="G18" s="75"/>
      <c r="H18" s="76"/>
      <c r="I18" s="75"/>
      <c r="J18" s="77" t="s">
        <v>153</v>
      </c>
      <c r="K18" s="78" t="s">
        <v>154</v>
      </c>
      <c r="L18" s="78" t="s">
        <v>155</v>
      </c>
      <c r="M18" s="77" t="s">
        <v>156</v>
      </c>
      <c r="N18" s="77" t="s">
        <v>157</v>
      </c>
      <c r="O18" s="77" t="s">
        <v>158</v>
      </c>
      <c r="P18" s="79"/>
      <c r="Q18" s="79"/>
      <c r="R18" s="80"/>
    </row>
    <row r="19" spans="1:18" s="91" customFormat="1" ht="147" customHeight="1" x14ac:dyDescent="0.25">
      <c r="A19" s="270">
        <v>1</v>
      </c>
      <c r="B19" s="271" t="s">
        <v>42</v>
      </c>
      <c r="C19" s="272">
        <f>SUM(E19:E24)</f>
        <v>0.42666666666666664</v>
      </c>
      <c r="D19" s="273" t="s">
        <v>43</v>
      </c>
      <c r="E19" s="82">
        <v>6.6666666666666666E-2</v>
      </c>
      <c r="F19" s="82">
        <f>E19/$E$49* 100</f>
        <v>0.96545065857527068</v>
      </c>
      <c r="G19" s="83" t="s">
        <v>44</v>
      </c>
      <c r="H19" s="84">
        <v>1</v>
      </c>
      <c r="I19" s="85" t="s">
        <v>45</v>
      </c>
      <c r="J19" s="86">
        <v>100</v>
      </c>
      <c r="K19" s="87">
        <v>95</v>
      </c>
      <c r="L19" s="87">
        <v>90</v>
      </c>
      <c r="M19" s="87">
        <v>85</v>
      </c>
      <c r="N19" s="87">
        <v>80</v>
      </c>
      <c r="O19" s="87" t="s">
        <v>46</v>
      </c>
      <c r="P19" s="88"/>
      <c r="Q19" s="89">
        <f t="shared" ref="Q19:Q48" si="0">IF(OR(TRIM(P19)="",P19=0),0,
IF(P19&lt;N19,50,
IF(P19&lt;M19,60,
IF(P19&lt;L19,70,
IF(P19&lt;K19,80,
IF(ISNUMBER(J19),
    IF(P19&lt;J19,IF(P19&gt;=K19,90,80),100),
    IF(P19=K19,90,100)
))))))</f>
        <v>0</v>
      </c>
      <c r="R19" s="90">
        <f t="shared" ref="R19:R48" si="1">F19*Q19/100</f>
        <v>0</v>
      </c>
    </row>
    <row r="20" spans="1:18" s="91" customFormat="1" ht="147" customHeight="1" x14ac:dyDescent="0.25">
      <c r="A20" s="270"/>
      <c r="B20" s="271"/>
      <c r="C20" s="272"/>
      <c r="D20" s="274"/>
      <c r="E20" s="82">
        <v>6.6666666666666666E-2</v>
      </c>
      <c r="F20" s="82">
        <f t="shared" ref="F20:F48" si="2">E20/$E$49* 100</f>
        <v>0.96545065857527068</v>
      </c>
      <c r="G20" s="83" t="s">
        <v>47</v>
      </c>
      <c r="H20" s="84">
        <v>1</v>
      </c>
      <c r="I20" s="85" t="s">
        <v>45</v>
      </c>
      <c r="J20" s="86">
        <v>100</v>
      </c>
      <c r="K20" s="87">
        <v>95</v>
      </c>
      <c r="L20" s="87">
        <v>90</v>
      </c>
      <c r="M20" s="87">
        <v>85</v>
      </c>
      <c r="N20" s="87">
        <v>80</v>
      </c>
      <c r="O20" s="87" t="s">
        <v>46</v>
      </c>
      <c r="P20" s="88"/>
      <c r="Q20" s="89">
        <f t="shared" si="0"/>
        <v>0</v>
      </c>
      <c r="R20" s="90">
        <f t="shared" si="1"/>
        <v>0</v>
      </c>
    </row>
    <row r="21" spans="1:18" s="91" customFormat="1" ht="147" customHeight="1" x14ac:dyDescent="0.25">
      <c r="A21" s="270"/>
      <c r="B21" s="271"/>
      <c r="C21" s="272"/>
      <c r="D21" s="275"/>
      <c r="E21" s="82">
        <v>0.13333333333333333</v>
      </c>
      <c r="F21" s="82">
        <f t="shared" si="2"/>
        <v>1.9309013171505414</v>
      </c>
      <c r="G21" s="83" t="s">
        <v>48</v>
      </c>
      <c r="H21" s="84">
        <v>1</v>
      </c>
      <c r="I21" s="85" t="s">
        <v>45</v>
      </c>
      <c r="J21" s="86">
        <v>100</v>
      </c>
      <c r="K21" s="87">
        <v>95</v>
      </c>
      <c r="L21" s="87">
        <v>90</v>
      </c>
      <c r="M21" s="87">
        <v>85</v>
      </c>
      <c r="N21" s="87">
        <v>80</v>
      </c>
      <c r="O21" s="87" t="s">
        <v>46</v>
      </c>
      <c r="P21" s="88"/>
      <c r="Q21" s="89">
        <f t="shared" si="0"/>
        <v>0</v>
      </c>
      <c r="R21" s="90">
        <f t="shared" si="1"/>
        <v>0</v>
      </c>
    </row>
    <row r="22" spans="1:18" s="91" customFormat="1" ht="147" customHeight="1" x14ac:dyDescent="0.25">
      <c r="A22" s="270"/>
      <c r="B22" s="271"/>
      <c r="C22" s="272"/>
      <c r="D22" s="271" t="s">
        <v>49</v>
      </c>
      <c r="E22" s="82">
        <v>0.08</v>
      </c>
      <c r="F22" s="82">
        <f t="shared" si="2"/>
        <v>1.1585407902903249</v>
      </c>
      <c r="G22" s="83" t="s">
        <v>50</v>
      </c>
      <c r="H22" s="84">
        <v>0.5</v>
      </c>
      <c r="I22" s="85" t="s">
        <v>45</v>
      </c>
      <c r="J22" s="86" t="s">
        <v>51</v>
      </c>
      <c r="K22" s="87">
        <v>50</v>
      </c>
      <c r="L22" s="87">
        <v>45</v>
      </c>
      <c r="M22" s="87">
        <v>40</v>
      </c>
      <c r="N22" s="87">
        <v>25</v>
      </c>
      <c r="O22" s="87" t="s">
        <v>52</v>
      </c>
      <c r="P22" s="88"/>
      <c r="Q22" s="89">
        <f t="shared" si="0"/>
        <v>0</v>
      </c>
      <c r="R22" s="90">
        <f t="shared" si="1"/>
        <v>0</v>
      </c>
    </row>
    <row r="23" spans="1:18" s="91" customFormat="1" ht="147" customHeight="1" x14ac:dyDescent="0.25">
      <c r="A23" s="270"/>
      <c r="B23" s="271"/>
      <c r="C23" s="272"/>
      <c r="D23" s="271"/>
      <c r="E23" s="82">
        <v>0.04</v>
      </c>
      <c r="F23" s="82">
        <f t="shared" si="2"/>
        <v>0.57927039514516243</v>
      </c>
      <c r="G23" s="83" t="s">
        <v>53</v>
      </c>
      <c r="H23" s="84">
        <v>0.5</v>
      </c>
      <c r="I23" s="85" t="s">
        <v>45</v>
      </c>
      <c r="J23" s="86" t="s">
        <v>51</v>
      </c>
      <c r="K23" s="87">
        <v>50</v>
      </c>
      <c r="L23" s="87">
        <v>45</v>
      </c>
      <c r="M23" s="87">
        <v>40</v>
      </c>
      <c r="N23" s="87">
        <v>25</v>
      </c>
      <c r="O23" s="87" t="s">
        <v>52</v>
      </c>
      <c r="P23" s="88"/>
      <c r="Q23" s="89">
        <f t="shared" ref="Q23:Q44" si="3">IF(OR(TRIM(P23)="",P23=0),0,
IF(P23&lt;N23,50,
IF(P23&lt;M23,60,
IF(P23&lt;L23,70,
IF(P23&lt;K23,80,
IF(ISNUMBER(J23),
    IF(P23&lt;J23,IF(P23&gt;=K23,90,80),100),
    IF(P23=K23,90,100)
))))))</f>
        <v>0</v>
      </c>
      <c r="R23" s="90">
        <f t="shared" ref="R23:R44" si="4">F23*Q23/100</f>
        <v>0</v>
      </c>
    </row>
    <row r="24" spans="1:18" s="91" customFormat="1" ht="147" customHeight="1" x14ac:dyDescent="0.25">
      <c r="A24" s="270"/>
      <c r="B24" s="271"/>
      <c r="C24" s="272"/>
      <c r="D24" s="271"/>
      <c r="E24" s="82">
        <v>0.04</v>
      </c>
      <c r="F24" s="82">
        <f t="shared" si="2"/>
        <v>0.57927039514516243</v>
      </c>
      <c r="G24" s="83" t="s">
        <v>54</v>
      </c>
      <c r="H24" s="84">
        <v>0.75</v>
      </c>
      <c r="I24" s="85" t="s">
        <v>45</v>
      </c>
      <c r="J24" s="86" t="s">
        <v>55</v>
      </c>
      <c r="K24" s="87">
        <v>75</v>
      </c>
      <c r="L24" s="87">
        <v>70</v>
      </c>
      <c r="M24" s="87">
        <v>60</v>
      </c>
      <c r="N24" s="87">
        <v>50</v>
      </c>
      <c r="O24" s="87" t="s">
        <v>56</v>
      </c>
      <c r="P24" s="88"/>
      <c r="Q24" s="89">
        <f t="shared" si="3"/>
        <v>0</v>
      </c>
      <c r="R24" s="90">
        <f t="shared" si="4"/>
        <v>0</v>
      </c>
    </row>
    <row r="25" spans="1:18" s="91" customFormat="1" ht="147" customHeight="1" x14ac:dyDescent="0.25">
      <c r="A25" s="276">
        <v>2</v>
      </c>
      <c r="B25" s="273" t="s">
        <v>57</v>
      </c>
      <c r="C25" s="277">
        <v>3</v>
      </c>
      <c r="D25" s="273" t="s">
        <v>58</v>
      </c>
      <c r="E25" s="82">
        <v>0.3</v>
      </c>
      <c r="F25" s="82">
        <f t="shared" si="2"/>
        <v>4.3445279635887184</v>
      </c>
      <c r="G25" s="83" t="s">
        <v>59</v>
      </c>
      <c r="H25" s="93">
        <v>1</v>
      </c>
      <c r="I25" s="85" t="s">
        <v>45</v>
      </c>
      <c r="J25" s="86">
        <v>100</v>
      </c>
      <c r="K25" s="87">
        <v>95</v>
      </c>
      <c r="L25" s="87">
        <v>90</v>
      </c>
      <c r="M25" s="87">
        <v>85</v>
      </c>
      <c r="N25" s="87">
        <v>80</v>
      </c>
      <c r="O25" s="87" t="s">
        <v>46</v>
      </c>
      <c r="P25" s="88"/>
      <c r="Q25" s="89">
        <f t="shared" si="3"/>
        <v>0</v>
      </c>
      <c r="R25" s="90">
        <f t="shared" si="4"/>
        <v>0</v>
      </c>
    </row>
    <row r="26" spans="1:18" s="91" customFormat="1" ht="147" customHeight="1" x14ac:dyDescent="0.25">
      <c r="A26" s="278"/>
      <c r="B26" s="274"/>
      <c r="C26" s="279"/>
      <c r="D26" s="274"/>
      <c r="E26" s="82">
        <v>0.3</v>
      </c>
      <c r="F26" s="82">
        <f t="shared" si="2"/>
        <v>4.3445279635887184</v>
      </c>
      <c r="G26" s="83" t="s">
        <v>60</v>
      </c>
      <c r="H26" s="93">
        <v>1</v>
      </c>
      <c r="I26" s="85" t="s">
        <v>45</v>
      </c>
      <c r="J26" s="86">
        <v>100</v>
      </c>
      <c r="K26" s="87">
        <v>95</v>
      </c>
      <c r="L26" s="87">
        <v>90</v>
      </c>
      <c r="M26" s="87">
        <v>85</v>
      </c>
      <c r="N26" s="87">
        <v>80</v>
      </c>
      <c r="O26" s="87" t="s">
        <v>46</v>
      </c>
      <c r="P26" s="88"/>
      <c r="Q26" s="89">
        <f t="shared" si="3"/>
        <v>0</v>
      </c>
      <c r="R26" s="90">
        <f t="shared" si="4"/>
        <v>0</v>
      </c>
    </row>
    <row r="27" spans="1:18" s="91" customFormat="1" ht="147" customHeight="1" x14ac:dyDescent="0.25">
      <c r="A27" s="278"/>
      <c r="B27" s="274"/>
      <c r="C27" s="279"/>
      <c r="D27" s="275"/>
      <c r="E27" s="82">
        <v>0.4</v>
      </c>
      <c r="F27" s="82">
        <f t="shared" si="2"/>
        <v>5.7927039514516245</v>
      </c>
      <c r="G27" s="83" t="s">
        <v>61</v>
      </c>
      <c r="H27" s="93">
        <v>1</v>
      </c>
      <c r="I27" s="85" t="s">
        <v>45</v>
      </c>
      <c r="J27" s="86">
        <v>100</v>
      </c>
      <c r="K27" s="87">
        <v>95</v>
      </c>
      <c r="L27" s="87">
        <v>90</v>
      </c>
      <c r="M27" s="87">
        <v>85</v>
      </c>
      <c r="N27" s="87">
        <v>80</v>
      </c>
      <c r="O27" s="87" t="s">
        <v>46</v>
      </c>
      <c r="P27" s="88"/>
      <c r="Q27" s="89">
        <f t="shared" si="3"/>
        <v>0</v>
      </c>
      <c r="R27" s="90">
        <f t="shared" si="4"/>
        <v>0</v>
      </c>
    </row>
    <row r="28" spans="1:18" s="91" customFormat="1" ht="147" customHeight="1" x14ac:dyDescent="0.25">
      <c r="A28" s="278"/>
      <c r="B28" s="274"/>
      <c r="C28" s="279"/>
      <c r="D28" s="273" t="s">
        <v>62</v>
      </c>
      <c r="E28" s="82">
        <v>0.35</v>
      </c>
      <c r="F28" s="82">
        <f t="shared" si="2"/>
        <v>5.068615957520171</v>
      </c>
      <c r="G28" s="83" t="s">
        <v>63</v>
      </c>
      <c r="H28" s="93">
        <v>1</v>
      </c>
      <c r="I28" s="85" t="s">
        <v>45</v>
      </c>
      <c r="J28" s="86">
        <v>100</v>
      </c>
      <c r="K28" s="87">
        <v>95</v>
      </c>
      <c r="L28" s="87">
        <v>90</v>
      </c>
      <c r="M28" s="87">
        <v>85</v>
      </c>
      <c r="N28" s="87">
        <v>80</v>
      </c>
      <c r="O28" s="87" t="s">
        <v>46</v>
      </c>
      <c r="P28" s="88"/>
      <c r="Q28" s="89">
        <f t="shared" si="3"/>
        <v>0</v>
      </c>
      <c r="R28" s="90">
        <f t="shared" si="4"/>
        <v>0</v>
      </c>
    </row>
    <row r="29" spans="1:18" s="91" customFormat="1" ht="147" customHeight="1" x14ac:dyDescent="0.25">
      <c r="A29" s="278"/>
      <c r="B29" s="274"/>
      <c r="C29" s="279"/>
      <c r="D29" s="275"/>
      <c r="E29" s="82">
        <v>0.35</v>
      </c>
      <c r="F29" s="82">
        <f t="shared" si="2"/>
        <v>5.068615957520171</v>
      </c>
      <c r="G29" s="83" t="s">
        <v>64</v>
      </c>
      <c r="H29" s="93">
        <v>1</v>
      </c>
      <c r="I29" s="85" t="s">
        <v>45</v>
      </c>
      <c r="J29" s="86">
        <v>100</v>
      </c>
      <c r="K29" s="87">
        <v>95</v>
      </c>
      <c r="L29" s="87">
        <v>90</v>
      </c>
      <c r="M29" s="87">
        <v>85</v>
      </c>
      <c r="N29" s="87">
        <v>80</v>
      </c>
      <c r="O29" s="87" t="s">
        <v>46</v>
      </c>
      <c r="P29" s="88"/>
      <c r="Q29" s="89">
        <f t="shared" si="3"/>
        <v>0</v>
      </c>
      <c r="R29" s="90">
        <f t="shared" si="4"/>
        <v>0</v>
      </c>
    </row>
    <row r="30" spans="1:18" s="91" customFormat="1" ht="147" customHeight="1" x14ac:dyDescent="0.25">
      <c r="A30" s="278"/>
      <c r="B30" s="274"/>
      <c r="C30" s="279"/>
      <c r="D30" s="273" t="s">
        <v>65</v>
      </c>
      <c r="E30" s="82">
        <v>0.2</v>
      </c>
      <c r="F30" s="82">
        <f t="shared" si="2"/>
        <v>2.8963519757258123</v>
      </c>
      <c r="G30" s="83" t="s">
        <v>66</v>
      </c>
      <c r="H30" s="93">
        <v>1</v>
      </c>
      <c r="I30" s="85" t="s">
        <v>45</v>
      </c>
      <c r="J30" s="86">
        <v>100</v>
      </c>
      <c r="K30" s="87">
        <v>95</v>
      </c>
      <c r="L30" s="87">
        <v>90</v>
      </c>
      <c r="M30" s="87">
        <v>85</v>
      </c>
      <c r="N30" s="87">
        <v>80</v>
      </c>
      <c r="O30" s="87" t="s">
        <v>46</v>
      </c>
      <c r="P30" s="88"/>
      <c r="Q30" s="89">
        <f t="shared" si="3"/>
        <v>0</v>
      </c>
      <c r="R30" s="90">
        <f t="shared" si="4"/>
        <v>0</v>
      </c>
    </row>
    <row r="31" spans="1:18" s="91" customFormat="1" ht="147" customHeight="1" x14ac:dyDescent="0.25">
      <c r="A31" s="278"/>
      <c r="B31" s="274"/>
      <c r="C31" s="279"/>
      <c r="D31" s="275"/>
      <c r="E31" s="82">
        <v>0.3</v>
      </c>
      <c r="F31" s="82">
        <f t="shared" si="2"/>
        <v>4.3445279635887184</v>
      </c>
      <c r="G31" s="83" t="s">
        <v>67</v>
      </c>
      <c r="H31" s="92">
        <v>4</v>
      </c>
      <c r="I31" s="85" t="s">
        <v>68</v>
      </c>
      <c r="J31" s="86">
        <v>4</v>
      </c>
      <c r="K31" s="87">
        <v>3</v>
      </c>
      <c r="L31" s="87">
        <v>2</v>
      </c>
      <c r="M31" s="87">
        <v>1</v>
      </c>
      <c r="N31" s="87">
        <v>0</v>
      </c>
      <c r="O31" s="87">
        <v>0</v>
      </c>
      <c r="P31" s="88"/>
      <c r="Q31" s="89">
        <f t="shared" si="3"/>
        <v>0</v>
      </c>
      <c r="R31" s="90">
        <f t="shared" si="4"/>
        <v>0</v>
      </c>
    </row>
    <row r="32" spans="1:18" s="91" customFormat="1" ht="147" customHeight="1" x14ac:dyDescent="0.25">
      <c r="A32" s="278"/>
      <c r="B32" s="274"/>
      <c r="C32" s="279"/>
      <c r="D32" s="273" t="s">
        <v>69</v>
      </c>
      <c r="E32" s="82">
        <v>0.25</v>
      </c>
      <c r="F32" s="82">
        <f t="shared" si="2"/>
        <v>3.6204399696572653</v>
      </c>
      <c r="G32" s="83" t="s">
        <v>70</v>
      </c>
      <c r="H32" s="93">
        <v>1</v>
      </c>
      <c r="I32" s="85" t="s">
        <v>45</v>
      </c>
      <c r="J32" s="86">
        <v>100</v>
      </c>
      <c r="K32" s="87">
        <v>95</v>
      </c>
      <c r="L32" s="87">
        <v>90</v>
      </c>
      <c r="M32" s="87">
        <v>85</v>
      </c>
      <c r="N32" s="87">
        <v>80</v>
      </c>
      <c r="O32" s="87" t="s">
        <v>46</v>
      </c>
      <c r="P32" s="88"/>
      <c r="Q32" s="89">
        <f t="shared" si="3"/>
        <v>0</v>
      </c>
      <c r="R32" s="90">
        <f t="shared" si="4"/>
        <v>0</v>
      </c>
    </row>
    <row r="33" spans="1:18" s="91" customFormat="1" ht="147" customHeight="1" x14ac:dyDescent="0.25">
      <c r="A33" s="278"/>
      <c r="B33" s="274"/>
      <c r="C33" s="279"/>
      <c r="D33" s="275"/>
      <c r="E33" s="82">
        <v>0.25</v>
      </c>
      <c r="F33" s="82">
        <f t="shared" si="2"/>
        <v>3.6204399696572653</v>
      </c>
      <c r="G33" s="83" t="s">
        <v>71</v>
      </c>
      <c r="H33" s="93">
        <v>1</v>
      </c>
      <c r="I33" s="85" t="s">
        <v>45</v>
      </c>
      <c r="J33" s="86">
        <v>100</v>
      </c>
      <c r="K33" s="87">
        <v>95</v>
      </c>
      <c r="L33" s="87">
        <v>90</v>
      </c>
      <c r="M33" s="87">
        <v>85</v>
      </c>
      <c r="N33" s="87">
        <v>80</v>
      </c>
      <c r="O33" s="87" t="s">
        <v>46</v>
      </c>
      <c r="P33" s="88"/>
      <c r="Q33" s="89">
        <f t="shared" si="3"/>
        <v>0</v>
      </c>
      <c r="R33" s="90">
        <f t="shared" si="4"/>
        <v>0</v>
      </c>
    </row>
    <row r="34" spans="1:18" s="91" customFormat="1" ht="147" customHeight="1" x14ac:dyDescent="0.25">
      <c r="A34" s="278"/>
      <c r="B34" s="274"/>
      <c r="C34" s="279"/>
      <c r="D34" s="273" t="s">
        <v>72</v>
      </c>
      <c r="E34" s="82">
        <v>0.15</v>
      </c>
      <c r="F34" s="82">
        <f t="shared" si="2"/>
        <v>2.1722639817943592</v>
      </c>
      <c r="G34" s="83" t="s">
        <v>73</v>
      </c>
      <c r="H34" s="93">
        <v>1</v>
      </c>
      <c r="I34" s="85" t="s">
        <v>45</v>
      </c>
      <c r="J34" s="86">
        <v>100</v>
      </c>
      <c r="K34" s="87">
        <v>95</v>
      </c>
      <c r="L34" s="87">
        <v>90</v>
      </c>
      <c r="M34" s="87">
        <v>85</v>
      </c>
      <c r="N34" s="87">
        <v>80</v>
      </c>
      <c r="O34" s="87" t="s">
        <v>46</v>
      </c>
      <c r="P34" s="88"/>
      <c r="Q34" s="89">
        <f t="shared" si="3"/>
        <v>0</v>
      </c>
      <c r="R34" s="90">
        <f t="shared" si="4"/>
        <v>0</v>
      </c>
    </row>
    <row r="35" spans="1:18" s="91" customFormat="1" ht="147" customHeight="1" x14ac:dyDescent="0.25">
      <c r="A35" s="280"/>
      <c r="B35" s="275"/>
      <c r="C35" s="281"/>
      <c r="D35" s="275"/>
      <c r="E35" s="282">
        <v>0.15</v>
      </c>
      <c r="F35" s="82">
        <f t="shared" si="2"/>
        <v>2.1722639817943592</v>
      </c>
      <c r="G35" s="283" t="s">
        <v>74</v>
      </c>
      <c r="H35" s="93">
        <v>1</v>
      </c>
      <c r="I35" s="85" t="s">
        <v>45</v>
      </c>
      <c r="J35" s="86">
        <v>100</v>
      </c>
      <c r="K35" s="87">
        <v>95</v>
      </c>
      <c r="L35" s="87">
        <v>90</v>
      </c>
      <c r="M35" s="87">
        <v>85</v>
      </c>
      <c r="N35" s="87">
        <v>80</v>
      </c>
      <c r="O35" s="87" t="s">
        <v>46</v>
      </c>
      <c r="P35" s="88"/>
      <c r="Q35" s="89">
        <f t="shared" si="3"/>
        <v>0</v>
      </c>
      <c r="R35" s="90">
        <f t="shared" si="4"/>
        <v>0</v>
      </c>
    </row>
    <row r="36" spans="1:18" s="91" customFormat="1" ht="147" customHeight="1" x14ac:dyDescent="0.25">
      <c r="A36" s="270">
        <v>3</v>
      </c>
      <c r="B36" s="271" t="s">
        <v>75</v>
      </c>
      <c r="C36" s="284">
        <f>SUM(E36:E38)</f>
        <v>0.24999999999999997</v>
      </c>
      <c r="D36" s="271" t="s">
        <v>76</v>
      </c>
      <c r="E36" s="82">
        <v>9.9999999999999992E-2</v>
      </c>
      <c r="F36" s="82">
        <f t="shared" si="2"/>
        <v>1.4481759878629061</v>
      </c>
      <c r="G36" s="83" t="s">
        <v>77</v>
      </c>
      <c r="H36" s="92">
        <v>5</v>
      </c>
      <c r="I36" s="85" t="s">
        <v>78</v>
      </c>
      <c r="J36" s="86" t="s">
        <v>79</v>
      </c>
      <c r="K36" s="87">
        <v>5</v>
      </c>
      <c r="L36" s="87">
        <v>4</v>
      </c>
      <c r="M36" s="87">
        <v>3</v>
      </c>
      <c r="N36" s="87">
        <v>2</v>
      </c>
      <c r="O36" s="87">
        <v>1</v>
      </c>
      <c r="P36" s="88"/>
      <c r="Q36" s="89">
        <f t="shared" si="3"/>
        <v>0</v>
      </c>
      <c r="R36" s="90">
        <f t="shared" si="4"/>
        <v>0</v>
      </c>
    </row>
    <row r="37" spans="1:18" s="91" customFormat="1" ht="147" customHeight="1" x14ac:dyDescent="0.25">
      <c r="A37" s="270"/>
      <c r="B37" s="271"/>
      <c r="C37" s="284"/>
      <c r="D37" s="271"/>
      <c r="E37" s="82">
        <v>9.9999999999999992E-2</v>
      </c>
      <c r="F37" s="82">
        <f t="shared" si="2"/>
        <v>1.4481759878629061</v>
      </c>
      <c r="G37" s="83" t="s">
        <v>80</v>
      </c>
      <c r="H37" s="93">
        <v>0.1</v>
      </c>
      <c r="I37" s="92" t="s">
        <v>45</v>
      </c>
      <c r="J37" s="86" t="s">
        <v>81</v>
      </c>
      <c r="K37" s="87">
        <v>10</v>
      </c>
      <c r="L37" s="87">
        <v>7</v>
      </c>
      <c r="M37" s="87">
        <v>6</v>
      </c>
      <c r="N37" s="87">
        <v>5</v>
      </c>
      <c r="O37" s="87" t="s">
        <v>82</v>
      </c>
      <c r="P37" s="88"/>
      <c r="Q37" s="89">
        <f t="shared" si="3"/>
        <v>0</v>
      </c>
      <c r="R37" s="90">
        <f t="shared" si="4"/>
        <v>0</v>
      </c>
    </row>
    <row r="38" spans="1:18" s="91" customFormat="1" ht="147" customHeight="1" x14ac:dyDescent="0.25">
      <c r="A38" s="270"/>
      <c r="B38" s="271"/>
      <c r="C38" s="284"/>
      <c r="D38" s="271"/>
      <c r="E38" s="82">
        <v>4.9999999999999996E-2</v>
      </c>
      <c r="F38" s="82">
        <f t="shared" si="2"/>
        <v>0.72408799393145307</v>
      </c>
      <c r="G38" s="83" t="s">
        <v>83</v>
      </c>
      <c r="H38" s="92">
        <v>2</v>
      </c>
      <c r="I38" s="85" t="s">
        <v>78</v>
      </c>
      <c r="J38" s="86" t="s">
        <v>84</v>
      </c>
      <c r="K38" s="87">
        <v>2</v>
      </c>
      <c r="L38" s="87">
        <v>1</v>
      </c>
      <c r="M38" s="87">
        <v>0</v>
      </c>
      <c r="N38" s="87"/>
      <c r="O38" s="87"/>
      <c r="P38" s="88"/>
      <c r="Q38" s="89">
        <f t="shared" si="3"/>
        <v>0</v>
      </c>
      <c r="R38" s="90">
        <f t="shared" si="4"/>
        <v>0</v>
      </c>
    </row>
    <row r="39" spans="1:18" s="91" customFormat="1" ht="147" customHeight="1" x14ac:dyDescent="0.25">
      <c r="A39" s="276">
        <v>4</v>
      </c>
      <c r="B39" s="273" t="s">
        <v>85</v>
      </c>
      <c r="C39" s="285">
        <f>SUM(E39:E41)</f>
        <v>0.5</v>
      </c>
      <c r="D39" s="273" t="s">
        <v>86</v>
      </c>
      <c r="E39" s="82">
        <v>9.9999999999999992E-2</v>
      </c>
      <c r="F39" s="82">
        <f t="shared" si="2"/>
        <v>1.4481759878629061</v>
      </c>
      <c r="G39" s="83" t="s">
        <v>87</v>
      </c>
      <c r="H39" s="92">
        <v>5</v>
      </c>
      <c r="I39" s="92" t="s">
        <v>78</v>
      </c>
      <c r="J39" s="86" t="s">
        <v>79</v>
      </c>
      <c r="K39" s="87">
        <v>5</v>
      </c>
      <c r="L39" s="87">
        <v>4</v>
      </c>
      <c r="M39" s="87">
        <v>3</v>
      </c>
      <c r="N39" s="87">
        <v>2</v>
      </c>
      <c r="O39" s="87">
        <v>1</v>
      </c>
      <c r="P39" s="88"/>
      <c r="Q39" s="89">
        <f t="shared" si="3"/>
        <v>0</v>
      </c>
      <c r="R39" s="90">
        <f t="shared" si="4"/>
        <v>0</v>
      </c>
    </row>
    <row r="40" spans="1:18" s="91" customFormat="1" ht="147" customHeight="1" x14ac:dyDescent="0.25">
      <c r="A40" s="278"/>
      <c r="B40" s="274"/>
      <c r="C40" s="286"/>
      <c r="D40" s="274"/>
      <c r="E40" s="82">
        <v>0.19999999999999998</v>
      </c>
      <c r="F40" s="82">
        <f t="shared" si="2"/>
        <v>2.8963519757258123</v>
      </c>
      <c r="G40" s="83" t="s">
        <v>88</v>
      </c>
      <c r="H40" s="93">
        <v>0.2</v>
      </c>
      <c r="I40" s="85" t="s">
        <v>45</v>
      </c>
      <c r="J40" s="86" t="s">
        <v>89</v>
      </c>
      <c r="K40" s="87">
        <v>20</v>
      </c>
      <c r="L40" s="87">
        <v>15</v>
      </c>
      <c r="M40" s="87">
        <v>10</v>
      </c>
      <c r="N40" s="87">
        <v>5</v>
      </c>
      <c r="O40" s="87" t="s">
        <v>82</v>
      </c>
      <c r="P40" s="88"/>
      <c r="Q40" s="89">
        <f t="shared" si="3"/>
        <v>0</v>
      </c>
      <c r="R40" s="90">
        <f t="shared" si="4"/>
        <v>0</v>
      </c>
    </row>
    <row r="41" spans="1:18" s="91" customFormat="1" ht="147" customHeight="1" x14ac:dyDescent="0.25">
      <c r="A41" s="280"/>
      <c r="B41" s="275"/>
      <c r="C41" s="287"/>
      <c r="D41" s="275"/>
      <c r="E41" s="82">
        <v>0.19999999999999998</v>
      </c>
      <c r="F41" s="82">
        <f t="shared" si="2"/>
        <v>2.8963519757258123</v>
      </c>
      <c r="G41" s="83" t="s">
        <v>90</v>
      </c>
      <c r="H41" s="93">
        <v>0.8</v>
      </c>
      <c r="I41" s="92" t="s">
        <v>45</v>
      </c>
      <c r="J41" s="86" t="s">
        <v>91</v>
      </c>
      <c r="K41" s="87">
        <v>80</v>
      </c>
      <c r="L41" s="87">
        <v>75</v>
      </c>
      <c r="M41" s="87">
        <v>70</v>
      </c>
      <c r="N41" s="87">
        <v>50</v>
      </c>
      <c r="O41" s="87" t="s">
        <v>56</v>
      </c>
      <c r="P41" s="88"/>
      <c r="Q41" s="89">
        <f t="shared" si="3"/>
        <v>0</v>
      </c>
      <c r="R41" s="90">
        <f t="shared" si="4"/>
        <v>0</v>
      </c>
    </row>
    <row r="42" spans="1:18" s="91" customFormat="1" ht="147" customHeight="1" x14ac:dyDescent="0.25">
      <c r="A42" s="270">
        <v>5</v>
      </c>
      <c r="B42" s="271" t="s">
        <v>92</v>
      </c>
      <c r="C42" s="284">
        <f>SUM(E42:E43)</f>
        <v>0.16666666666666669</v>
      </c>
      <c r="D42" s="271" t="s">
        <v>93</v>
      </c>
      <c r="E42" s="82">
        <v>0.10000000000000002</v>
      </c>
      <c r="F42" s="82">
        <f t="shared" si="2"/>
        <v>1.4481759878629064</v>
      </c>
      <c r="G42" s="83" t="s">
        <v>94</v>
      </c>
      <c r="H42" s="93">
        <v>0.8</v>
      </c>
      <c r="I42" s="92" t="s">
        <v>45</v>
      </c>
      <c r="J42" s="86" t="s">
        <v>91</v>
      </c>
      <c r="K42" s="87">
        <v>80</v>
      </c>
      <c r="L42" s="87">
        <v>75</v>
      </c>
      <c r="M42" s="87">
        <v>70</v>
      </c>
      <c r="N42" s="87">
        <v>50</v>
      </c>
      <c r="O42" s="87" t="s">
        <v>56</v>
      </c>
      <c r="P42" s="88"/>
      <c r="Q42" s="89">
        <f t="shared" si="3"/>
        <v>0</v>
      </c>
      <c r="R42" s="90">
        <f t="shared" si="4"/>
        <v>0</v>
      </c>
    </row>
    <row r="43" spans="1:18" s="91" customFormat="1" ht="147" customHeight="1" x14ac:dyDescent="0.25">
      <c r="A43" s="270"/>
      <c r="B43" s="271"/>
      <c r="C43" s="284"/>
      <c r="D43" s="271"/>
      <c r="E43" s="82">
        <v>6.6666666666666666E-2</v>
      </c>
      <c r="F43" s="82">
        <f t="shared" si="2"/>
        <v>0.96545065857527068</v>
      </c>
      <c r="G43" s="83" t="s">
        <v>95</v>
      </c>
      <c r="H43" s="93">
        <v>0.8</v>
      </c>
      <c r="I43" s="92" t="s">
        <v>45</v>
      </c>
      <c r="J43" s="86" t="s">
        <v>91</v>
      </c>
      <c r="K43" s="87">
        <v>80</v>
      </c>
      <c r="L43" s="87">
        <v>75</v>
      </c>
      <c r="M43" s="87">
        <v>70</v>
      </c>
      <c r="N43" s="87">
        <v>50</v>
      </c>
      <c r="O43" s="87" t="s">
        <v>56</v>
      </c>
      <c r="P43" s="88"/>
      <c r="Q43" s="89">
        <f t="shared" si="3"/>
        <v>0</v>
      </c>
      <c r="R43" s="90">
        <f t="shared" si="4"/>
        <v>0</v>
      </c>
    </row>
    <row r="44" spans="1:18" s="91" customFormat="1" ht="147" customHeight="1" x14ac:dyDescent="0.25">
      <c r="A44" s="276">
        <v>6</v>
      </c>
      <c r="B44" s="273" t="s">
        <v>96</v>
      </c>
      <c r="C44" s="285">
        <f>SUM(E44:E46)</f>
        <v>2.4285714285714284</v>
      </c>
      <c r="D44" s="273" t="s">
        <v>97</v>
      </c>
      <c r="E44" s="82">
        <v>1</v>
      </c>
      <c r="F44" s="82">
        <f t="shared" si="2"/>
        <v>14.481759878629061</v>
      </c>
      <c r="G44" s="83" t="s">
        <v>98</v>
      </c>
      <c r="H44" s="93">
        <v>1</v>
      </c>
      <c r="I44" s="85" t="s">
        <v>45</v>
      </c>
      <c r="J44" s="86">
        <v>100</v>
      </c>
      <c r="K44" s="87">
        <v>95</v>
      </c>
      <c r="L44" s="87">
        <v>90</v>
      </c>
      <c r="M44" s="87">
        <v>85</v>
      </c>
      <c r="N44" s="87">
        <v>80</v>
      </c>
      <c r="O44" s="87" t="s">
        <v>46</v>
      </c>
      <c r="P44" s="88"/>
      <c r="Q44" s="89">
        <f t="shared" si="3"/>
        <v>0</v>
      </c>
      <c r="R44" s="90">
        <f t="shared" si="4"/>
        <v>0</v>
      </c>
    </row>
    <row r="45" spans="1:18" s="91" customFormat="1" ht="147" customHeight="1" x14ac:dyDescent="0.25">
      <c r="A45" s="278"/>
      <c r="B45" s="274"/>
      <c r="C45" s="286"/>
      <c r="D45" s="275"/>
      <c r="E45" s="82">
        <v>1</v>
      </c>
      <c r="F45" s="82">
        <f t="shared" si="2"/>
        <v>14.481759878629061</v>
      </c>
      <c r="G45" s="83" t="s">
        <v>99</v>
      </c>
      <c r="H45" s="93">
        <v>1</v>
      </c>
      <c r="I45" s="85" t="s">
        <v>45</v>
      </c>
      <c r="J45" s="86">
        <v>100</v>
      </c>
      <c r="K45" s="87">
        <v>95</v>
      </c>
      <c r="L45" s="87">
        <v>90</v>
      </c>
      <c r="M45" s="87">
        <v>85</v>
      </c>
      <c r="N45" s="87">
        <v>80</v>
      </c>
      <c r="O45" s="87" t="s">
        <v>46</v>
      </c>
      <c r="P45" s="88"/>
      <c r="Q45" s="89">
        <f t="shared" si="0"/>
        <v>0</v>
      </c>
      <c r="R45" s="90">
        <f t="shared" si="1"/>
        <v>0</v>
      </c>
    </row>
    <row r="46" spans="1:18" s="91" customFormat="1" ht="147" customHeight="1" x14ac:dyDescent="0.25">
      <c r="A46" s="280"/>
      <c r="B46" s="275"/>
      <c r="C46" s="287"/>
      <c r="D46" s="81" t="s">
        <v>100</v>
      </c>
      <c r="E46" s="82">
        <v>0.42857142857142855</v>
      </c>
      <c r="F46" s="82">
        <f t="shared" si="2"/>
        <v>6.2064685194124545</v>
      </c>
      <c r="G46" s="83" t="s">
        <v>101</v>
      </c>
      <c r="H46" s="93">
        <v>1</v>
      </c>
      <c r="I46" s="85" t="s">
        <v>45</v>
      </c>
      <c r="J46" s="86">
        <v>100</v>
      </c>
      <c r="K46" s="87">
        <v>95</v>
      </c>
      <c r="L46" s="87">
        <v>90</v>
      </c>
      <c r="M46" s="87">
        <v>85</v>
      </c>
      <c r="N46" s="87">
        <v>80</v>
      </c>
      <c r="O46" s="87" t="s">
        <v>46</v>
      </c>
      <c r="P46" s="88"/>
      <c r="Q46" s="89">
        <f t="shared" si="0"/>
        <v>0</v>
      </c>
      <c r="R46" s="90">
        <f t="shared" si="1"/>
        <v>0</v>
      </c>
    </row>
    <row r="47" spans="1:18" s="91" customFormat="1" ht="147" customHeight="1" x14ac:dyDescent="0.25">
      <c r="A47" s="270">
        <v>7</v>
      </c>
      <c r="B47" s="271" t="s">
        <v>102</v>
      </c>
      <c r="C47" s="284">
        <f>SUM(E47:E48)</f>
        <v>0.13333333333333333</v>
      </c>
      <c r="D47" s="83" t="s">
        <v>103</v>
      </c>
      <c r="E47" s="82">
        <v>6.6666666666666666E-2</v>
      </c>
      <c r="F47" s="82">
        <f t="shared" si="2"/>
        <v>0.96545065857527068</v>
      </c>
      <c r="G47" s="83" t="s">
        <v>104</v>
      </c>
      <c r="H47" s="84">
        <v>0.7</v>
      </c>
      <c r="I47" s="92" t="s">
        <v>45</v>
      </c>
      <c r="J47" s="86" t="s">
        <v>105</v>
      </c>
      <c r="K47" s="87">
        <v>70</v>
      </c>
      <c r="L47" s="87">
        <v>60</v>
      </c>
      <c r="M47" s="87">
        <v>50</v>
      </c>
      <c r="N47" s="87">
        <v>40</v>
      </c>
      <c r="O47" s="87" t="s">
        <v>106</v>
      </c>
      <c r="P47" s="88"/>
      <c r="Q47" s="89">
        <f t="shared" si="0"/>
        <v>0</v>
      </c>
      <c r="R47" s="90">
        <f t="shared" si="1"/>
        <v>0</v>
      </c>
    </row>
    <row r="48" spans="1:18" s="91" customFormat="1" ht="147" customHeight="1" x14ac:dyDescent="0.25">
      <c r="A48" s="270"/>
      <c r="B48" s="271"/>
      <c r="C48" s="284"/>
      <c r="D48" s="83" t="s">
        <v>107</v>
      </c>
      <c r="E48" s="82">
        <v>6.6666666666666666E-2</v>
      </c>
      <c r="F48" s="82">
        <f t="shared" si="2"/>
        <v>0.96545065857527068</v>
      </c>
      <c r="G48" s="83" t="s">
        <v>108</v>
      </c>
      <c r="H48" s="84">
        <v>0.5</v>
      </c>
      <c r="I48" s="85" t="s">
        <v>45</v>
      </c>
      <c r="J48" s="86" t="s">
        <v>51</v>
      </c>
      <c r="K48" s="87">
        <v>50</v>
      </c>
      <c r="L48" s="87">
        <v>45</v>
      </c>
      <c r="M48" s="87">
        <v>40</v>
      </c>
      <c r="N48" s="87">
        <v>25</v>
      </c>
      <c r="O48" s="87" t="s">
        <v>52</v>
      </c>
      <c r="P48" s="88"/>
      <c r="Q48" s="89">
        <f t="shared" si="0"/>
        <v>0</v>
      </c>
      <c r="R48" s="90">
        <f t="shared" si="1"/>
        <v>0</v>
      </c>
    </row>
    <row r="49" spans="1:18" s="104" customFormat="1" ht="44.25" x14ac:dyDescent="0.25">
      <c r="A49" s="94"/>
      <c r="B49" s="95" t="s">
        <v>109</v>
      </c>
      <c r="C49" s="96">
        <f>SUM(C19:C48)</f>
        <v>6.9052380952380963</v>
      </c>
      <c r="D49" s="95"/>
      <c r="E49" s="96">
        <f>SUM(E19:E48)</f>
        <v>6.9052380952380945</v>
      </c>
      <c r="F49" s="96">
        <f>SUM(F19:F48)</f>
        <v>99.999999999999986</v>
      </c>
      <c r="G49" s="97"/>
      <c r="H49" s="98"/>
      <c r="I49" s="99"/>
      <c r="J49" s="100"/>
      <c r="K49" s="100"/>
      <c r="L49" s="100"/>
      <c r="M49" s="100"/>
      <c r="N49" s="100"/>
      <c r="O49" s="100"/>
      <c r="P49" s="101"/>
      <c r="Q49" s="102"/>
      <c r="R49" s="103">
        <f>SUM(R19:R48)</f>
        <v>0</v>
      </c>
    </row>
    <row r="50" spans="1:18" s="106" customFormat="1" ht="66" customHeight="1" x14ac:dyDescent="0.7">
      <c r="A50" s="105"/>
      <c r="G50" s="107"/>
      <c r="H50" s="107"/>
      <c r="I50" s="108" t="s">
        <v>159</v>
      </c>
      <c r="J50" s="109"/>
      <c r="K50" s="109"/>
      <c r="L50" s="109"/>
      <c r="M50" s="109"/>
      <c r="N50" s="109"/>
      <c r="O50" s="109"/>
      <c r="P50" s="109"/>
      <c r="Q50" s="110"/>
      <c r="R50" s="111">
        <f>R49/100 * 70</f>
        <v>0</v>
      </c>
    </row>
    <row r="51" spans="1:18" s="120" customFormat="1" ht="36" x14ac:dyDescent="0.55000000000000004">
      <c r="A51" s="112" t="s">
        <v>110</v>
      </c>
      <c r="B51" s="113"/>
      <c r="C51" s="113"/>
      <c r="D51" s="113"/>
      <c r="E51" s="113"/>
      <c r="F51" s="113"/>
      <c r="G51" s="114"/>
      <c r="H51" s="115"/>
      <c r="I51" s="115"/>
      <c r="J51" s="115"/>
      <c r="K51" s="115"/>
      <c r="L51" s="71" t="s">
        <v>115</v>
      </c>
      <c r="M51" s="116" t="s">
        <v>111</v>
      </c>
      <c r="N51" s="116"/>
      <c r="O51" s="116"/>
      <c r="P51" s="117"/>
      <c r="Q51" s="118"/>
      <c r="R51" s="119"/>
    </row>
    <row r="52" spans="1:18" s="120" customFormat="1" ht="31.5" customHeight="1" x14ac:dyDescent="0.55000000000000004">
      <c r="A52" s="121"/>
      <c r="B52" s="122"/>
      <c r="C52" s="123" t="s">
        <v>112</v>
      </c>
      <c r="D52" s="123"/>
      <c r="E52" s="123"/>
      <c r="F52" s="123"/>
      <c r="G52" s="123"/>
      <c r="H52" s="124" t="s">
        <v>160</v>
      </c>
      <c r="I52" s="124" t="s">
        <v>161</v>
      </c>
      <c r="J52" s="124"/>
      <c r="K52" s="125"/>
      <c r="L52" s="79"/>
      <c r="M52" s="126"/>
      <c r="N52" s="126"/>
      <c r="O52" s="126"/>
      <c r="P52" s="127"/>
      <c r="Q52" s="118"/>
      <c r="R52" s="119"/>
    </row>
    <row r="53" spans="1:18" s="120" customFormat="1" ht="36" customHeight="1" x14ac:dyDescent="0.55000000000000004">
      <c r="A53" s="128">
        <v>1</v>
      </c>
      <c r="B53" s="129" t="s">
        <v>116</v>
      </c>
      <c r="C53" s="130"/>
      <c r="D53" s="131"/>
      <c r="E53" s="131"/>
      <c r="F53" s="131"/>
      <c r="G53" s="132"/>
      <c r="H53" s="133"/>
      <c r="I53" s="133"/>
      <c r="J53" s="133"/>
      <c r="K53" s="133"/>
      <c r="L53" s="134"/>
      <c r="M53" s="135" t="s">
        <v>36</v>
      </c>
      <c r="N53" s="136" t="s">
        <v>117</v>
      </c>
      <c r="O53" s="137"/>
      <c r="P53" s="127"/>
      <c r="Q53" s="118"/>
      <c r="R53" s="119"/>
    </row>
    <row r="54" spans="1:18" s="120" customFormat="1" ht="84.75" customHeight="1" x14ac:dyDescent="0.55000000000000004">
      <c r="A54" s="138" t="s">
        <v>118</v>
      </c>
      <c r="B54" s="139" t="s">
        <v>162</v>
      </c>
      <c r="C54" s="140"/>
      <c r="D54" s="141"/>
      <c r="E54" s="141"/>
      <c r="F54" s="141"/>
      <c r="G54" s="142"/>
      <c r="H54" s="143">
        <v>4</v>
      </c>
      <c r="I54" s="144"/>
      <c r="J54" s="143"/>
      <c r="K54" s="143"/>
      <c r="L54" s="134"/>
      <c r="M54" s="135" t="s">
        <v>37</v>
      </c>
      <c r="N54" s="136" t="s">
        <v>119</v>
      </c>
      <c r="O54" s="137"/>
      <c r="P54" s="127"/>
      <c r="Q54" s="118"/>
      <c r="R54" s="119"/>
    </row>
    <row r="55" spans="1:18" s="120" customFormat="1" ht="82.5" customHeight="1" x14ac:dyDescent="0.55000000000000004">
      <c r="A55" s="138" t="s">
        <v>120</v>
      </c>
      <c r="B55" s="139" t="s">
        <v>163</v>
      </c>
      <c r="C55" s="140"/>
      <c r="D55" s="141"/>
      <c r="E55" s="141"/>
      <c r="F55" s="141"/>
      <c r="G55" s="142"/>
      <c r="H55" s="143">
        <v>2</v>
      </c>
      <c r="I55" s="144"/>
      <c r="J55" s="143"/>
      <c r="K55" s="143"/>
      <c r="L55" s="134"/>
      <c r="M55" s="135" t="s">
        <v>38</v>
      </c>
      <c r="N55" s="136" t="s">
        <v>121</v>
      </c>
      <c r="O55" s="137"/>
      <c r="P55" s="127"/>
      <c r="Q55" s="118"/>
      <c r="R55" s="119"/>
    </row>
    <row r="56" spans="1:18" s="120" customFormat="1" ht="78.75" customHeight="1" x14ac:dyDescent="0.55000000000000004">
      <c r="A56" s="138" t="s">
        <v>122</v>
      </c>
      <c r="B56" s="139" t="s">
        <v>123</v>
      </c>
      <c r="C56" s="140"/>
      <c r="D56" s="141"/>
      <c r="E56" s="141"/>
      <c r="F56" s="141"/>
      <c r="G56" s="142"/>
      <c r="H56" s="143">
        <v>2</v>
      </c>
      <c r="I56" s="144"/>
      <c r="J56" s="143"/>
      <c r="K56" s="143"/>
      <c r="L56" s="134"/>
      <c r="M56" s="135" t="s">
        <v>39</v>
      </c>
      <c r="N56" s="136" t="s">
        <v>124</v>
      </c>
      <c r="O56" s="137"/>
      <c r="P56" s="127"/>
      <c r="Q56" s="118"/>
      <c r="R56" s="119"/>
    </row>
    <row r="57" spans="1:18" s="120" customFormat="1" ht="36" x14ac:dyDescent="0.55000000000000004">
      <c r="A57" s="145">
        <v>2</v>
      </c>
      <c r="B57" s="146" t="s">
        <v>125</v>
      </c>
      <c r="C57" s="147"/>
      <c r="D57" s="148"/>
      <c r="E57" s="148"/>
      <c r="F57" s="148"/>
      <c r="G57" s="149"/>
      <c r="H57" s="143"/>
      <c r="I57" s="144"/>
      <c r="J57" s="143"/>
      <c r="K57" s="143"/>
      <c r="L57" s="134"/>
      <c r="M57" s="135" t="s">
        <v>40</v>
      </c>
      <c r="N57" s="136" t="s">
        <v>126</v>
      </c>
      <c r="O57" s="137"/>
      <c r="P57" s="127"/>
      <c r="Q57" s="118"/>
      <c r="R57" s="119"/>
    </row>
    <row r="58" spans="1:18" s="120" customFormat="1" ht="82.5" customHeight="1" x14ac:dyDescent="0.55000000000000004">
      <c r="A58" s="138" t="s">
        <v>118</v>
      </c>
      <c r="B58" s="150" t="s">
        <v>164</v>
      </c>
      <c r="C58" s="151"/>
      <c r="D58" s="152"/>
      <c r="E58" s="152"/>
      <c r="F58" s="152"/>
      <c r="G58" s="153"/>
      <c r="H58" s="143">
        <v>2</v>
      </c>
      <c r="I58" s="144"/>
      <c r="J58" s="143"/>
      <c r="K58" s="143"/>
      <c r="L58" s="134"/>
      <c r="M58" s="135" t="s">
        <v>41</v>
      </c>
      <c r="N58" s="136" t="s">
        <v>127</v>
      </c>
      <c r="O58" s="137"/>
      <c r="P58" s="154"/>
      <c r="Q58" s="118"/>
      <c r="R58" s="119"/>
    </row>
    <row r="59" spans="1:18" s="120" customFormat="1" ht="114.75" customHeight="1" x14ac:dyDescent="0.55000000000000004">
      <c r="A59" s="138" t="s">
        <v>120</v>
      </c>
      <c r="B59" s="150" t="s">
        <v>165</v>
      </c>
      <c r="C59" s="151"/>
      <c r="D59" s="152"/>
      <c r="E59" s="152"/>
      <c r="F59" s="152"/>
      <c r="G59" s="153"/>
      <c r="H59" s="143">
        <v>2</v>
      </c>
      <c r="I59" s="144"/>
      <c r="J59" s="143"/>
      <c r="K59" s="143"/>
      <c r="L59" s="134"/>
      <c r="M59" s="127" t="s">
        <v>115</v>
      </c>
      <c r="N59" s="155" t="s">
        <v>128</v>
      </c>
      <c r="O59" s="156"/>
      <c r="P59" s="154"/>
      <c r="Q59" s="118"/>
      <c r="R59" s="119"/>
    </row>
    <row r="60" spans="1:18" s="120" customFormat="1" ht="72" customHeight="1" x14ac:dyDescent="0.55000000000000004">
      <c r="A60" s="138" t="s">
        <v>122</v>
      </c>
      <c r="B60" s="150" t="s">
        <v>166</v>
      </c>
      <c r="C60" s="151"/>
      <c r="D60" s="152"/>
      <c r="E60" s="152"/>
      <c r="F60" s="152"/>
      <c r="G60" s="153"/>
      <c r="H60" s="143">
        <v>2</v>
      </c>
      <c r="I60" s="144"/>
      <c r="J60" s="143"/>
      <c r="K60" s="143"/>
      <c r="L60" s="134"/>
      <c r="M60" s="127" t="s">
        <v>129</v>
      </c>
      <c r="N60" s="155" t="s">
        <v>130</v>
      </c>
      <c r="O60" s="156"/>
      <c r="P60" s="154"/>
      <c r="Q60" s="118"/>
      <c r="R60" s="119"/>
    </row>
    <row r="61" spans="1:18" s="120" customFormat="1" ht="66" customHeight="1" x14ac:dyDescent="0.55000000000000004">
      <c r="A61" s="145">
        <v>3</v>
      </c>
      <c r="B61" s="146" t="s">
        <v>131</v>
      </c>
      <c r="C61" s="147"/>
      <c r="D61" s="148"/>
      <c r="E61" s="148"/>
      <c r="F61" s="148"/>
      <c r="G61" s="149"/>
      <c r="H61" s="143"/>
      <c r="I61" s="144"/>
      <c r="J61" s="143"/>
      <c r="K61" s="143"/>
      <c r="L61" s="134"/>
      <c r="M61" s="127" t="s">
        <v>113</v>
      </c>
      <c r="N61" s="155" t="s">
        <v>132</v>
      </c>
      <c r="O61" s="156"/>
      <c r="P61" s="154"/>
      <c r="Q61" s="118"/>
      <c r="R61" s="119"/>
    </row>
    <row r="62" spans="1:18" s="120" customFormat="1" ht="72" customHeight="1" x14ac:dyDescent="0.55000000000000004">
      <c r="A62" s="138" t="s">
        <v>118</v>
      </c>
      <c r="B62" s="150" t="s">
        <v>133</v>
      </c>
      <c r="C62" s="157"/>
      <c r="D62" s="158"/>
      <c r="E62" s="158"/>
      <c r="F62" s="158"/>
      <c r="G62" s="159"/>
      <c r="H62" s="143">
        <v>2</v>
      </c>
      <c r="I62" s="144"/>
      <c r="J62" s="143"/>
      <c r="K62" s="143"/>
      <c r="L62" s="134"/>
      <c r="M62" s="127" t="s">
        <v>114</v>
      </c>
      <c r="N62" s="155" t="s">
        <v>134</v>
      </c>
      <c r="O62" s="156"/>
      <c r="P62" s="154"/>
      <c r="Q62" s="118"/>
      <c r="R62" s="119"/>
    </row>
    <row r="63" spans="1:18" s="120" customFormat="1" ht="72" customHeight="1" x14ac:dyDescent="0.55000000000000004">
      <c r="A63" s="138" t="s">
        <v>120</v>
      </c>
      <c r="B63" s="150" t="s">
        <v>167</v>
      </c>
      <c r="C63" s="157"/>
      <c r="D63" s="158"/>
      <c r="E63" s="158"/>
      <c r="F63" s="158"/>
      <c r="G63" s="159"/>
      <c r="H63" s="143">
        <v>2</v>
      </c>
      <c r="I63" s="144"/>
      <c r="J63" s="143"/>
      <c r="K63" s="143"/>
      <c r="L63" s="134"/>
      <c r="M63" s="127" t="s">
        <v>135</v>
      </c>
      <c r="N63" s="155" t="s">
        <v>136</v>
      </c>
      <c r="O63" s="156"/>
      <c r="P63" s="154"/>
      <c r="Q63" s="118"/>
      <c r="R63" s="119"/>
    </row>
    <row r="64" spans="1:18" s="120" customFormat="1" ht="44.25" customHeight="1" x14ac:dyDescent="0.55000000000000004">
      <c r="A64" s="138" t="s">
        <v>122</v>
      </c>
      <c r="B64" s="150" t="s">
        <v>168</v>
      </c>
      <c r="C64" s="157"/>
      <c r="D64" s="158"/>
      <c r="E64" s="158"/>
      <c r="F64" s="158"/>
      <c r="G64" s="159"/>
      <c r="H64" s="143">
        <v>2</v>
      </c>
      <c r="I64" s="144"/>
      <c r="J64" s="143"/>
      <c r="K64" s="143"/>
      <c r="L64" s="134"/>
      <c r="M64" s="160"/>
      <c r="N64" s="160"/>
      <c r="O64" s="160"/>
      <c r="P64" s="161"/>
      <c r="Q64" s="118"/>
      <c r="R64" s="119"/>
    </row>
    <row r="65" spans="1:18" s="120" customFormat="1" ht="31.5" customHeight="1" x14ac:dyDescent="0.55000000000000004">
      <c r="A65" s="162" t="s">
        <v>137</v>
      </c>
      <c r="B65" s="163"/>
      <c r="C65" s="163"/>
      <c r="D65" s="163"/>
      <c r="E65" s="163"/>
      <c r="F65" s="163"/>
      <c r="G65" s="163"/>
      <c r="H65" s="164">
        <f>SUM(H54:H64)</f>
        <v>20</v>
      </c>
      <c r="I65" s="164">
        <f>SUM(I54:I64)</f>
        <v>0</v>
      </c>
      <c r="J65" s="164"/>
      <c r="K65" s="165"/>
      <c r="L65" s="134"/>
      <c r="M65" s="160"/>
      <c r="N65" s="160"/>
      <c r="O65" s="160"/>
      <c r="P65" s="161"/>
      <c r="Q65" s="118"/>
      <c r="R65" s="119"/>
    </row>
    <row r="66" spans="1:18" s="120" customFormat="1" ht="36" customHeight="1" x14ac:dyDescent="0.55000000000000004">
      <c r="A66" s="166" t="s">
        <v>118</v>
      </c>
      <c r="B66" s="167" t="s">
        <v>138</v>
      </c>
      <c r="C66" s="151" t="s">
        <v>139</v>
      </c>
      <c r="D66" s="152"/>
      <c r="E66" s="152"/>
      <c r="F66" s="152"/>
      <c r="G66" s="153"/>
      <c r="H66" s="168">
        <v>4</v>
      </c>
      <c r="I66" s="169"/>
      <c r="J66" s="168"/>
      <c r="K66" s="170"/>
      <c r="L66" s="134"/>
      <c r="M66" s="160"/>
      <c r="N66" s="160"/>
      <c r="O66" s="160"/>
      <c r="P66" s="161"/>
      <c r="Q66" s="118"/>
      <c r="R66" s="119"/>
    </row>
    <row r="67" spans="1:18" s="120" customFormat="1" ht="129" customHeight="1" x14ac:dyDescent="0.55000000000000004">
      <c r="A67" s="166" t="s">
        <v>120</v>
      </c>
      <c r="B67" s="167" t="s">
        <v>140</v>
      </c>
      <c r="C67" s="151" t="s">
        <v>141</v>
      </c>
      <c r="D67" s="152"/>
      <c r="E67" s="152"/>
      <c r="F67" s="152"/>
      <c r="G67" s="153"/>
      <c r="H67" s="168">
        <v>3</v>
      </c>
      <c r="I67" s="169"/>
      <c r="J67" s="168"/>
      <c r="K67" s="170"/>
      <c r="L67" s="134"/>
      <c r="M67" s="160"/>
      <c r="N67" s="160"/>
      <c r="O67" s="160"/>
      <c r="P67" s="161"/>
      <c r="Q67" s="118"/>
      <c r="R67" s="119"/>
    </row>
    <row r="68" spans="1:18" s="120" customFormat="1" ht="69" customHeight="1" x14ac:dyDescent="0.55000000000000004">
      <c r="A68" s="166" t="s">
        <v>120</v>
      </c>
      <c r="B68" s="167" t="s">
        <v>142</v>
      </c>
      <c r="C68" s="151" t="s">
        <v>143</v>
      </c>
      <c r="D68" s="152"/>
      <c r="E68" s="152"/>
      <c r="F68" s="152"/>
      <c r="G68" s="153"/>
      <c r="H68" s="168">
        <v>3</v>
      </c>
      <c r="I68" s="169"/>
      <c r="J68" s="168"/>
      <c r="K68" s="170"/>
      <c r="L68" s="134"/>
      <c r="M68" s="160"/>
      <c r="N68" s="160"/>
      <c r="O68" s="160"/>
      <c r="P68" s="161"/>
      <c r="Q68" s="118"/>
      <c r="R68" s="119"/>
    </row>
    <row r="69" spans="1:18" s="120" customFormat="1" ht="46.5" customHeight="1" x14ac:dyDescent="0.55000000000000004">
      <c r="A69" s="171"/>
      <c r="B69" s="172" t="s">
        <v>144</v>
      </c>
      <c r="C69" s="172"/>
      <c r="D69" s="172"/>
      <c r="E69" s="173"/>
      <c r="F69" s="173"/>
      <c r="G69" s="173"/>
      <c r="H69" s="164">
        <f>SUM(H66:H68)</f>
        <v>10</v>
      </c>
      <c r="I69" s="164">
        <f>SUM(I66:I68)</f>
        <v>0</v>
      </c>
      <c r="J69" s="173"/>
      <c r="K69" s="174"/>
      <c r="L69" s="160"/>
      <c r="M69" s="160"/>
      <c r="N69" s="160"/>
      <c r="O69" s="160"/>
      <c r="P69" s="161"/>
      <c r="Q69" s="118"/>
      <c r="R69" s="119"/>
    </row>
    <row r="70" spans="1:18" s="182" customFormat="1" ht="45" customHeight="1" x14ac:dyDescent="0.7">
      <c r="A70" s="175"/>
      <c r="B70" s="176"/>
      <c r="C70" s="177"/>
      <c r="D70" s="177"/>
      <c r="E70" s="177"/>
      <c r="F70" s="178"/>
      <c r="G70" s="178"/>
      <c r="H70" s="178"/>
      <c r="I70" s="178"/>
      <c r="J70" s="178"/>
      <c r="K70" s="177"/>
      <c r="L70" s="177"/>
      <c r="M70" s="177"/>
      <c r="N70" s="177"/>
      <c r="O70" s="179" t="s">
        <v>169</v>
      </c>
      <c r="P70" s="180"/>
      <c r="Q70" s="179" t="s">
        <v>170</v>
      </c>
      <c r="R70" s="181"/>
    </row>
    <row r="71" spans="1:18" s="182" customFormat="1" ht="45" customHeight="1" x14ac:dyDescent="0.7">
      <c r="A71" s="175"/>
      <c r="B71" s="183"/>
      <c r="C71" s="184" t="s">
        <v>171</v>
      </c>
      <c r="D71" s="185"/>
      <c r="E71" s="185"/>
      <c r="F71" s="185"/>
      <c r="G71" s="185"/>
      <c r="H71" s="185"/>
      <c r="I71" s="185"/>
      <c r="J71" s="185"/>
      <c r="K71" s="186"/>
      <c r="L71" s="187"/>
      <c r="M71" s="188"/>
      <c r="N71" s="189"/>
      <c r="O71" s="190">
        <f>R50</f>
        <v>0</v>
      </c>
      <c r="P71" s="191"/>
      <c r="Q71" s="192">
        <f>O74/100 * 20</f>
        <v>0</v>
      </c>
      <c r="R71" s="193"/>
    </row>
    <row r="72" spans="1:18" s="182" customFormat="1" ht="45" customHeight="1" x14ac:dyDescent="0.7">
      <c r="A72" s="175"/>
      <c r="B72" s="183"/>
      <c r="C72" s="185" t="s">
        <v>172</v>
      </c>
      <c r="D72" s="185"/>
      <c r="E72" s="185"/>
      <c r="F72" s="185"/>
      <c r="G72" s="185"/>
      <c r="H72" s="185"/>
      <c r="I72" s="185"/>
      <c r="J72" s="185"/>
      <c r="K72" s="185"/>
      <c r="L72" s="188"/>
      <c r="M72" s="188"/>
      <c r="N72" s="189"/>
      <c r="O72" s="190">
        <f>I65</f>
        <v>0</v>
      </c>
      <c r="P72" s="191"/>
      <c r="Q72" s="194"/>
      <c r="R72" s="195"/>
    </row>
    <row r="73" spans="1:18" s="182" customFormat="1" ht="45" customHeight="1" x14ac:dyDescent="0.7">
      <c r="A73" s="175"/>
      <c r="B73" s="183"/>
      <c r="C73" s="184" t="s">
        <v>173</v>
      </c>
      <c r="D73" s="185"/>
      <c r="E73" s="185"/>
      <c r="F73" s="185"/>
      <c r="G73" s="185"/>
      <c r="H73" s="185"/>
      <c r="I73" s="185"/>
      <c r="J73" s="185"/>
      <c r="K73" s="186"/>
      <c r="L73" s="187"/>
      <c r="M73" s="188"/>
      <c r="N73" s="189"/>
      <c r="O73" s="190">
        <f>I69</f>
        <v>0</v>
      </c>
      <c r="P73" s="191"/>
      <c r="Q73" s="194"/>
      <c r="R73" s="195"/>
    </row>
    <row r="74" spans="1:18" s="182" customFormat="1" ht="45" customHeight="1" x14ac:dyDescent="0.7">
      <c r="A74" s="175"/>
      <c r="B74" s="196"/>
      <c r="C74" s="184" t="s">
        <v>174</v>
      </c>
      <c r="D74" s="185"/>
      <c r="E74" s="185"/>
      <c r="F74" s="185"/>
      <c r="G74" s="185"/>
      <c r="H74" s="185"/>
      <c r="I74" s="185"/>
      <c r="J74" s="185"/>
      <c r="K74" s="186"/>
      <c r="L74" s="187"/>
      <c r="M74" s="188"/>
      <c r="N74" s="189"/>
      <c r="O74" s="190">
        <f>SUM(O71:P73)</f>
        <v>0</v>
      </c>
      <c r="P74" s="191"/>
      <c r="Q74" s="197"/>
      <c r="R74" s="198"/>
    </row>
    <row r="75" spans="1:18" s="182" customFormat="1" ht="64.900000000000006" customHeight="1" x14ac:dyDescent="0.7">
      <c r="A75" s="175"/>
      <c r="B75" s="199" t="s">
        <v>175</v>
      </c>
      <c r="C75" s="199"/>
      <c r="D75" s="199"/>
      <c r="E75" s="199"/>
      <c r="F75" s="199"/>
      <c r="G75" s="199"/>
      <c r="H75" s="200"/>
      <c r="I75" s="200"/>
      <c r="J75" s="200"/>
      <c r="K75" s="200"/>
      <c r="L75" s="200"/>
      <c r="M75" s="200"/>
      <c r="N75" s="200"/>
      <c r="O75" s="200"/>
      <c r="P75" s="200"/>
      <c r="Q75" s="200"/>
      <c r="R75" s="201"/>
    </row>
    <row r="76" spans="1:18" s="182" customFormat="1" ht="64.900000000000006" customHeight="1" x14ac:dyDescent="0.7">
      <c r="A76" s="175"/>
      <c r="B76" s="202" t="s">
        <v>176</v>
      </c>
      <c r="C76" s="202"/>
      <c r="D76" s="202"/>
      <c r="E76" s="202"/>
      <c r="F76" s="202"/>
      <c r="G76" s="202"/>
      <c r="H76" s="202"/>
      <c r="I76" s="202"/>
      <c r="J76" s="202"/>
      <c r="K76" s="202"/>
      <c r="L76" s="202"/>
      <c r="M76" s="202"/>
      <c r="N76" s="202"/>
      <c r="O76" s="202"/>
      <c r="P76" s="202"/>
      <c r="Q76" s="202"/>
      <c r="R76" s="203"/>
    </row>
    <row r="77" spans="1:18" s="182" customFormat="1" ht="48.75" customHeight="1" x14ac:dyDescent="0.7">
      <c r="A77" s="175"/>
      <c r="B77" s="204" t="s">
        <v>177</v>
      </c>
      <c r="C77" s="204"/>
      <c r="D77" s="204"/>
      <c r="E77" s="204"/>
      <c r="F77" s="204"/>
      <c r="G77" s="204"/>
      <c r="H77" s="205"/>
      <c r="I77" s="205"/>
      <c r="J77" s="205"/>
      <c r="K77" s="205"/>
      <c r="L77" s="205"/>
      <c r="M77" s="205"/>
      <c r="N77" s="205"/>
      <c r="O77" s="205"/>
      <c r="P77" s="205"/>
      <c r="Q77" s="205"/>
      <c r="R77" s="206"/>
    </row>
    <row r="78" spans="1:18" s="182" customFormat="1" ht="45.75" x14ac:dyDescent="0.7">
      <c r="A78" s="175"/>
      <c r="B78" s="202"/>
      <c r="C78" s="202"/>
      <c r="D78" s="202"/>
      <c r="E78" s="202"/>
      <c r="F78" s="202"/>
      <c r="G78" s="202"/>
      <c r="H78" s="202"/>
      <c r="I78" s="202"/>
      <c r="J78" s="202"/>
      <c r="K78" s="202"/>
      <c r="L78" s="202"/>
      <c r="M78" s="202"/>
      <c r="N78" s="202"/>
      <c r="O78" s="202"/>
      <c r="P78" s="202"/>
      <c r="Q78" s="202"/>
      <c r="R78" s="203"/>
    </row>
    <row r="79" spans="1:18" s="120" customFormat="1" ht="31.5" customHeight="1" x14ac:dyDescent="0.55000000000000004">
      <c r="A79" s="207" t="s">
        <v>178</v>
      </c>
      <c r="B79" s="208"/>
      <c r="C79" s="209"/>
      <c r="D79" s="210"/>
      <c r="E79" s="211" t="s">
        <v>179</v>
      </c>
      <c r="F79" s="212"/>
      <c r="G79" s="208" t="s">
        <v>180</v>
      </c>
      <c r="H79" s="209"/>
      <c r="I79" s="209"/>
      <c r="J79" s="209"/>
      <c r="K79" s="213"/>
      <c r="L79" s="134"/>
      <c r="M79" s="214"/>
      <c r="N79" s="214"/>
      <c r="O79" s="214"/>
      <c r="P79" s="214"/>
      <c r="Q79" s="214"/>
      <c r="R79" s="119"/>
    </row>
    <row r="80" spans="1:18" s="120" customFormat="1" ht="31.5" customHeight="1" x14ac:dyDescent="0.55000000000000004">
      <c r="A80" s="215"/>
      <c r="B80" s="216"/>
      <c r="C80" s="217"/>
      <c r="D80" s="218"/>
      <c r="E80" s="219"/>
      <c r="F80" s="220"/>
      <c r="G80" s="216"/>
      <c r="H80" s="217"/>
      <c r="I80" s="217"/>
      <c r="J80" s="217"/>
      <c r="K80" s="213"/>
      <c r="L80" s="134"/>
      <c r="M80" s="221"/>
      <c r="N80" s="221"/>
      <c r="O80" s="221"/>
      <c r="P80" s="221"/>
      <c r="Q80" s="221"/>
      <c r="R80" s="119"/>
    </row>
    <row r="81" spans="1:18" s="120" customFormat="1" ht="31.5" customHeight="1" x14ac:dyDescent="0.55000000000000004">
      <c r="A81" s="215"/>
      <c r="B81" s="216"/>
      <c r="C81" s="217"/>
      <c r="D81" s="218"/>
      <c r="E81" s="219"/>
      <c r="F81" s="220"/>
      <c r="G81" s="216"/>
      <c r="H81" s="217"/>
      <c r="I81" s="217"/>
      <c r="J81" s="217"/>
      <c r="K81" s="213"/>
      <c r="L81" s="134"/>
      <c r="M81" s="221"/>
      <c r="N81" s="221"/>
      <c r="O81" s="221"/>
      <c r="P81" s="221"/>
      <c r="Q81" s="221"/>
      <c r="R81" s="119"/>
    </row>
    <row r="82" spans="1:18" s="120" customFormat="1" ht="31.5" customHeight="1" x14ac:dyDescent="0.55000000000000004">
      <c r="A82" s="222"/>
      <c r="B82" s="223"/>
      <c r="C82" s="224"/>
      <c r="D82" s="225"/>
      <c r="E82" s="226"/>
      <c r="F82" s="227"/>
      <c r="G82" s="223"/>
      <c r="H82" s="224"/>
      <c r="I82" s="224"/>
      <c r="J82" s="224"/>
      <c r="K82" s="213"/>
      <c r="L82" s="134"/>
      <c r="M82" s="221"/>
      <c r="N82" s="221"/>
      <c r="O82" s="221"/>
      <c r="P82" s="221"/>
      <c r="Q82" s="221"/>
      <c r="R82" s="119"/>
    </row>
    <row r="83" spans="1:18" s="120" customFormat="1" ht="31.5" customHeight="1" x14ac:dyDescent="0.55000000000000004">
      <c r="A83" s="228" t="s">
        <v>145</v>
      </c>
      <c r="B83" s="229"/>
      <c r="C83" s="209"/>
      <c r="D83" s="210"/>
      <c r="E83" s="230" t="s">
        <v>181</v>
      </c>
      <c r="F83" s="212"/>
      <c r="G83" s="229" t="s">
        <v>181</v>
      </c>
      <c r="H83" s="209"/>
      <c r="I83" s="209"/>
      <c r="J83" s="209"/>
      <c r="K83" s="213"/>
      <c r="L83" s="134"/>
      <c r="M83" s="221"/>
      <c r="N83" s="221"/>
      <c r="O83" s="221"/>
      <c r="P83" s="221"/>
      <c r="Q83" s="221"/>
      <c r="R83" s="119"/>
    </row>
    <row r="84" spans="1:18" s="120" customFormat="1" ht="31.5" customHeight="1" x14ac:dyDescent="0.55000000000000004">
      <c r="A84" s="231"/>
      <c r="B84" s="232"/>
      <c r="C84" s="217"/>
      <c r="D84" s="218"/>
      <c r="E84" s="233"/>
      <c r="F84" s="220"/>
      <c r="G84" s="232"/>
      <c r="H84" s="217"/>
      <c r="I84" s="217"/>
      <c r="J84" s="217"/>
      <c r="K84" s="213"/>
      <c r="L84" s="134"/>
      <c r="M84" s="221"/>
      <c r="N84" s="221"/>
      <c r="O84" s="221"/>
      <c r="P84" s="221"/>
      <c r="Q84" s="221"/>
      <c r="R84" s="119"/>
    </row>
    <row r="85" spans="1:18" s="120" customFormat="1" ht="31.5" customHeight="1" x14ac:dyDescent="0.55000000000000004">
      <c r="A85" s="231"/>
      <c r="B85" s="232"/>
      <c r="C85" s="224"/>
      <c r="D85" s="225"/>
      <c r="E85" s="234"/>
      <c r="F85" s="227"/>
      <c r="G85" s="235"/>
      <c r="H85" s="224"/>
      <c r="I85" s="224"/>
      <c r="J85" s="224"/>
      <c r="K85" s="213"/>
      <c r="L85" s="134"/>
      <c r="M85" s="221"/>
      <c r="N85" s="221"/>
      <c r="O85" s="221"/>
      <c r="P85" s="221"/>
      <c r="Q85" s="221"/>
      <c r="R85" s="119"/>
    </row>
    <row r="86" spans="1:18" s="120" customFormat="1" ht="31.5" customHeight="1" x14ac:dyDescent="0.55000000000000004">
      <c r="A86" s="215" t="s">
        <v>146</v>
      </c>
      <c r="B86" s="216"/>
      <c r="C86" s="209"/>
      <c r="D86" s="210"/>
      <c r="E86" s="211" t="s">
        <v>182</v>
      </c>
      <c r="F86" s="212"/>
      <c r="G86" s="208" t="s">
        <v>182</v>
      </c>
      <c r="H86" s="209"/>
      <c r="I86" s="209"/>
      <c r="J86" s="209"/>
      <c r="K86" s="213"/>
      <c r="L86" s="134"/>
      <c r="M86" s="221"/>
      <c r="N86" s="221"/>
      <c r="O86" s="221"/>
      <c r="P86" s="221"/>
      <c r="Q86" s="221"/>
      <c r="R86" s="119"/>
    </row>
    <row r="87" spans="1:18" s="120" customFormat="1" ht="31.5" customHeight="1" x14ac:dyDescent="0.55000000000000004">
      <c r="A87" s="215"/>
      <c r="B87" s="216"/>
      <c r="C87" s="224"/>
      <c r="D87" s="225"/>
      <c r="E87" s="226"/>
      <c r="F87" s="227"/>
      <c r="G87" s="223"/>
      <c r="H87" s="224"/>
      <c r="I87" s="224"/>
      <c r="J87" s="224"/>
      <c r="K87" s="213"/>
      <c r="L87" s="134"/>
      <c r="M87" s="221"/>
      <c r="N87" s="221"/>
      <c r="O87" s="221"/>
      <c r="P87" s="221"/>
      <c r="Q87" s="221"/>
      <c r="R87" s="119"/>
    </row>
    <row r="88" spans="1:18" s="120" customFormat="1" ht="31.5" customHeight="1" thickBot="1" x14ac:dyDescent="0.6">
      <c r="A88" s="236"/>
      <c r="B88" s="237"/>
      <c r="C88" s="237"/>
      <c r="D88" s="237"/>
      <c r="E88" s="237"/>
      <c r="F88" s="237"/>
      <c r="G88" s="237"/>
      <c r="H88" s="237"/>
      <c r="I88" s="237"/>
      <c r="J88" s="237"/>
      <c r="K88" s="238"/>
      <c r="L88" s="239"/>
      <c r="M88" s="240"/>
      <c r="N88" s="240"/>
      <c r="O88" s="240"/>
      <c r="P88" s="240"/>
      <c r="Q88" s="240"/>
      <c r="R88" s="241"/>
    </row>
  </sheetData>
  <mergeCells count="135">
    <mergeCell ref="A47:A48"/>
    <mergeCell ref="B47:B48"/>
    <mergeCell ref="C47:C48"/>
    <mergeCell ref="A42:A43"/>
    <mergeCell ref="B42:B43"/>
    <mergeCell ref="C42:C43"/>
    <mergeCell ref="D42:D43"/>
    <mergeCell ref="A44:A46"/>
    <mergeCell ref="B44:B46"/>
    <mergeCell ref="C44:C46"/>
    <mergeCell ref="D44:D45"/>
    <mergeCell ref="A36:A38"/>
    <mergeCell ref="B36:B38"/>
    <mergeCell ref="C36:C38"/>
    <mergeCell ref="D36:D38"/>
    <mergeCell ref="A39:A41"/>
    <mergeCell ref="B39:B41"/>
    <mergeCell ref="C39:C41"/>
    <mergeCell ref="D39:D41"/>
    <mergeCell ref="A88:J88"/>
    <mergeCell ref="A19:A24"/>
    <mergeCell ref="B19:B24"/>
    <mergeCell ref="C19:C24"/>
    <mergeCell ref="D19:D21"/>
    <mergeCell ref="D22:D24"/>
    <mergeCell ref="A25:A35"/>
    <mergeCell ref="B25:B35"/>
    <mergeCell ref="C25:C35"/>
    <mergeCell ref="D25:D27"/>
    <mergeCell ref="A86:B87"/>
    <mergeCell ref="C86:D87"/>
    <mergeCell ref="E86:E87"/>
    <mergeCell ref="F86:F87"/>
    <mergeCell ref="G86:G87"/>
    <mergeCell ref="H86:J87"/>
    <mergeCell ref="A83:B85"/>
    <mergeCell ref="C83:D85"/>
    <mergeCell ref="E83:E85"/>
    <mergeCell ref="F83:F85"/>
    <mergeCell ref="G83:G85"/>
    <mergeCell ref="H83:J85"/>
    <mergeCell ref="B76:R76"/>
    <mergeCell ref="B77:G77"/>
    <mergeCell ref="B78:R78"/>
    <mergeCell ref="A79:B82"/>
    <mergeCell ref="C79:D82"/>
    <mergeCell ref="E79:E82"/>
    <mergeCell ref="F79:F82"/>
    <mergeCell ref="G79:G82"/>
    <mergeCell ref="H79:J82"/>
    <mergeCell ref="M79:Q88"/>
    <mergeCell ref="L73:N73"/>
    <mergeCell ref="O73:P73"/>
    <mergeCell ref="C74:K74"/>
    <mergeCell ref="L74:N74"/>
    <mergeCell ref="O74:P74"/>
    <mergeCell ref="B75:G75"/>
    <mergeCell ref="O70:P70"/>
    <mergeCell ref="Q70:R70"/>
    <mergeCell ref="C71:K71"/>
    <mergeCell ref="L71:N71"/>
    <mergeCell ref="O71:P71"/>
    <mergeCell ref="Q71:R74"/>
    <mergeCell ref="C72:K72"/>
    <mergeCell ref="L72:N72"/>
    <mergeCell ref="O72:P72"/>
    <mergeCell ref="C73:K73"/>
    <mergeCell ref="A65:G65"/>
    <mergeCell ref="C66:G66"/>
    <mergeCell ref="C67:G67"/>
    <mergeCell ref="C68:G68"/>
    <mergeCell ref="B69:D69"/>
    <mergeCell ref="B70:B74"/>
    <mergeCell ref="F70:J70"/>
    <mergeCell ref="C59:G59"/>
    <mergeCell ref="C60:G60"/>
    <mergeCell ref="C61:G61"/>
    <mergeCell ref="C62:G62"/>
    <mergeCell ref="C63:G63"/>
    <mergeCell ref="C64:G64"/>
    <mergeCell ref="C56:G56"/>
    <mergeCell ref="N56:O56"/>
    <mergeCell ref="C57:G57"/>
    <mergeCell ref="N57:O57"/>
    <mergeCell ref="C58:G58"/>
    <mergeCell ref="N58:O58"/>
    <mergeCell ref="C53:G53"/>
    <mergeCell ref="N53:O53"/>
    <mergeCell ref="C54:G54"/>
    <mergeCell ref="N54:O54"/>
    <mergeCell ref="C55:G55"/>
    <mergeCell ref="N55:O55"/>
    <mergeCell ref="R17:R18"/>
    <mergeCell ref="I50:Q50"/>
    <mergeCell ref="A51:G51"/>
    <mergeCell ref="H51:K51"/>
    <mergeCell ref="L51:L52"/>
    <mergeCell ref="C52:G52"/>
    <mergeCell ref="D28:D29"/>
    <mergeCell ref="D30:D31"/>
    <mergeCell ref="D32:D33"/>
    <mergeCell ref="D34:D35"/>
    <mergeCell ref="G17:G18"/>
    <mergeCell ref="H17:H18"/>
    <mergeCell ref="I17:I18"/>
    <mergeCell ref="J17:O17"/>
    <mergeCell ref="P17:P18"/>
    <mergeCell ref="Q17:Q18"/>
    <mergeCell ref="A14:B14"/>
    <mergeCell ref="I14:J14"/>
    <mergeCell ref="A15:I15"/>
    <mergeCell ref="A16:I16"/>
    <mergeCell ref="A17:A18"/>
    <mergeCell ref="B17:B18"/>
    <mergeCell ref="C17:C18"/>
    <mergeCell ref="D17:D18"/>
    <mergeCell ref="E17:E18"/>
    <mergeCell ref="F17:F18"/>
    <mergeCell ref="A10:B10"/>
    <mergeCell ref="I10:J10"/>
    <mergeCell ref="A11:B11"/>
    <mergeCell ref="I11:J11"/>
    <mergeCell ref="A12:I12"/>
    <mergeCell ref="A13:B13"/>
    <mergeCell ref="I13:J13"/>
    <mergeCell ref="A1:R3"/>
    <mergeCell ref="A4:J4"/>
    <mergeCell ref="K4:R15"/>
    <mergeCell ref="E5:H5"/>
    <mergeCell ref="A6:H6"/>
    <mergeCell ref="A7:B7"/>
    <mergeCell ref="I7:J7"/>
    <mergeCell ref="A8:B8"/>
    <mergeCell ref="I8:J8"/>
    <mergeCell ref="A9:I9"/>
  </mergeCells>
  <hyperlinks>
    <hyperlink ref="E8" r:id="rId1" xr:uid="{CB985404-869C-4553-9833-F43382AAEB26}"/>
  </hyperlinks>
  <pageMargins left="0.7" right="0.7" top="0.75" bottom="0.75" header="0.3" footer="0.3"/>
  <pageSetup scale="14" fitToHeight="0" orientation="landscape"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1B1EA1-F028-4F09-B7B3-435BAD283A94}">
  <sheetPr>
    <pageSetUpPr fitToPage="1"/>
  </sheetPr>
  <dimension ref="A1:S88"/>
  <sheetViews>
    <sheetView zoomScale="30" zoomScaleNormal="30" workbookViewId="0">
      <selection activeCell="A19" sqref="A19:O48"/>
    </sheetView>
  </sheetViews>
  <sheetFormatPr defaultRowHeight="31.5" customHeight="1" x14ac:dyDescent="0.55000000000000004"/>
  <cols>
    <col min="1" max="1" width="15.5703125" style="242" bestFit="1" customWidth="1"/>
    <col min="2" max="2" width="85.42578125" style="4" bestFit="1" customWidth="1"/>
    <col min="3" max="3" width="39.5703125" style="4" bestFit="1" customWidth="1"/>
    <col min="4" max="4" width="114.85546875" style="4" customWidth="1"/>
    <col min="5" max="5" width="64.7109375" style="242" bestFit="1" customWidth="1"/>
    <col min="6" max="6" width="42" style="242" customWidth="1"/>
    <col min="7" max="7" width="255.7109375" style="4" bestFit="1" customWidth="1"/>
    <col min="8" max="8" width="33" style="242" customWidth="1"/>
    <col min="9" max="9" width="62.42578125" style="242" customWidth="1"/>
    <col min="10" max="10" width="45.140625" style="242" customWidth="1"/>
    <col min="11" max="13" width="35.28515625" style="242" bestFit="1" customWidth="1"/>
    <col min="14" max="14" width="40.7109375" style="242" bestFit="1" customWidth="1"/>
    <col min="15" max="15" width="36.85546875" style="242" bestFit="1" customWidth="1"/>
    <col min="16" max="17" width="36.85546875" style="243" customWidth="1"/>
    <col min="18" max="18" width="36.85546875" style="244" customWidth="1"/>
    <col min="19" max="16384" width="9.140625" style="4"/>
  </cols>
  <sheetData>
    <row r="1" spans="1:19" ht="31.5" customHeight="1" x14ac:dyDescent="0.25">
      <c r="A1" s="1" t="s">
        <v>147</v>
      </c>
      <c r="B1" s="2"/>
      <c r="C1" s="2"/>
      <c r="D1" s="2"/>
      <c r="E1" s="2"/>
      <c r="F1" s="2"/>
      <c r="G1" s="2"/>
      <c r="H1" s="2"/>
      <c r="I1" s="2"/>
      <c r="J1" s="2"/>
      <c r="K1" s="2"/>
      <c r="L1" s="2"/>
      <c r="M1" s="2"/>
      <c r="N1" s="2"/>
      <c r="O1" s="2"/>
      <c r="P1" s="2"/>
      <c r="Q1" s="2"/>
      <c r="R1" s="3"/>
    </row>
    <row r="2" spans="1:19" ht="31.5" customHeight="1" x14ac:dyDescent="0.25">
      <c r="A2" s="5"/>
      <c r="B2" s="6"/>
      <c r="C2" s="6"/>
      <c r="D2" s="6"/>
      <c r="E2" s="6"/>
      <c r="F2" s="6"/>
      <c r="G2" s="6"/>
      <c r="H2" s="6"/>
      <c r="I2" s="6"/>
      <c r="J2" s="6"/>
      <c r="K2" s="6"/>
      <c r="L2" s="6"/>
      <c r="M2" s="6"/>
      <c r="N2" s="6"/>
      <c r="O2" s="6"/>
      <c r="P2" s="6"/>
      <c r="Q2" s="6"/>
      <c r="R2" s="7"/>
    </row>
    <row r="3" spans="1:19" ht="31.5" customHeight="1" thickBot="1" x14ac:dyDescent="0.3">
      <c r="A3" s="5"/>
      <c r="B3" s="6"/>
      <c r="C3" s="6"/>
      <c r="D3" s="6"/>
      <c r="E3" s="6"/>
      <c r="F3" s="6"/>
      <c r="G3" s="6"/>
      <c r="H3" s="6"/>
      <c r="I3" s="6"/>
      <c r="J3" s="6"/>
      <c r="K3" s="6"/>
      <c r="L3" s="6"/>
      <c r="M3" s="6"/>
      <c r="N3" s="6"/>
      <c r="O3" s="6"/>
      <c r="P3" s="6"/>
      <c r="Q3" s="6"/>
      <c r="R3" s="7"/>
    </row>
    <row r="4" spans="1:19" s="13" customFormat="1" ht="45.75" x14ac:dyDescent="0.25">
      <c r="A4" s="8" t="s">
        <v>0</v>
      </c>
      <c r="B4" s="9"/>
      <c r="C4" s="9"/>
      <c r="D4" s="9"/>
      <c r="E4" s="9"/>
      <c r="F4" s="9"/>
      <c r="G4" s="9"/>
      <c r="H4" s="9"/>
      <c r="I4" s="9"/>
      <c r="J4" s="9"/>
      <c r="K4" s="10"/>
      <c r="L4" s="11"/>
      <c r="M4" s="11"/>
      <c r="N4" s="11"/>
      <c r="O4" s="11"/>
      <c r="P4" s="11"/>
      <c r="Q4" s="11"/>
      <c r="R4" s="12"/>
    </row>
    <row r="5" spans="1:19" s="24" customFormat="1" ht="32.25" x14ac:dyDescent="0.5">
      <c r="A5" s="14" t="s">
        <v>1</v>
      </c>
      <c r="B5" s="15" t="s">
        <v>187</v>
      </c>
      <c r="C5" s="16" t="s">
        <v>2</v>
      </c>
      <c r="D5" s="17" t="s">
        <v>188</v>
      </c>
      <c r="E5" s="18"/>
      <c r="F5" s="18"/>
      <c r="G5" s="18"/>
      <c r="H5" s="18"/>
      <c r="I5" s="19"/>
      <c r="J5" s="20"/>
      <c r="K5" s="21"/>
      <c r="L5" s="22"/>
      <c r="M5" s="22"/>
      <c r="N5" s="22"/>
      <c r="O5" s="22"/>
      <c r="P5" s="22"/>
      <c r="Q5" s="22"/>
      <c r="R5" s="23"/>
    </row>
    <row r="6" spans="1:19" s="29" customFormat="1" ht="38.25" customHeight="1" x14ac:dyDescent="0.55000000000000004">
      <c r="A6" s="25" t="s">
        <v>3</v>
      </c>
      <c r="B6" s="26"/>
      <c r="C6" s="26"/>
      <c r="D6" s="26"/>
      <c r="E6" s="26"/>
      <c r="F6" s="26"/>
      <c r="G6" s="26"/>
      <c r="H6" s="26"/>
      <c r="I6" s="27"/>
      <c r="J6" s="28"/>
      <c r="K6" s="21"/>
      <c r="L6" s="22"/>
      <c r="M6" s="22"/>
      <c r="N6" s="22"/>
      <c r="O6" s="22"/>
      <c r="P6" s="22"/>
      <c r="Q6" s="22"/>
      <c r="R6" s="23"/>
    </row>
    <row r="7" spans="1:19" s="41" customFormat="1" ht="39" x14ac:dyDescent="0.6">
      <c r="A7" s="245" t="s">
        <v>4</v>
      </c>
      <c r="B7" s="246"/>
      <c r="C7" s="247" t="s">
        <v>5</v>
      </c>
      <c r="D7" s="248" t="s">
        <v>6</v>
      </c>
      <c r="E7" s="247" t="s">
        <v>7</v>
      </c>
      <c r="F7" s="248" t="s">
        <v>8</v>
      </c>
      <c r="G7" s="249" t="s">
        <v>9</v>
      </c>
      <c r="H7" s="248" t="s">
        <v>10</v>
      </c>
      <c r="I7" s="250" t="s">
        <v>11</v>
      </c>
      <c r="J7" s="251"/>
      <c r="K7" s="21"/>
      <c r="L7" s="22"/>
      <c r="M7" s="22"/>
      <c r="N7" s="22"/>
      <c r="O7" s="22"/>
      <c r="P7" s="22"/>
      <c r="Q7" s="22"/>
      <c r="R7" s="23"/>
      <c r="S7" s="252"/>
    </row>
    <row r="8" spans="1:19" s="41" customFormat="1" ht="39.75" x14ac:dyDescent="0.6">
      <c r="A8" s="253" t="s">
        <v>12</v>
      </c>
      <c r="B8" s="254"/>
      <c r="C8" s="255">
        <v>60730</v>
      </c>
      <c r="D8" s="256" t="s">
        <v>13</v>
      </c>
      <c r="E8" s="257" t="s">
        <v>14</v>
      </c>
      <c r="F8" s="256" t="s">
        <v>15</v>
      </c>
      <c r="G8" s="258"/>
      <c r="H8" s="256" t="s">
        <v>16</v>
      </c>
      <c r="I8" s="259" t="s">
        <v>17</v>
      </c>
      <c r="J8" s="260"/>
      <c r="K8" s="21"/>
      <c r="L8" s="22"/>
      <c r="M8" s="22"/>
      <c r="N8" s="22"/>
      <c r="O8" s="22"/>
      <c r="P8" s="22"/>
      <c r="Q8" s="22"/>
      <c r="R8" s="23"/>
      <c r="S8" s="252"/>
    </row>
    <row r="9" spans="1:19" s="32" customFormat="1" ht="62.25" customHeight="1" x14ac:dyDescent="0.6">
      <c r="A9" s="30" t="s">
        <v>18</v>
      </c>
      <c r="B9" s="30"/>
      <c r="C9" s="30"/>
      <c r="D9" s="30"/>
      <c r="E9" s="30"/>
      <c r="F9" s="30"/>
      <c r="G9" s="30"/>
      <c r="H9" s="30"/>
      <c r="I9" s="30"/>
      <c r="J9" s="31"/>
      <c r="K9" s="21"/>
      <c r="L9" s="22"/>
      <c r="M9" s="22"/>
      <c r="N9" s="22"/>
      <c r="O9" s="22"/>
      <c r="P9" s="22"/>
      <c r="Q9" s="22"/>
      <c r="R9" s="23"/>
    </row>
    <row r="10" spans="1:19" s="41" customFormat="1" ht="39" x14ac:dyDescent="0.6">
      <c r="A10" s="33" t="s">
        <v>4</v>
      </c>
      <c r="B10" s="34"/>
      <c r="C10" s="35" t="s">
        <v>19</v>
      </c>
      <c r="D10" s="36" t="s">
        <v>6</v>
      </c>
      <c r="E10" s="35" t="s">
        <v>20</v>
      </c>
      <c r="F10" s="37" t="s">
        <v>8</v>
      </c>
      <c r="G10" s="38" t="s">
        <v>21</v>
      </c>
      <c r="H10" s="36" t="s">
        <v>10</v>
      </c>
      <c r="I10" s="39" t="s">
        <v>22</v>
      </c>
      <c r="J10" s="40"/>
      <c r="K10" s="21"/>
      <c r="L10" s="22"/>
      <c r="M10" s="22"/>
      <c r="N10" s="22"/>
      <c r="O10" s="22"/>
      <c r="P10" s="22"/>
      <c r="Q10" s="22"/>
      <c r="R10" s="23"/>
    </row>
    <row r="11" spans="1:19" s="41" customFormat="1" ht="39.75" x14ac:dyDescent="0.6">
      <c r="A11" s="42" t="s">
        <v>12</v>
      </c>
      <c r="B11" s="43"/>
      <c r="C11" s="44">
        <v>60529</v>
      </c>
      <c r="D11" s="45" t="s">
        <v>13</v>
      </c>
      <c r="E11" s="261" t="s">
        <v>23</v>
      </c>
      <c r="F11" s="46" t="s">
        <v>15</v>
      </c>
      <c r="G11" s="262"/>
      <c r="H11" s="45" t="s">
        <v>16</v>
      </c>
      <c r="I11" s="47" t="s">
        <v>24</v>
      </c>
      <c r="J11" s="48"/>
      <c r="K11" s="21"/>
      <c r="L11" s="22"/>
      <c r="M11" s="22"/>
      <c r="N11" s="22"/>
      <c r="O11" s="22"/>
      <c r="P11" s="22"/>
      <c r="Q11" s="22"/>
      <c r="R11" s="23"/>
    </row>
    <row r="12" spans="1:19" s="32" customFormat="1" ht="39" x14ac:dyDescent="0.6">
      <c r="A12" s="30" t="s">
        <v>25</v>
      </c>
      <c r="B12" s="30"/>
      <c r="C12" s="30"/>
      <c r="D12" s="30"/>
      <c r="E12" s="30"/>
      <c r="F12" s="30"/>
      <c r="G12" s="30"/>
      <c r="H12" s="30"/>
      <c r="I12" s="30"/>
      <c r="J12" s="31"/>
      <c r="K12" s="21"/>
      <c r="L12" s="22"/>
      <c r="M12" s="22"/>
      <c r="N12" s="22"/>
      <c r="O12" s="22"/>
      <c r="P12" s="22"/>
      <c r="Q12" s="22"/>
      <c r="R12" s="23"/>
    </row>
    <row r="13" spans="1:19" s="41" customFormat="1" ht="56.25" customHeight="1" x14ac:dyDescent="0.6">
      <c r="A13" s="263" t="s">
        <v>4</v>
      </c>
      <c r="B13" s="263"/>
      <c r="C13" s="35"/>
      <c r="D13" s="36" t="s">
        <v>6</v>
      </c>
      <c r="E13" s="35"/>
      <c r="F13" s="37" t="s">
        <v>8</v>
      </c>
      <c r="G13" s="38"/>
      <c r="H13" s="36" t="s">
        <v>10</v>
      </c>
      <c r="I13" s="264"/>
      <c r="J13" s="265"/>
      <c r="K13" s="21"/>
      <c r="L13" s="22"/>
      <c r="M13" s="22"/>
      <c r="N13" s="22"/>
      <c r="O13" s="22"/>
      <c r="P13" s="22"/>
      <c r="Q13" s="22"/>
      <c r="R13" s="23"/>
    </row>
    <row r="14" spans="1:19" s="41" customFormat="1" ht="57" customHeight="1" x14ac:dyDescent="0.6">
      <c r="A14" s="266" t="s">
        <v>12</v>
      </c>
      <c r="B14" s="266"/>
      <c r="C14" s="44"/>
      <c r="D14" s="45" t="s">
        <v>13</v>
      </c>
      <c r="E14" s="267"/>
      <c r="F14" s="46" t="s">
        <v>15</v>
      </c>
      <c r="G14" s="262"/>
      <c r="H14" s="45" t="s">
        <v>16</v>
      </c>
      <c r="I14" s="268"/>
      <c r="J14" s="269"/>
      <c r="K14" s="21"/>
      <c r="L14" s="22"/>
      <c r="M14" s="22"/>
      <c r="N14" s="22"/>
      <c r="O14" s="22"/>
      <c r="P14" s="22"/>
      <c r="Q14" s="22"/>
      <c r="R14" s="23"/>
    </row>
    <row r="15" spans="1:19" s="55" customFormat="1" ht="20.25" customHeight="1" thickBot="1" x14ac:dyDescent="0.75">
      <c r="A15" s="49"/>
      <c r="B15" s="50"/>
      <c r="C15" s="50"/>
      <c r="D15" s="50"/>
      <c r="E15" s="50"/>
      <c r="F15" s="50"/>
      <c r="G15" s="50"/>
      <c r="H15" s="50"/>
      <c r="I15" s="50"/>
      <c r="J15" s="51"/>
      <c r="K15" s="52"/>
      <c r="L15" s="53"/>
      <c r="M15" s="53"/>
      <c r="N15" s="53"/>
      <c r="O15" s="53"/>
      <c r="P15" s="53"/>
      <c r="Q15" s="53"/>
      <c r="R15" s="54"/>
    </row>
    <row r="16" spans="1:19" s="55" customFormat="1" ht="47.25" x14ac:dyDescent="0.7">
      <c r="A16" s="56" t="s">
        <v>26</v>
      </c>
      <c r="B16" s="57"/>
      <c r="C16" s="57"/>
      <c r="D16" s="57"/>
      <c r="E16" s="57"/>
      <c r="F16" s="57"/>
      <c r="G16" s="57"/>
      <c r="H16" s="57"/>
      <c r="I16" s="57"/>
      <c r="J16" s="58"/>
      <c r="K16" s="59"/>
      <c r="L16" s="60"/>
      <c r="M16" s="60"/>
      <c r="N16" s="60"/>
      <c r="O16" s="60"/>
      <c r="P16" s="61"/>
      <c r="Q16" s="61"/>
      <c r="R16" s="62"/>
    </row>
    <row r="17" spans="1:18" s="73" customFormat="1" ht="31.5" customHeight="1" x14ac:dyDescent="0.25">
      <c r="A17" s="63" t="s">
        <v>27</v>
      </c>
      <c r="B17" s="64" t="s">
        <v>28</v>
      </c>
      <c r="C17" s="65" t="s">
        <v>29</v>
      </c>
      <c r="D17" s="65" t="s">
        <v>30</v>
      </c>
      <c r="E17" s="65" t="s">
        <v>29</v>
      </c>
      <c r="F17" s="66" t="s">
        <v>31</v>
      </c>
      <c r="G17" s="66" t="s">
        <v>32</v>
      </c>
      <c r="H17" s="67" t="s">
        <v>33</v>
      </c>
      <c r="I17" s="66" t="s">
        <v>34</v>
      </c>
      <c r="J17" s="68" t="s">
        <v>35</v>
      </c>
      <c r="K17" s="69"/>
      <c r="L17" s="69"/>
      <c r="M17" s="69"/>
      <c r="N17" s="69"/>
      <c r="O17" s="70"/>
      <c r="P17" s="71" t="s">
        <v>150</v>
      </c>
      <c r="Q17" s="71" t="s">
        <v>151</v>
      </c>
      <c r="R17" s="72" t="s">
        <v>152</v>
      </c>
    </row>
    <row r="18" spans="1:18" s="73" customFormat="1" ht="36" x14ac:dyDescent="0.25">
      <c r="A18" s="74"/>
      <c r="B18" s="64"/>
      <c r="C18" s="64"/>
      <c r="D18" s="64"/>
      <c r="E18" s="64"/>
      <c r="F18" s="75"/>
      <c r="G18" s="75"/>
      <c r="H18" s="76"/>
      <c r="I18" s="75"/>
      <c r="J18" s="77" t="s">
        <v>153</v>
      </c>
      <c r="K18" s="78" t="s">
        <v>154</v>
      </c>
      <c r="L18" s="78" t="s">
        <v>155</v>
      </c>
      <c r="M18" s="77" t="s">
        <v>156</v>
      </c>
      <c r="N18" s="77" t="s">
        <v>157</v>
      </c>
      <c r="O18" s="77" t="s">
        <v>158</v>
      </c>
      <c r="P18" s="79"/>
      <c r="Q18" s="79"/>
      <c r="R18" s="80"/>
    </row>
    <row r="19" spans="1:18" s="91" customFormat="1" ht="147" customHeight="1" x14ac:dyDescent="0.25">
      <c r="A19" s="270">
        <v>1</v>
      </c>
      <c r="B19" s="271" t="s">
        <v>42</v>
      </c>
      <c r="C19" s="272">
        <f>SUM(E19:E24)</f>
        <v>0.42666666666666664</v>
      </c>
      <c r="D19" s="273" t="s">
        <v>43</v>
      </c>
      <c r="E19" s="82">
        <v>6.6666666666666666E-2</v>
      </c>
      <c r="F19" s="82">
        <f>E19/$E$49* 100</f>
        <v>0.96545065857527068</v>
      </c>
      <c r="G19" s="83" t="s">
        <v>44</v>
      </c>
      <c r="H19" s="84">
        <v>1</v>
      </c>
      <c r="I19" s="85" t="s">
        <v>45</v>
      </c>
      <c r="J19" s="86">
        <v>100</v>
      </c>
      <c r="K19" s="87">
        <v>95</v>
      </c>
      <c r="L19" s="87">
        <v>90</v>
      </c>
      <c r="M19" s="87">
        <v>85</v>
      </c>
      <c r="N19" s="87">
        <v>80</v>
      </c>
      <c r="O19" s="87" t="s">
        <v>46</v>
      </c>
      <c r="P19" s="88"/>
      <c r="Q19" s="89">
        <f t="shared" ref="Q19:Q48" si="0">IF(OR(TRIM(P19)="",P19=0),0,
IF(P19&lt;N19,50,
IF(P19&lt;M19,60,
IF(P19&lt;L19,70,
IF(P19&lt;K19,80,
IF(ISNUMBER(J19),
    IF(P19&lt;J19,IF(P19&gt;=K19,90,80),100),
    IF(P19=K19,90,100)
))))))</f>
        <v>0</v>
      </c>
      <c r="R19" s="90">
        <f t="shared" ref="R19:R48" si="1">F19*Q19/100</f>
        <v>0</v>
      </c>
    </row>
    <row r="20" spans="1:18" s="91" customFormat="1" ht="147" customHeight="1" x14ac:dyDescent="0.25">
      <c r="A20" s="270"/>
      <c r="B20" s="271"/>
      <c r="C20" s="272"/>
      <c r="D20" s="274"/>
      <c r="E20" s="82">
        <v>6.6666666666666666E-2</v>
      </c>
      <c r="F20" s="82">
        <f t="shared" ref="F20:F48" si="2">E20/$E$49* 100</f>
        <v>0.96545065857527068</v>
      </c>
      <c r="G20" s="83" t="s">
        <v>47</v>
      </c>
      <c r="H20" s="84">
        <v>1</v>
      </c>
      <c r="I20" s="85" t="s">
        <v>45</v>
      </c>
      <c r="J20" s="86">
        <v>100</v>
      </c>
      <c r="K20" s="87">
        <v>95</v>
      </c>
      <c r="L20" s="87">
        <v>90</v>
      </c>
      <c r="M20" s="87">
        <v>85</v>
      </c>
      <c r="N20" s="87">
        <v>80</v>
      </c>
      <c r="O20" s="87" t="s">
        <v>46</v>
      </c>
      <c r="P20" s="88"/>
      <c r="Q20" s="89">
        <f t="shared" si="0"/>
        <v>0</v>
      </c>
      <c r="R20" s="90">
        <f t="shared" si="1"/>
        <v>0</v>
      </c>
    </row>
    <row r="21" spans="1:18" s="91" customFormat="1" ht="147" customHeight="1" x14ac:dyDescent="0.25">
      <c r="A21" s="270"/>
      <c r="B21" s="271"/>
      <c r="C21" s="272"/>
      <c r="D21" s="275"/>
      <c r="E21" s="82">
        <v>0.13333333333333333</v>
      </c>
      <c r="F21" s="82">
        <f t="shared" si="2"/>
        <v>1.9309013171505414</v>
      </c>
      <c r="G21" s="83" t="s">
        <v>48</v>
      </c>
      <c r="H21" s="84">
        <v>1</v>
      </c>
      <c r="I21" s="85" t="s">
        <v>45</v>
      </c>
      <c r="J21" s="86">
        <v>100</v>
      </c>
      <c r="K21" s="87">
        <v>95</v>
      </c>
      <c r="L21" s="87">
        <v>90</v>
      </c>
      <c r="M21" s="87">
        <v>85</v>
      </c>
      <c r="N21" s="87">
        <v>80</v>
      </c>
      <c r="O21" s="87" t="s">
        <v>46</v>
      </c>
      <c r="P21" s="88"/>
      <c r="Q21" s="89">
        <f t="shared" si="0"/>
        <v>0</v>
      </c>
      <c r="R21" s="90">
        <f t="shared" si="1"/>
        <v>0</v>
      </c>
    </row>
    <row r="22" spans="1:18" s="91" customFormat="1" ht="147" customHeight="1" x14ac:dyDescent="0.25">
      <c r="A22" s="270"/>
      <c r="B22" s="271"/>
      <c r="C22" s="272"/>
      <c r="D22" s="271" t="s">
        <v>49</v>
      </c>
      <c r="E22" s="82">
        <v>0.08</v>
      </c>
      <c r="F22" s="82">
        <f t="shared" si="2"/>
        <v>1.1585407902903249</v>
      </c>
      <c r="G22" s="83" t="s">
        <v>50</v>
      </c>
      <c r="H22" s="84">
        <v>0.5</v>
      </c>
      <c r="I22" s="85" t="s">
        <v>45</v>
      </c>
      <c r="J22" s="86" t="s">
        <v>51</v>
      </c>
      <c r="K22" s="87">
        <v>50</v>
      </c>
      <c r="L22" s="87">
        <v>45</v>
      </c>
      <c r="M22" s="87">
        <v>40</v>
      </c>
      <c r="N22" s="87">
        <v>25</v>
      </c>
      <c r="O22" s="87" t="s">
        <v>52</v>
      </c>
      <c r="P22" s="88"/>
      <c r="Q22" s="89">
        <f t="shared" si="0"/>
        <v>0</v>
      </c>
      <c r="R22" s="90">
        <f t="shared" si="1"/>
        <v>0</v>
      </c>
    </row>
    <row r="23" spans="1:18" s="91" customFormat="1" ht="147" customHeight="1" x14ac:dyDescent="0.25">
      <c r="A23" s="270"/>
      <c r="B23" s="271"/>
      <c r="C23" s="272"/>
      <c r="D23" s="271"/>
      <c r="E23" s="82">
        <v>0.04</v>
      </c>
      <c r="F23" s="82">
        <f t="shared" si="2"/>
        <v>0.57927039514516243</v>
      </c>
      <c r="G23" s="83" t="s">
        <v>53</v>
      </c>
      <c r="H23" s="84">
        <v>0.5</v>
      </c>
      <c r="I23" s="85" t="s">
        <v>45</v>
      </c>
      <c r="J23" s="86" t="s">
        <v>51</v>
      </c>
      <c r="K23" s="87">
        <v>50</v>
      </c>
      <c r="L23" s="87">
        <v>45</v>
      </c>
      <c r="M23" s="87">
        <v>40</v>
      </c>
      <c r="N23" s="87">
        <v>25</v>
      </c>
      <c r="O23" s="87" t="s">
        <v>52</v>
      </c>
      <c r="P23" s="88"/>
      <c r="Q23" s="89">
        <f t="shared" ref="Q23:Q44" si="3">IF(OR(TRIM(P23)="",P23=0),0,
IF(P23&lt;N23,50,
IF(P23&lt;M23,60,
IF(P23&lt;L23,70,
IF(P23&lt;K23,80,
IF(ISNUMBER(J23),
    IF(P23&lt;J23,IF(P23&gt;=K23,90,80),100),
    IF(P23=K23,90,100)
))))))</f>
        <v>0</v>
      </c>
      <c r="R23" s="90">
        <f t="shared" ref="R23:R44" si="4">F23*Q23/100</f>
        <v>0</v>
      </c>
    </row>
    <row r="24" spans="1:18" s="91" customFormat="1" ht="147" customHeight="1" x14ac:dyDescent="0.25">
      <c r="A24" s="270"/>
      <c r="B24" s="271"/>
      <c r="C24" s="272"/>
      <c r="D24" s="271"/>
      <c r="E24" s="82">
        <v>0.04</v>
      </c>
      <c r="F24" s="82">
        <f t="shared" si="2"/>
        <v>0.57927039514516243</v>
      </c>
      <c r="G24" s="83" t="s">
        <v>54</v>
      </c>
      <c r="H24" s="84">
        <v>0.75</v>
      </c>
      <c r="I24" s="85" t="s">
        <v>45</v>
      </c>
      <c r="J24" s="86" t="s">
        <v>55</v>
      </c>
      <c r="K24" s="87">
        <v>75</v>
      </c>
      <c r="L24" s="87">
        <v>70</v>
      </c>
      <c r="M24" s="87">
        <v>60</v>
      </c>
      <c r="N24" s="87">
        <v>50</v>
      </c>
      <c r="O24" s="87" t="s">
        <v>56</v>
      </c>
      <c r="P24" s="88"/>
      <c r="Q24" s="89">
        <f t="shared" si="3"/>
        <v>0</v>
      </c>
      <c r="R24" s="90">
        <f t="shared" si="4"/>
        <v>0</v>
      </c>
    </row>
    <row r="25" spans="1:18" s="91" customFormat="1" ht="147" customHeight="1" x14ac:dyDescent="0.25">
      <c r="A25" s="276">
        <v>2</v>
      </c>
      <c r="B25" s="273" t="s">
        <v>57</v>
      </c>
      <c r="C25" s="277">
        <v>3</v>
      </c>
      <c r="D25" s="273" t="s">
        <v>58</v>
      </c>
      <c r="E25" s="82">
        <v>0.3</v>
      </c>
      <c r="F25" s="82">
        <f t="shared" si="2"/>
        <v>4.3445279635887184</v>
      </c>
      <c r="G25" s="83" t="s">
        <v>59</v>
      </c>
      <c r="H25" s="93">
        <v>1</v>
      </c>
      <c r="I25" s="85" t="s">
        <v>45</v>
      </c>
      <c r="J25" s="86">
        <v>100</v>
      </c>
      <c r="K25" s="87">
        <v>95</v>
      </c>
      <c r="L25" s="87">
        <v>90</v>
      </c>
      <c r="M25" s="87">
        <v>85</v>
      </c>
      <c r="N25" s="87">
        <v>80</v>
      </c>
      <c r="O25" s="87" t="s">
        <v>46</v>
      </c>
      <c r="P25" s="88"/>
      <c r="Q25" s="89">
        <f t="shared" si="3"/>
        <v>0</v>
      </c>
      <c r="R25" s="90">
        <f t="shared" si="4"/>
        <v>0</v>
      </c>
    </row>
    <row r="26" spans="1:18" s="91" customFormat="1" ht="147" customHeight="1" x14ac:dyDescent="0.25">
      <c r="A26" s="278"/>
      <c r="B26" s="274"/>
      <c r="C26" s="279"/>
      <c r="D26" s="274"/>
      <c r="E26" s="82">
        <v>0.3</v>
      </c>
      <c r="F26" s="82">
        <f t="shared" si="2"/>
        <v>4.3445279635887184</v>
      </c>
      <c r="G26" s="83" t="s">
        <v>60</v>
      </c>
      <c r="H26" s="93">
        <v>1</v>
      </c>
      <c r="I26" s="85" t="s">
        <v>45</v>
      </c>
      <c r="J26" s="86">
        <v>100</v>
      </c>
      <c r="K26" s="87">
        <v>95</v>
      </c>
      <c r="L26" s="87">
        <v>90</v>
      </c>
      <c r="M26" s="87">
        <v>85</v>
      </c>
      <c r="N26" s="87">
        <v>80</v>
      </c>
      <c r="O26" s="87" t="s">
        <v>46</v>
      </c>
      <c r="P26" s="88"/>
      <c r="Q26" s="89">
        <f t="shared" si="3"/>
        <v>0</v>
      </c>
      <c r="R26" s="90">
        <f t="shared" si="4"/>
        <v>0</v>
      </c>
    </row>
    <row r="27" spans="1:18" s="91" customFormat="1" ht="147" customHeight="1" x14ac:dyDescent="0.25">
      <c r="A27" s="278"/>
      <c r="B27" s="274"/>
      <c r="C27" s="279"/>
      <c r="D27" s="275"/>
      <c r="E27" s="82">
        <v>0.4</v>
      </c>
      <c r="F27" s="82">
        <f t="shared" si="2"/>
        <v>5.7927039514516245</v>
      </c>
      <c r="G27" s="83" t="s">
        <v>61</v>
      </c>
      <c r="H27" s="93">
        <v>1</v>
      </c>
      <c r="I27" s="85" t="s">
        <v>45</v>
      </c>
      <c r="J27" s="86">
        <v>100</v>
      </c>
      <c r="K27" s="87">
        <v>95</v>
      </c>
      <c r="L27" s="87">
        <v>90</v>
      </c>
      <c r="M27" s="87">
        <v>85</v>
      </c>
      <c r="N27" s="87">
        <v>80</v>
      </c>
      <c r="O27" s="87" t="s">
        <v>46</v>
      </c>
      <c r="P27" s="88"/>
      <c r="Q27" s="89">
        <f t="shared" si="3"/>
        <v>0</v>
      </c>
      <c r="R27" s="90">
        <f t="shared" si="4"/>
        <v>0</v>
      </c>
    </row>
    <row r="28" spans="1:18" s="91" customFormat="1" ht="147" customHeight="1" x14ac:dyDescent="0.25">
      <c r="A28" s="278"/>
      <c r="B28" s="274"/>
      <c r="C28" s="279"/>
      <c r="D28" s="273" t="s">
        <v>62</v>
      </c>
      <c r="E28" s="82">
        <v>0.35</v>
      </c>
      <c r="F28" s="82">
        <f t="shared" si="2"/>
        <v>5.068615957520171</v>
      </c>
      <c r="G28" s="83" t="s">
        <v>63</v>
      </c>
      <c r="H28" s="93">
        <v>1</v>
      </c>
      <c r="I28" s="85" t="s">
        <v>45</v>
      </c>
      <c r="J28" s="86">
        <v>100</v>
      </c>
      <c r="K28" s="87">
        <v>95</v>
      </c>
      <c r="L28" s="87">
        <v>90</v>
      </c>
      <c r="M28" s="87">
        <v>85</v>
      </c>
      <c r="N28" s="87">
        <v>80</v>
      </c>
      <c r="O28" s="87" t="s">
        <v>46</v>
      </c>
      <c r="P28" s="88"/>
      <c r="Q28" s="89">
        <f t="shared" si="3"/>
        <v>0</v>
      </c>
      <c r="R28" s="90">
        <f t="shared" si="4"/>
        <v>0</v>
      </c>
    </row>
    <row r="29" spans="1:18" s="91" customFormat="1" ht="147" customHeight="1" x14ac:dyDescent="0.25">
      <c r="A29" s="278"/>
      <c r="B29" s="274"/>
      <c r="C29" s="279"/>
      <c r="D29" s="275"/>
      <c r="E29" s="82">
        <v>0.35</v>
      </c>
      <c r="F29" s="82">
        <f t="shared" si="2"/>
        <v>5.068615957520171</v>
      </c>
      <c r="G29" s="83" t="s">
        <v>64</v>
      </c>
      <c r="H29" s="93">
        <v>1</v>
      </c>
      <c r="I29" s="85" t="s">
        <v>45</v>
      </c>
      <c r="J29" s="86">
        <v>100</v>
      </c>
      <c r="K29" s="87">
        <v>95</v>
      </c>
      <c r="L29" s="87">
        <v>90</v>
      </c>
      <c r="M29" s="87">
        <v>85</v>
      </c>
      <c r="N29" s="87">
        <v>80</v>
      </c>
      <c r="O29" s="87" t="s">
        <v>46</v>
      </c>
      <c r="P29" s="88"/>
      <c r="Q29" s="89">
        <f t="shared" si="3"/>
        <v>0</v>
      </c>
      <c r="R29" s="90">
        <f t="shared" si="4"/>
        <v>0</v>
      </c>
    </row>
    <row r="30" spans="1:18" s="91" customFormat="1" ht="147" customHeight="1" x14ac:dyDescent="0.25">
      <c r="A30" s="278"/>
      <c r="B30" s="274"/>
      <c r="C30" s="279"/>
      <c r="D30" s="273" t="s">
        <v>65</v>
      </c>
      <c r="E30" s="82">
        <v>0.2</v>
      </c>
      <c r="F30" s="82">
        <f t="shared" si="2"/>
        <v>2.8963519757258123</v>
      </c>
      <c r="G30" s="83" t="s">
        <v>66</v>
      </c>
      <c r="H30" s="93">
        <v>1</v>
      </c>
      <c r="I30" s="85" t="s">
        <v>45</v>
      </c>
      <c r="J30" s="86">
        <v>100</v>
      </c>
      <c r="K30" s="87">
        <v>95</v>
      </c>
      <c r="L30" s="87">
        <v>90</v>
      </c>
      <c r="M30" s="87">
        <v>85</v>
      </c>
      <c r="N30" s="87">
        <v>80</v>
      </c>
      <c r="O30" s="87" t="s">
        <v>46</v>
      </c>
      <c r="P30" s="88"/>
      <c r="Q30" s="89">
        <f t="shared" si="3"/>
        <v>0</v>
      </c>
      <c r="R30" s="90">
        <f t="shared" si="4"/>
        <v>0</v>
      </c>
    </row>
    <row r="31" spans="1:18" s="91" customFormat="1" ht="147" customHeight="1" x14ac:dyDescent="0.25">
      <c r="A31" s="278"/>
      <c r="B31" s="274"/>
      <c r="C31" s="279"/>
      <c r="D31" s="275"/>
      <c r="E31" s="82">
        <v>0.3</v>
      </c>
      <c r="F31" s="82">
        <f t="shared" si="2"/>
        <v>4.3445279635887184</v>
      </c>
      <c r="G31" s="83" t="s">
        <v>67</v>
      </c>
      <c r="H31" s="92">
        <v>4</v>
      </c>
      <c r="I31" s="85" t="s">
        <v>68</v>
      </c>
      <c r="J31" s="86">
        <v>4</v>
      </c>
      <c r="K31" s="87">
        <v>3</v>
      </c>
      <c r="L31" s="87">
        <v>2</v>
      </c>
      <c r="M31" s="87">
        <v>1</v>
      </c>
      <c r="N31" s="87">
        <v>0</v>
      </c>
      <c r="O31" s="87">
        <v>0</v>
      </c>
      <c r="P31" s="88"/>
      <c r="Q31" s="89">
        <f t="shared" si="3"/>
        <v>0</v>
      </c>
      <c r="R31" s="90">
        <f t="shared" si="4"/>
        <v>0</v>
      </c>
    </row>
    <row r="32" spans="1:18" s="91" customFormat="1" ht="147" customHeight="1" x14ac:dyDescent="0.25">
      <c r="A32" s="278"/>
      <c r="B32" s="274"/>
      <c r="C32" s="279"/>
      <c r="D32" s="273" t="s">
        <v>69</v>
      </c>
      <c r="E32" s="82">
        <v>0.25</v>
      </c>
      <c r="F32" s="82">
        <f t="shared" si="2"/>
        <v>3.6204399696572653</v>
      </c>
      <c r="G32" s="83" t="s">
        <v>70</v>
      </c>
      <c r="H32" s="93">
        <v>1</v>
      </c>
      <c r="I32" s="85" t="s">
        <v>45</v>
      </c>
      <c r="J32" s="86">
        <v>100</v>
      </c>
      <c r="K32" s="87">
        <v>95</v>
      </c>
      <c r="L32" s="87">
        <v>90</v>
      </c>
      <c r="M32" s="87">
        <v>85</v>
      </c>
      <c r="N32" s="87">
        <v>80</v>
      </c>
      <c r="O32" s="87" t="s">
        <v>46</v>
      </c>
      <c r="P32" s="88"/>
      <c r="Q32" s="89">
        <f t="shared" si="3"/>
        <v>0</v>
      </c>
      <c r="R32" s="90">
        <f t="shared" si="4"/>
        <v>0</v>
      </c>
    </row>
    <row r="33" spans="1:18" s="91" customFormat="1" ht="147" customHeight="1" x14ac:dyDescent="0.25">
      <c r="A33" s="278"/>
      <c r="B33" s="274"/>
      <c r="C33" s="279"/>
      <c r="D33" s="275"/>
      <c r="E33" s="82">
        <v>0.25</v>
      </c>
      <c r="F33" s="82">
        <f t="shared" si="2"/>
        <v>3.6204399696572653</v>
      </c>
      <c r="G33" s="83" t="s">
        <v>71</v>
      </c>
      <c r="H33" s="93">
        <v>1</v>
      </c>
      <c r="I33" s="85" t="s">
        <v>45</v>
      </c>
      <c r="J33" s="86">
        <v>100</v>
      </c>
      <c r="K33" s="87">
        <v>95</v>
      </c>
      <c r="L33" s="87">
        <v>90</v>
      </c>
      <c r="M33" s="87">
        <v>85</v>
      </c>
      <c r="N33" s="87">
        <v>80</v>
      </c>
      <c r="O33" s="87" t="s">
        <v>46</v>
      </c>
      <c r="P33" s="88"/>
      <c r="Q33" s="89">
        <f t="shared" si="3"/>
        <v>0</v>
      </c>
      <c r="R33" s="90">
        <f t="shared" si="4"/>
        <v>0</v>
      </c>
    </row>
    <row r="34" spans="1:18" s="91" customFormat="1" ht="147" customHeight="1" x14ac:dyDescent="0.25">
      <c r="A34" s="278"/>
      <c r="B34" s="274"/>
      <c r="C34" s="279"/>
      <c r="D34" s="273" t="s">
        <v>72</v>
      </c>
      <c r="E34" s="82">
        <v>0.15</v>
      </c>
      <c r="F34" s="82">
        <f t="shared" si="2"/>
        <v>2.1722639817943592</v>
      </c>
      <c r="G34" s="83" t="s">
        <v>73</v>
      </c>
      <c r="H34" s="93">
        <v>1</v>
      </c>
      <c r="I34" s="85" t="s">
        <v>45</v>
      </c>
      <c r="J34" s="86">
        <v>100</v>
      </c>
      <c r="K34" s="87">
        <v>95</v>
      </c>
      <c r="L34" s="87">
        <v>90</v>
      </c>
      <c r="M34" s="87">
        <v>85</v>
      </c>
      <c r="N34" s="87">
        <v>80</v>
      </c>
      <c r="O34" s="87" t="s">
        <v>46</v>
      </c>
      <c r="P34" s="88"/>
      <c r="Q34" s="89">
        <f t="shared" si="3"/>
        <v>0</v>
      </c>
      <c r="R34" s="90">
        <f t="shared" si="4"/>
        <v>0</v>
      </c>
    </row>
    <row r="35" spans="1:18" s="91" customFormat="1" ht="147" customHeight="1" x14ac:dyDescent="0.25">
      <c r="A35" s="280"/>
      <c r="B35" s="275"/>
      <c r="C35" s="281"/>
      <c r="D35" s="275"/>
      <c r="E35" s="282">
        <v>0.15</v>
      </c>
      <c r="F35" s="82">
        <f t="shared" si="2"/>
        <v>2.1722639817943592</v>
      </c>
      <c r="G35" s="283" t="s">
        <v>74</v>
      </c>
      <c r="H35" s="93">
        <v>1</v>
      </c>
      <c r="I35" s="85" t="s">
        <v>45</v>
      </c>
      <c r="J35" s="86">
        <v>100</v>
      </c>
      <c r="K35" s="87">
        <v>95</v>
      </c>
      <c r="L35" s="87">
        <v>90</v>
      </c>
      <c r="M35" s="87">
        <v>85</v>
      </c>
      <c r="N35" s="87">
        <v>80</v>
      </c>
      <c r="O35" s="87" t="s">
        <v>46</v>
      </c>
      <c r="P35" s="88"/>
      <c r="Q35" s="89">
        <f t="shared" si="3"/>
        <v>0</v>
      </c>
      <c r="R35" s="90">
        <f t="shared" si="4"/>
        <v>0</v>
      </c>
    </row>
    <row r="36" spans="1:18" s="91" customFormat="1" ht="147" customHeight="1" x14ac:dyDescent="0.25">
      <c r="A36" s="270">
        <v>3</v>
      </c>
      <c r="B36" s="271" t="s">
        <v>75</v>
      </c>
      <c r="C36" s="284">
        <f>SUM(E36:E38)</f>
        <v>0.24999999999999997</v>
      </c>
      <c r="D36" s="271" t="s">
        <v>76</v>
      </c>
      <c r="E36" s="82">
        <v>9.9999999999999992E-2</v>
      </c>
      <c r="F36" s="82">
        <f t="shared" si="2"/>
        <v>1.4481759878629061</v>
      </c>
      <c r="G36" s="83" t="s">
        <v>77</v>
      </c>
      <c r="H36" s="92">
        <v>5</v>
      </c>
      <c r="I36" s="85" t="s">
        <v>78</v>
      </c>
      <c r="J36" s="86" t="s">
        <v>79</v>
      </c>
      <c r="K36" s="87">
        <v>5</v>
      </c>
      <c r="L36" s="87">
        <v>4</v>
      </c>
      <c r="M36" s="87">
        <v>3</v>
      </c>
      <c r="N36" s="87">
        <v>2</v>
      </c>
      <c r="O36" s="87">
        <v>1</v>
      </c>
      <c r="P36" s="88"/>
      <c r="Q36" s="89">
        <f t="shared" si="3"/>
        <v>0</v>
      </c>
      <c r="R36" s="90">
        <f t="shared" si="4"/>
        <v>0</v>
      </c>
    </row>
    <row r="37" spans="1:18" s="91" customFormat="1" ht="147" customHeight="1" x14ac:dyDescent="0.25">
      <c r="A37" s="270"/>
      <c r="B37" s="271"/>
      <c r="C37" s="284"/>
      <c r="D37" s="271"/>
      <c r="E37" s="82">
        <v>9.9999999999999992E-2</v>
      </c>
      <c r="F37" s="82">
        <f t="shared" si="2"/>
        <v>1.4481759878629061</v>
      </c>
      <c r="G37" s="83" t="s">
        <v>80</v>
      </c>
      <c r="H37" s="93">
        <v>0.1</v>
      </c>
      <c r="I37" s="92" t="s">
        <v>45</v>
      </c>
      <c r="J37" s="86" t="s">
        <v>81</v>
      </c>
      <c r="K37" s="87">
        <v>10</v>
      </c>
      <c r="L37" s="87">
        <v>7</v>
      </c>
      <c r="M37" s="87">
        <v>6</v>
      </c>
      <c r="N37" s="87">
        <v>5</v>
      </c>
      <c r="O37" s="87" t="s">
        <v>82</v>
      </c>
      <c r="P37" s="88"/>
      <c r="Q37" s="89">
        <f t="shared" si="3"/>
        <v>0</v>
      </c>
      <c r="R37" s="90">
        <f t="shared" si="4"/>
        <v>0</v>
      </c>
    </row>
    <row r="38" spans="1:18" s="91" customFormat="1" ht="147" customHeight="1" x14ac:dyDescent="0.25">
      <c r="A38" s="270"/>
      <c r="B38" s="271"/>
      <c r="C38" s="284"/>
      <c r="D38" s="271"/>
      <c r="E38" s="82">
        <v>4.9999999999999996E-2</v>
      </c>
      <c r="F38" s="82">
        <f t="shared" si="2"/>
        <v>0.72408799393145307</v>
      </c>
      <c r="G38" s="83" t="s">
        <v>83</v>
      </c>
      <c r="H38" s="92">
        <v>2</v>
      </c>
      <c r="I38" s="85" t="s">
        <v>78</v>
      </c>
      <c r="J38" s="86" t="s">
        <v>84</v>
      </c>
      <c r="K38" s="87">
        <v>2</v>
      </c>
      <c r="L38" s="87">
        <v>1</v>
      </c>
      <c r="M38" s="87">
        <v>0</v>
      </c>
      <c r="N38" s="87"/>
      <c r="O38" s="87"/>
      <c r="P38" s="88"/>
      <c r="Q38" s="89">
        <f t="shared" si="3"/>
        <v>0</v>
      </c>
      <c r="R38" s="90">
        <f t="shared" si="4"/>
        <v>0</v>
      </c>
    </row>
    <row r="39" spans="1:18" s="91" customFormat="1" ht="147" customHeight="1" x14ac:dyDescent="0.25">
      <c r="A39" s="276">
        <v>4</v>
      </c>
      <c r="B39" s="273" t="s">
        <v>85</v>
      </c>
      <c r="C39" s="285">
        <f>SUM(E39:E41)</f>
        <v>0.5</v>
      </c>
      <c r="D39" s="273" t="s">
        <v>86</v>
      </c>
      <c r="E39" s="82">
        <v>9.9999999999999992E-2</v>
      </c>
      <c r="F39" s="82">
        <f t="shared" si="2"/>
        <v>1.4481759878629061</v>
      </c>
      <c r="G39" s="83" t="s">
        <v>87</v>
      </c>
      <c r="H39" s="92">
        <v>5</v>
      </c>
      <c r="I39" s="92" t="s">
        <v>78</v>
      </c>
      <c r="J39" s="86" t="s">
        <v>79</v>
      </c>
      <c r="K39" s="87">
        <v>5</v>
      </c>
      <c r="L39" s="87">
        <v>4</v>
      </c>
      <c r="M39" s="87">
        <v>3</v>
      </c>
      <c r="N39" s="87">
        <v>2</v>
      </c>
      <c r="O39" s="87">
        <v>1</v>
      </c>
      <c r="P39" s="88"/>
      <c r="Q39" s="89">
        <f t="shared" si="3"/>
        <v>0</v>
      </c>
      <c r="R39" s="90">
        <f t="shared" si="4"/>
        <v>0</v>
      </c>
    </row>
    <row r="40" spans="1:18" s="91" customFormat="1" ht="147" customHeight="1" x14ac:dyDescent="0.25">
      <c r="A40" s="278"/>
      <c r="B40" s="274"/>
      <c r="C40" s="286"/>
      <c r="D40" s="274"/>
      <c r="E40" s="82">
        <v>0.19999999999999998</v>
      </c>
      <c r="F40" s="82">
        <f t="shared" si="2"/>
        <v>2.8963519757258123</v>
      </c>
      <c r="G40" s="83" t="s">
        <v>88</v>
      </c>
      <c r="H40" s="93">
        <v>0.2</v>
      </c>
      <c r="I40" s="85" t="s">
        <v>45</v>
      </c>
      <c r="J40" s="86" t="s">
        <v>89</v>
      </c>
      <c r="K40" s="87">
        <v>20</v>
      </c>
      <c r="L40" s="87">
        <v>15</v>
      </c>
      <c r="M40" s="87">
        <v>10</v>
      </c>
      <c r="N40" s="87">
        <v>5</v>
      </c>
      <c r="O40" s="87" t="s">
        <v>82</v>
      </c>
      <c r="P40" s="88"/>
      <c r="Q40" s="89">
        <f t="shared" si="3"/>
        <v>0</v>
      </c>
      <c r="R40" s="90">
        <f t="shared" si="4"/>
        <v>0</v>
      </c>
    </row>
    <row r="41" spans="1:18" s="91" customFormat="1" ht="147" customHeight="1" x14ac:dyDescent="0.25">
      <c r="A41" s="280"/>
      <c r="B41" s="275"/>
      <c r="C41" s="287"/>
      <c r="D41" s="275"/>
      <c r="E41" s="82">
        <v>0.19999999999999998</v>
      </c>
      <c r="F41" s="82">
        <f t="shared" si="2"/>
        <v>2.8963519757258123</v>
      </c>
      <c r="G41" s="83" t="s">
        <v>90</v>
      </c>
      <c r="H41" s="93">
        <v>0.8</v>
      </c>
      <c r="I41" s="92" t="s">
        <v>45</v>
      </c>
      <c r="J41" s="86" t="s">
        <v>91</v>
      </c>
      <c r="K41" s="87">
        <v>80</v>
      </c>
      <c r="L41" s="87">
        <v>75</v>
      </c>
      <c r="M41" s="87">
        <v>70</v>
      </c>
      <c r="N41" s="87">
        <v>50</v>
      </c>
      <c r="O41" s="87" t="s">
        <v>56</v>
      </c>
      <c r="P41" s="88"/>
      <c r="Q41" s="89">
        <f t="shared" si="3"/>
        <v>0</v>
      </c>
      <c r="R41" s="90">
        <f t="shared" si="4"/>
        <v>0</v>
      </c>
    </row>
    <row r="42" spans="1:18" s="91" customFormat="1" ht="147" customHeight="1" x14ac:dyDescent="0.25">
      <c r="A42" s="270">
        <v>5</v>
      </c>
      <c r="B42" s="271" t="s">
        <v>92</v>
      </c>
      <c r="C42" s="284">
        <f>SUM(E42:E43)</f>
        <v>0.16666666666666669</v>
      </c>
      <c r="D42" s="271" t="s">
        <v>93</v>
      </c>
      <c r="E42" s="82">
        <v>0.10000000000000002</v>
      </c>
      <c r="F42" s="82">
        <f t="shared" si="2"/>
        <v>1.4481759878629064</v>
      </c>
      <c r="G42" s="83" t="s">
        <v>94</v>
      </c>
      <c r="H42" s="93">
        <v>0.8</v>
      </c>
      <c r="I42" s="92" t="s">
        <v>45</v>
      </c>
      <c r="J42" s="86" t="s">
        <v>91</v>
      </c>
      <c r="K42" s="87">
        <v>80</v>
      </c>
      <c r="L42" s="87">
        <v>75</v>
      </c>
      <c r="M42" s="87">
        <v>70</v>
      </c>
      <c r="N42" s="87">
        <v>50</v>
      </c>
      <c r="O42" s="87" t="s">
        <v>56</v>
      </c>
      <c r="P42" s="88"/>
      <c r="Q42" s="89">
        <f t="shared" si="3"/>
        <v>0</v>
      </c>
      <c r="R42" s="90">
        <f t="shared" si="4"/>
        <v>0</v>
      </c>
    </row>
    <row r="43" spans="1:18" s="91" customFormat="1" ht="147" customHeight="1" x14ac:dyDescent="0.25">
      <c r="A43" s="270"/>
      <c r="B43" s="271"/>
      <c r="C43" s="284"/>
      <c r="D43" s="271"/>
      <c r="E43" s="82">
        <v>6.6666666666666666E-2</v>
      </c>
      <c r="F43" s="82">
        <f t="shared" si="2"/>
        <v>0.96545065857527068</v>
      </c>
      <c r="G43" s="83" t="s">
        <v>95</v>
      </c>
      <c r="H43" s="93">
        <v>0.8</v>
      </c>
      <c r="I43" s="92" t="s">
        <v>45</v>
      </c>
      <c r="J43" s="86" t="s">
        <v>91</v>
      </c>
      <c r="K43" s="87">
        <v>80</v>
      </c>
      <c r="L43" s="87">
        <v>75</v>
      </c>
      <c r="M43" s="87">
        <v>70</v>
      </c>
      <c r="N43" s="87">
        <v>50</v>
      </c>
      <c r="O43" s="87" t="s">
        <v>56</v>
      </c>
      <c r="P43" s="88"/>
      <c r="Q43" s="89">
        <f t="shared" si="3"/>
        <v>0</v>
      </c>
      <c r="R43" s="90">
        <f t="shared" si="4"/>
        <v>0</v>
      </c>
    </row>
    <row r="44" spans="1:18" s="91" customFormat="1" ht="147" customHeight="1" x14ac:dyDescent="0.25">
      <c r="A44" s="276">
        <v>6</v>
      </c>
      <c r="B44" s="273" t="s">
        <v>96</v>
      </c>
      <c r="C44" s="285">
        <f>SUM(E44:E46)</f>
        <v>2.4285714285714284</v>
      </c>
      <c r="D44" s="273" t="s">
        <v>97</v>
      </c>
      <c r="E44" s="82">
        <v>1</v>
      </c>
      <c r="F44" s="82">
        <f t="shared" si="2"/>
        <v>14.481759878629061</v>
      </c>
      <c r="G44" s="83" t="s">
        <v>98</v>
      </c>
      <c r="H44" s="93">
        <v>1</v>
      </c>
      <c r="I44" s="85" t="s">
        <v>45</v>
      </c>
      <c r="J44" s="86">
        <v>100</v>
      </c>
      <c r="K44" s="87">
        <v>95</v>
      </c>
      <c r="L44" s="87">
        <v>90</v>
      </c>
      <c r="M44" s="87">
        <v>85</v>
      </c>
      <c r="N44" s="87">
        <v>80</v>
      </c>
      <c r="O44" s="87" t="s">
        <v>46</v>
      </c>
      <c r="P44" s="88"/>
      <c r="Q44" s="89">
        <f t="shared" si="3"/>
        <v>0</v>
      </c>
      <c r="R44" s="90">
        <f t="shared" si="4"/>
        <v>0</v>
      </c>
    </row>
    <row r="45" spans="1:18" s="91" customFormat="1" ht="147" customHeight="1" x14ac:dyDescent="0.25">
      <c r="A45" s="278"/>
      <c r="B45" s="274"/>
      <c r="C45" s="286"/>
      <c r="D45" s="275"/>
      <c r="E45" s="82">
        <v>1</v>
      </c>
      <c r="F45" s="82">
        <f t="shared" si="2"/>
        <v>14.481759878629061</v>
      </c>
      <c r="G45" s="83" t="s">
        <v>99</v>
      </c>
      <c r="H45" s="93">
        <v>1</v>
      </c>
      <c r="I45" s="85" t="s">
        <v>45</v>
      </c>
      <c r="J45" s="86">
        <v>100</v>
      </c>
      <c r="K45" s="87">
        <v>95</v>
      </c>
      <c r="L45" s="87">
        <v>90</v>
      </c>
      <c r="M45" s="87">
        <v>85</v>
      </c>
      <c r="N45" s="87">
        <v>80</v>
      </c>
      <c r="O45" s="87" t="s">
        <v>46</v>
      </c>
      <c r="P45" s="88"/>
      <c r="Q45" s="89">
        <f t="shared" si="0"/>
        <v>0</v>
      </c>
      <c r="R45" s="90">
        <f t="shared" si="1"/>
        <v>0</v>
      </c>
    </row>
    <row r="46" spans="1:18" s="91" customFormat="1" ht="147" customHeight="1" x14ac:dyDescent="0.25">
      <c r="A46" s="280"/>
      <c r="B46" s="275"/>
      <c r="C46" s="287"/>
      <c r="D46" s="81" t="s">
        <v>100</v>
      </c>
      <c r="E46" s="82">
        <v>0.42857142857142855</v>
      </c>
      <c r="F46" s="82">
        <f t="shared" si="2"/>
        <v>6.2064685194124545</v>
      </c>
      <c r="G46" s="83" t="s">
        <v>101</v>
      </c>
      <c r="H46" s="93">
        <v>1</v>
      </c>
      <c r="I46" s="85" t="s">
        <v>45</v>
      </c>
      <c r="J46" s="86">
        <v>100</v>
      </c>
      <c r="K46" s="87">
        <v>95</v>
      </c>
      <c r="L46" s="87">
        <v>90</v>
      </c>
      <c r="M46" s="87">
        <v>85</v>
      </c>
      <c r="N46" s="87">
        <v>80</v>
      </c>
      <c r="O46" s="87" t="s">
        <v>46</v>
      </c>
      <c r="P46" s="88"/>
      <c r="Q46" s="89">
        <f t="shared" si="0"/>
        <v>0</v>
      </c>
      <c r="R46" s="90">
        <f t="shared" si="1"/>
        <v>0</v>
      </c>
    </row>
    <row r="47" spans="1:18" s="91" customFormat="1" ht="147" customHeight="1" x14ac:dyDescent="0.25">
      <c r="A47" s="270">
        <v>7</v>
      </c>
      <c r="B47" s="271" t="s">
        <v>102</v>
      </c>
      <c r="C47" s="284">
        <f>SUM(E47:E48)</f>
        <v>0.13333333333333333</v>
      </c>
      <c r="D47" s="83" t="s">
        <v>103</v>
      </c>
      <c r="E47" s="82">
        <v>6.6666666666666666E-2</v>
      </c>
      <c r="F47" s="82">
        <f t="shared" si="2"/>
        <v>0.96545065857527068</v>
      </c>
      <c r="G47" s="83" t="s">
        <v>104</v>
      </c>
      <c r="H47" s="84">
        <v>0.7</v>
      </c>
      <c r="I47" s="92" t="s">
        <v>45</v>
      </c>
      <c r="J47" s="86" t="s">
        <v>105</v>
      </c>
      <c r="K47" s="87">
        <v>70</v>
      </c>
      <c r="L47" s="87">
        <v>60</v>
      </c>
      <c r="M47" s="87">
        <v>50</v>
      </c>
      <c r="N47" s="87">
        <v>40</v>
      </c>
      <c r="O47" s="87" t="s">
        <v>106</v>
      </c>
      <c r="P47" s="88"/>
      <c r="Q47" s="89">
        <f t="shared" si="0"/>
        <v>0</v>
      </c>
      <c r="R47" s="90">
        <f t="shared" si="1"/>
        <v>0</v>
      </c>
    </row>
    <row r="48" spans="1:18" s="91" customFormat="1" ht="147" customHeight="1" x14ac:dyDescent="0.25">
      <c r="A48" s="270"/>
      <c r="B48" s="271"/>
      <c r="C48" s="284"/>
      <c r="D48" s="83" t="s">
        <v>107</v>
      </c>
      <c r="E48" s="82">
        <v>6.6666666666666666E-2</v>
      </c>
      <c r="F48" s="82">
        <f t="shared" si="2"/>
        <v>0.96545065857527068</v>
      </c>
      <c r="G48" s="83" t="s">
        <v>108</v>
      </c>
      <c r="H48" s="84">
        <v>0.5</v>
      </c>
      <c r="I48" s="85" t="s">
        <v>45</v>
      </c>
      <c r="J48" s="86" t="s">
        <v>51</v>
      </c>
      <c r="K48" s="87">
        <v>50</v>
      </c>
      <c r="L48" s="87">
        <v>45</v>
      </c>
      <c r="M48" s="87">
        <v>40</v>
      </c>
      <c r="N48" s="87">
        <v>25</v>
      </c>
      <c r="O48" s="87" t="s">
        <v>52</v>
      </c>
      <c r="P48" s="88"/>
      <c r="Q48" s="89">
        <f t="shared" si="0"/>
        <v>0</v>
      </c>
      <c r="R48" s="90">
        <f t="shared" si="1"/>
        <v>0</v>
      </c>
    </row>
    <row r="49" spans="1:18" s="104" customFormat="1" ht="44.25" x14ac:dyDescent="0.25">
      <c r="A49" s="94"/>
      <c r="B49" s="95" t="s">
        <v>109</v>
      </c>
      <c r="C49" s="96">
        <f>SUM(C19:C48)</f>
        <v>6.9052380952380963</v>
      </c>
      <c r="D49" s="95"/>
      <c r="E49" s="96">
        <f>SUM(E19:E48)</f>
        <v>6.9052380952380945</v>
      </c>
      <c r="F49" s="96">
        <f>SUM(F19:F48)</f>
        <v>99.999999999999986</v>
      </c>
      <c r="G49" s="97"/>
      <c r="H49" s="98"/>
      <c r="I49" s="99"/>
      <c r="J49" s="100"/>
      <c r="K49" s="100"/>
      <c r="L49" s="100"/>
      <c r="M49" s="100"/>
      <c r="N49" s="100"/>
      <c r="O49" s="100"/>
      <c r="P49" s="101"/>
      <c r="Q49" s="102"/>
      <c r="R49" s="103">
        <f>SUM(R19:R48)</f>
        <v>0</v>
      </c>
    </row>
    <row r="50" spans="1:18" s="106" customFormat="1" ht="66" customHeight="1" x14ac:dyDescent="0.7">
      <c r="A50" s="105"/>
      <c r="G50" s="107"/>
      <c r="H50" s="107"/>
      <c r="I50" s="108" t="s">
        <v>159</v>
      </c>
      <c r="J50" s="109"/>
      <c r="K50" s="109"/>
      <c r="L50" s="109"/>
      <c r="M50" s="109"/>
      <c r="N50" s="109"/>
      <c r="O50" s="109"/>
      <c r="P50" s="109"/>
      <c r="Q50" s="110"/>
      <c r="R50" s="111">
        <f>R49/100 * 70</f>
        <v>0</v>
      </c>
    </row>
    <row r="51" spans="1:18" s="120" customFormat="1" ht="36" x14ac:dyDescent="0.55000000000000004">
      <c r="A51" s="112" t="s">
        <v>110</v>
      </c>
      <c r="B51" s="113"/>
      <c r="C51" s="113"/>
      <c r="D51" s="113"/>
      <c r="E51" s="113"/>
      <c r="F51" s="113"/>
      <c r="G51" s="114"/>
      <c r="H51" s="115"/>
      <c r="I51" s="115"/>
      <c r="J51" s="115"/>
      <c r="K51" s="115"/>
      <c r="L51" s="71" t="s">
        <v>115</v>
      </c>
      <c r="M51" s="116" t="s">
        <v>111</v>
      </c>
      <c r="N51" s="116"/>
      <c r="O51" s="116"/>
      <c r="P51" s="117"/>
      <c r="Q51" s="118"/>
      <c r="R51" s="119"/>
    </row>
    <row r="52" spans="1:18" s="120" customFormat="1" ht="31.5" customHeight="1" x14ac:dyDescent="0.55000000000000004">
      <c r="A52" s="121"/>
      <c r="B52" s="122"/>
      <c r="C52" s="123" t="s">
        <v>112</v>
      </c>
      <c r="D52" s="123"/>
      <c r="E52" s="123"/>
      <c r="F52" s="123"/>
      <c r="G52" s="123"/>
      <c r="H52" s="124" t="s">
        <v>160</v>
      </c>
      <c r="I52" s="124" t="s">
        <v>161</v>
      </c>
      <c r="J52" s="124"/>
      <c r="K52" s="125"/>
      <c r="L52" s="79"/>
      <c r="M52" s="126"/>
      <c r="N52" s="126"/>
      <c r="O52" s="126"/>
      <c r="P52" s="127"/>
      <c r="Q52" s="118"/>
      <c r="R52" s="119"/>
    </row>
    <row r="53" spans="1:18" s="120" customFormat="1" ht="36" customHeight="1" x14ac:dyDescent="0.55000000000000004">
      <c r="A53" s="128">
        <v>1</v>
      </c>
      <c r="B53" s="129" t="s">
        <v>116</v>
      </c>
      <c r="C53" s="130"/>
      <c r="D53" s="131"/>
      <c r="E53" s="131"/>
      <c r="F53" s="131"/>
      <c r="G53" s="132"/>
      <c r="H53" s="133"/>
      <c r="I53" s="133"/>
      <c r="J53" s="133"/>
      <c r="K53" s="133"/>
      <c r="L53" s="134"/>
      <c r="M53" s="135" t="s">
        <v>36</v>
      </c>
      <c r="N53" s="136" t="s">
        <v>117</v>
      </c>
      <c r="O53" s="137"/>
      <c r="P53" s="127"/>
      <c r="Q53" s="118"/>
      <c r="R53" s="119"/>
    </row>
    <row r="54" spans="1:18" s="120" customFormat="1" ht="84.75" customHeight="1" x14ac:dyDescent="0.55000000000000004">
      <c r="A54" s="138" t="s">
        <v>118</v>
      </c>
      <c r="B54" s="139" t="s">
        <v>162</v>
      </c>
      <c r="C54" s="140"/>
      <c r="D54" s="141"/>
      <c r="E54" s="141"/>
      <c r="F54" s="141"/>
      <c r="G54" s="142"/>
      <c r="H54" s="143">
        <v>4</v>
      </c>
      <c r="I54" s="144"/>
      <c r="J54" s="143"/>
      <c r="K54" s="143"/>
      <c r="L54" s="134"/>
      <c r="M54" s="135" t="s">
        <v>37</v>
      </c>
      <c r="N54" s="136" t="s">
        <v>119</v>
      </c>
      <c r="O54" s="137"/>
      <c r="P54" s="127"/>
      <c r="Q54" s="118"/>
      <c r="R54" s="119"/>
    </row>
    <row r="55" spans="1:18" s="120" customFormat="1" ht="82.5" customHeight="1" x14ac:dyDescent="0.55000000000000004">
      <c r="A55" s="138" t="s">
        <v>120</v>
      </c>
      <c r="B55" s="139" t="s">
        <v>163</v>
      </c>
      <c r="C55" s="140"/>
      <c r="D55" s="141"/>
      <c r="E55" s="141"/>
      <c r="F55" s="141"/>
      <c r="G55" s="142"/>
      <c r="H55" s="143">
        <v>2</v>
      </c>
      <c r="I55" s="144"/>
      <c r="J55" s="143"/>
      <c r="K55" s="143"/>
      <c r="L55" s="134"/>
      <c r="M55" s="135" t="s">
        <v>38</v>
      </c>
      <c r="N55" s="136" t="s">
        <v>121</v>
      </c>
      <c r="O55" s="137"/>
      <c r="P55" s="127"/>
      <c r="Q55" s="118"/>
      <c r="R55" s="119"/>
    </row>
    <row r="56" spans="1:18" s="120" customFormat="1" ht="78.75" customHeight="1" x14ac:dyDescent="0.55000000000000004">
      <c r="A56" s="138" t="s">
        <v>122</v>
      </c>
      <c r="B56" s="139" t="s">
        <v>123</v>
      </c>
      <c r="C56" s="140"/>
      <c r="D56" s="141"/>
      <c r="E56" s="141"/>
      <c r="F56" s="141"/>
      <c r="G56" s="142"/>
      <c r="H56" s="143">
        <v>2</v>
      </c>
      <c r="I56" s="144"/>
      <c r="J56" s="143"/>
      <c r="K56" s="143"/>
      <c r="L56" s="134"/>
      <c r="M56" s="135" t="s">
        <v>39</v>
      </c>
      <c r="N56" s="136" t="s">
        <v>124</v>
      </c>
      <c r="O56" s="137"/>
      <c r="P56" s="127"/>
      <c r="Q56" s="118"/>
      <c r="R56" s="119"/>
    </row>
    <row r="57" spans="1:18" s="120" customFormat="1" ht="36" x14ac:dyDescent="0.55000000000000004">
      <c r="A57" s="145">
        <v>2</v>
      </c>
      <c r="B57" s="146" t="s">
        <v>125</v>
      </c>
      <c r="C57" s="147"/>
      <c r="D57" s="148"/>
      <c r="E57" s="148"/>
      <c r="F57" s="148"/>
      <c r="G57" s="149"/>
      <c r="H57" s="143"/>
      <c r="I57" s="144"/>
      <c r="J57" s="143"/>
      <c r="K57" s="143"/>
      <c r="L57" s="134"/>
      <c r="M57" s="135" t="s">
        <v>40</v>
      </c>
      <c r="N57" s="136" t="s">
        <v>126</v>
      </c>
      <c r="O57" s="137"/>
      <c r="P57" s="127"/>
      <c r="Q57" s="118"/>
      <c r="R57" s="119"/>
    </row>
    <row r="58" spans="1:18" s="120" customFormat="1" ht="82.5" customHeight="1" x14ac:dyDescent="0.55000000000000004">
      <c r="A58" s="138" t="s">
        <v>118</v>
      </c>
      <c r="B58" s="150" t="s">
        <v>164</v>
      </c>
      <c r="C58" s="151"/>
      <c r="D58" s="152"/>
      <c r="E58" s="152"/>
      <c r="F58" s="152"/>
      <c r="G58" s="153"/>
      <c r="H58" s="143">
        <v>2</v>
      </c>
      <c r="I58" s="144"/>
      <c r="J58" s="143"/>
      <c r="K58" s="143"/>
      <c r="L58" s="134"/>
      <c r="M58" s="135" t="s">
        <v>41</v>
      </c>
      <c r="N58" s="136" t="s">
        <v>127</v>
      </c>
      <c r="O58" s="137"/>
      <c r="P58" s="154"/>
      <c r="Q58" s="118"/>
      <c r="R58" s="119"/>
    </row>
    <row r="59" spans="1:18" s="120" customFormat="1" ht="114.75" customHeight="1" x14ac:dyDescent="0.55000000000000004">
      <c r="A59" s="138" t="s">
        <v>120</v>
      </c>
      <c r="B59" s="150" t="s">
        <v>165</v>
      </c>
      <c r="C59" s="151"/>
      <c r="D59" s="152"/>
      <c r="E59" s="152"/>
      <c r="F59" s="152"/>
      <c r="G59" s="153"/>
      <c r="H59" s="143">
        <v>2</v>
      </c>
      <c r="I59" s="144"/>
      <c r="J59" s="143"/>
      <c r="K59" s="143"/>
      <c r="L59" s="134"/>
      <c r="M59" s="127" t="s">
        <v>115</v>
      </c>
      <c r="N59" s="155" t="s">
        <v>128</v>
      </c>
      <c r="O59" s="156"/>
      <c r="P59" s="154"/>
      <c r="Q59" s="118"/>
      <c r="R59" s="119"/>
    </row>
    <row r="60" spans="1:18" s="120" customFormat="1" ht="72" customHeight="1" x14ac:dyDescent="0.55000000000000004">
      <c r="A60" s="138" t="s">
        <v>122</v>
      </c>
      <c r="B60" s="150" t="s">
        <v>166</v>
      </c>
      <c r="C60" s="151"/>
      <c r="D60" s="152"/>
      <c r="E60" s="152"/>
      <c r="F60" s="152"/>
      <c r="G60" s="153"/>
      <c r="H60" s="143">
        <v>2</v>
      </c>
      <c r="I60" s="144"/>
      <c r="J60" s="143"/>
      <c r="K60" s="143"/>
      <c r="L60" s="134"/>
      <c r="M60" s="127" t="s">
        <v>129</v>
      </c>
      <c r="N60" s="155" t="s">
        <v>130</v>
      </c>
      <c r="O60" s="156"/>
      <c r="P60" s="154"/>
      <c r="Q60" s="118"/>
      <c r="R60" s="119"/>
    </row>
    <row r="61" spans="1:18" s="120" customFormat="1" ht="66" customHeight="1" x14ac:dyDescent="0.55000000000000004">
      <c r="A61" s="145">
        <v>3</v>
      </c>
      <c r="B61" s="146" t="s">
        <v>131</v>
      </c>
      <c r="C61" s="147"/>
      <c r="D61" s="148"/>
      <c r="E61" s="148"/>
      <c r="F61" s="148"/>
      <c r="G61" s="149"/>
      <c r="H61" s="143"/>
      <c r="I61" s="144"/>
      <c r="J61" s="143"/>
      <c r="K61" s="143"/>
      <c r="L61" s="134"/>
      <c r="M61" s="127" t="s">
        <v>113</v>
      </c>
      <c r="N61" s="155" t="s">
        <v>132</v>
      </c>
      <c r="O61" s="156"/>
      <c r="P61" s="154"/>
      <c r="Q61" s="118"/>
      <c r="R61" s="119"/>
    </row>
    <row r="62" spans="1:18" s="120" customFormat="1" ht="72" customHeight="1" x14ac:dyDescent="0.55000000000000004">
      <c r="A62" s="138" t="s">
        <v>118</v>
      </c>
      <c r="B62" s="150" t="s">
        <v>133</v>
      </c>
      <c r="C62" s="157"/>
      <c r="D62" s="158"/>
      <c r="E62" s="158"/>
      <c r="F62" s="158"/>
      <c r="G62" s="159"/>
      <c r="H62" s="143">
        <v>2</v>
      </c>
      <c r="I62" s="144"/>
      <c r="J62" s="143"/>
      <c r="K62" s="143"/>
      <c r="L62" s="134"/>
      <c r="M62" s="127" t="s">
        <v>114</v>
      </c>
      <c r="N62" s="155" t="s">
        <v>134</v>
      </c>
      <c r="O62" s="156"/>
      <c r="P62" s="154"/>
      <c r="Q62" s="118"/>
      <c r="R62" s="119"/>
    </row>
    <row r="63" spans="1:18" s="120" customFormat="1" ht="72" customHeight="1" x14ac:dyDescent="0.55000000000000004">
      <c r="A63" s="138" t="s">
        <v>120</v>
      </c>
      <c r="B63" s="150" t="s">
        <v>167</v>
      </c>
      <c r="C63" s="157"/>
      <c r="D63" s="158"/>
      <c r="E63" s="158"/>
      <c r="F63" s="158"/>
      <c r="G63" s="159"/>
      <c r="H63" s="143">
        <v>2</v>
      </c>
      <c r="I63" s="144"/>
      <c r="J63" s="143"/>
      <c r="K63" s="143"/>
      <c r="L63" s="134"/>
      <c r="M63" s="127" t="s">
        <v>135</v>
      </c>
      <c r="N63" s="155" t="s">
        <v>136</v>
      </c>
      <c r="O63" s="156"/>
      <c r="P63" s="154"/>
      <c r="Q63" s="118"/>
      <c r="R63" s="119"/>
    </row>
    <row r="64" spans="1:18" s="120" customFormat="1" ht="44.25" customHeight="1" x14ac:dyDescent="0.55000000000000004">
      <c r="A64" s="138" t="s">
        <v>122</v>
      </c>
      <c r="B64" s="150" t="s">
        <v>168</v>
      </c>
      <c r="C64" s="157"/>
      <c r="D64" s="158"/>
      <c r="E64" s="158"/>
      <c r="F64" s="158"/>
      <c r="G64" s="159"/>
      <c r="H64" s="143">
        <v>2</v>
      </c>
      <c r="I64" s="144"/>
      <c r="J64" s="143"/>
      <c r="K64" s="143"/>
      <c r="L64" s="134"/>
      <c r="M64" s="160"/>
      <c r="N64" s="160"/>
      <c r="O64" s="160"/>
      <c r="P64" s="161"/>
      <c r="Q64" s="118"/>
      <c r="R64" s="119"/>
    </row>
    <row r="65" spans="1:18" s="120" customFormat="1" ht="31.5" customHeight="1" x14ac:dyDescent="0.55000000000000004">
      <c r="A65" s="162" t="s">
        <v>137</v>
      </c>
      <c r="B65" s="163"/>
      <c r="C65" s="163"/>
      <c r="D65" s="163"/>
      <c r="E65" s="163"/>
      <c r="F65" s="163"/>
      <c r="G65" s="163"/>
      <c r="H65" s="164">
        <f>SUM(H54:H64)</f>
        <v>20</v>
      </c>
      <c r="I65" s="164">
        <f>SUM(I54:I64)</f>
        <v>0</v>
      </c>
      <c r="J65" s="164"/>
      <c r="K65" s="165"/>
      <c r="L65" s="134"/>
      <c r="M65" s="160"/>
      <c r="N65" s="160"/>
      <c r="O65" s="160"/>
      <c r="P65" s="161"/>
      <c r="Q65" s="118"/>
      <c r="R65" s="119"/>
    </row>
    <row r="66" spans="1:18" s="120" customFormat="1" ht="36" customHeight="1" x14ac:dyDescent="0.55000000000000004">
      <c r="A66" s="166" t="s">
        <v>118</v>
      </c>
      <c r="B66" s="167" t="s">
        <v>138</v>
      </c>
      <c r="C66" s="151" t="s">
        <v>139</v>
      </c>
      <c r="D66" s="152"/>
      <c r="E66" s="152"/>
      <c r="F66" s="152"/>
      <c r="G66" s="153"/>
      <c r="H66" s="168">
        <v>4</v>
      </c>
      <c r="I66" s="169"/>
      <c r="J66" s="168"/>
      <c r="K66" s="170"/>
      <c r="L66" s="134"/>
      <c r="M66" s="160"/>
      <c r="N66" s="160"/>
      <c r="O66" s="160"/>
      <c r="P66" s="161"/>
      <c r="Q66" s="118"/>
      <c r="R66" s="119"/>
    </row>
    <row r="67" spans="1:18" s="120" customFormat="1" ht="129" customHeight="1" x14ac:dyDescent="0.55000000000000004">
      <c r="A67" s="166" t="s">
        <v>120</v>
      </c>
      <c r="B67" s="167" t="s">
        <v>140</v>
      </c>
      <c r="C67" s="151" t="s">
        <v>141</v>
      </c>
      <c r="D67" s="152"/>
      <c r="E67" s="152"/>
      <c r="F67" s="152"/>
      <c r="G67" s="153"/>
      <c r="H67" s="168">
        <v>3</v>
      </c>
      <c r="I67" s="169"/>
      <c r="J67" s="168"/>
      <c r="K67" s="170"/>
      <c r="L67" s="134"/>
      <c r="M67" s="160"/>
      <c r="N67" s="160"/>
      <c r="O67" s="160"/>
      <c r="P67" s="161"/>
      <c r="Q67" s="118"/>
      <c r="R67" s="119"/>
    </row>
    <row r="68" spans="1:18" s="120" customFormat="1" ht="69" customHeight="1" x14ac:dyDescent="0.55000000000000004">
      <c r="A68" s="166" t="s">
        <v>120</v>
      </c>
      <c r="B68" s="167" t="s">
        <v>142</v>
      </c>
      <c r="C68" s="151" t="s">
        <v>143</v>
      </c>
      <c r="D68" s="152"/>
      <c r="E68" s="152"/>
      <c r="F68" s="152"/>
      <c r="G68" s="153"/>
      <c r="H68" s="168">
        <v>3</v>
      </c>
      <c r="I68" s="169"/>
      <c r="J68" s="168"/>
      <c r="K68" s="170"/>
      <c r="L68" s="134"/>
      <c r="M68" s="160"/>
      <c r="N68" s="160"/>
      <c r="O68" s="160"/>
      <c r="P68" s="161"/>
      <c r="Q68" s="118"/>
      <c r="R68" s="119"/>
    </row>
    <row r="69" spans="1:18" s="120" customFormat="1" ht="46.5" customHeight="1" x14ac:dyDescent="0.55000000000000004">
      <c r="A69" s="171"/>
      <c r="B69" s="172" t="s">
        <v>144</v>
      </c>
      <c r="C69" s="172"/>
      <c r="D69" s="172"/>
      <c r="E69" s="173"/>
      <c r="F69" s="173"/>
      <c r="G69" s="173"/>
      <c r="H69" s="164">
        <f>SUM(H66:H68)</f>
        <v>10</v>
      </c>
      <c r="I69" s="164">
        <f>SUM(I66:I68)</f>
        <v>0</v>
      </c>
      <c r="J69" s="173"/>
      <c r="K69" s="174"/>
      <c r="L69" s="160"/>
      <c r="M69" s="160"/>
      <c r="N69" s="160"/>
      <c r="O69" s="160"/>
      <c r="P69" s="161"/>
      <c r="Q69" s="118"/>
      <c r="R69" s="119"/>
    </row>
    <row r="70" spans="1:18" s="182" customFormat="1" ht="45" customHeight="1" x14ac:dyDescent="0.7">
      <c r="A70" s="175"/>
      <c r="B70" s="176"/>
      <c r="C70" s="177"/>
      <c r="D70" s="177"/>
      <c r="E70" s="177"/>
      <c r="F70" s="178"/>
      <c r="G70" s="178"/>
      <c r="H70" s="178"/>
      <c r="I70" s="178"/>
      <c r="J70" s="178"/>
      <c r="K70" s="177"/>
      <c r="L70" s="177"/>
      <c r="M70" s="177"/>
      <c r="N70" s="177"/>
      <c r="O70" s="179" t="s">
        <v>169</v>
      </c>
      <c r="P70" s="180"/>
      <c r="Q70" s="179" t="s">
        <v>170</v>
      </c>
      <c r="R70" s="181"/>
    </row>
    <row r="71" spans="1:18" s="182" customFormat="1" ht="45" customHeight="1" x14ac:dyDescent="0.7">
      <c r="A71" s="175"/>
      <c r="B71" s="183"/>
      <c r="C71" s="184" t="s">
        <v>171</v>
      </c>
      <c r="D71" s="185"/>
      <c r="E71" s="185"/>
      <c r="F71" s="185"/>
      <c r="G71" s="185"/>
      <c r="H71" s="185"/>
      <c r="I71" s="185"/>
      <c r="J71" s="185"/>
      <c r="K71" s="186"/>
      <c r="L71" s="187"/>
      <c r="M71" s="188"/>
      <c r="N71" s="189"/>
      <c r="O71" s="190">
        <f>R50</f>
        <v>0</v>
      </c>
      <c r="P71" s="191"/>
      <c r="Q71" s="192">
        <f>O74/100 * 20</f>
        <v>0</v>
      </c>
      <c r="R71" s="193"/>
    </row>
    <row r="72" spans="1:18" s="182" customFormat="1" ht="45" customHeight="1" x14ac:dyDescent="0.7">
      <c r="A72" s="175"/>
      <c r="B72" s="183"/>
      <c r="C72" s="185" t="s">
        <v>172</v>
      </c>
      <c r="D72" s="185"/>
      <c r="E72" s="185"/>
      <c r="F72" s="185"/>
      <c r="G72" s="185"/>
      <c r="H72" s="185"/>
      <c r="I72" s="185"/>
      <c r="J72" s="185"/>
      <c r="K72" s="185"/>
      <c r="L72" s="188"/>
      <c r="M72" s="188"/>
      <c r="N72" s="189"/>
      <c r="O72" s="190">
        <f>I65</f>
        <v>0</v>
      </c>
      <c r="P72" s="191"/>
      <c r="Q72" s="194"/>
      <c r="R72" s="195"/>
    </row>
    <row r="73" spans="1:18" s="182" customFormat="1" ht="45" customHeight="1" x14ac:dyDescent="0.7">
      <c r="A73" s="175"/>
      <c r="B73" s="183"/>
      <c r="C73" s="184" t="s">
        <v>173</v>
      </c>
      <c r="D73" s="185"/>
      <c r="E73" s="185"/>
      <c r="F73" s="185"/>
      <c r="G73" s="185"/>
      <c r="H73" s="185"/>
      <c r="I73" s="185"/>
      <c r="J73" s="185"/>
      <c r="K73" s="186"/>
      <c r="L73" s="187"/>
      <c r="M73" s="188"/>
      <c r="N73" s="189"/>
      <c r="O73" s="190">
        <f>I69</f>
        <v>0</v>
      </c>
      <c r="P73" s="191"/>
      <c r="Q73" s="194"/>
      <c r="R73" s="195"/>
    </row>
    <row r="74" spans="1:18" s="182" customFormat="1" ht="45" customHeight="1" x14ac:dyDescent="0.7">
      <c r="A74" s="175"/>
      <c r="B74" s="196"/>
      <c r="C74" s="184" t="s">
        <v>174</v>
      </c>
      <c r="D74" s="185"/>
      <c r="E74" s="185"/>
      <c r="F74" s="185"/>
      <c r="G74" s="185"/>
      <c r="H74" s="185"/>
      <c r="I74" s="185"/>
      <c r="J74" s="185"/>
      <c r="K74" s="186"/>
      <c r="L74" s="187"/>
      <c r="M74" s="188"/>
      <c r="N74" s="189"/>
      <c r="O74" s="190">
        <f>SUM(O71:P73)</f>
        <v>0</v>
      </c>
      <c r="P74" s="191"/>
      <c r="Q74" s="197"/>
      <c r="R74" s="198"/>
    </row>
    <row r="75" spans="1:18" s="182" customFormat="1" ht="64.900000000000006" customHeight="1" x14ac:dyDescent="0.7">
      <c r="A75" s="175"/>
      <c r="B75" s="199" t="s">
        <v>175</v>
      </c>
      <c r="C75" s="199"/>
      <c r="D75" s="199"/>
      <c r="E75" s="199"/>
      <c r="F75" s="199"/>
      <c r="G75" s="199"/>
      <c r="H75" s="200"/>
      <c r="I75" s="200"/>
      <c r="J75" s="200"/>
      <c r="K75" s="200"/>
      <c r="L75" s="200"/>
      <c r="M75" s="200"/>
      <c r="N75" s="200"/>
      <c r="O75" s="200"/>
      <c r="P75" s="200"/>
      <c r="Q75" s="200"/>
      <c r="R75" s="201"/>
    </row>
    <row r="76" spans="1:18" s="182" customFormat="1" ht="64.900000000000006" customHeight="1" x14ac:dyDescent="0.7">
      <c r="A76" s="175"/>
      <c r="B76" s="202" t="s">
        <v>176</v>
      </c>
      <c r="C76" s="202"/>
      <c r="D76" s="202"/>
      <c r="E76" s="202"/>
      <c r="F76" s="202"/>
      <c r="G76" s="202"/>
      <c r="H76" s="202"/>
      <c r="I76" s="202"/>
      <c r="J76" s="202"/>
      <c r="K76" s="202"/>
      <c r="L76" s="202"/>
      <c r="M76" s="202"/>
      <c r="N76" s="202"/>
      <c r="O76" s="202"/>
      <c r="P76" s="202"/>
      <c r="Q76" s="202"/>
      <c r="R76" s="203"/>
    </row>
    <row r="77" spans="1:18" s="182" customFormat="1" ht="48.75" customHeight="1" x14ac:dyDescent="0.7">
      <c r="A77" s="175"/>
      <c r="B77" s="204" t="s">
        <v>177</v>
      </c>
      <c r="C77" s="204"/>
      <c r="D77" s="204"/>
      <c r="E77" s="204"/>
      <c r="F77" s="204"/>
      <c r="G77" s="204"/>
      <c r="H77" s="205"/>
      <c r="I77" s="205"/>
      <c r="J77" s="205"/>
      <c r="K77" s="205"/>
      <c r="L77" s="205"/>
      <c r="M77" s="205"/>
      <c r="N77" s="205"/>
      <c r="O77" s="205"/>
      <c r="P77" s="205"/>
      <c r="Q77" s="205"/>
      <c r="R77" s="206"/>
    </row>
    <row r="78" spans="1:18" s="182" customFormat="1" ht="45.75" x14ac:dyDescent="0.7">
      <c r="A78" s="175"/>
      <c r="B78" s="202"/>
      <c r="C78" s="202"/>
      <c r="D78" s="202"/>
      <c r="E78" s="202"/>
      <c r="F78" s="202"/>
      <c r="G78" s="202"/>
      <c r="H78" s="202"/>
      <c r="I78" s="202"/>
      <c r="J78" s="202"/>
      <c r="K78" s="202"/>
      <c r="L78" s="202"/>
      <c r="M78" s="202"/>
      <c r="N78" s="202"/>
      <c r="O78" s="202"/>
      <c r="P78" s="202"/>
      <c r="Q78" s="202"/>
      <c r="R78" s="203"/>
    </row>
    <row r="79" spans="1:18" s="120" customFormat="1" ht="31.5" customHeight="1" x14ac:dyDescent="0.55000000000000004">
      <c r="A79" s="207" t="s">
        <v>178</v>
      </c>
      <c r="B79" s="208"/>
      <c r="C79" s="209"/>
      <c r="D79" s="210"/>
      <c r="E79" s="211" t="s">
        <v>179</v>
      </c>
      <c r="F79" s="212"/>
      <c r="G79" s="208" t="s">
        <v>180</v>
      </c>
      <c r="H79" s="209"/>
      <c r="I79" s="209"/>
      <c r="J79" s="209"/>
      <c r="K79" s="213"/>
      <c r="L79" s="134"/>
      <c r="M79" s="214"/>
      <c r="N79" s="214"/>
      <c r="O79" s="214"/>
      <c r="P79" s="214"/>
      <c r="Q79" s="214"/>
      <c r="R79" s="119"/>
    </row>
    <row r="80" spans="1:18" s="120" customFormat="1" ht="31.5" customHeight="1" x14ac:dyDescent="0.55000000000000004">
      <c r="A80" s="215"/>
      <c r="B80" s="216"/>
      <c r="C80" s="217"/>
      <c r="D80" s="218"/>
      <c r="E80" s="219"/>
      <c r="F80" s="220"/>
      <c r="G80" s="216"/>
      <c r="H80" s="217"/>
      <c r="I80" s="217"/>
      <c r="J80" s="217"/>
      <c r="K80" s="213"/>
      <c r="L80" s="134"/>
      <c r="M80" s="221"/>
      <c r="N80" s="221"/>
      <c r="O80" s="221"/>
      <c r="P80" s="221"/>
      <c r="Q80" s="221"/>
      <c r="R80" s="119"/>
    </row>
    <row r="81" spans="1:18" s="120" customFormat="1" ht="31.5" customHeight="1" x14ac:dyDescent="0.55000000000000004">
      <c r="A81" s="215"/>
      <c r="B81" s="216"/>
      <c r="C81" s="217"/>
      <c r="D81" s="218"/>
      <c r="E81" s="219"/>
      <c r="F81" s="220"/>
      <c r="G81" s="216"/>
      <c r="H81" s="217"/>
      <c r="I81" s="217"/>
      <c r="J81" s="217"/>
      <c r="K81" s="213"/>
      <c r="L81" s="134"/>
      <c r="M81" s="221"/>
      <c r="N81" s="221"/>
      <c r="O81" s="221"/>
      <c r="P81" s="221"/>
      <c r="Q81" s="221"/>
      <c r="R81" s="119"/>
    </row>
    <row r="82" spans="1:18" s="120" customFormat="1" ht="31.5" customHeight="1" x14ac:dyDescent="0.55000000000000004">
      <c r="A82" s="222"/>
      <c r="B82" s="223"/>
      <c r="C82" s="224"/>
      <c r="D82" s="225"/>
      <c r="E82" s="226"/>
      <c r="F82" s="227"/>
      <c r="G82" s="223"/>
      <c r="H82" s="224"/>
      <c r="I82" s="224"/>
      <c r="J82" s="224"/>
      <c r="K82" s="213"/>
      <c r="L82" s="134"/>
      <c r="M82" s="221"/>
      <c r="N82" s="221"/>
      <c r="O82" s="221"/>
      <c r="P82" s="221"/>
      <c r="Q82" s="221"/>
      <c r="R82" s="119"/>
    </row>
    <row r="83" spans="1:18" s="120" customFormat="1" ht="31.5" customHeight="1" x14ac:dyDescent="0.55000000000000004">
      <c r="A83" s="228" t="s">
        <v>145</v>
      </c>
      <c r="B83" s="229"/>
      <c r="C83" s="209"/>
      <c r="D83" s="210"/>
      <c r="E83" s="230" t="s">
        <v>181</v>
      </c>
      <c r="F83" s="212"/>
      <c r="G83" s="229" t="s">
        <v>181</v>
      </c>
      <c r="H83" s="209"/>
      <c r="I83" s="209"/>
      <c r="J83" s="209"/>
      <c r="K83" s="213"/>
      <c r="L83" s="134"/>
      <c r="M83" s="221"/>
      <c r="N83" s="221"/>
      <c r="O83" s="221"/>
      <c r="P83" s="221"/>
      <c r="Q83" s="221"/>
      <c r="R83" s="119"/>
    </row>
    <row r="84" spans="1:18" s="120" customFormat="1" ht="31.5" customHeight="1" x14ac:dyDescent="0.55000000000000004">
      <c r="A84" s="231"/>
      <c r="B84" s="232"/>
      <c r="C84" s="217"/>
      <c r="D84" s="218"/>
      <c r="E84" s="233"/>
      <c r="F84" s="220"/>
      <c r="G84" s="232"/>
      <c r="H84" s="217"/>
      <c r="I84" s="217"/>
      <c r="J84" s="217"/>
      <c r="K84" s="213"/>
      <c r="L84" s="134"/>
      <c r="M84" s="221"/>
      <c r="N84" s="221"/>
      <c r="O84" s="221"/>
      <c r="P84" s="221"/>
      <c r="Q84" s="221"/>
      <c r="R84" s="119"/>
    </row>
    <row r="85" spans="1:18" s="120" customFormat="1" ht="31.5" customHeight="1" x14ac:dyDescent="0.55000000000000004">
      <c r="A85" s="231"/>
      <c r="B85" s="232"/>
      <c r="C85" s="224"/>
      <c r="D85" s="225"/>
      <c r="E85" s="234"/>
      <c r="F85" s="227"/>
      <c r="G85" s="235"/>
      <c r="H85" s="224"/>
      <c r="I85" s="224"/>
      <c r="J85" s="224"/>
      <c r="K85" s="213"/>
      <c r="L85" s="134"/>
      <c r="M85" s="221"/>
      <c r="N85" s="221"/>
      <c r="O85" s="221"/>
      <c r="P85" s="221"/>
      <c r="Q85" s="221"/>
      <c r="R85" s="119"/>
    </row>
    <row r="86" spans="1:18" s="120" customFormat="1" ht="31.5" customHeight="1" x14ac:dyDescent="0.55000000000000004">
      <c r="A86" s="215" t="s">
        <v>146</v>
      </c>
      <c r="B86" s="216"/>
      <c r="C86" s="209"/>
      <c r="D86" s="210"/>
      <c r="E86" s="211" t="s">
        <v>182</v>
      </c>
      <c r="F86" s="212"/>
      <c r="G86" s="208" t="s">
        <v>182</v>
      </c>
      <c r="H86" s="209"/>
      <c r="I86" s="209"/>
      <c r="J86" s="209"/>
      <c r="K86" s="213"/>
      <c r="L86" s="134"/>
      <c r="M86" s="221"/>
      <c r="N86" s="221"/>
      <c r="O86" s="221"/>
      <c r="P86" s="221"/>
      <c r="Q86" s="221"/>
      <c r="R86" s="119"/>
    </row>
    <row r="87" spans="1:18" s="120" customFormat="1" ht="31.5" customHeight="1" x14ac:dyDescent="0.55000000000000004">
      <c r="A87" s="215"/>
      <c r="B87" s="216"/>
      <c r="C87" s="224"/>
      <c r="D87" s="225"/>
      <c r="E87" s="226"/>
      <c r="F87" s="227"/>
      <c r="G87" s="223"/>
      <c r="H87" s="224"/>
      <c r="I87" s="224"/>
      <c r="J87" s="224"/>
      <c r="K87" s="213"/>
      <c r="L87" s="134"/>
      <c r="M87" s="221"/>
      <c r="N87" s="221"/>
      <c r="O87" s="221"/>
      <c r="P87" s="221"/>
      <c r="Q87" s="221"/>
      <c r="R87" s="119"/>
    </row>
    <row r="88" spans="1:18" s="120" customFormat="1" ht="31.5" customHeight="1" thickBot="1" x14ac:dyDescent="0.6">
      <c r="A88" s="236"/>
      <c r="B88" s="237"/>
      <c r="C88" s="237"/>
      <c r="D88" s="237"/>
      <c r="E88" s="237"/>
      <c r="F88" s="237"/>
      <c r="G88" s="237"/>
      <c r="H88" s="237"/>
      <c r="I88" s="237"/>
      <c r="J88" s="237"/>
      <c r="K88" s="238"/>
      <c r="L88" s="239"/>
      <c r="M88" s="240"/>
      <c r="N88" s="240"/>
      <c r="O88" s="240"/>
      <c r="P88" s="240"/>
      <c r="Q88" s="240"/>
      <c r="R88" s="241"/>
    </row>
  </sheetData>
  <mergeCells count="135">
    <mergeCell ref="A47:A48"/>
    <mergeCell ref="B47:B48"/>
    <mergeCell ref="C47:C48"/>
    <mergeCell ref="A42:A43"/>
    <mergeCell ref="B42:B43"/>
    <mergeCell ref="C42:C43"/>
    <mergeCell ref="D42:D43"/>
    <mergeCell ref="A44:A46"/>
    <mergeCell ref="B44:B46"/>
    <mergeCell ref="C44:C46"/>
    <mergeCell ref="D44:D45"/>
    <mergeCell ref="A36:A38"/>
    <mergeCell ref="B36:B38"/>
    <mergeCell ref="C36:C38"/>
    <mergeCell ref="D36:D38"/>
    <mergeCell ref="A39:A41"/>
    <mergeCell ref="B39:B41"/>
    <mergeCell ref="C39:C41"/>
    <mergeCell ref="D39:D41"/>
    <mergeCell ref="A88:J88"/>
    <mergeCell ref="A19:A24"/>
    <mergeCell ref="B19:B24"/>
    <mergeCell ref="C19:C24"/>
    <mergeCell ref="D19:D21"/>
    <mergeCell ref="D22:D24"/>
    <mergeCell ref="A25:A35"/>
    <mergeCell ref="B25:B35"/>
    <mergeCell ref="C25:C35"/>
    <mergeCell ref="D25:D27"/>
    <mergeCell ref="A86:B87"/>
    <mergeCell ref="C86:D87"/>
    <mergeCell ref="E86:E87"/>
    <mergeCell ref="F86:F87"/>
    <mergeCell ref="G86:G87"/>
    <mergeCell ref="H86:J87"/>
    <mergeCell ref="A83:B85"/>
    <mergeCell ref="C83:D85"/>
    <mergeCell ref="E83:E85"/>
    <mergeCell ref="F83:F85"/>
    <mergeCell ref="G83:G85"/>
    <mergeCell ref="H83:J85"/>
    <mergeCell ref="B76:R76"/>
    <mergeCell ref="B77:G77"/>
    <mergeCell ref="B78:R78"/>
    <mergeCell ref="A79:B82"/>
    <mergeCell ref="C79:D82"/>
    <mergeCell ref="E79:E82"/>
    <mergeCell ref="F79:F82"/>
    <mergeCell ref="G79:G82"/>
    <mergeCell ref="H79:J82"/>
    <mergeCell ref="M79:Q88"/>
    <mergeCell ref="L73:N73"/>
    <mergeCell ref="O73:P73"/>
    <mergeCell ref="C74:K74"/>
    <mergeCell ref="L74:N74"/>
    <mergeCell ref="O74:P74"/>
    <mergeCell ref="B75:G75"/>
    <mergeCell ref="O70:P70"/>
    <mergeCell ref="Q70:R70"/>
    <mergeCell ref="C71:K71"/>
    <mergeCell ref="L71:N71"/>
    <mergeCell ref="O71:P71"/>
    <mergeCell ref="Q71:R74"/>
    <mergeCell ref="C72:K72"/>
    <mergeCell ref="L72:N72"/>
    <mergeCell ref="O72:P72"/>
    <mergeCell ref="C73:K73"/>
    <mergeCell ref="A65:G65"/>
    <mergeCell ref="C66:G66"/>
    <mergeCell ref="C67:G67"/>
    <mergeCell ref="C68:G68"/>
    <mergeCell ref="B69:D69"/>
    <mergeCell ref="B70:B74"/>
    <mergeCell ref="F70:J70"/>
    <mergeCell ref="C59:G59"/>
    <mergeCell ref="C60:G60"/>
    <mergeCell ref="C61:G61"/>
    <mergeCell ref="C62:G62"/>
    <mergeCell ref="C63:G63"/>
    <mergeCell ref="C64:G64"/>
    <mergeCell ref="C56:G56"/>
    <mergeCell ref="N56:O56"/>
    <mergeCell ref="C57:G57"/>
    <mergeCell ref="N57:O57"/>
    <mergeCell ref="C58:G58"/>
    <mergeCell ref="N58:O58"/>
    <mergeCell ref="C53:G53"/>
    <mergeCell ref="N53:O53"/>
    <mergeCell ref="C54:G54"/>
    <mergeCell ref="N54:O54"/>
    <mergeCell ref="C55:G55"/>
    <mergeCell ref="N55:O55"/>
    <mergeCell ref="R17:R18"/>
    <mergeCell ref="I50:Q50"/>
    <mergeCell ref="A51:G51"/>
    <mergeCell ref="H51:K51"/>
    <mergeCell ref="L51:L52"/>
    <mergeCell ref="C52:G52"/>
    <mergeCell ref="D28:D29"/>
    <mergeCell ref="D30:D31"/>
    <mergeCell ref="D32:D33"/>
    <mergeCell ref="D34:D35"/>
    <mergeCell ref="G17:G18"/>
    <mergeCell ref="H17:H18"/>
    <mergeCell ref="I17:I18"/>
    <mergeCell ref="J17:O17"/>
    <mergeCell ref="P17:P18"/>
    <mergeCell ref="Q17:Q18"/>
    <mergeCell ref="A14:B14"/>
    <mergeCell ref="I14:J14"/>
    <mergeCell ref="A15:I15"/>
    <mergeCell ref="A16:I16"/>
    <mergeCell ref="A17:A18"/>
    <mergeCell ref="B17:B18"/>
    <mergeCell ref="C17:C18"/>
    <mergeCell ref="D17:D18"/>
    <mergeCell ref="E17:E18"/>
    <mergeCell ref="F17:F18"/>
    <mergeCell ref="A10:B10"/>
    <mergeCell ref="I10:J10"/>
    <mergeCell ref="A11:B11"/>
    <mergeCell ref="I11:J11"/>
    <mergeCell ref="A12:I12"/>
    <mergeCell ref="A13:B13"/>
    <mergeCell ref="I13:J13"/>
    <mergeCell ref="A1:R3"/>
    <mergeCell ref="A4:J4"/>
    <mergeCell ref="K4:R15"/>
    <mergeCell ref="E5:H5"/>
    <mergeCell ref="A6:H6"/>
    <mergeCell ref="A7:B7"/>
    <mergeCell ref="I7:J7"/>
    <mergeCell ref="A8:B8"/>
    <mergeCell ref="I8:J8"/>
    <mergeCell ref="A9:I9"/>
  </mergeCells>
  <hyperlinks>
    <hyperlink ref="E8" r:id="rId1" xr:uid="{B8310B89-1AF5-40D4-924D-484249CA20D4}"/>
  </hyperlinks>
  <pageMargins left="0.7" right="0.7" top="0.75" bottom="0.75" header="0.3" footer="0.3"/>
  <pageSetup scale="14" fitToHeight="0" orientation="landscape"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4</vt:i4>
      </vt:variant>
    </vt:vector>
  </HeadingPairs>
  <TitlesOfParts>
    <vt:vector size="8" baseType="lpstr">
      <vt:lpstr>FIRST QUARTER</vt:lpstr>
      <vt:lpstr>SECOND QUARTER</vt:lpstr>
      <vt:lpstr>THIRD QUARTER</vt:lpstr>
      <vt:lpstr>FOURTH QUARTER</vt:lpstr>
      <vt:lpstr>'FIRST QUARTER'!Print_Area</vt:lpstr>
      <vt:lpstr>'FOURTH QUARTER'!Print_Area</vt:lpstr>
      <vt:lpstr>'SECOND QUARTER'!Print_Area</vt:lpstr>
      <vt:lpstr>'THIRD QUARTER'!Print_Area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2026-04-09T20:52:27Z</dcterms:created>
  <dcterms:modified xsi:type="dcterms:W3CDTF">2026-04-09T20:55:37Z</dcterms:modified>
</cp:coreProperties>
</file>