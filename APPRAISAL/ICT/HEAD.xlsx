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HP USER\Desktop\SERVICOM_2026\APPRAISAL\ICT\"/>
    </mc:Choice>
  </mc:AlternateContent>
  <xr:revisionPtr revIDLastSave="0" documentId="13_ncr:1_{8DB4BDF1-7DA9-4A67-B84F-277476596D33}" xr6:coauthVersionLast="44" xr6:coauthVersionMax="47" xr10:uidLastSave="{00000000-0000-0000-0000-000000000000}"/>
  <bookViews>
    <workbookView xWindow="-120" yWindow="-120" windowWidth="29040" windowHeight="15720" xr2:uid="{6A2F1ED8-C4E3-44E1-ACD1-2471BC3AEE76}"/>
  </bookViews>
  <sheets>
    <sheet name="FIRST QUARTER" sheetId="7" r:id="rId1"/>
    <sheet name="SECOND QUARTER" sheetId="8" r:id="rId2"/>
    <sheet name="THIRD QUARTER" sheetId="9" r:id="rId3"/>
    <sheet name="FOURTH QUARTER" sheetId="10" r:id="rId4"/>
  </sheets>
  <definedNames>
    <definedName name="_xlnm.Print_Area" localSheetId="0">'FIRST QUARTER'!$A$1:$R$97</definedName>
    <definedName name="_xlnm.Print_Area" localSheetId="3">'FOURTH QUARTER'!$A$1:$R$97</definedName>
    <definedName name="_xlnm.Print_Area" localSheetId="1">'SECOND QUARTER'!$A$1:$R$97</definedName>
    <definedName name="_xlnm.Print_Area" localSheetId="2">'THIRD QUARTER'!$A$1:$R$97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20" i="8" l="1"/>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20" i="9"/>
  <c r="F21" i="9"/>
  <c r="R21" i="9" s="1"/>
  <c r="F22" i="9"/>
  <c r="F23" i="9"/>
  <c r="F24" i="9"/>
  <c r="F25" i="9"/>
  <c r="R25" i="9" s="1"/>
  <c r="F26" i="9"/>
  <c r="F27" i="9"/>
  <c r="F28" i="9"/>
  <c r="F29" i="9"/>
  <c r="R29" i="9" s="1"/>
  <c r="F30" i="9"/>
  <c r="F31" i="9"/>
  <c r="F32" i="9"/>
  <c r="F33" i="9"/>
  <c r="R33" i="9" s="1"/>
  <c r="F34" i="9"/>
  <c r="F35" i="9"/>
  <c r="F36" i="9"/>
  <c r="F37" i="9"/>
  <c r="R37" i="9" s="1"/>
  <c r="F38" i="9"/>
  <c r="F39" i="9"/>
  <c r="F40" i="9"/>
  <c r="F41" i="9"/>
  <c r="R41" i="9" s="1"/>
  <c r="F42" i="9"/>
  <c r="F43" i="9"/>
  <c r="F44" i="9"/>
  <c r="F45" i="9"/>
  <c r="R45" i="9" s="1"/>
  <c r="F46" i="9"/>
  <c r="F47" i="9"/>
  <c r="F48" i="9"/>
  <c r="F49" i="9"/>
  <c r="F50" i="9"/>
  <c r="F51" i="9"/>
  <c r="F52" i="9"/>
  <c r="F53" i="9"/>
  <c r="R53" i="9" s="1"/>
  <c r="F54" i="9"/>
  <c r="F55" i="9"/>
  <c r="F56" i="9"/>
  <c r="F57" i="9"/>
  <c r="R57" i="9" s="1"/>
  <c r="F20" i="10"/>
  <c r="F21" i="10"/>
  <c r="F22" i="10"/>
  <c r="F23" i="10"/>
  <c r="F58" i="10" s="1"/>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20" i="7"/>
  <c r="F21" i="7"/>
  <c r="R21" i="7" s="1"/>
  <c r="F22" i="7"/>
  <c r="F23" i="7"/>
  <c r="F24" i="7"/>
  <c r="F25" i="7"/>
  <c r="F26" i="7"/>
  <c r="F27" i="7"/>
  <c r="F28" i="7"/>
  <c r="F29" i="7"/>
  <c r="R29" i="7" s="1"/>
  <c r="F30" i="7"/>
  <c r="F31" i="7"/>
  <c r="F32" i="7"/>
  <c r="F33" i="7"/>
  <c r="R33" i="7" s="1"/>
  <c r="F34" i="7"/>
  <c r="F35" i="7"/>
  <c r="F36" i="7"/>
  <c r="F37" i="7"/>
  <c r="R37" i="7" s="1"/>
  <c r="F38" i="7"/>
  <c r="F39" i="7"/>
  <c r="F40" i="7"/>
  <c r="F41" i="7"/>
  <c r="R41" i="7" s="1"/>
  <c r="F42" i="7"/>
  <c r="F43" i="7"/>
  <c r="F44" i="7"/>
  <c r="F45" i="7"/>
  <c r="F46" i="7"/>
  <c r="F47" i="7"/>
  <c r="F48" i="7"/>
  <c r="F49" i="7"/>
  <c r="F50" i="7"/>
  <c r="F51" i="7"/>
  <c r="F52" i="7"/>
  <c r="F53" i="7"/>
  <c r="R53" i="7" s="1"/>
  <c r="F54" i="7"/>
  <c r="F55" i="7"/>
  <c r="F56" i="7"/>
  <c r="F57" i="7"/>
  <c r="R57" i="7" s="1"/>
  <c r="F19" i="8"/>
  <c r="F19" i="9"/>
  <c r="F19" i="10"/>
  <c r="F19" i="7"/>
  <c r="F58" i="7" s="1"/>
  <c r="Q21" i="8"/>
  <c r="Q22" i="8"/>
  <c r="Q23" i="8"/>
  <c r="Q24" i="8"/>
  <c r="R24" i="8"/>
  <c r="Q25" i="8"/>
  <c r="Q26" i="8"/>
  <c r="Q27" i="8"/>
  <c r="R27" i="8" s="1"/>
  <c r="Q28" i="8"/>
  <c r="Q29" i="8"/>
  <c r="Q30" i="8"/>
  <c r="Q31" i="8"/>
  <c r="R31" i="8" s="1"/>
  <c r="Q32" i="8"/>
  <c r="Q33" i="8"/>
  <c r="Q34" i="8"/>
  <c r="Q35" i="8"/>
  <c r="R35" i="8" s="1"/>
  <c r="Q36" i="8"/>
  <c r="R36" i="8"/>
  <c r="Q37" i="8"/>
  <c r="Q38" i="8"/>
  <c r="Q39" i="8"/>
  <c r="Q40" i="8"/>
  <c r="Q41" i="8"/>
  <c r="Q42" i="8"/>
  <c r="Q43" i="8"/>
  <c r="Q44" i="8"/>
  <c r="R44" i="8"/>
  <c r="Q45" i="8"/>
  <c r="Q46" i="8"/>
  <c r="Q47" i="8"/>
  <c r="Q48" i="8"/>
  <c r="Q49" i="8"/>
  <c r="Q50" i="8"/>
  <c r="Q51" i="8"/>
  <c r="Q52" i="8"/>
  <c r="Q53" i="8"/>
  <c r="Q54" i="8"/>
  <c r="Q55" i="8"/>
  <c r="Q56" i="8"/>
  <c r="R56" i="8"/>
  <c r="Q57" i="8"/>
  <c r="Q21" i="9"/>
  <c r="Q22" i="9"/>
  <c r="Q23" i="9"/>
  <c r="R23" i="9"/>
  <c r="Q24" i="9"/>
  <c r="Q25" i="9"/>
  <c r="Q26" i="9"/>
  <c r="R26" i="9" s="1"/>
  <c r="Q27" i="9"/>
  <c r="R27" i="9"/>
  <c r="Q28" i="9"/>
  <c r="Q29" i="9"/>
  <c r="Q30" i="9"/>
  <c r="Q31" i="9"/>
  <c r="R31" i="9"/>
  <c r="Q32" i="9"/>
  <c r="Q33" i="9"/>
  <c r="Q34" i="9"/>
  <c r="R34" i="9" s="1"/>
  <c r="Q35" i="9"/>
  <c r="R35" i="9"/>
  <c r="Q36" i="9"/>
  <c r="Q37" i="9"/>
  <c r="Q38" i="9"/>
  <c r="R38" i="9" s="1"/>
  <c r="Q39" i="9"/>
  <c r="Q40" i="9"/>
  <c r="Q41" i="9"/>
  <c r="Q42" i="9"/>
  <c r="R42" i="9" s="1"/>
  <c r="Q43" i="9"/>
  <c r="Q44" i="9"/>
  <c r="Q45" i="9"/>
  <c r="Q46" i="9"/>
  <c r="Q47" i="9"/>
  <c r="R47" i="9"/>
  <c r="Q48" i="9"/>
  <c r="Q49" i="9"/>
  <c r="Q50" i="9"/>
  <c r="R50" i="9" s="1"/>
  <c r="Q51" i="9"/>
  <c r="R51" i="9"/>
  <c r="Q52" i="9"/>
  <c r="Q53" i="9"/>
  <c r="Q54" i="9"/>
  <c r="R54" i="9" s="1"/>
  <c r="Q55" i="9"/>
  <c r="R55" i="9"/>
  <c r="Q56" i="9"/>
  <c r="Q57" i="9"/>
  <c r="Q21" i="10"/>
  <c r="Q22" i="10"/>
  <c r="Q23" i="10"/>
  <c r="Q24" i="10"/>
  <c r="Q25" i="10"/>
  <c r="Q26" i="10"/>
  <c r="R26" i="10"/>
  <c r="Q27" i="10"/>
  <c r="Q28" i="10"/>
  <c r="Q29" i="10"/>
  <c r="R29" i="10" s="1"/>
  <c r="Q30" i="10"/>
  <c r="Q31" i="10"/>
  <c r="Q32" i="10"/>
  <c r="Q33" i="10"/>
  <c r="Q34" i="10"/>
  <c r="R34" i="10"/>
  <c r="Q35" i="10"/>
  <c r="Q36" i="10"/>
  <c r="Q37" i="10"/>
  <c r="R37" i="10" s="1"/>
  <c r="Q38" i="10"/>
  <c r="R38" i="10"/>
  <c r="Q39" i="10"/>
  <c r="Q40" i="10"/>
  <c r="Q41" i="10"/>
  <c r="Q42" i="10"/>
  <c r="R42" i="10"/>
  <c r="Q43" i="10"/>
  <c r="Q44" i="10"/>
  <c r="Q45" i="10"/>
  <c r="R45" i="10" s="1"/>
  <c r="Q46" i="10"/>
  <c r="Q47" i="10"/>
  <c r="Q48" i="10"/>
  <c r="Q49" i="10"/>
  <c r="Q50" i="10"/>
  <c r="R50" i="10"/>
  <c r="Q51" i="10"/>
  <c r="Q52" i="10"/>
  <c r="Q53" i="10"/>
  <c r="R53" i="10" s="1"/>
  <c r="Q54" i="10"/>
  <c r="R54" i="10"/>
  <c r="Q55" i="10"/>
  <c r="Q56" i="10"/>
  <c r="Q57" i="10"/>
  <c r="Q21" i="7"/>
  <c r="Q22" i="7"/>
  <c r="Q23" i="7"/>
  <c r="Q24" i="7"/>
  <c r="R24" i="7" s="1"/>
  <c r="Q25" i="7"/>
  <c r="Q26" i="7"/>
  <c r="Q27" i="7"/>
  <c r="Q28" i="7"/>
  <c r="Q29" i="7"/>
  <c r="Q30" i="7"/>
  <c r="Q31" i="7"/>
  <c r="Q32" i="7"/>
  <c r="Q33" i="7"/>
  <c r="Q34" i="7"/>
  <c r="Q35" i="7"/>
  <c r="Q36" i="7"/>
  <c r="Q37" i="7"/>
  <c r="Q38" i="7"/>
  <c r="Q39" i="7"/>
  <c r="Q40" i="7"/>
  <c r="R40" i="7" s="1"/>
  <c r="Q41" i="7"/>
  <c r="Q42" i="7"/>
  <c r="Q43" i="7"/>
  <c r="Q44" i="7"/>
  <c r="Q45" i="7"/>
  <c r="R45" i="7"/>
  <c r="Q46" i="7"/>
  <c r="Q47" i="7"/>
  <c r="Q48" i="7"/>
  <c r="R48" i="7" s="1"/>
  <c r="Q49" i="7"/>
  <c r="Q50" i="7"/>
  <c r="Q51" i="7"/>
  <c r="Q52" i="7"/>
  <c r="Q53" i="7"/>
  <c r="Q54" i="7"/>
  <c r="Q55" i="7"/>
  <c r="Q56" i="7"/>
  <c r="R56" i="7" s="1"/>
  <c r="Q57" i="7"/>
  <c r="Q20" i="8"/>
  <c r="Q20" i="9"/>
  <c r="R20" i="9" s="1"/>
  <c r="Q20" i="10"/>
  <c r="Q20" i="7"/>
  <c r="C56" i="8"/>
  <c r="C55" i="8"/>
  <c r="R54" i="8"/>
  <c r="C53" i="8"/>
  <c r="R52" i="8"/>
  <c r="R50" i="8"/>
  <c r="C50" i="8"/>
  <c r="C49" i="8"/>
  <c r="R48" i="8"/>
  <c r="R46" i="8"/>
  <c r="C46" i="8"/>
  <c r="R42" i="8"/>
  <c r="R40" i="8"/>
  <c r="R38" i="8"/>
  <c r="C36" i="8"/>
  <c r="R34" i="8"/>
  <c r="R32" i="8"/>
  <c r="R30" i="8"/>
  <c r="R28" i="8"/>
  <c r="R26" i="8"/>
  <c r="C25" i="8"/>
  <c r="R22" i="8"/>
  <c r="R20" i="8"/>
  <c r="C19" i="8"/>
  <c r="C56" i="9"/>
  <c r="C55" i="9"/>
  <c r="C53" i="9"/>
  <c r="C50" i="9"/>
  <c r="R49" i="9"/>
  <c r="C49" i="9"/>
  <c r="C46" i="9"/>
  <c r="R43" i="9"/>
  <c r="R39" i="9"/>
  <c r="C36" i="9"/>
  <c r="C25" i="9"/>
  <c r="C19" i="9"/>
  <c r="C58" i="9" s="1"/>
  <c r="R56" i="10"/>
  <c r="C56" i="10"/>
  <c r="C55" i="10"/>
  <c r="C53" i="10"/>
  <c r="R52" i="10"/>
  <c r="C50" i="10"/>
  <c r="C49" i="10"/>
  <c r="R48" i="10"/>
  <c r="R46" i="10"/>
  <c r="C46" i="10"/>
  <c r="R44" i="10"/>
  <c r="R40" i="10"/>
  <c r="R36" i="10"/>
  <c r="C36" i="10"/>
  <c r="R32" i="10"/>
  <c r="R30" i="10"/>
  <c r="R28" i="10"/>
  <c r="C25" i="10"/>
  <c r="R24" i="10"/>
  <c r="R22" i="10"/>
  <c r="R20" i="10"/>
  <c r="C19" i="10"/>
  <c r="C56" i="7"/>
  <c r="R55" i="7"/>
  <c r="C55" i="7"/>
  <c r="C53" i="7"/>
  <c r="R51" i="7"/>
  <c r="C50" i="7"/>
  <c r="R49" i="7"/>
  <c r="C49" i="7"/>
  <c r="R47" i="7"/>
  <c r="C46" i="7"/>
  <c r="R43" i="7"/>
  <c r="R39" i="7"/>
  <c r="C36" i="7"/>
  <c r="R35" i="7"/>
  <c r="R31" i="7"/>
  <c r="R27" i="7"/>
  <c r="R25" i="7"/>
  <c r="C25" i="7"/>
  <c r="R23" i="7"/>
  <c r="R20" i="7"/>
  <c r="C19" i="7"/>
  <c r="I78" i="10"/>
  <c r="O82" i="10" s="1"/>
  <c r="H78" i="10"/>
  <c r="I74" i="10"/>
  <c r="O81" i="10" s="1"/>
  <c r="H74" i="10"/>
  <c r="E58" i="10"/>
  <c r="Q19" i="10"/>
  <c r="I78" i="9"/>
  <c r="O82" i="9" s="1"/>
  <c r="H78" i="9"/>
  <c r="I74" i="9"/>
  <c r="O81" i="9" s="1"/>
  <c r="H74" i="9"/>
  <c r="E58" i="9"/>
  <c r="Q19" i="9"/>
  <c r="R19" i="9" s="1"/>
  <c r="I78" i="8"/>
  <c r="O82" i="8" s="1"/>
  <c r="H78" i="8"/>
  <c r="I74" i="8"/>
  <c r="O81" i="8" s="1"/>
  <c r="H74" i="8"/>
  <c r="F58" i="8"/>
  <c r="E58" i="8"/>
  <c r="Q19" i="8"/>
  <c r="O82" i="7"/>
  <c r="I78" i="7"/>
  <c r="H78" i="7"/>
  <c r="I74" i="7"/>
  <c r="O81" i="7" s="1"/>
  <c r="H74" i="7"/>
  <c r="E58" i="7"/>
  <c r="Q19" i="7"/>
  <c r="R23" i="8" l="1"/>
  <c r="R55" i="8"/>
  <c r="R51" i="8"/>
  <c r="R47" i="8"/>
  <c r="F58" i="9"/>
  <c r="R19" i="10"/>
  <c r="R39" i="8"/>
  <c r="C58" i="7"/>
  <c r="C58" i="10"/>
  <c r="C58" i="8"/>
  <c r="R50" i="7"/>
  <c r="R42" i="7"/>
  <c r="R34" i="7"/>
  <c r="R26" i="7"/>
  <c r="R55" i="10"/>
  <c r="R47" i="10"/>
  <c r="R39" i="10"/>
  <c r="R31" i="10"/>
  <c r="R23" i="10"/>
  <c r="R52" i="9"/>
  <c r="R44" i="9"/>
  <c r="R36" i="9"/>
  <c r="R28" i="9"/>
  <c r="R57" i="8"/>
  <c r="R49" i="8"/>
  <c r="R41" i="8"/>
  <c r="R33" i="8"/>
  <c r="R25" i="8"/>
  <c r="R32" i="7"/>
  <c r="R21" i="10"/>
  <c r="R52" i="7"/>
  <c r="R44" i="7"/>
  <c r="R36" i="7"/>
  <c r="R28" i="7"/>
  <c r="R57" i="10"/>
  <c r="R49" i="10"/>
  <c r="R41" i="10"/>
  <c r="R33" i="10"/>
  <c r="R25" i="10"/>
  <c r="R46" i="9"/>
  <c r="R30" i="9"/>
  <c r="R22" i="9"/>
  <c r="R58" i="9" s="1"/>
  <c r="R59" i="9" s="1"/>
  <c r="O80" i="9" s="1"/>
  <c r="O83" i="9" s="1"/>
  <c r="Q80" i="9" s="1"/>
  <c r="R43" i="8"/>
  <c r="R19" i="7"/>
  <c r="R19" i="8"/>
  <c r="R54" i="7"/>
  <c r="R46" i="7"/>
  <c r="R38" i="7"/>
  <c r="R30" i="7"/>
  <c r="R22" i="7"/>
  <c r="R51" i="10"/>
  <c r="R43" i="10"/>
  <c r="R35" i="10"/>
  <c r="R27" i="10"/>
  <c r="R56" i="9"/>
  <c r="R48" i="9"/>
  <c r="R40" i="9"/>
  <c r="R32" i="9"/>
  <c r="R24" i="9"/>
  <c r="R53" i="8"/>
  <c r="R45" i="8"/>
  <c r="R37" i="8"/>
  <c r="R29" i="8"/>
  <c r="R21" i="8"/>
  <c r="R58" i="10" l="1"/>
  <c r="R59" i="10" s="1"/>
  <c r="O80" i="10" s="1"/>
  <c r="O83" i="10" s="1"/>
  <c r="Q80" i="10" s="1"/>
  <c r="R58" i="8"/>
  <c r="R59" i="8" s="1"/>
  <c r="O80" i="8" s="1"/>
  <c r="O83" i="8" s="1"/>
  <c r="Q80" i="8" s="1"/>
  <c r="R58" i="7"/>
  <c r="R59" i="7" s="1"/>
  <c r="O80" i="7" s="1"/>
  <c r="O83" i="7" s="1"/>
  <c r="Q80" i="7" s="1"/>
</calcChain>
</file>

<file path=xl/sharedStrings.xml><?xml version="1.0" encoding="utf-8"?>
<sst xmlns="http://schemas.openxmlformats.org/spreadsheetml/2006/main" count="1260" uniqueCount="206">
  <si>
    <t>PERFORMANCE APPRAISAL PERIOD:</t>
  </si>
  <si>
    <t>FROM</t>
  </si>
  <si>
    <t>To</t>
  </si>
  <si>
    <t>SECTION 1: EMPLOYEE INFORMATION</t>
  </si>
  <si>
    <t>Surname:</t>
  </si>
  <si>
    <t>IGWE</t>
  </si>
  <si>
    <t>Firstname</t>
  </si>
  <si>
    <t>CASMIR</t>
  </si>
  <si>
    <t>Othername</t>
  </si>
  <si>
    <t>SUNDAY</t>
  </si>
  <si>
    <t>Designation</t>
  </si>
  <si>
    <t>HEAD OF CURRICUM/ACPA</t>
  </si>
  <si>
    <t>IPPIS No.</t>
  </si>
  <si>
    <t>Email</t>
  </si>
  <si>
    <t xml:space="preserve"> igcasmir@gmail.om</t>
  </si>
  <si>
    <t>Phone No.</t>
  </si>
  <si>
    <t>Department</t>
  </si>
  <si>
    <t>SERVICOM INSTITUTE</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</si>
  <si>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</si>
  <si>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</si>
  <si>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</si>
  <si>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</si>
  <si>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</si>
  <si>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</si>
  <si>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</si>
  <si>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</si>
  <si>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</si>
  <si>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</si>
  <si>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</si>
  <si>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</si>
  <si>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</si>
  <si>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</si>
  <si>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</si>
  <si>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</si>
  <si>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</si>
  <si>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</si>
  <si>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</si>
  <si>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</si>
  <si>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</si>
  <si>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</si>
  <si>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</si>
  <si>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</si>
  <si>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</si>
  <si>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</si>
  <si>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</si>
  <si>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</si>
  <si>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</si>
  <si>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</si>
  <si>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</si>
  <si>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</si>
  <si>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</si>
  <si>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</si>
  <si>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</si>
  <si>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</si>
  <si>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</si>
  <si>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</si>
  <si>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</si>
  <si>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ICT Governance, Digital Transformation, &amp; Information Security</t>
  </si>
  <si>
    <t>Strengthen ICT governance and policy alignment in line with national frameworks
(NDES, NITDA Guidelines, NDPR, Civil Service Reform &amp; e-Government Agenda)</t>
  </si>
  <si>
    <t>Level of compliance with NITDA and NDPR requirements</t>
  </si>
  <si>
    <t>Percentage completion of ICT asset verification and inventory update</t>
  </si>
  <si>
    <t>&gt;80</t>
  </si>
  <si>
    <t>Percentage of ICT and data protection policies reviewed, updated, and approved</t>
  </si>
  <si>
    <t>&gt;90</t>
  </si>
  <si>
    <t>Upgrade and maintain reliable ICT infrastructure to support operations
(Networks, equipment, servers, power, backups)</t>
  </si>
  <si>
    <t>System and network uptime percentage</t>
  </si>
  <si>
    <t>Percentage of planned ICT infrastructure upgrades completed</t>
  </si>
  <si>
    <t>Enhance ICT service delivery and user support through an effective helpdesk</t>
  </si>
  <si>
    <t>Percentage of ICT service requests resolved within agreed SLA</t>
  </si>
  <si>
    <t>User satisfaction rate with ICT support services</t>
  </si>
  <si>
    <t>Strengthen cybersecurity and data protection compliance</t>
  </si>
  <si>
    <t>Percentage of cybersecurity audits and vulnerability assessments conducted</t>
  </si>
  <si>
    <t>Percentage compliance with NDPR requirements</t>
  </si>
  <si>
    <t>Monitor, evaluate, and sustain ICT performance</t>
  </si>
  <si>
    <t>Timely production of annual ICT performance report</t>
  </si>
  <si>
    <t>Percentage of ICT deliverables achieved against annual workplan</t>
  </si>
  <si>
    <t>&gt;20</t>
  </si>
  <si>
    <t>&lt;5</t>
  </si>
  <si>
    <t>MDA-wide Staff Development, Training, and Capacity Enhancement</t>
  </si>
  <si>
    <t>Identify capacity gaps and establish training priorities across SERVICOM and MDAs</t>
  </si>
  <si>
    <t>Percentage of MDAs/staff covered by the Training Needs Assessment (TNA)</t>
  </si>
  <si>
    <t>Timely completion of Annual Training Needs Assessment Report</t>
  </si>
  <si>
    <t>Strengthen foundational competencies and ensure compliance with public service standards</t>
  </si>
  <si>
    <t>Percentage of newly recruited or transferred MDA staff inducted</t>
  </si>
  <si>
    <t>Percentage of eligible officers completing supervisory/leadership training</t>
  </si>
  <si>
    <t>Build specialized, technical, and performance-driven competencies</t>
  </si>
  <si>
    <t>Number of specialized and technical training programmes conducted across MDAs</t>
  </si>
  <si>
    <t>NUMBER</t>
  </si>
  <si>
    <t>&gt;10</t>
  </si>
  <si>
    <t>Percentage of targeted MDA staff completing specialized/professional training</t>
  </si>
  <si>
    <t>Institutionalize learning, knowledge sharing, and best practice dissemination</t>
  </si>
  <si>
    <t>Number of training manuals and learning materials developed or updated</t>
  </si>
  <si>
    <t>&gt;5</t>
  </si>
  <si>
    <t>Number of knowledge-sharing workshops conducted across MDAs</t>
  </si>
  <si>
    <t>Evaluate training impact and measure improvement in service delivery</t>
  </si>
  <si>
    <t>Percentage of training programmes evaluated post-delivery</t>
  </si>
  <si>
    <t>Percentage improvement in staff performance indicators after training</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</si>
  <si>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</si>
  <si>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</si>
  <si>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</si>
  <si>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Percentage of Identified Innovations and Initiatives Implemented or Piloted</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</si>
  <si>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</si>
  <si>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</si>
  <si>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</si>
  <si>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</si>
  <si>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</si>
  <si>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</si>
  <si>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</si>
  <si>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</si>
  <si>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</si>
  <si>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</si>
  <si>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</si>
  <si>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</si>
  <si>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</si>
  <si>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</si>
  <si>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</si>
  <si>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</si>
  <si>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</si>
  <si>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</si>
  <si>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</si>
  <si>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</si>
  <si>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</si>
  <si>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</si>
  <si>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</si>
  <si>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</si>
  <si>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</si>
  <si>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</si>
  <si>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</si>
  <si>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</si>
  <si>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</si>
  <si>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</si>
  <si>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</si>
  <si>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</si>
  <si>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</si>
  <si>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</si>
  <si>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</si>
  <si>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</si>
  <si>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</si>
  <si>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</si>
  <si>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</si>
  <si>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</si>
  <si>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</si>
  <si>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</si>
  <si>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</si>
  <si>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</si>
  <si>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</si>
  <si>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</si>
  <si>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</si>
  <si>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</si>
  <si>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</si>
  <si>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</si>
  <si>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</si>
  <si>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</si>
  <si>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</si>
  <si>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</si>
  <si>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</si>
  <si>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</si>
  <si>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</si>
  <si>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</si>
  <si>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</si>
  <si>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</si>
  <si>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</si>
  <si>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</si>
  <si>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</si>
  <si>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</si>
  <si>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</si>
  <si>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</si>
  <si>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</si>
  <si>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</si>
  <si>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</si>
  <si>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</si>
  <si>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</si>
  <si>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</si>
  <si>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</si>
  <si>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</si>
  <si>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</si>
  <si>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</si>
  <si>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</si>
  <si>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</si>
  <si>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</si>
  <si>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</si>
  <si>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</si>
  <si>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</si>
  <si>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</si>
  <si>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</si>
  <si>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</si>
  <si>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</si>
  <si>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</si>
  <si>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</si>
  <si>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</si>
  <si>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</si>
  <si>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</si>
  <si>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</si>
  <si>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</si>
  <si>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</si>
  <si>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</si>
  <si>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</si>
  <si>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</si>
  <si>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</si>
  <si>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</si>
  <si>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</si>
  <si>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</si>
  <si>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</si>
  <si>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</si>
  <si>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2025</t>
  </si>
  <si>
    <t>HEAD OF CURRICUM/AD(PA)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</si>
</sst>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sz val="11"/>
      <color theme="1"/>
      <name val="Calibri"/>
      <family val="2"/>
      <scheme val="minor"/>
    </font>
    <font>
      <u/>
      <sz val="11"/>
      <color theme="10"/>
      <name val="Calibri"/>
      <family val="2"/>
      <scheme val="minor"/>
    </font>
    <font>
      <b/>
      <sz val="26"/>
      <name val="Century Gothic"/>
      <family val="2"/>
    </font>
    <font>
      <sz val="26"/>
      <name val="Century Gothic"/>
      <family val="2"/>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sz val="28"/>
      <color theme="1"/>
      <name val="Calibri"/>
      <family val="2"/>
      <scheme val="minor"/>
    </font>
    <font>
      <b/>
      <sz val="30"/>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b/>
      <sz val="40"/>
      <color theme="1"/>
      <name val="Calibri"/>
      <family val="2"/>
      <scheme val="minor"/>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sz val="16"/>
      <color theme="1"/>
      <name val="Century Gothic"/>
      <family val="2"/>
    </font>
    <font>
      <b/>
      <u/>
      <sz val="30"/>
      <name val="Calibri"/>
      <family val="2"/>
      <charset val="1"/>
      <scheme val="minor"/>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4">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24" fillId="0" borderId="0"/>
    <xf numFmtId="0" fontId="1" fillId="0" borderId="0"/>
    <xf numFmtId="9" fontId="1" fillId="0" borderId="0" applyFont="0" applyFill="0" applyBorder="0" applyAlignment="0" applyProtection="0"/>
  </cellStyleXfs>
  <cellXfs count="281">
    <xf numFmtId="0" fontId="0" fillId="0" borderId="0" xfId="0"/>
    <xf numFmtId="0" fontId="1" fillId="0" borderId="0" xfId="7" applyAlignment="1">
      <alignment vertical="top"/>
    </xf>
    <xf numFmtId="0" fontId="8" fillId="0" borderId="0" xfId="7" applyFont="1" applyAlignment="1">
      <alignment vertical="top"/>
    </xf>
    <xf numFmtId="0" fontId="9" fillId="3" borderId="19" xfId="2" applyFont="1" applyFill="1" applyBorder="1" applyAlignment="1">
      <alignment vertical="center"/>
    </xf>
    <xf numFmtId="49" fontId="9" fillId="4" borderId="0" xfId="2" applyNumberFormat="1" applyFont="1" applyFill="1" applyAlignment="1">
      <alignment vertical="center"/>
    </xf>
    <xf numFmtId="0" fontId="9" fillId="3" borderId="0" xfId="2" applyFont="1" applyFill="1" applyAlignment="1">
      <alignment horizontal="center" vertical="center"/>
    </xf>
    <xf numFmtId="49" fontId="9" fillId="0" borderId="9" xfId="2" applyNumberFormat="1" applyFont="1" applyBorder="1" applyAlignment="1">
      <alignment horizontal="center"/>
    </xf>
    <xf numFmtId="0" fontId="10" fillId="2" borderId="0" xfId="2" applyFont="1" applyFill="1" applyAlignment="1">
      <alignment horizontal="center"/>
    </xf>
    <xf numFmtId="0" fontId="11" fillId="2" borderId="0" xfId="2" applyFont="1" applyFill="1"/>
    <xf numFmtId="0" fontId="11" fillId="0" borderId="0" xfId="2" applyFont="1"/>
    <xf numFmtId="0" fontId="12" fillId="2" borderId="0" xfId="8" applyFont="1" applyFill="1" applyAlignment="1">
      <alignment horizontal="left"/>
    </xf>
    <xf numFmtId="0" fontId="13" fillId="2" borderId="0" xfId="8" applyFont="1" applyFill="1"/>
    <xf numFmtId="0" fontId="13" fillId="0" borderId="0" xfId="8" applyFont="1"/>
    <xf numFmtId="0" fontId="16" fillId="2" borderId="0" xfId="2" applyFont="1" applyFill="1" applyAlignment="1">
      <alignment horizontal="left"/>
    </xf>
    <xf numFmtId="0" fontId="17" fillId="0" borderId="0" xfId="2" applyFont="1" applyAlignment="1">
      <alignment horizontal="left"/>
    </xf>
    <xf numFmtId="0" fontId="16" fillId="0" borderId="8" xfId="4" applyFont="1" applyBorder="1" applyAlignment="1">
      <alignment horizontal="left"/>
    </xf>
    <xf numFmtId="0" fontId="16" fillId="3" borderId="11" xfId="4" applyFont="1" applyFill="1" applyBorder="1" applyAlignment="1">
      <alignment horizontal="left"/>
    </xf>
    <xf numFmtId="0" fontId="16" fillId="3" borderId="6" xfId="4" applyFont="1" applyFill="1" applyBorder="1" applyAlignment="1">
      <alignment horizontal="left"/>
    </xf>
    <xf numFmtId="0" fontId="16" fillId="0" borderId="6" xfId="4" applyFont="1" applyBorder="1" applyAlignment="1">
      <alignment horizontal="left"/>
    </xf>
    <xf numFmtId="0" fontId="15" fillId="0" borderId="0" xfId="4" applyFont="1"/>
    <xf numFmtId="0" fontId="16" fillId="0" borderId="12" xfId="4" applyFont="1" applyBorder="1" applyAlignment="1">
      <alignment horizontal="left"/>
    </xf>
    <xf numFmtId="0" fontId="16" fillId="3" borderId="10" xfId="4" applyFont="1" applyFill="1" applyBorder="1" applyAlignment="1">
      <alignment horizontal="left"/>
    </xf>
    <xf numFmtId="0" fontId="16" fillId="3" borderId="9" xfId="4" applyFont="1" applyFill="1" applyBorder="1" applyAlignment="1">
      <alignment horizontal="left"/>
    </xf>
    <xf numFmtId="0" fontId="19" fillId="2" borderId="0" xfId="2" applyFont="1" applyFill="1" applyAlignment="1">
      <alignment horizontal="center"/>
    </xf>
    <xf numFmtId="0" fontId="8" fillId="0" borderId="0" xfId="2" applyFont="1"/>
    <xf numFmtId="0" fontId="6" fillId="3" borderId="0" xfId="2" applyFont="1" applyFill="1" applyAlignment="1">
      <alignment horizontal="left"/>
    </xf>
    <xf numFmtId="0" fontId="19" fillId="3" borderId="0" xfId="2" applyFont="1" applyFill="1"/>
    <xf numFmtId="0" fontId="20" fillId="3" borderId="0" xfId="2" applyFont="1" applyFill="1"/>
    <xf numFmtId="0" fontId="8" fillId="3" borderId="0" xfId="2" applyFont="1" applyFill="1"/>
    <xf numFmtId="0" fontId="8" fillId="3" borderId="20" xfId="2" applyFont="1" applyFill="1" applyBorder="1"/>
    <xf numFmtId="0" fontId="22" fillId="0" borderId="0" xfId="7" applyFont="1" applyAlignment="1">
      <alignment vertical="top"/>
    </xf>
    <xf numFmtId="0" fontId="21" fillId="2" borderId="14" xfId="7" applyFont="1" applyFill="1" applyBorder="1" applyAlignment="1">
      <alignment horizontal="center" vertical="center"/>
    </xf>
    <xf numFmtId="0" fontId="21" fillId="2" borderId="14" xfId="7" applyFont="1" applyFill="1" applyBorder="1" applyAlignment="1">
      <alignment horizontal="center" vertical="center" wrapText="1"/>
    </xf>
    <xf numFmtId="2" fontId="23" fillId="0" borderId="10" xfId="0" applyNumberFormat="1" applyFont="1" applyBorder="1" applyAlignment="1">
      <alignment horizontal="center" vertical="center"/>
    </xf>
    <xf numFmtId="0" fontId="23" fillId="0" borderId="10" xfId="2" applyFont="1" applyBorder="1" applyAlignment="1">
      <alignment horizontal="left" vertical="center" wrapText="1"/>
    </xf>
    <xf numFmtId="9" fontId="23" fillId="0" borderId="10" xfId="2" applyNumberFormat="1" applyFont="1" applyBorder="1" applyAlignment="1">
      <alignment horizontal="center" vertical="center" wrapText="1"/>
    </xf>
    <xf numFmtId="0" fontId="23" fillId="0" borderId="10" xfId="6" applyFont="1" applyBorder="1" applyAlignment="1">
      <alignment horizontal="center" vertical="center" wrapText="1"/>
    </xf>
    <xf numFmtId="0" fontId="23" fillId="0" borderId="10" xfId="7" applyFont="1" applyBorder="1" applyAlignment="1">
      <alignment horizontal="center" vertical="center" wrapText="1"/>
    </xf>
    <xf numFmtId="0" fontId="15" fillId="0" borderId="10" xfId="7" applyFont="1" applyBorder="1" applyAlignment="1">
      <alignment horizontal="center" vertical="center"/>
    </xf>
    <xf numFmtId="0" fontId="25" fillId="0" borderId="10" xfId="10" applyFont="1" applyBorder="1" applyAlignment="1">
      <alignment horizontal="center" vertical="center"/>
    </xf>
    <xf numFmtId="0" fontId="26" fillId="2" borderId="10" xfId="7" applyFont="1" applyFill="1" applyBorder="1" applyAlignment="1">
      <alignment horizontal="center" vertical="center"/>
    </xf>
    <xf numFmtId="2" fontId="26" fillId="2" borderId="10" xfId="7" applyNumberFormat="1" applyFont="1" applyFill="1" applyBorder="1" applyAlignment="1">
      <alignment horizontal="center" vertical="center"/>
    </xf>
    <xf numFmtId="0" fontId="27" fillId="0" borderId="0" xfId="7" applyFont="1" applyAlignment="1">
      <alignment horizontal="left" vertical="top" wrapText="1"/>
    </xf>
    <xf numFmtId="0" fontId="23" fillId="0" borderId="10" xfId="2" applyFont="1" applyBorder="1" applyAlignment="1">
      <alignment horizontal="center" vertical="center"/>
    </xf>
    <xf numFmtId="9" fontId="23" fillId="0" borderId="10" xfId="2" applyNumberFormat="1" applyFont="1" applyBorder="1" applyAlignment="1">
      <alignment horizontal="center" vertical="center"/>
    </xf>
    <xf numFmtId="2" fontId="23" fillId="0" borderId="10" xfId="2" applyNumberFormat="1" applyFont="1" applyBorder="1" applyAlignment="1">
      <alignment horizontal="center" vertical="center" wrapText="1"/>
    </xf>
    <xf numFmtId="0" fontId="28" fillId="0" borderId="29" xfId="11" applyFont="1" applyBorder="1" applyAlignment="1">
      <alignment horizontal="center" vertical="center"/>
    </xf>
    <xf numFmtId="0" fontId="29" fillId="0" borderId="11" xfId="7" applyFont="1" applyBorder="1" applyAlignment="1">
      <alignment horizontal="center" vertical="center" wrapText="1"/>
    </xf>
    <xf numFmtId="2" fontId="29" fillId="0" borderId="11" xfId="7" applyNumberFormat="1" applyFont="1" applyBorder="1" applyAlignment="1">
      <alignment horizontal="center" vertical="center" wrapText="1"/>
    </xf>
    <xf numFmtId="2" fontId="28" fillId="0" borderId="11" xfId="11" applyNumberFormat="1" applyFont="1" applyBorder="1" applyAlignment="1">
      <alignment horizontal="left" vertical="center" wrapText="1"/>
    </xf>
    <xf numFmtId="9" fontId="28" fillId="0" borderId="11" xfId="11" applyNumberFormat="1" applyFont="1" applyBorder="1" applyAlignment="1">
      <alignment horizontal="center" vertical="center"/>
    </xf>
    <xf numFmtId="0" fontId="30" fillId="0" borderId="6" xfId="8" applyFont="1" applyBorder="1" applyAlignment="1">
      <alignment vertical="center"/>
    </xf>
    <xf numFmtId="49" fontId="30" fillId="0" borderId="7" xfId="8" applyNumberFormat="1" applyFont="1" applyBorder="1" applyAlignment="1">
      <alignment horizontal="center" vertical="center"/>
    </xf>
    <xf numFmtId="0" fontId="29" fillId="0" borderId="13" xfId="7" applyFont="1" applyBorder="1" applyAlignment="1" applyProtection="1">
      <alignment horizontal="center" vertical="center"/>
      <protection locked="0"/>
    </xf>
    <xf numFmtId="2" fontId="31" fillId="2" borderId="10" xfId="7" applyNumberFormat="1" applyFont="1" applyFill="1" applyBorder="1" applyAlignment="1">
      <alignment horizontal="center" vertical="center"/>
    </xf>
    <xf numFmtId="2" fontId="31" fillId="2" borderId="30" xfId="7" applyNumberFormat="1" applyFont="1" applyFill="1" applyBorder="1" applyAlignment="1">
      <alignment horizontal="center" vertical="center"/>
    </xf>
    <xf numFmtId="0" fontId="27" fillId="0" borderId="0" xfId="12" applyFont="1" applyAlignment="1">
      <alignment horizontal="left" vertical="top" wrapText="1"/>
    </xf>
    <xf numFmtId="0" fontId="32" fillId="0" borderId="31" xfId="7" applyFont="1" applyBorder="1" applyAlignment="1">
      <alignment vertical="center" wrapText="1"/>
    </xf>
    <xf numFmtId="0" fontId="33" fillId="0" borderId="0" xfId="7" applyFont="1" applyAlignment="1">
      <alignment vertical="top" wrapText="1"/>
    </xf>
    <xf numFmtId="0" fontId="34" fillId="0" borderId="11" xfId="7" applyFont="1" applyBorder="1" applyAlignment="1">
      <alignment horizontal="center" vertical="center" wrapText="1"/>
    </xf>
    <xf numFmtId="2" fontId="36" fillId="6" borderId="30" xfId="13" applyNumberFormat="1" applyFont="1" applyFill="1" applyBorder="1" applyAlignment="1" applyProtection="1">
      <alignment horizontal="center"/>
    </xf>
    <xf numFmtId="0" fontId="21" fillId="2" borderId="2" xfId="7" applyFont="1" applyFill="1" applyBorder="1" applyAlignment="1">
      <alignment horizontal="center" vertical="top" wrapText="1"/>
    </xf>
    <xf numFmtId="0" fontId="21" fillId="2" borderId="8" xfId="7" applyFont="1" applyFill="1" applyBorder="1" applyAlignment="1">
      <alignment horizontal="center" vertical="top" wrapText="1"/>
    </xf>
    <xf numFmtId="0" fontId="13" fillId="3" borderId="0" xfId="7" applyFont="1" applyFill="1" applyAlignment="1">
      <alignment horizontal="center"/>
    </xf>
    <xf numFmtId="2" fontId="13" fillId="3" borderId="20" xfId="7" applyNumberFormat="1" applyFont="1" applyFill="1" applyBorder="1" applyAlignment="1">
      <alignment horizontal="center"/>
    </xf>
    <xf numFmtId="0" fontId="27" fillId="0" borderId="0" xfId="7" applyFont="1" applyAlignment="1">
      <alignment vertical="top" wrapText="1"/>
    </xf>
    <xf numFmtId="0" fontId="13" fillId="2" borderId="19" xfId="7" applyFont="1" applyFill="1" applyBorder="1" applyAlignment="1">
      <alignment horizontal="right" vertical="top" wrapText="1"/>
    </xf>
    <xf numFmtId="0" fontId="37" fillId="2" borderId="0" xfId="7" applyFont="1" applyFill="1" applyAlignment="1">
      <alignment horizontal="right" vertical="top" wrapText="1"/>
    </xf>
    <xf numFmtId="0" fontId="12" fillId="2" borderId="0" xfId="7" applyFont="1" applyFill="1" applyAlignment="1">
      <alignment horizontal="center" vertical="top" wrapText="1"/>
    </xf>
    <xf numFmtId="0" fontId="12" fillId="2" borderId="5" xfId="7" applyFont="1" applyFill="1" applyBorder="1" applyAlignment="1">
      <alignment horizontal="center" vertical="top" wrapText="1"/>
    </xf>
    <xf numFmtId="0" fontId="21" fillId="2" borderId="7" xfId="7" applyFont="1" applyFill="1" applyBorder="1" applyAlignment="1">
      <alignment horizontal="center" vertical="top" wrapText="1"/>
    </xf>
    <xf numFmtId="0" fontId="38" fillId="2" borderId="10" xfId="7" applyFont="1" applyFill="1" applyBorder="1" applyAlignment="1">
      <alignment horizontal="center" vertical="top" wrapText="1"/>
    </xf>
    <xf numFmtId="0" fontId="3" fillId="0" borderId="29" xfId="2" applyFont="1" applyBorder="1" applyAlignment="1">
      <alignment horizontal="center" vertical="center"/>
    </xf>
    <xf numFmtId="0" fontId="3" fillId="0" borderId="10" xfId="2" applyFont="1" applyBorder="1" applyAlignment="1">
      <alignment horizontal="left" vertical="center"/>
    </xf>
    <xf numFmtId="0" fontId="39" fillId="0" borderId="11" xfId="7" applyFont="1" applyBorder="1" applyAlignment="1">
      <alignment horizontal="center" vertical="top" wrapText="1"/>
    </xf>
    <xf numFmtId="0" fontId="13" fillId="3" borderId="0" xfId="7" applyFont="1" applyFill="1" applyAlignment="1">
      <alignment horizontal="center" vertical="top" wrapText="1"/>
    </xf>
    <xf numFmtId="0" fontId="40" fillId="2" borderId="10" xfId="7" applyFont="1" applyFill="1" applyBorder="1" applyAlignment="1">
      <alignment horizontal="center" vertical="top" wrapText="1"/>
    </xf>
    <xf numFmtId="0" fontId="4" fillId="0" borderId="31" xfId="2" applyFont="1" applyBorder="1" applyAlignment="1">
      <alignment horizontal="center" vertical="center"/>
    </xf>
    <xf numFmtId="0" fontId="4" fillId="0" borderId="10" xfId="2" applyFont="1" applyBorder="1" applyAlignment="1">
      <alignment vertical="center" wrapText="1"/>
    </xf>
    <xf numFmtId="0" fontId="39" fillId="0" borderId="10" xfId="7" applyFont="1" applyBorder="1" applyAlignment="1">
      <alignment horizontal="center" vertical="top" wrapText="1"/>
    </xf>
    <xf numFmtId="0" fontId="39" fillId="0" borderId="10" xfId="7" applyFont="1" applyBorder="1" applyAlignment="1" applyProtection="1">
      <alignment horizontal="center" vertical="top" wrapText="1"/>
      <protection locked="0"/>
    </xf>
    <xf numFmtId="0" fontId="3" fillId="0" borderId="31" xfId="2" applyFont="1" applyBorder="1" applyAlignment="1">
      <alignment horizontal="center" vertical="center"/>
    </xf>
    <xf numFmtId="0" fontId="3" fillId="0" borderId="10" xfId="2" applyFont="1" applyBorder="1" applyAlignment="1">
      <alignment horizontal="left" vertical="center" wrapText="1"/>
    </xf>
    <xf numFmtId="0" fontId="4" fillId="0" borderId="10" xfId="2" applyFont="1" applyBorder="1" applyAlignment="1">
      <alignment horizontal="left" vertical="center" wrapText="1"/>
    </xf>
    <xf numFmtId="0" fontId="38" fillId="2" borderId="12" xfId="7" applyFont="1" applyFill="1" applyBorder="1" applyAlignment="1">
      <alignment horizontal="center" vertical="top" wrapText="1"/>
    </xf>
    <xf numFmtId="0" fontId="38" fillId="2" borderId="9" xfId="7" applyFont="1" applyFill="1" applyBorder="1" applyAlignment="1">
      <alignment horizontal="left" vertical="top" wrapText="1"/>
    </xf>
    <xf numFmtId="0" fontId="38" fillId="2" borderId="12" xfId="7" applyFont="1" applyFill="1" applyBorder="1" applyAlignment="1">
      <alignment horizontal="left" vertical="top" wrapText="1"/>
    </xf>
    <xf numFmtId="0" fontId="13" fillId="2" borderId="0" xfId="7" applyFont="1" applyFill="1" applyAlignment="1">
      <alignment horizontal="center" vertical="top" wrapText="1"/>
    </xf>
    <xf numFmtId="0" fontId="12" fillId="2" borderId="5" xfId="7" applyFont="1" applyFill="1" applyBorder="1" applyAlignment="1">
      <alignment horizontal="center" vertical="center" wrapText="1"/>
    </xf>
    <xf numFmtId="0" fontId="12" fillId="2" borderId="13" xfId="7" applyFont="1" applyFill="1" applyBorder="1" applyAlignment="1">
      <alignment horizontal="center" vertical="top" wrapText="1"/>
    </xf>
    <xf numFmtId="0" fontId="12" fillId="2" borderId="12" xfId="7" applyFont="1" applyFill="1" applyBorder="1" applyAlignment="1">
      <alignment horizontal="center" vertical="top" wrapText="1"/>
    </xf>
    <xf numFmtId="0" fontId="4" fillId="0" borderId="31" xfId="2" applyFont="1" applyBorder="1" applyAlignment="1">
      <alignment vertical="center"/>
    </xf>
    <xf numFmtId="0" fontId="3" fillId="0" borderId="9" xfId="2" applyFont="1" applyBorder="1" applyAlignment="1">
      <alignment vertical="center"/>
    </xf>
    <xf numFmtId="0" fontId="37" fillId="0" borderId="10" xfId="7" applyFont="1" applyBorder="1" applyAlignment="1">
      <alignment horizontal="center" vertical="top" wrapText="1"/>
    </xf>
    <xf numFmtId="0" fontId="12" fillId="0" borderId="10" xfId="7" applyFont="1" applyBorder="1" applyAlignment="1" applyProtection="1">
      <alignment horizontal="center" vertical="top" wrapText="1"/>
      <protection locked="0"/>
    </xf>
    <xf numFmtId="0" fontId="12" fillId="0" borderId="10" xfId="7" applyFont="1" applyBorder="1" applyAlignment="1">
      <alignment horizontal="center" vertical="top" wrapText="1"/>
    </xf>
    <xf numFmtId="0" fontId="12" fillId="2" borderId="32" xfId="7" applyFont="1" applyFill="1" applyBorder="1" applyAlignment="1">
      <alignment vertical="top" wrapText="1"/>
    </xf>
    <xf numFmtId="0" fontId="12" fillId="2" borderId="13" xfId="7" applyFont="1" applyFill="1" applyBorder="1" applyAlignment="1">
      <alignment vertical="top" wrapText="1"/>
    </xf>
    <xf numFmtId="0" fontId="41" fillId="2" borderId="0" xfId="7" applyFont="1" applyFill="1" applyAlignment="1">
      <alignment horizontal="center" vertical="top" wrapText="1"/>
    </xf>
    <xf numFmtId="0" fontId="8" fillId="7" borderId="19" xfId="7" applyFont="1" applyFill="1" applyBorder="1"/>
    <xf numFmtId="0" fontId="42" fillId="2" borderId="2" xfId="7" applyFont="1" applyFill="1" applyBorder="1" applyAlignment="1">
      <alignment vertical="center" wrapText="1"/>
    </xf>
    <xf numFmtId="0" fontId="8" fillId="0" borderId="0" xfId="7" applyFont="1"/>
    <xf numFmtId="0" fontId="42" fillId="4" borderId="10" xfId="7" applyFont="1" applyFill="1" applyBorder="1" applyAlignment="1">
      <alignment vertical="center" wrapText="1"/>
    </xf>
    <xf numFmtId="0" fontId="42" fillId="4" borderId="30" xfId="7" applyFont="1" applyFill="1" applyBorder="1" applyAlignment="1">
      <alignment vertical="center" wrapText="1"/>
    </xf>
    <xf numFmtId="0" fontId="42" fillId="0" borderId="10" xfId="7" applyFont="1" applyBorder="1" applyAlignment="1">
      <alignment vertical="center" wrapText="1"/>
    </xf>
    <xf numFmtId="0" fontId="42" fillId="0" borderId="30" xfId="7" applyFont="1" applyBorder="1" applyAlignment="1">
      <alignment vertical="center" wrapText="1"/>
    </xf>
    <xf numFmtId="0" fontId="39" fillId="3" borderId="0" xfId="7" applyFont="1" applyFill="1" applyAlignment="1">
      <alignment horizontal="center" vertical="top" wrapText="1"/>
    </xf>
    <xf numFmtId="0" fontId="45" fillId="3" borderId="22" xfId="7" applyFont="1" applyFill="1" applyBorder="1" applyAlignment="1">
      <alignment horizontal="center" vertical="top" wrapText="1"/>
    </xf>
    <xf numFmtId="0" fontId="27" fillId="3" borderId="22" xfId="7" applyFont="1" applyFill="1" applyBorder="1" applyAlignment="1">
      <alignment horizontal="center" vertical="top" wrapText="1"/>
    </xf>
    <xf numFmtId="2" fontId="13" fillId="3" borderId="23" xfId="7" applyNumberFormat="1" applyFont="1" applyFill="1" applyBorder="1" applyAlignment="1">
      <alignment horizontal="center"/>
    </xf>
    <xf numFmtId="0" fontId="1" fillId="0" borderId="0" xfId="7" applyAlignment="1">
      <alignment horizontal="center" vertical="top"/>
    </xf>
    <xf numFmtId="0" fontId="13" fillId="0" borderId="0" xfId="7" applyFont="1" applyAlignment="1">
      <alignment horizontal="center"/>
    </xf>
    <xf numFmtId="2" fontId="13" fillId="0" borderId="0" xfId="7" applyNumberFormat="1" applyFont="1" applyAlignment="1">
      <alignment horizontal="center"/>
    </xf>
    <xf numFmtId="0" fontId="14" fillId="0" borderId="10" xfId="2" applyFont="1" applyBorder="1" applyAlignment="1">
      <alignment horizontal="left"/>
    </xf>
    <xf numFmtId="0" fontId="14" fillId="3" borderId="10" xfId="2" applyFont="1" applyFill="1" applyBorder="1" applyAlignment="1">
      <alignment horizontal="left"/>
    </xf>
    <xf numFmtId="0" fontId="46" fillId="0" borderId="10" xfId="1" applyFont="1" applyBorder="1" applyAlignment="1">
      <alignment horizontal="left"/>
    </xf>
    <xf numFmtId="0" fontId="47" fillId="0" borderId="12" xfId="1" quotePrefix="1" applyFont="1" applyBorder="1" applyAlignment="1">
      <alignment horizontal="left"/>
    </xf>
    <xf numFmtId="0" fontId="23" fillId="0" borderId="9" xfId="4" applyFont="1" applyBorder="1" applyAlignment="1">
      <alignment horizontal="left"/>
    </xf>
    <xf numFmtId="0" fontId="47" fillId="0" borderId="12" xfId="1" applyFont="1" applyBorder="1" applyAlignment="1">
      <alignment horizontal="left"/>
    </xf>
    <xf numFmtId="0" fontId="23" fillId="0" borderId="10" xfId="0" applyFont="1" applyBorder="1" applyAlignment="1">
      <alignment horizontal="center" vertical="center"/>
    </xf>
    <xf numFmtId="0" fontId="23" fillId="0" borderId="10" xfId="0" applyFont="1" applyBorder="1" applyAlignment="1">
      <alignment vertical="center"/>
    </xf>
    <xf numFmtId="0" fontId="23" fillId="0" borderId="14" xfId="2" applyFont="1" applyBorder="1" applyAlignment="1">
      <alignment horizontal="center" vertical="center"/>
    </xf>
    <xf numFmtId="0" fontId="23" fillId="0" borderId="14" xfId="2" applyFont="1" applyBorder="1" applyAlignment="1">
      <alignment horizontal="left" vertical="center" wrapText="1"/>
    </xf>
    <xf numFmtId="2" fontId="23" fillId="0" borderId="14" xfId="2" applyNumberFormat="1" applyFont="1" applyBorder="1" applyAlignment="1">
      <alignment horizontal="center" vertical="center" wrapText="1"/>
    </xf>
    <xf numFmtId="0" fontId="23" fillId="0" borderId="10" xfId="2" applyFont="1" applyBorder="1" applyAlignment="1">
      <alignment horizontal="center" vertical="center"/>
    </xf>
    <xf numFmtId="0" fontId="23" fillId="0" borderId="10" xfId="2" applyFont="1" applyBorder="1" applyAlignment="1">
      <alignment horizontal="left" vertical="center" wrapText="1"/>
    </xf>
    <xf numFmtId="2" fontId="23" fillId="0" borderId="10" xfId="2" applyNumberFormat="1" applyFont="1" applyBorder="1" applyAlignment="1">
      <alignment horizontal="center" vertical="center" wrapText="1"/>
    </xf>
    <xf numFmtId="0" fontId="23" fillId="0" borderId="14" xfId="2" applyFont="1" applyBorder="1" applyAlignment="1">
      <alignment horizontal="center" vertical="center"/>
    </xf>
    <xf numFmtId="0" fontId="23" fillId="0" borderId="15" xfId="2" applyFont="1" applyBorder="1" applyAlignment="1">
      <alignment horizontal="center" vertical="center"/>
    </xf>
    <xf numFmtId="0" fontId="23" fillId="0" borderId="11" xfId="2" applyFont="1" applyBorder="1" applyAlignment="1">
      <alignment horizontal="center" vertical="center"/>
    </xf>
    <xf numFmtId="0" fontId="23" fillId="0" borderId="14" xfId="2" applyFont="1" applyBorder="1" applyAlignment="1">
      <alignment horizontal="left" vertical="center" wrapText="1"/>
    </xf>
    <xf numFmtId="0" fontId="23" fillId="0" borderId="15" xfId="2" applyFont="1" applyBorder="1" applyAlignment="1">
      <alignment horizontal="left" vertical="center" wrapText="1"/>
    </xf>
    <xf numFmtId="0" fontId="23" fillId="0" borderId="11" xfId="2" applyFont="1" applyBorder="1" applyAlignment="1">
      <alignment horizontal="left" vertical="center" wrapText="1"/>
    </xf>
    <xf numFmtId="2" fontId="23" fillId="0" borderId="14" xfId="2" applyNumberFormat="1" applyFont="1" applyBorder="1" applyAlignment="1">
      <alignment horizontal="center" vertical="center" wrapText="1"/>
    </xf>
    <xf numFmtId="2" fontId="23" fillId="0" borderId="15" xfId="2" applyNumberFormat="1" applyFont="1" applyBorder="1" applyAlignment="1">
      <alignment horizontal="center" vertical="center" wrapText="1"/>
    </xf>
    <xf numFmtId="2" fontId="23" fillId="0" borderId="11" xfId="2" applyNumberFormat="1" applyFont="1" applyBorder="1" applyAlignment="1">
      <alignment horizontal="center" vertical="center" wrapText="1"/>
    </xf>
    <xf numFmtId="2" fontId="23" fillId="0" borderId="14" xfId="2" applyNumberFormat="1" applyFont="1" applyBorder="1" applyAlignment="1">
      <alignment horizontal="center" vertical="center"/>
    </xf>
    <xf numFmtId="2" fontId="23" fillId="0" borderId="15" xfId="2" applyNumberFormat="1" applyFont="1" applyBorder="1" applyAlignment="1">
      <alignment horizontal="center" vertical="center"/>
    </xf>
    <xf numFmtId="2" fontId="23" fillId="0" borderId="11" xfId="2" applyNumberFormat="1" applyFont="1" applyBorder="1" applyAlignment="1">
      <alignment horizontal="center" vertical="center"/>
    </xf>
    <xf numFmtId="0" fontId="27" fillId="3" borderId="21" xfId="7" applyFont="1" applyFill="1" applyBorder="1" applyAlignment="1">
      <alignment vertical="center" wrapText="1"/>
    </xf>
    <xf numFmtId="0" fontId="27" fillId="3" borderId="22" xfId="7" applyFont="1" applyFill="1" applyBorder="1" applyAlignment="1">
      <alignment vertical="center" wrapText="1"/>
    </xf>
    <xf numFmtId="2" fontId="23" fillId="0" borderId="10" xfId="2" applyNumberFormat="1" applyFont="1" applyBorder="1" applyAlignment="1">
      <alignment horizontal="center" vertical="center"/>
    </xf>
    <xf numFmtId="0" fontId="12" fillId="2" borderId="19" xfId="7" applyFont="1" applyFill="1" applyBorder="1" applyAlignment="1">
      <alignment vertical="center" wrapText="1"/>
    </xf>
    <xf numFmtId="0" fontId="12" fillId="2" borderId="5" xfId="7" applyFont="1" applyFill="1" applyBorder="1" applyAlignment="1">
      <alignment vertical="center" wrapText="1"/>
    </xf>
    <xf numFmtId="0" fontId="37" fillId="0" borderId="2" xfId="7" applyFont="1" applyBorder="1" applyAlignment="1">
      <alignment vertical="center" wrapText="1"/>
    </xf>
    <xf numFmtId="0" fontId="37" fillId="0" borderId="3" xfId="7" applyFont="1" applyBorder="1" applyAlignment="1">
      <alignment vertical="center" wrapText="1"/>
    </xf>
    <xf numFmtId="0" fontId="37" fillId="0" borderId="7" xfId="7" applyFont="1" applyBorder="1" applyAlignment="1">
      <alignment vertical="center" wrapText="1"/>
    </xf>
    <xf numFmtId="0" fontId="37" fillId="0" borderId="8" xfId="7" applyFont="1" applyBorder="1" applyAlignment="1">
      <alignment vertical="center" wrapText="1"/>
    </xf>
    <xf numFmtId="0" fontId="12" fillId="2" borderId="1" xfId="7" applyFont="1" applyFill="1" applyBorder="1" applyAlignment="1">
      <alignment vertical="center" wrapText="1"/>
    </xf>
    <xf numFmtId="0" fontId="12" fillId="2" borderId="6" xfId="7" applyFont="1" applyFill="1" applyBorder="1" applyAlignment="1">
      <alignment vertical="center" wrapText="1"/>
    </xf>
    <xf numFmtId="0" fontId="37" fillId="0" borderId="2" xfId="7" applyFont="1" applyBorder="1" applyAlignment="1">
      <alignment horizontal="center" vertical="center" wrapText="1"/>
    </xf>
    <xf numFmtId="0" fontId="37" fillId="0" borderId="7" xfId="7" applyFont="1" applyBorder="1" applyAlignment="1">
      <alignment horizontal="center" vertical="center" wrapText="1"/>
    </xf>
    <xf numFmtId="0" fontId="12" fillId="2" borderId="3" xfId="7" applyFont="1" applyFill="1" applyBorder="1" applyAlignment="1">
      <alignment vertical="center" wrapText="1"/>
    </xf>
    <xf numFmtId="0" fontId="12" fillId="2" borderId="8" xfId="7" applyFont="1" applyFill="1" applyBorder="1" applyAlignment="1">
      <alignment vertical="center" wrapText="1"/>
    </xf>
    <xf numFmtId="0" fontId="12" fillId="3" borderId="24" xfId="7" applyFont="1" applyFill="1" applyBorder="1" applyAlignment="1">
      <alignment vertical="center" wrapText="1"/>
    </xf>
    <xf numFmtId="0" fontId="12" fillId="3" borderId="3" xfId="7" applyFont="1" applyFill="1" applyBorder="1" applyAlignment="1">
      <alignment vertical="center" wrapText="1"/>
    </xf>
    <xf numFmtId="0" fontId="12" fillId="3" borderId="19" xfId="7" applyFont="1" applyFill="1" applyBorder="1" applyAlignment="1">
      <alignment vertical="center" wrapText="1"/>
    </xf>
    <xf numFmtId="0" fontId="12" fillId="3" borderId="5" xfId="7" applyFont="1" applyFill="1" applyBorder="1" applyAlignment="1">
      <alignment vertical="center" wrapText="1"/>
    </xf>
    <xf numFmtId="0" fontId="37" fillId="0" borderId="0" xfId="7" applyFont="1" applyAlignment="1">
      <alignment vertical="center" wrapText="1"/>
    </xf>
    <xf numFmtId="0" fontId="37" fillId="0" borderId="5" xfId="7" applyFont="1" applyBorder="1" applyAlignment="1">
      <alignment vertical="center" wrapText="1"/>
    </xf>
    <xf numFmtId="0" fontId="12" fillId="3" borderId="1" xfId="7" applyFont="1" applyFill="1" applyBorder="1" applyAlignment="1">
      <alignment vertical="center" wrapText="1"/>
    </xf>
    <xf numFmtId="0" fontId="12" fillId="3" borderId="4" xfId="7" applyFont="1" applyFill="1" applyBorder="1" applyAlignment="1">
      <alignment vertical="center" wrapText="1"/>
    </xf>
    <xf numFmtId="0" fontId="12" fillId="3" borderId="6" xfId="7" applyFont="1" applyFill="1" applyBorder="1" applyAlignment="1">
      <alignment vertical="center" wrapText="1"/>
    </xf>
    <xf numFmtId="0" fontId="37" fillId="0" borderId="0" xfId="7" applyFont="1" applyAlignment="1">
      <alignment horizontal="center" vertical="center" wrapText="1"/>
    </xf>
    <xf numFmtId="0" fontId="12" fillId="3" borderId="8" xfId="7" applyFont="1" applyFill="1" applyBorder="1" applyAlignment="1">
      <alignment vertical="center" wrapText="1"/>
    </xf>
    <xf numFmtId="0" fontId="44" fillId="4" borderId="10" xfId="7" applyFont="1" applyFill="1" applyBorder="1" applyAlignment="1">
      <alignment horizontal="center" vertical="center" wrapText="1"/>
    </xf>
    <xf numFmtId="0" fontId="44" fillId="4" borderId="30" xfId="7" applyFont="1" applyFill="1" applyBorder="1" applyAlignment="1">
      <alignment horizontal="center" vertical="center" wrapText="1"/>
    </xf>
    <xf numFmtId="0" fontId="42" fillId="2" borderId="10" xfId="7" applyFont="1" applyFill="1" applyBorder="1" applyAlignment="1">
      <alignment horizontal="left" vertical="center" wrapText="1"/>
    </xf>
    <xf numFmtId="0" fontId="12" fillId="2" borderId="24" xfId="7" applyFont="1" applyFill="1" applyBorder="1" applyAlignment="1">
      <alignment vertical="center" wrapText="1"/>
    </xf>
    <xf numFmtId="0" fontId="12" fillId="2" borderId="36" xfId="7" applyFont="1" applyFill="1" applyBorder="1" applyAlignment="1">
      <alignment vertical="center" wrapText="1"/>
    </xf>
    <xf numFmtId="0" fontId="12" fillId="2" borderId="4" xfId="7" applyFont="1" applyFill="1" applyBorder="1" applyAlignment="1">
      <alignment vertical="center" wrapText="1"/>
    </xf>
    <xf numFmtId="0" fontId="13" fillId="3" borderId="2" xfId="7" applyFont="1" applyFill="1" applyBorder="1" applyAlignment="1">
      <alignment horizontal="center" vertical="top" wrapText="1"/>
    </xf>
    <xf numFmtId="0" fontId="13" fillId="3" borderId="0" xfId="7" applyFont="1" applyFill="1" applyAlignment="1">
      <alignment horizontal="center" vertical="top" wrapText="1"/>
    </xf>
    <xf numFmtId="0" fontId="13" fillId="3" borderId="22" xfId="7" applyFont="1" applyFill="1" applyBorder="1" applyAlignment="1">
      <alignment horizontal="center" vertical="top" wrapText="1"/>
    </xf>
    <xf numFmtId="0" fontId="42" fillId="0" borderId="9" xfId="7" applyFont="1" applyBorder="1" applyAlignment="1">
      <alignment horizontal="center" vertical="center" wrapText="1"/>
    </xf>
    <xf numFmtId="0" fontId="42" fillId="0" borderId="13" xfId="7" applyFont="1" applyBorder="1" applyAlignment="1">
      <alignment horizontal="center" vertical="center" wrapText="1"/>
    </xf>
    <xf numFmtId="0" fontId="42" fillId="0" borderId="12" xfId="7" applyFont="1" applyBorder="1" applyAlignment="1">
      <alignment horizontal="center" vertical="center" wrapText="1"/>
    </xf>
    <xf numFmtId="2" fontId="42" fillId="8" borderId="9" xfId="7" applyNumberFormat="1" applyFont="1" applyFill="1" applyBorder="1" applyAlignment="1">
      <alignment horizontal="center" vertical="center" wrapText="1"/>
    </xf>
    <xf numFmtId="2" fontId="42" fillId="8" borderId="12" xfId="7" applyNumberFormat="1" applyFont="1" applyFill="1" applyBorder="1" applyAlignment="1">
      <alignment horizontal="center" vertical="center" wrapText="1"/>
    </xf>
    <xf numFmtId="0" fontId="42" fillId="0" borderId="9" xfId="7" applyFont="1" applyBorder="1" applyAlignment="1">
      <alignment horizontal="left" vertical="center" wrapText="1"/>
    </xf>
    <xf numFmtId="0" fontId="42" fillId="0" borderId="13" xfId="7" applyFont="1" applyBorder="1" applyAlignment="1">
      <alignment horizontal="left" vertical="center" wrapText="1"/>
    </xf>
    <xf numFmtId="0" fontId="42" fillId="0" borderId="12" xfId="7" applyFont="1" applyBorder="1" applyAlignment="1">
      <alignment horizontal="left" vertical="center" wrapText="1"/>
    </xf>
    <xf numFmtId="0" fontId="42" fillId="2" borderId="10" xfId="7" applyFont="1" applyFill="1" applyBorder="1" applyAlignment="1">
      <alignment horizontal="center" vertical="center" wrapText="1"/>
    </xf>
    <xf numFmtId="0" fontId="42" fillId="8" borderId="9" xfId="7" applyFont="1" applyFill="1" applyBorder="1" applyAlignment="1">
      <alignment horizontal="center" vertical="center" wrapText="1"/>
    </xf>
    <xf numFmtId="0" fontId="42" fillId="8" borderId="12" xfId="7" applyFont="1" applyFill="1" applyBorder="1" applyAlignment="1">
      <alignment horizontal="center" vertical="center" wrapText="1"/>
    </xf>
    <xf numFmtId="0" fontId="42" fillId="8" borderId="33" xfId="7" applyFont="1" applyFill="1" applyBorder="1" applyAlignment="1">
      <alignment horizontal="center" vertical="center" wrapText="1"/>
    </xf>
    <xf numFmtId="2" fontId="43" fillId="2" borderId="1" xfId="13" applyNumberFormat="1" applyFont="1" applyFill="1" applyBorder="1" applyAlignment="1" applyProtection="1">
      <alignment horizontal="center" vertical="center" wrapText="1"/>
    </xf>
    <xf numFmtId="2" fontId="43" fillId="2" borderId="34" xfId="13" applyNumberFormat="1" applyFont="1" applyFill="1" applyBorder="1" applyAlignment="1" applyProtection="1">
      <alignment horizontal="center" vertical="center" wrapText="1"/>
    </xf>
    <xf numFmtId="2" fontId="43" fillId="2" borderId="4" xfId="13" applyNumberFormat="1" applyFont="1" applyFill="1" applyBorder="1" applyAlignment="1" applyProtection="1">
      <alignment horizontal="center" vertical="center" wrapText="1"/>
    </xf>
    <xf numFmtId="2" fontId="43" fillId="2" borderId="20" xfId="13" applyNumberFormat="1" applyFont="1" applyFill="1" applyBorder="1" applyAlignment="1" applyProtection="1">
      <alignment horizontal="center" vertical="center" wrapText="1"/>
    </xf>
    <xf numFmtId="2" fontId="43" fillId="2" borderId="6" xfId="13" applyNumberFormat="1" applyFont="1" applyFill="1" applyBorder="1" applyAlignment="1" applyProtection="1">
      <alignment horizontal="center" vertical="center" wrapText="1"/>
    </xf>
    <xf numFmtId="2" fontId="43" fillId="2" borderId="35" xfId="13" applyNumberFormat="1" applyFont="1" applyFill="1" applyBorder="1" applyAlignment="1" applyProtection="1">
      <alignment horizontal="center" vertical="center" wrapText="1"/>
    </xf>
    <xf numFmtId="0" fontId="3" fillId="2" borderId="32" xfId="2" applyFont="1" applyFill="1" applyBorder="1" applyAlignment="1">
      <alignment horizontal="left" vertical="center"/>
    </xf>
    <xf numFmtId="0" fontId="3" fillId="2" borderId="13" xfId="2" applyFont="1" applyFill="1" applyBorder="1" applyAlignment="1">
      <alignment horizontal="left" vertical="center"/>
    </xf>
    <xf numFmtId="0" fontId="37" fillId="0" borderId="9" xfId="10" applyFont="1" applyBorder="1" applyAlignment="1">
      <alignment vertical="center" wrapText="1"/>
    </xf>
    <xf numFmtId="0" fontId="37" fillId="0" borderId="13" xfId="10" applyFont="1" applyBorder="1" applyAlignment="1">
      <alignment vertical="center" wrapText="1"/>
    </xf>
    <xf numFmtId="0" fontId="37" fillId="0" borderId="12" xfId="10" applyFont="1" applyBorder="1" applyAlignment="1">
      <alignment vertical="center" wrapText="1"/>
    </xf>
    <xf numFmtId="0" fontId="12" fillId="2" borderId="13" xfId="7" applyFont="1" applyFill="1" applyBorder="1" applyAlignment="1">
      <alignment horizontal="left" vertical="top" wrapText="1"/>
    </xf>
    <xf numFmtId="0" fontId="8" fillId="7" borderId="2" xfId="7" applyFont="1" applyFill="1" applyBorder="1" applyAlignment="1">
      <alignment horizontal="center"/>
    </xf>
    <xf numFmtId="0" fontId="8" fillId="7" borderId="0" xfId="7" applyFont="1" applyFill="1" applyAlignment="1">
      <alignment horizontal="center"/>
    </xf>
    <xf numFmtId="0" fontId="8" fillId="7" borderId="7" xfId="7" applyFont="1" applyFill="1" applyBorder="1" applyAlignment="1">
      <alignment horizontal="center"/>
    </xf>
    <xf numFmtId="0" fontId="42" fillId="2" borderId="13" xfId="7" applyFont="1" applyFill="1" applyBorder="1" applyAlignment="1">
      <alignment horizontal="center" vertical="center" wrapText="1"/>
    </xf>
    <xf numFmtId="0" fontId="4" fillId="0" borderId="9" xfId="2" applyFont="1" applyBorder="1" applyAlignment="1">
      <alignment vertical="center"/>
    </xf>
    <xf numFmtId="0" fontId="4" fillId="0" borderId="13" xfId="2" applyFont="1" applyBorder="1" applyAlignment="1">
      <alignment vertical="center"/>
    </xf>
    <xf numFmtId="0" fontId="4" fillId="0" borderId="12" xfId="2" applyFont="1" applyBorder="1" applyAlignment="1">
      <alignment vertical="center"/>
    </xf>
    <xf numFmtId="0" fontId="4" fillId="0" borderId="9" xfId="2" applyFont="1" applyBorder="1" applyAlignment="1">
      <alignment horizontal="left" vertical="center" wrapText="1"/>
    </xf>
    <xf numFmtId="0" fontId="4" fillId="0" borderId="13" xfId="2" applyFont="1" applyBorder="1" applyAlignment="1">
      <alignment horizontal="left" vertical="center" wrapText="1"/>
    </xf>
    <xf numFmtId="0" fontId="4" fillId="0" borderId="12" xfId="2" applyFont="1" applyBorder="1" applyAlignment="1">
      <alignment horizontal="left" vertical="center" wrapText="1"/>
    </xf>
    <xf numFmtId="0" fontId="37" fillId="0" borderId="9" xfId="10" applyFont="1" applyBorder="1" applyAlignment="1">
      <alignment horizontal="left" vertical="center" wrapText="1"/>
    </xf>
    <xf numFmtId="0" fontId="37" fillId="0" borderId="13" xfId="10" applyFont="1" applyBorder="1" applyAlignment="1">
      <alignment horizontal="left" vertical="center" wrapText="1"/>
    </xf>
    <xf numFmtId="0" fontId="37" fillId="0" borderId="12" xfId="10" applyFont="1" applyBorder="1" applyAlignment="1">
      <alignment horizontal="left" vertical="center" wrapText="1"/>
    </xf>
    <xf numFmtId="0" fontId="38" fillId="2" borderId="9" xfId="7" applyFont="1" applyFill="1" applyBorder="1" applyAlignment="1">
      <alignment horizontal="left" vertical="top" wrapText="1"/>
    </xf>
    <xf numFmtId="0" fontId="38" fillId="2" borderId="12" xfId="7" applyFont="1" applyFill="1" applyBorder="1" applyAlignment="1">
      <alignment horizontal="left" vertical="top" wrapText="1"/>
    </xf>
    <xf numFmtId="0" fontId="4" fillId="0" borderId="6" xfId="2" applyFont="1" applyBorder="1" applyAlignment="1">
      <alignment vertical="center"/>
    </xf>
    <xf numFmtId="0" fontId="4" fillId="0" borderId="7" xfId="2" applyFont="1" applyBorder="1" applyAlignment="1">
      <alignment vertical="center"/>
    </xf>
    <xf numFmtId="0" fontId="4" fillId="0" borderId="8" xfId="2" applyFont="1" applyBorder="1" applyAlignment="1">
      <alignment vertical="center"/>
    </xf>
    <xf numFmtId="2" fontId="21" fillId="2" borderId="26" xfId="7" applyNumberFormat="1" applyFont="1" applyFill="1" applyBorder="1" applyAlignment="1">
      <alignment horizontal="center" vertical="center" wrapText="1"/>
    </xf>
    <xf numFmtId="2" fontId="21" fillId="2" borderId="28" xfId="7" applyNumberFormat="1" applyFont="1" applyFill="1" applyBorder="1" applyAlignment="1">
      <alignment horizontal="center" vertical="center" wrapText="1"/>
    </xf>
    <xf numFmtId="0" fontId="35" fillId="5" borderId="9" xfId="7" applyFont="1" applyFill="1" applyBorder="1" applyAlignment="1">
      <alignment horizontal="center"/>
    </xf>
    <xf numFmtId="0" fontId="35" fillId="5" borderId="13" xfId="7" applyFont="1" applyFill="1" applyBorder="1" applyAlignment="1">
      <alignment horizontal="center"/>
    </xf>
    <xf numFmtId="0" fontId="35" fillId="5" borderId="12" xfId="7" applyFont="1" applyFill="1" applyBorder="1" applyAlignment="1">
      <alignment horizontal="center"/>
    </xf>
    <xf numFmtId="0" fontId="12" fillId="2" borderId="24" xfId="7" applyFont="1" applyFill="1" applyBorder="1" applyAlignment="1">
      <alignment horizontal="right" vertical="top" wrapText="1"/>
    </xf>
    <xf numFmtId="0" fontId="12" fillId="2" borderId="2" xfId="7" applyFont="1" applyFill="1" applyBorder="1" applyAlignment="1">
      <alignment horizontal="right" vertical="top" wrapText="1"/>
    </xf>
    <xf numFmtId="0" fontId="12" fillId="2" borderId="3" xfId="7" applyFont="1" applyFill="1" applyBorder="1" applyAlignment="1">
      <alignment horizontal="right" vertical="top" wrapText="1"/>
    </xf>
    <xf numFmtId="0" fontId="12" fillId="2" borderId="10" xfId="7" applyFont="1" applyFill="1" applyBorder="1" applyAlignment="1">
      <alignment horizontal="center" vertical="top" wrapText="1"/>
    </xf>
    <xf numFmtId="0" fontId="21" fillId="2" borderId="14" xfId="7" applyFont="1" applyFill="1" applyBorder="1" applyAlignment="1">
      <alignment horizontal="center" vertical="center" wrapText="1"/>
    </xf>
    <xf numFmtId="0" fontId="21" fillId="2" borderId="11" xfId="7" applyFont="1" applyFill="1" applyBorder="1" applyAlignment="1">
      <alignment horizontal="center" vertical="center" wrapText="1"/>
    </xf>
    <xf numFmtId="0" fontId="12" fillId="3" borderId="0" xfId="7" applyFont="1" applyFill="1" applyAlignment="1">
      <alignment horizontal="right" vertical="top" wrapText="1"/>
    </xf>
    <xf numFmtId="0" fontId="3" fillId="2" borderId="14" xfId="2" applyFont="1" applyFill="1" applyBorder="1" applyAlignment="1">
      <alignment horizontal="center" vertical="center" wrapText="1"/>
    </xf>
    <xf numFmtId="0" fontId="3" fillId="2" borderId="15" xfId="2" applyFont="1" applyFill="1" applyBorder="1" applyAlignment="1">
      <alignment horizontal="center" vertical="center" wrapText="1"/>
    </xf>
    <xf numFmtId="0" fontId="3" fillId="2" borderId="1" xfId="2" applyFont="1" applyFill="1" applyBorder="1" applyAlignment="1">
      <alignment horizontal="center" vertical="center" wrapText="1"/>
    </xf>
    <xf numFmtId="0" fontId="3" fillId="2" borderId="4" xfId="2" applyFont="1" applyFill="1" applyBorder="1" applyAlignment="1">
      <alignment horizontal="center" vertical="center"/>
    </xf>
    <xf numFmtId="0" fontId="21" fillId="2" borderId="9" xfId="7" applyFont="1" applyFill="1" applyBorder="1" applyAlignment="1">
      <alignment horizontal="center" vertical="center" wrapText="1"/>
    </xf>
    <xf numFmtId="0" fontId="21" fillId="2" borderId="13" xfId="7" applyFont="1" applyFill="1" applyBorder="1" applyAlignment="1">
      <alignment horizontal="center" vertical="center" wrapText="1"/>
    </xf>
    <xf numFmtId="0" fontId="21" fillId="2" borderId="12" xfId="7" applyFont="1" applyFill="1" applyBorder="1" applyAlignment="1">
      <alignment horizontal="center" vertical="center" wrapText="1"/>
    </xf>
    <xf numFmtId="0" fontId="16" fillId="3" borderId="10" xfId="4" applyFont="1" applyFill="1" applyBorder="1" applyAlignment="1">
      <alignment horizontal="left"/>
    </xf>
    <xf numFmtId="0" fontId="16" fillId="0" borderId="13" xfId="2" applyFont="1" applyBorder="1" applyAlignment="1">
      <alignment horizontal="left"/>
    </xf>
    <xf numFmtId="0" fontId="16" fillId="0" borderId="12" xfId="2" applyFont="1" applyBorder="1" applyAlignment="1">
      <alignment horizontal="left"/>
    </xf>
    <xf numFmtId="0" fontId="18" fillId="2" borderId="19" xfId="2" applyFont="1" applyFill="1" applyBorder="1"/>
    <xf numFmtId="0" fontId="18" fillId="2" borderId="0" xfId="2" applyFont="1" applyFill="1"/>
    <xf numFmtId="0" fontId="6" fillId="3" borderId="24" xfId="2" applyFont="1" applyFill="1" applyBorder="1" applyAlignment="1">
      <alignment horizontal="left"/>
    </xf>
    <xf numFmtId="0" fontId="6" fillId="3" borderId="2" xfId="2" applyFont="1" applyFill="1" applyBorder="1" applyAlignment="1">
      <alignment horizontal="left"/>
    </xf>
    <xf numFmtId="0" fontId="3" fillId="2" borderId="25"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0" fontId="16" fillId="3" borderId="0" xfId="4" applyFont="1" applyFill="1" applyAlignment="1">
      <alignment horizontal="left" vertical="center"/>
    </xf>
    <xf numFmtId="0" fontId="16" fillId="3" borderId="5" xfId="4" applyFont="1" applyFill="1" applyBorder="1" applyAlignment="1">
      <alignment horizontal="left" vertical="center"/>
    </xf>
    <xf numFmtId="0" fontId="16" fillId="0" borderId="7" xfId="5" applyFont="1" applyBorder="1" applyAlignment="1">
      <alignment horizontal="left"/>
    </xf>
    <xf numFmtId="0" fontId="16" fillId="0" borderId="8" xfId="5" applyFont="1" applyBorder="1" applyAlignment="1">
      <alignment horizontal="left"/>
    </xf>
    <xf numFmtId="0" fontId="16" fillId="3" borderId="0" xfId="4" applyFont="1" applyFill="1" applyAlignment="1">
      <alignment horizontal="left"/>
    </xf>
    <xf numFmtId="0" fontId="16" fillId="3" borderId="5" xfId="4" applyFont="1" applyFill="1" applyBorder="1" applyAlignment="1">
      <alignment horizontal="left"/>
    </xf>
    <xf numFmtId="0" fontId="16" fillId="0" borderId="9" xfId="5" applyFont="1" applyBorder="1" applyAlignment="1">
      <alignment horizontal="left"/>
    </xf>
    <xf numFmtId="0" fontId="16" fillId="0" borderId="12" xfId="5" applyFont="1" applyBorder="1" applyAlignment="1">
      <alignment horizontal="left"/>
    </xf>
    <xf numFmtId="0" fontId="16" fillId="2" borderId="0" xfId="2" applyFont="1" applyFill="1" applyAlignment="1">
      <alignment horizontal="left"/>
    </xf>
    <xf numFmtId="0" fontId="16" fillId="3" borderId="10" xfId="4" applyFont="1" applyFill="1" applyBorder="1" applyAlignment="1">
      <alignment horizontal="left" vertical="center"/>
    </xf>
    <xf numFmtId="0" fontId="16" fillId="0" borderId="7" xfId="2" applyFont="1" applyBorder="1" applyAlignment="1">
      <alignment horizontal="left"/>
    </xf>
    <xf numFmtId="0" fontId="16" fillId="0" borderId="8" xfId="2" applyFont="1" applyBorder="1" applyAlignment="1">
      <alignment horizontal="left"/>
    </xf>
    <xf numFmtId="0" fontId="5" fillId="0" borderId="16" xfId="7" applyFont="1" applyBorder="1" applyAlignment="1">
      <alignment horizontal="center" vertical="center"/>
    </xf>
    <xf numFmtId="0" fontId="5" fillId="0" borderId="17" xfId="7" applyFont="1" applyBorder="1" applyAlignment="1">
      <alignment horizontal="center" vertical="center"/>
    </xf>
    <xf numFmtId="0" fontId="5" fillId="0" borderId="18" xfId="7" applyFont="1" applyBorder="1" applyAlignment="1">
      <alignment horizontal="center" vertical="center"/>
    </xf>
    <xf numFmtId="0" fontId="5" fillId="0" borderId="19" xfId="7" applyFont="1" applyBorder="1" applyAlignment="1">
      <alignment horizontal="center" vertical="center"/>
    </xf>
    <xf numFmtId="0" fontId="5" fillId="0" borderId="0" xfId="7" applyFont="1" applyAlignment="1">
      <alignment horizontal="center" vertical="center"/>
    </xf>
    <xf numFmtId="0" fontId="5" fillId="0" borderId="20" xfId="7" applyFont="1" applyBorder="1" applyAlignment="1">
      <alignment horizontal="center" vertical="center"/>
    </xf>
    <xf numFmtId="0" fontId="6" fillId="2" borderId="16" xfId="7" applyFont="1" applyFill="1" applyBorder="1" applyAlignment="1">
      <alignment horizontal="left" vertical="top" wrapText="1"/>
    </xf>
    <xf numFmtId="0" fontId="6" fillId="2" borderId="17" xfId="7" applyFont="1" applyFill="1" applyBorder="1" applyAlignment="1">
      <alignment horizontal="left" vertical="top" wrapText="1"/>
    </xf>
    <xf numFmtId="0" fontId="7" fillId="2" borderId="16" xfId="7" applyFont="1" applyFill="1" applyBorder="1" applyAlignment="1">
      <alignment horizontal="center" vertical="top" wrapText="1"/>
    </xf>
    <xf numFmtId="0" fontId="7" fillId="2" borderId="17" xfId="7" applyFont="1" applyFill="1" applyBorder="1" applyAlignment="1">
      <alignment horizontal="center" vertical="top" wrapText="1"/>
    </xf>
    <xf numFmtId="0" fontId="7" fillId="2" borderId="18" xfId="7" applyFont="1" applyFill="1" applyBorder="1" applyAlignment="1">
      <alignment horizontal="center" vertical="top" wrapText="1"/>
    </xf>
    <xf numFmtId="0" fontId="7" fillId="2" borderId="19" xfId="7" applyFont="1" applyFill="1" applyBorder="1" applyAlignment="1">
      <alignment horizontal="center" vertical="top" wrapText="1"/>
    </xf>
    <xf numFmtId="0" fontId="7" fillId="2" borderId="0" xfId="7" applyFont="1" applyFill="1" applyAlignment="1">
      <alignment horizontal="center" vertical="top" wrapText="1"/>
    </xf>
    <xf numFmtId="0" fontId="7" fillId="2" borderId="20" xfId="7" applyFont="1" applyFill="1" applyBorder="1" applyAlignment="1">
      <alignment horizontal="center" vertical="top" wrapText="1"/>
    </xf>
    <xf numFmtId="0" fontId="7" fillId="2" borderId="21" xfId="7" applyFont="1" applyFill="1" applyBorder="1" applyAlignment="1">
      <alignment horizontal="center" vertical="top" wrapText="1"/>
    </xf>
    <xf numFmtId="0" fontId="7" fillId="2" borderId="22" xfId="7" applyFont="1" applyFill="1" applyBorder="1" applyAlignment="1">
      <alignment horizontal="center" vertical="top" wrapText="1"/>
    </xf>
    <xf numFmtId="0" fontId="7" fillId="2" borderId="23" xfId="7" applyFont="1" applyFill="1" applyBorder="1" applyAlignment="1">
      <alignment horizontal="center" vertical="top" wrapText="1"/>
    </xf>
    <xf numFmtId="0" fontId="10" fillId="2" borderId="0" xfId="2" applyFont="1" applyFill="1" applyAlignment="1">
      <alignment horizontal="center"/>
    </xf>
    <xf numFmtId="0" fontId="12" fillId="2" borderId="19" xfId="8" applyFont="1" applyFill="1" applyBorder="1" applyAlignment="1">
      <alignment horizontal="left"/>
    </xf>
    <xf numFmtId="0" fontId="12" fillId="2" borderId="0" xfId="8" applyFont="1" applyFill="1" applyAlignment="1">
      <alignment horizontal="left"/>
    </xf>
    <xf numFmtId="0" fontId="14" fillId="3" borderId="10" xfId="2" applyFont="1" applyFill="1" applyBorder="1" applyAlignment="1">
      <alignment horizontal="left" vertical="center"/>
    </xf>
    <xf numFmtId="0" fontId="14" fillId="0" borderId="10" xfId="2" applyFont="1" applyBorder="1" applyAlignment="1">
      <alignment horizontal="left"/>
    </xf>
    <xf numFmtId="0" fontId="14" fillId="3" borderId="10" xfId="2" applyFont="1" applyFill="1" applyBorder="1" applyAlignment="1">
      <alignment horizontal="left"/>
    </xf>
  </cellXfs>
  <cellStyles count="14">
    <cellStyle name="Hyperlink" xfId="1" builtinId="8"/>
    <cellStyle name="Normal" xfId="0" builtinId="0"/>
    <cellStyle name="Normal 2 2" xfId="10" xr:uid="{3B088516-9A6B-4622-AAC3-CB9E8E031020}"/>
    <cellStyle name="Normal 2 2 3 2" xfId="12" xr:uid="{F8A26058-71E1-4E89-94E7-43AB5670CD32}"/>
    <cellStyle name="Normal 2 3" xfId="2" xr:uid="{91E8A67D-4DE9-4170-8C62-EA7B0EFA5049}"/>
    <cellStyle name="Normal 2 3 2" xfId="5" xr:uid="{6833EC3A-1A70-40AF-9FC4-A3075CBC1E80}"/>
    <cellStyle name="Normal 2 3 5" xfId="9" xr:uid="{40B368E2-518C-4D00-B0F1-BB8E3ABCA700}"/>
    <cellStyle name="Normal 2 3 6" xfId="3" xr:uid="{3119C4FD-E0E7-4991-B237-91C5DD46C545}"/>
    <cellStyle name="Normal 2 4 2" xfId="4" xr:uid="{D361FEEE-3FF1-4ED3-B205-A88081EDD332}"/>
    <cellStyle name="Normal 2 5 2 2" xfId="8" xr:uid="{34F1C78D-3D0E-4249-8C0E-E99CFEC0DC6A}"/>
    <cellStyle name="Normal 2 7" xfId="11" xr:uid="{DDE087FE-F8C1-4425-8E5D-1BB754A6A2FE}"/>
    <cellStyle name="Normal 4 2 2 2 2" xfId="7" xr:uid="{5345CEEF-DC65-4641-AB0A-AB7F919B8864}"/>
    <cellStyle name="Normal 5 2 2" xfId="6" xr:uid="{B4A8D277-0D3D-4B30-B7CD-A97DFC161E24}"/>
    <cellStyle name="Percent 2 2" xfId="13" xr:uid="{E7FE332A-7EE2-4869-B800-160E27D7F5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38498032-2BB2-485A-B9A9-717C1B66A53F}"/>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55BA1DEB-952E-467D-966D-73E592F38FCB}"/>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A1F7E44B-97F5-4400-8C41-B6CC9C754330}"/>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74C3F76F-6634-4D5B-A7B9-738C63E8E387}"/>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kinbodewa@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akinbodewa@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akinbodew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akinbodew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CD83-4623-4E47-8464-9D7B427D2111}">
  <sheetPr>
    <pageSetUpPr fitToPage="1"/>
  </sheetPr>
  <dimension ref="A1:R97"/>
  <sheetViews>
    <sheetView tabSelected="1" zoomScale="30" zoomScaleNormal="30" workbookViewId="0">
      <selection activeCell="I7" sqref="I7:J7"/>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58" t="s">
        <v>163</v>
      </c>
      <c r="B1" s="259"/>
      <c r="C1" s="259"/>
      <c r="D1" s="259"/>
      <c r="E1" s="259"/>
      <c r="F1" s="259"/>
      <c r="G1" s="259"/>
      <c r="H1" s="259"/>
      <c r="I1" s="259"/>
      <c r="J1" s="259"/>
      <c r="K1" s="259"/>
      <c r="L1" s="259"/>
      <c r="M1" s="259"/>
      <c r="N1" s="259"/>
      <c r="O1" s="259"/>
      <c r="P1" s="259"/>
      <c r="Q1" s="259"/>
      <c r="R1" s="260"/>
    </row>
    <row r="2" spans="1:18" ht="31.5" customHeight="1" x14ac:dyDescent="0.25">
      <c r="A2" s="261"/>
      <c r="B2" s="262"/>
      <c r="C2" s="262"/>
      <c r="D2" s="262"/>
      <c r="E2" s="262"/>
      <c r="F2" s="262"/>
      <c r="G2" s="262"/>
      <c r="H2" s="262"/>
      <c r="I2" s="262"/>
      <c r="J2" s="262"/>
      <c r="K2" s="262"/>
      <c r="L2" s="262"/>
      <c r="M2" s="262"/>
      <c r="N2" s="262"/>
      <c r="O2" s="262"/>
      <c r="P2" s="262"/>
      <c r="Q2" s="262"/>
      <c r="R2" s="263"/>
    </row>
    <row r="3" spans="1:18" ht="31.5" customHeight="1" thickBot="1" x14ac:dyDescent="0.3">
      <c r="A3" s="261"/>
      <c r="B3" s="262"/>
      <c r="C3" s="262"/>
      <c r="D3" s="262"/>
      <c r="E3" s="262"/>
      <c r="F3" s="262"/>
      <c r="G3" s="262"/>
      <c r="H3" s="262"/>
      <c r="I3" s="262"/>
      <c r="J3" s="262"/>
      <c r="K3" s="262"/>
      <c r="L3" s="262"/>
      <c r="M3" s="262"/>
      <c r="N3" s="262"/>
      <c r="O3" s="262"/>
      <c r="P3" s="262"/>
      <c r="Q3" s="262"/>
      <c r="R3" s="263"/>
    </row>
    <row r="4" spans="1:18" s="2" customFormat="1" ht="45.75" x14ac:dyDescent="0.25">
      <c r="A4" s="264" t="s">
        <v>0</v>
      </c>
      <c r="B4" s="265"/>
      <c r="C4" s="265"/>
      <c r="D4" s="265"/>
      <c r="E4" s="265"/>
      <c r="F4" s="265"/>
      <c r="G4" s="265"/>
      <c r="H4" s="265"/>
      <c r="I4" s="265"/>
      <c r="J4" s="265"/>
      <c r="K4" s="266"/>
      <c r="L4" s="267"/>
      <c r="M4" s="267"/>
      <c r="N4" s="267"/>
      <c r="O4" s="267"/>
      <c r="P4" s="267"/>
      <c r="Q4" s="267"/>
      <c r="R4" s="268"/>
    </row>
    <row r="5" spans="1:18" s="9" customFormat="1" ht="32.25" x14ac:dyDescent="0.5">
      <c r="A5" s="3" t="s">
        <v>1</v>
      </c>
      <c r="B5" s="4" t="s">
        <v>164</v>
      </c>
      <c r="C5" s="5" t="s">
        <v>2</v>
      </c>
      <c r="D5" s="6" t="s">
        <v>165</v>
      </c>
      <c r="E5" s="275"/>
      <c r="F5" s="275"/>
      <c r="G5" s="275"/>
      <c r="H5" s="275"/>
      <c r="I5" s="7"/>
      <c r="J5" s="8"/>
      <c r="K5" s="269"/>
      <c r="L5" s="270"/>
      <c r="M5" s="270"/>
      <c r="N5" s="270"/>
      <c r="O5" s="270"/>
      <c r="P5" s="270"/>
      <c r="Q5" s="270"/>
      <c r="R5" s="271"/>
    </row>
    <row r="6" spans="1:18" s="12" customFormat="1" ht="38.25" customHeight="1" x14ac:dyDescent="0.55000000000000004">
      <c r="A6" s="276" t="s">
        <v>3</v>
      </c>
      <c r="B6" s="277"/>
      <c r="C6" s="277"/>
      <c r="D6" s="277"/>
      <c r="E6" s="277"/>
      <c r="F6" s="277"/>
      <c r="G6" s="277"/>
      <c r="H6" s="277"/>
      <c r="I6" s="10"/>
      <c r="J6" s="11"/>
      <c r="K6" s="269"/>
      <c r="L6" s="270"/>
      <c r="M6" s="270"/>
      <c r="N6" s="270"/>
      <c r="O6" s="270"/>
      <c r="P6" s="270"/>
      <c r="Q6" s="270"/>
      <c r="R6" s="271"/>
    </row>
    <row r="7" spans="1:18" s="14" customFormat="1" ht="39" x14ac:dyDescent="0.6">
      <c r="A7" s="278" t="s">
        <v>4</v>
      </c>
      <c r="B7" s="278"/>
      <c r="C7" s="113" t="s">
        <v>5</v>
      </c>
      <c r="D7" s="114" t="s">
        <v>6</v>
      </c>
      <c r="E7" s="113" t="s">
        <v>7</v>
      </c>
      <c r="F7" s="114" t="s">
        <v>8</v>
      </c>
      <c r="G7" s="113" t="s">
        <v>9</v>
      </c>
      <c r="H7" s="114" t="s">
        <v>10</v>
      </c>
      <c r="I7" s="279" t="s">
        <v>205</v>
      </c>
      <c r="J7" s="279"/>
      <c r="K7" s="269"/>
      <c r="L7" s="270"/>
      <c r="M7" s="270"/>
      <c r="N7" s="270"/>
      <c r="O7" s="270"/>
      <c r="P7" s="270"/>
      <c r="Q7" s="270"/>
      <c r="R7" s="271"/>
    </row>
    <row r="8" spans="1:18" s="14" customFormat="1" ht="39" x14ac:dyDescent="0.6">
      <c r="A8" s="280" t="s">
        <v>12</v>
      </c>
      <c r="B8" s="280"/>
      <c r="C8" s="113">
        <v>88721</v>
      </c>
      <c r="D8" s="114" t="s">
        <v>13</v>
      </c>
      <c r="E8" s="115" t="s">
        <v>14</v>
      </c>
      <c r="F8" s="114" t="s">
        <v>15</v>
      </c>
      <c r="G8" s="113"/>
      <c r="H8" s="114" t="s">
        <v>16</v>
      </c>
      <c r="I8" s="279" t="s">
        <v>17</v>
      </c>
      <c r="J8" s="279"/>
      <c r="K8" s="269"/>
      <c r="L8" s="270"/>
      <c r="M8" s="270"/>
      <c r="N8" s="270"/>
      <c r="O8" s="270"/>
      <c r="P8" s="270"/>
      <c r="Q8" s="270"/>
      <c r="R8" s="271"/>
    </row>
    <row r="9" spans="1:18" s="14" customFormat="1" ht="62.25" customHeight="1" x14ac:dyDescent="0.6">
      <c r="A9" s="254" t="s">
        <v>18</v>
      </c>
      <c r="B9" s="254"/>
      <c r="C9" s="254"/>
      <c r="D9" s="254"/>
      <c r="E9" s="254"/>
      <c r="F9" s="254"/>
      <c r="G9" s="254"/>
      <c r="H9" s="254"/>
      <c r="I9" s="254"/>
      <c r="J9" s="13"/>
      <c r="K9" s="269"/>
      <c r="L9" s="270"/>
      <c r="M9" s="270"/>
      <c r="N9" s="270"/>
      <c r="O9" s="270"/>
      <c r="P9" s="270"/>
      <c r="Q9" s="270"/>
      <c r="R9" s="271"/>
    </row>
    <row r="10" spans="1:18" s="19" customFormat="1" ht="39" x14ac:dyDescent="0.6">
      <c r="A10" s="246" t="s">
        <v>4</v>
      </c>
      <c r="B10" s="247"/>
      <c r="C10" s="15" t="s">
        <v>19</v>
      </c>
      <c r="D10" s="16" t="s">
        <v>6</v>
      </c>
      <c r="E10" s="15" t="s">
        <v>20</v>
      </c>
      <c r="F10" s="17" t="s">
        <v>8</v>
      </c>
      <c r="G10" s="18" t="s">
        <v>21</v>
      </c>
      <c r="H10" s="16" t="s">
        <v>10</v>
      </c>
      <c r="I10" s="248" t="s">
        <v>22</v>
      </c>
      <c r="J10" s="249"/>
      <c r="K10" s="269"/>
      <c r="L10" s="270"/>
      <c r="M10" s="270"/>
      <c r="N10" s="270"/>
      <c r="O10" s="270"/>
      <c r="P10" s="270"/>
      <c r="Q10" s="270"/>
      <c r="R10" s="271"/>
    </row>
    <row r="11" spans="1:18" s="19" customFormat="1" ht="39.75" x14ac:dyDescent="0.6">
      <c r="A11" s="250" t="s">
        <v>12</v>
      </c>
      <c r="B11" s="251"/>
      <c r="C11" s="20">
        <v>60529</v>
      </c>
      <c r="D11" s="21" t="s">
        <v>13</v>
      </c>
      <c r="E11" s="116" t="s">
        <v>23</v>
      </c>
      <c r="F11" s="22" t="s">
        <v>15</v>
      </c>
      <c r="G11" s="117"/>
      <c r="H11" s="21" t="s">
        <v>16</v>
      </c>
      <c r="I11" s="252" t="s">
        <v>24</v>
      </c>
      <c r="J11" s="253"/>
      <c r="K11" s="269"/>
      <c r="L11" s="270"/>
      <c r="M11" s="270"/>
      <c r="N11" s="270"/>
      <c r="O11" s="270"/>
      <c r="P11" s="270"/>
      <c r="Q11" s="270"/>
      <c r="R11" s="271"/>
    </row>
    <row r="12" spans="1:18" s="14" customFormat="1" ht="39" x14ac:dyDescent="0.6">
      <c r="A12" s="254" t="s">
        <v>25</v>
      </c>
      <c r="B12" s="254"/>
      <c r="C12" s="254"/>
      <c r="D12" s="254"/>
      <c r="E12" s="254"/>
      <c r="F12" s="254"/>
      <c r="G12" s="254"/>
      <c r="H12" s="254"/>
      <c r="I12" s="254"/>
      <c r="J12" s="13"/>
      <c r="K12" s="269"/>
      <c r="L12" s="270"/>
      <c r="M12" s="270"/>
      <c r="N12" s="270"/>
      <c r="O12" s="270"/>
      <c r="P12" s="270"/>
      <c r="Q12" s="270"/>
      <c r="R12" s="271"/>
    </row>
    <row r="13" spans="1:18" s="19" customFormat="1" ht="56.25" customHeight="1" x14ac:dyDescent="0.6">
      <c r="A13" s="255" t="s">
        <v>4</v>
      </c>
      <c r="B13" s="255"/>
      <c r="C13" s="15"/>
      <c r="D13" s="16" t="s">
        <v>6</v>
      </c>
      <c r="E13" s="15"/>
      <c r="F13" s="17" t="s">
        <v>8</v>
      </c>
      <c r="G13" s="18"/>
      <c r="H13" s="16" t="s">
        <v>10</v>
      </c>
      <c r="I13" s="256"/>
      <c r="J13" s="257"/>
      <c r="K13" s="269"/>
      <c r="L13" s="270"/>
      <c r="M13" s="270"/>
      <c r="N13" s="270"/>
      <c r="O13" s="270"/>
      <c r="P13" s="270"/>
      <c r="Q13" s="270"/>
      <c r="R13" s="271"/>
    </row>
    <row r="14" spans="1:18" s="19" customFormat="1" ht="57" customHeight="1" x14ac:dyDescent="0.6">
      <c r="A14" s="235" t="s">
        <v>12</v>
      </c>
      <c r="B14" s="235"/>
      <c r="C14" s="20"/>
      <c r="D14" s="21" t="s">
        <v>13</v>
      </c>
      <c r="E14" s="118"/>
      <c r="F14" s="22" t="s">
        <v>15</v>
      </c>
      <c r="G14" s="117"/>
      <c r="H14" s="21" t="s">
        <v>16</v>
      </c>
      <c r="I14" s="236"/>
      <c r="J14" s="237"/>
      <c r="K14" s="269"/>
      <c r="L14" s="270"/>
      <c r="M14" s="270"/>
      <c r="N14" s="270"/>
      <c r="O14" s="270"/>
      <c r="P14" s="270"/>
      <c r="Q14" s="270"/>
      <c r="R14" s="271"/>
    </row>
    <row r="15" spans="1:18" s="24" customFormat="1" ht="20.25" customHeight="1" thickBot="1" x14ac:dyDescent="0.75">
      <c r="A15" s="238"/>
      <c r="B15" s="239"/>
      <c r="C15" s="239"/>
      <c r="D15" s="239"/>
      <c r="E15" s="239"/>
      <c r="F15" s="239"/>
      <c r="G15" s="239"/>
      <c r="H15" s="239"/>
      <c r="I15" s="239"/>
      <c r="J15" s="23"/>
      <c r="K15" s="272"/>
      <c r="L15" s="273"/>
      <c r="M15" s="273"/>
      <c r="N15" s="273"/>
      <c r="O15" s="273"/>
      <c r="P15" s="273"/>
      <c r="Q15" s="273"/>
      <c r="R15" s="274"/>
    </row>
    <row r="16" spans="1:18" s="24" customFormat="1" ht="47.25" x14ac:dyDescent="0.7">
      <c r="A16" s="240" t="s">
        <v>26</v>
      </c>
      <c r="B16" s="241"/>
      <c r="C16" s="241"/>
      <c r="D16" s="241"/>
      <c r="E16" s="241"/>
      <c r="F16" s="241"/>
      <c r="G16" s="241"/>
      <c r="H16" s="241"/>
      <c r="I16" s="241"/>
      <c r="J16" s="25"/>
      <c r="K16" s="26"/>
      <c r="L16" s="27"/>
      <c r="M16" s="27"/>
      <c r="N16" s="27"/>
      <c r="O16" s="27"/>
      <c r="P16" s="28"/>
      <c r="Q16" s="28"/>
      <c r="R16" s="29"/>
    </row>
    <row r="17" spans="1:18" s="30" customFormat="1" ht="31.5" customHeight="1" x14ac:dyDescent="0.25">
      <c r="A17" s="242" t="s">
        <v>27</v>
      </c>
      <c r="B17" s="244" t="s">
        <v>28</v>
      </c>
      <c r="C17" s="245" t="s">
        <v>29</v>
      </c>
      <c r="D17" s="245" t="s">
        <v>30</v>
      </c>
      <c r="E17" s="245" t="s">
        <v>29</v>
      </c>
      <c r="F17" s="228" t="s">
        <v>31</v>
      </c>
      <c r="G17" s="228" t="s">
        <v>32</v>
      </c>
      <c r="H17" s="230" t="s">
        <v>33</v>
      </c>
      <c r="I17" s="228" t="s">
        <v>34</v>
      </c>
      <c r="J17" s="232" t="s">
        <v>35</v>
      </c>
      <c r="K17" s="233"/>
      <c r="L17" s="233"/>
      <c r="M17" s="233"/>
      <c r="N17" s="233"/>
      <c r="O17" s="234"/>
      <c r="P17" s="225" t="s">
        <v>166</v>
      </c>
      <c r="Q17" s="225" t="s">
        <v>167</v>
      </c>
      <c r="R17" s="216" t="s">
        <v>168</v>
      </c>
    </row>
    <row r="18" spans="1:18" s="30" customFormat="1" ht="36" x14ac:dyDescent="0.25">
      <c r="A18" s="243"/>
      <c r="B18" s="244"/>
      <c r="C18" s="244"/>
      <c r="D18" s="244"/>
      <c r="E18" s="244"/>
      <c r="F18" s="229"/>
      <c r="G18" s="229"/>
      <c r="H18" s="231"/>
      <c r="I18" s="229"/>
      <c r="J18" s="31" t="s">
        <v>169</v>
      </c>
      <c r="K18" s="32" t="s">
        <v>170</v>
      </c>
      <c r="L18" s="32" t="s">
        <v>171</v>
      </c>
      <c r="M18" s="31" t="s">
        <v>172</v>
      </c>
      <c r="N18" s="31" t="s">
        <v>173</v>
      </c>
      <c r="O18" s="31" t="s">
        <v>174</v>
      </c>
      <c r="P18" s="226"/>
      <c r="Q18" s="226"/>
      <c r="R18" s="217"/>
    </row>
    <row r="19" spans="1:18" s="42" customFormat="1" ht="147" customHeight="1" x14ac:dyDescent="0.25">
      <c r="A19" s="124">
        <v>1</v>
      </c>
      <c r="B19" s="125" t="s">
        <v>42</v>
      </c>
      <c r="C19" s="141">
        <f>SUM(E19:E24)</f>
        <v>2.2666666666666666</v>
      </c>
      <c r="D19" s="130" t="s">
        <v>43</v>
      </c>
      <c r="E19" s="33">
        <v>6.6666666666666666E-2</v>
      </c>
      <c r="F19" s="33">
        <f>E19/$E$58* 100</f>
        <v>0.35469977197871805</v>
      </c>
      <c r="G19" s="34" t="s">
        <v>44</v>
      </c>
      <c r="H19" s="35">
        <v>1</v>
      </c>
      <c r="I19" s="36" t="s">
        <v>45</v>
      </c>
      <c r="J19" s="37">
        <v>100</v>
      </c>
      <c r="K19" s="38">
        <v>95</v>
      </c>
      <c r="L19" s="38">
        <v>90</v>
      </c>
      <c r="M19" s="38">
        <v>85</v>
      </c>
      <c r="N19" s="38">
        <v>80</v>
      </c>
      <c r="O19" s="38" t="s">
        <v>46</v>
      </c>
      <c r="P19" s="39"/>
      <c r="Q19" s="40">
        <f t="shared" ref="Q19" si="0">IF(OR(TRIM(P19)="",P19=0),0,
IF(P19&lt;N19,50,
IF(P19&lt;M19,60,
IF(P19&lt;L19,70,
IF(P19&lt;K19,80,
IF(ISNUMBER(J19),
    IF(P19&lt;J19,IF(P19&gt;=K19,90,80),100),
    IF(P19=K19,90,100)
))))))</f>
        <v>0</v>
      </c>
      <c r="R19" s="41">
        <f t="shared" ref="R19" si="1">F19*Q19/100</f>
        <v>0</v>
      </c>
    </row>
    <row r="20" spans="1:18" s="42" customFormat="1" ht="147" customHeight="1" x14ac:dyDescent="0.25">
      <c r="A20" s="124"/>
      <c r="B20" s="125"/>
      <c r="C20" s="141"/>
      <c r="D20" s="131"/>
      <c r="E20" s="33">
        <v>6.6666666666666666E-2</v>
      </c>
      <c r="F20" s="33">
        <f t="shared" ref="F20:F57" si="2">E20/$E$58* 100</f>
        <v>0.35469977197871805</v>
      </c>
      <c r="G20" s="34" t="s">
        <v>47</v>
      </c>
      <c r="H20" s="35">
        <v>1</v>
      </c>
      <c r="I20" s="36" t="s">
        <v>45</v>
      </c>
      <c r="J20" s="37">
        <v>100</v>
      </c>
      <c r="K20" s="38">
        <v>95</v>
      </c>
      <c r="L20" s="38">
        <v>90</v>
      </c>
      <c r="M20" s="38">
        <v>85</v>
      </c>
      <c r="N20" s="38">
        <v>80</v>
      </c>
      <c r="O20" s="38" t="s">
        <v>46</v>
      </c>
      <c r="P20" s="39"/>
      <c r="Q20" s="40">
        <f t="shared" ref="Q20:Q21" si="3">IF(OR(TRIM(P20)="",P20=0),0,
IF(P20&lt;N20,50,
IF(P20&lt;M20,60,
IF(P20&lt;L20,70,
IF(P20&lt;K20,80,
IF(ISNUMBER(J20),
    IF(P20&lt;J20,IF(P20&gt;=K20,90,80),100),
    IF(P20=K20,90,100)
))))))</f>
        <v>0</v>
      </c>
      <c r="R20" s="41">
        <f t="shared" ref="R20:R21" si="4">F20*Q20/100</f>
        <v>0</v>
      </c>
    </row>
    <row r="21" spans="1:18" s="42" customFormat="1" ht="147" customHeight="1" x14ac:dyDescent="0.25">
      <c r="A21" s="124"/>
      <c r="B21" s="125"/>
      <c r="C21" s="141"/>
      <c r="D21" s="132"/>
      <c r="E21" s="33">
        <v>0.13333333333333333</v>
      </c>
      <c r="F21" s="33">
        <f t="shared" si="2"/>
        <v>0.7093995439574361</v>
      </c>
      <c r="G21" s="34" t="s">
        <v>48</v>
      </c>
      <c r="H21" s="35">
        <v>1</v>
      </c>
      <c r="I21" s="36" t="s">
        <v>45</v>
      </c>
      <c r="J21" s="37">
        <v>100</v>
      </c>
      <c r="K21" s="38">
        <v>95</v>
      </c>
      <c r="L21" s="38">
        <v>90</v>
      </c>
      <c r="M21" s="38">
        <v>85</v>
      </c>
      <c r="N21" s="38">
        <v>80</v>
      </c>
      <c r="O21" s="38" t="s">
        <v>46</v>
      </c>
      <c r="P21" s="39"/>
      <c r="Q21" s="40">
        <f t="shared" si="3"/>
        <v>0</v>
      </c>
      <c r="R21" s="41">
        <f t="shared" si="4"/>
        <v>0</v>
      </c>
    </row>
    <row r="22" spans="1:18" s="42" customFormat="1" ht="147" customHeight="1" x14ac:dyDescent="0.25">
      <c r="A22" s="124"/>
      <c r="B22" s="125"/>
      <c r="C22" s="141"/>
      <c r="D22" s="125" t="s">
        <v>49</v>
      </c>
      <c r="E22" s="33">
        <v>1</v>
      </c>
      <c r="F22" s="33">
        <f t="shared" si="2"/>
        <v>5.3204965796807704</v>
      </c>
      <c r="G22" s="34" t="s">
        <v>50</v>
      </c>
      <c r="H22" s="35">
        <v>0.5</v>
      </c>
      <c r="I22" s="36" t="s">
        <v>45</v>
      </c>
      <c r="J22" s="37" t="s">
        <v>51</v>
      </c>
      <c r="K22" s="38">
        <v>50</v>
      </c>
      <c r="L22" s="38">
        <v>45</v>
      </c>
      <c r="M22" s="38">
        <v>40</v>
      </c>
      <c r="N22" s="38">
        <v>25</v>
      </c>
      <c r="O22" s="38" t="s">
        <v>52</v>
      </c>
      <c r="P22" s="39"/>
      <c r="Q22" s="40">
        <f t="shared" ref="Q22:Q57" si="5">IF(OR(TRIM(P22)="",P22=0),0,
IF(P22&lt;N22,50,
IF(P22&lt;M22,60,
IF(P22&lt;L22,70,
IF(P22&lt;K22,80,
IF(ISNUMBER(J22),
    IF(P22&lt;J22,IF(P22&gt;=K22,90,80),100),
    IF(P22=K22,90,100)
))))))</f>
        <v>0</v>
      </c>
      <c r="R22" s="41">
        <f t="shared" ref="R22:R57" si="6">F22*Q22/100</f>
        <v>0</v>
      </c>
    </row>
    <row r="23" spans="1:18" s="42" customFormat="1" ht="147" customHeight="1" x14ac:dyDescent="0.25">
      <c r="A23" s="124"/>
      <c r="B23" s="125"/>
      <c r="C23" s="141"/>
      <c r="D23" s="125"/>
      <c r="E23" s="33">
        <v>0.5</v>
      </c>
      <c r="F23" s="33">
        <f t="shared" si="2"/>
        <v>2.6602482898403852</v>
      </c>
      <c r="G23" s="34" t="s">
        <v>53</v>
      </c>
      <c r="H23" s="35">
        <v>0.5</v>
      </c>
      <c r="I23" s="36" t="s">
        <v>45</v>
      </c>
      <c r="J23" s="37" t="s">
        <v>51</v>
      </c>
      <c r="K23" s="38">
        <v>50</v>
      </c>
      <c r="L23" s="38">
        <v>45</v>
      </c>
      <c r="M23" s="38">
        <v>40</v>
      </c>
      <c r="N23" s="38">
        <v>25</v>
      </c>
      <c r="O23" s="38" t="s">
        <v>52</v>
      </c>
      <c r="P23" s="39"/>
      <c r="Q23" s="40">
        <f t="shared" si="5"/>
        <v>0</v>
      </c>
      <c r="R23" s="41">
        <f t="shared" si="6"/>
        <v>0</v>
      </c>
    </row>
    <row r="24" spans="1:18" s="42" customFormat="1" ht="147" customHeight="1" x14ac:dyDescent="0.25">
      <c r="A24" s="124"/>
      <c r="B24" s="125"/>
      <c r="C24" s="141"/>
      <c r="D24" s="125"/>
      <c r="E24" s="33">
        <v>0.5</v>
      </c>
      <c r="F24" s="33">
        <f t="shared" si="2"/>
        <v>2.6602482898403852</v>
      </c>
      <c r="G24" s="34" t="s">
        <v>54</v>
      </c>
      <c r="H24" s="35">
        <v>0.75</v>
      </c>
      <c r="I24" s="36" t="s">
        <v>45</v>
      </c>
      <c r="J24" s="37" t="s">
        <v>55</v>
      </c>
      <c r="K24" s="38">
        <v>75</v>
      </c>
      <c r="L24" s="38">
        <v>70</v>
      </c>
      <c r="M24" s="38">
        <v>60</v>
      </c>
      <c r="N24" s="38">
        <v>50</v>
      </c>
      <c r="O24" s="38" t="s">
        <v>56</v>
      </c>
      <c r="P24" s="39"/>
      <c r="Q24" s="40">
        <f t="shared" si="5"/>
        <v>0</v>
      </c>
      <c r="R24" s="41">
        <f t="shared" si="6"/>
        <v>0</v>
      </c>
    </row>
    <row r="25" spans="1:18" s="42" customFormat="1" ht="147" customHeight="1" x14ac:dyDescent="0.25">
      <c r="A25" s="127">
        <v>2</v>
      </c>
      <c r="B25" s="130" t="s">
        <v>57</v>
      </c>
      <c r="C25" s="136">
        <f>SUM(E25:E35)</f>
        <v>5</v>
      </c>
      <c r="D25" s="130" t="s">
        <v>58</v>
      </c>
      <c r="E25" s="33">
        <v>0.3</v>
      </c>
      <c r="F25" s="33">
        <f t="shared" si="2"/>
        <v>1.5961489739042312</v>
      </c>
      <c r="G25" s="34" t="s">
        <v>59</v>
      </c>
      <c r="H25" s="44">
        <v>1</v>
      </c>
      <c r="I25" s="36" t="s">
        <v>45</v>
      </c>
      <c r="J25" s="37">
        <v>100</v>
      </c>
      <c r="K25" s="38">
        <v>95</v>
      </c>
      <c r="L25" s="38">
        <v>90</v>
      </c>
      <c r="M25" s="38">
        <v>85</v>
      </c>
      <c r="N25" s="38">
        <v>80</v>
      </c>
      <c r="O25" s="38" t="s">
        <v>46</v>
      </c>
      <c r="P25" s="39"/>
      <c r="Q25" s="40">
        <f t="shared" si="5"/>
        <v>0</v>
      </c>
      <c r="R25" s="41">
        <f t="shared" si="6"/>
        <v>0</v>
      </c>
    </row>
    <row r="26" spans="1:18" s="42" customFormat="1" ht="147" customHeight="1" x14ac:dyDescent="0.25">
      <c r="A26" s="128"/>
      <c r="B26" s="131"/>
      <c r="C26" s="137"/>
      <c r="D26" s="131"/>
      <c r="E26" s="33">
        <v>0.3</v>
      </c>
      <c r="F26" s="33">
        <f t="shared" si="2"/>
        <v>1.5961489739042312</v>
      </c>
      <c r="G26" s="34" t="s">
        <v>60</v>
      </c>
      <c r="H26" s="44">
        <v>0.8</v>
      </c>
      <c r="I26" s="43" t="s">
        <v>45</v>
      </c>
      <c r="J26" s="37" t="s">
        <v>61</v>
      </c>
      <c r="K26" s="38">
        <v>80</v>
      </c>
      <c r="L26" s="38">
        <v>75</v>
      </c>
      <c r="M26" s="38">
        <v>70</v>
      </c>
      <c r="N26" s="38">
        <v>50</v>
      </c>
      <c r="O26" s="38" t="s">
        <v>56</v>
      </c>
      <c r="P26" s="39"/>
      <c r="Q26" s="40">
        <f t="shared" si="5"/>
        <v>0</v>
      </c>
      <c r="R26" s="41">
        <f t="shared" si="6"/>
        <v>0</v>
      </c>
    </row>
    <row r="27" spans="1:18" s="42" customFormat="1" ht="147" customHeight="1" x14ac:dyDescent="0.25">
      <c r="A27" s="128"/>
      <c r="B27" s="131"/>
      <c r="C27" s="137"/>
      <c r="D27" s="132"/>
      <c r="E27" s="33">
        <v>0.4</v>
      </c>
      <c r="F27" s="33">
        <f t="shared" si="2"/>
        <v>2.1281986318723081</v>
      </c>
      <c r="G27" s="34" t="s">
        <v>62</v>
      </c>
      <c r="H27" s="44">
        <v>0.9</v>
      </c>
      <c r="I27" s="43" t="s">
        <v>45</v>
      </c>
      <c r="J27" s="37" t="s">
        <v>63</v>
      </c>
      <c r="K27" s="38">
        <v>90</v>
      </c>
      <c r="L27" s="38">
        <v>80</v>
      </c>
      <c r="M27" s="38">
        <v>70</v>
      </c>
      <c r="N27" s="38">
        <v>50</v>
      </c>
      <c r="O27" s="38" t="s">
        <v>56</v>
      </c>
      <c r="P27" s="39"/>
      <c r="Q27" s="40">
        <f t="shared" si="5"/>
        <v>0</v>
      </c>
      <c r="R27" s="41">
        <f t="shared" si="6"/>
        <v>0</v>
      </c>
    </row>
    <row r="28" spans="1:18" s="42" customFormat="1" ht="147" customHeight="1" x14ac:dyDescent="0.25">
      <c r="A28" s="128"/>
      <c r="B28" s="131"/>
      <c r="C28" s="137"/>
      <c r="D28" s="130" t="s">
        <v>64</v>
      </c>
      <c r="E28" s="33">
        <v>0.5</v>
      </c>
      <c r="F28" s="33">
        <f t="shared" si="2"/>
        <v>2.6602482898403852</v>
      </c>
      <c r="G28" s="34" t="s">
        <v>65</v>
      </c>
      <c r="H28" s="44">
        <v>0.75</v>
      </c>
      <c r="I28" s="36" t="s">
        <v>45</v>
      </c>
      <c r="J28" s="37" t="s">
        <v>55</v>
      </c>
      <c r="K28" s="38">
        <v>75</v>
      </c>
      <c r="L28" s="38">
        <v>70</v>
      </c>
      <c r="M28" s="38">
        <v>60</v>
      </c>
      <c r="N28" s="38">
        <v>50</v>
      </c>
      <c r="O28" s="38" t="s">
        <v>56</v>
      </c>
      <c r="P28" s="39"/>
      <c r="Q28" s="40">
        <f t="shared" si="5"/>
        <v>0</v>
      </c>
      <c r="R28" s="41">
        <f t="shared" si="6"/>
        <v>0</v>
      </c>
    </row>
    <row r="29" spans="1:18" s="42" customFormat="1" ht="147" customHeight="1" x14ac:dyDescent="0.25">
      <c r="A29" s="128"/>
      <c r="B29" s="131"/>
      <c r="C29" s="137"/>
      <c r="D29" s="132"/>
      <c r="E29" s="33">
        <v>0.5</v>
      </c>
      <c r="F29" s="33">
        <f t="shared" si="2"/>
        <v>2.6602482898403852</v>
      </c>
      <c r="G29" s="34" t="s">
        <v>66</v>
      </c>
      <c r="H29" s="44">
        <v>0.9</v>
      </c>
      <c r="I29" s="43" t="s">
        <v>45</v>
      </c>
      <c r="J29" s="37" t="s">
        <v>63</v>
      </c>
      <c r="K29" s="38">
        <v>90</v>
      </c>
      <c r="L29" s="38">
        <v>80</v>
      </c>
      <c r="M29" s="38">
        <v>70</v>
      </c>
      <c r="N29" s="38">
        <v>50</v>
      </c>
      <c r="O29" s="38" t="s">
        <v>56</v>
      </c>
      <c r="P29" s="39"/>
      <c r="Q29" s="40">
        <f t="shared" si="5"/>
        <v>0</v>
      </c>
      <c r="R29" s="41">
        <f t="shared" si="6"/>
        <v>0</v>
      </c>
    </row>
    <row r="30" spans="1:18" s="42" customFormat="1" ht="147" customHeight="1" x14ac:dyDescent="0.25">
      <c r="A30" s="128"/>
      <c r="B30" s="131"/>
      <c r="C30" s="137"/>
      <c r="D30" s="130" t="s">
        <v>67</v>
      </c>
      <c r="E30" s="33">
        <v>0.5</v>
      </c>
      <c r="F30" s="33">
        <f t="shared" si="2"/>
        <v>2.6602482898403852</v>
      </c>
      <c r="G30" s="34" t="s">
        <v>68</v>
      </c>
      <c r="H30" s="44">
        <v>0.8</v>
      </c>
      <c r="I30" s="43" t="s">
        <v>45</v>
      </c>
      <c r="J30" s="37" t="s">
        <v>61</v>
      </c>
      <c r="K30" s="38">
        <v>80</v>
      </c>
      <c r="L30" s="38">
        <v>75</v>
      </c>
      <c r="M30" s="38">
        <v>70</v>
      </c>
      <c r="N30" s="38">
        <v>50</v>
      </c>
      <c r="O30" s="38" t="s">
        <v>56</v>
      </c>
      <c r="P30" s="39"/>
      <c r="Q30" s="40">
        <f t="shared" si="5"/>
        <v>0</v>
      </c>
      <c r="R30" s="41">
        <f t="shared" si="6"/>
        <v>0</v>
      </c>
    </row>
    <row r="31" spans="1:18" s="42" customFormat="1" ht="147" customHeight="1" x14ac:dyDescent="0.25">
      <c r="A31" s="128"/>
      <c r="B31" s="131"/>
      <c r="C31" s="137"/>
      <c r="D31" s="132"/>
      <c r="E31" s="33">
        <v>0.5</v>
      </c>
      <c r="F31" s="33">
        <f t="shared" si="2"/>
        <v>2.6602482898403852</v>
      </c>
      <c r="G31" s="34" t="s">
        <v>69</v>
      </c>
      <c r="H31" s="44">
        <v>0.9</v>
      </c>
      <c r="I31" s="43" t="s">
        <v>45</v>
      </c>
      <c r="J31" s="37" t="s">
        <v>63</v>
      </c>
      <c r="K31" s="38">
        <v>90</v>
      </c>
      <c r="L31" s="38">
        <v>80</v>
      </c>
      <c r="M31" s="38">
        <v>70</v>
      </c>
      <c r="N31" s="38">
        <v>50</v>
      </c>
      <c r="O31" s="38" t="s">
        <v>56</v>
      </c>
      <c r="P31" s="39"/>
      <c r="Q31" s="40">
        <f t="shared" si="5"/>
        <v>0</v>
      </c>
      <c r="R31" s="41">
        <f t="shared" si="6"/>
        <v>0</v>
      </c>
    </row>
    <row r="32" spans="1:18" s="42" customFormat="1" ht="147" customHeight="1" x14ac:dyDescent="0.25">
      <c r="A32" s="128"/>
      <c r="B32" s="131"/>
      <c r="C32" s="137"/>
      <c r="D32" s="130" t="s">
        <v>70</v>
      </c>
      <c r="E32" s="33">
        <v>0.5</v>
      </c>
      <c r="F32" s="33">
        <f t="shared" si="2"/>
        <v>2.6602482898403852</v>
      </c>
      <c r="G32" s="34" t="s">
        <v>71</v>
      </c>
      <c r="H32" s="44">
        <v>1</v>
      </c>
      <c r="I32" s="36" t="s">
        <v>45</v>
      </c>
      <c r="J32" s="37">
        <v>100</v>
      </c>
      <c r="K32" s="38">
        <v>95</v>
      </c>
      <c r="L32" s="38">
        <v>90</v>
      </c>
      <c r="M32" s="38">
        <v>85</v>
      </c>
      <c r="N32" s="38">
        <v>80</v>
      </c>
      <c r="O32" s="38" t="s">
        <v>46</v>
      </c>
      <c r="P32" s="39"/>
      <c r="Q32" s="40">
        <f t="shared" si="5"/>
        <v>0</v>
      </c>
      <c r="R32" s="41">
        <f t="shared" si="6"/>
        <v>0</v>
      </c>
    </row>
    <row r="33" spans="1:18" s="42" customFormat="1" ht="147" customHeight="1" x14ac:dyDescent="0.25">
      <c r="A33" s="128"/>
      <c r="B33" s="131"/>
      <c r="C33" s="137"/>
      <c r="D33" s="132"/>
      <c r="E33" s="33">
        <v>0.5</v>
      </c>
      <c r="F33" s="33">
        <f t="shared" si="2"/>
        <v>2.6602482898403852</v>
      </c>
      <c r="G33" s="34" t="s">
        <v>72</v>
      </c>
      <c r="H33" s="44">
        <v>1</v>
      </c>
      <c r="I33" s="36" t="s">
        <v>45</v>
      </c>
      <c r="J33" s="37">
        <v>100</v>
      </c>
      <c r="K33" s="38">
        <v>95</v>
      </c>
      <c r="L33" s="38">
        <v>90</v>
      </c>
      <c r="M33" s="38">
        <v>85</v>
      </c>
      <c r="N33" s="38">
        <v>80</v>
      </c>
      <c r="O33" s="38" t="s">
        <v>46</v>
      </c>
      <c r="P33" s="39"/>
      <c r="Q33" s="40">
        <f t="shared" si="5"/>
        <v>0</v>
      </c>
      <c r="R33" s="41">
        <f t="shared" si="6"/>
        <v>0</v>
      </c>
    </row>
    <row r="34" spans="1:18" s="42" customFormat="1" ht="147" customHeight="1" x14ac:dyDescent="0.25">
      <c r="A34" s="128"/>
      <c r="B34" s="131"/>
      <c r="C34" s="137"/>
      <c r="D34" s="130" t="s">
        <v>73</v>
      </c>
      <c r="E34" s="33">
        <v>0.5</v>
      </c>
      <c r="F34" s="33">
        <f t="shared" si="2"/>
        <v>2.6602482898403852</v>
      </c>
      <c r="G34" s="34" t="s">
        <v>74</v>
      </c>
      <c r="H34" s="44">
        <v>0.8</v>
      </c>
      <c r="I34" s="43" t="s">
        <v>45</v>
      </c>
      <c r="J34" s="37" t="s">
        <v>61</v>
      </c>
      <c r="K34" s="38">
        <v>80</v>
      </c>
      <c r="L34" s="38">
        <v>75</v>
      </c>
      <c r="M34" s="38">
        <v>70</v>
      </c>
      <c r="N34" s="38">
        <v>50</v>
      </c>
      <c r="O34" s="38" t="s">
        <v>56</v>
      </c>
      <c r="P34" s="39"/>
      <c r="Q34" s="40">
        <f t="shared" si="5"/>
        <v>0</v>
      </c>
      <c r="R34" s="41">
        <f t="shared" si="6"/>
        <v>0</v>
      </c>
    </row>
    <row r="35" spans="1:18" s="42" customFormat="1" ht="147" customHeight="1" x14ac:dyDescent="0.25">
      <c r="A35" s="129"/>
      <c r="B35" s="132"/>
      <c r="C35" s="138"/>
      <c r="D35" s="132"/>
      <c r="E35" s="33">
        <v>0.5</v>
      </c>
      <c r="F35" s="33">
        <f t="shared" si="2"/>
        <v>2.6602482898403852</v>
      </c>
      <c r="G35" s="34" t="s">
        <v>75</v>
      </c>
      <c r="H35" s="35">
        <v>0.2</v>
      </c>
      <c r="I35" s="36" t="s">
        <v>45</v>
      </c>
      <c r="J35" s="37" t="s">
        <v>76</v>
      </c>
      <c r="K35" s="38">
        <v>20</v>
      </c>
      <c r="L35" s="38">
        <v>15</v>
      </c>
      <c r="M35" s="38">
        <v>10</v>
      </c>
      <c r="N35" s="38">
        <v>5</v>
      </c>
      <c r="O35" s="38" t="s">
        <v>77</v>
      </c>
      <c r="P35" s="39"/>
      <c r="Q35" s="40">
        <f t="shared" si="5"/>
        <v>0</v>
      </c>
      <c r="R35" s="41">
        <f t="shared" si="6"/>
        <v>0</v>
      </c>
    </row>
    <row r="36" spans="1:18" s="42" customFormat="1" ht="147" customHeight="1" x14ac:dyDescent="0.25">
      <c r="A36" s="127">
        <v>3</v>
      </c>
      <c r="B36" s="130" t="s">
        <v>78</v>
      </c>
      <c r="C36" s="136">
        <f>SUM(E36:E45)</f>
        <v>5</v>
      </c>
      <c r="D36" s="130" t="s">
        <v>79</v>
      </c>
      <c r="E36" s="33">
        <v>0.7</v>
      </c>
      <c r="F36" s="33">
        <f t="shared" si="2"/>
        <v>3.7243476057765394</v>
      </c>
      <c r="G36" s="34" t="s">
        <v>80</v>
      </c>
      <c r="H36" s="44">
        <v>0.8</v>
      </c>
      <c r="I36" s="43" t="s">
        <v>45</v>
      </c>
      <c r="J36" s="37" t="s">
        <v>61</v>
      </c>
      <c r="K36" s="38">
        <v>80</v>
      </c>
      <c r="L36" s="38">
        <v>75</v>
      </c>
      <c r="M36" s="38">
        <v>70</v>
      </c>
      <c r="N36" s="38">
        <v>50</v>
      </c>
      <c r="O36" s="38" t="s">
        <v>56</v>
      </c>
      <c r="P36" s="39"/>
      <c r="Q36" s="40">
        <f t="shared" si="5"/>
        <v>0</v>
      </c>
      <c r="R36" s="41">
        <f t="shared" si="6"/>
        <v>0</v>
      </c>
    </row>
    <row r="37" spans="1:18" s="42" customFormat="1" ht="147" customHeight="1" x14ac:dyDescent="0.25">
      <c r="A37" s="128"/>
      <c r="B37" s="131"/>
      <c r="C37" s="137"/>
      <c r="D37" s="132"/>
      <c r="E37" s="33">
        <v>0.3</v>
      </c>
      <c r="F37" s="33">
        <f t="shared" si="2"/>
        <v>1.5961489739042312</v>
      </c>
      <c r="G37" s="34" t="s">
        <v>81</v>
      </c>
      <c r="H37" s="44">
        <v>1</v>
      </c>
      <c r="I37" s="36" t="s">
        <v>45</v>
      </c>
      <c r="J37" s="37">
        <v>100</v>
      </c>
      <c r="K37" s="38">
        <v>95</v>
      </c>
      <c r="L37" s="38">
        <v>90</v>
      </c>
      <c r="M37" s="38">
        <v>85</v>
      </c>
      <c r="N37" s="38">
        <v>80</v>
      </c>
      <c r="O37" s="38" t="s">
        <v>46</v>
      </c>
      <c r="P37" s="39"/>
      <c r="Q37" s="40">
        <f t="shared" si="5"/>
        <v>0</v>
      </c>
      <c r="R37" s="41">
        <f t="shared" si="6"/>
        <v>0</v>
      </c>
    </row>
    <row r="38" spans="1:18" s="42" customFormat="1" ht="147" customHeight="1" x14ac:dyDescent="0.25">
      <c r="A38" s="128"/>
      <c r="B38" s="131"/>
      <c r="C38" s="137"/>
      <c r="D38" s="130" t="s">
        <v>82</v>
      </c>
      <c r="E38" s="33">
        <v>0.5</v>
      </c>
      <c r="F38" s="33">
        <f t="shared" si="2"/>
        <v>2.6602482898403852</v>
      </c>
      <c r="G38" s="34" t="s">
        <v>83</v>
      </c>
      <c r="H38" s="44">
        <v>1</v>
      </c>
      <c r="I38" s="36" t="s">
        <v>45</v>
      </c>
      <c r="J38" s="37">
        <v>100</v>
      </c>
      <c r="K38" s="38">
        <v>95</v>
      </c>
      <c r="L38" s="38">
        <v>90</v>
      </c>
      <c r="M38" s="38">
        <v>85</v>
      </c>
      <c r="N38" s="38">
        <v>80</v>
      </c>
      <c r="O38" s="38" t="s">
        <v>46</v>
      </c>
      <c r="P38" s="39"/>
      <c r="Q38" s="40">
        <f t="shared" si="5"/>
        <v>0</v>
      </c>
      <c r="R38" s="41">
        <f t="shared" si="6"/>
        <v>0</v>
      </c>
    </row>
    <row r="39" spans="1:18" s="42" customFormat="1" ht="147" customHeight="1" x14ac:dyDescent="0.25">
      <c r="A39" s="128"/>
      <c r="B39" s="131"/>
      <c r="C39" s="137"/>
      <c r="D39" s="132"/>
      <c r="E39" s="33">
        <v>0.5</v>
      </c>
      <c r="F39" s="33">
        <f t="shared" si="2"/>
        <v>2.6602482898403852</v>
      </c>
      <c r="G39" s="34" t="s">
        <v>84</v>
      </c>
      <c r="H39" s="44">
        <v>0.8</v>
      </c>
      <c r="I39" s="43" t="s">
        <v>45</v>
      </c>
      <c r="J39" s="37" t="s">
        <v>61</v>
      </c>
      <c r="K39" s="38">
        <v>80</v>
      </c>
      <c r="L39" s="38">
        <v>75</v>
      </c>
      <c r="M39" s="38">
        <v>70</v>
      </c>
      <c r="N39" s="38">
        <v>50</v>
      </c>
      <c r="O39" s="38" t="s">
        <v>56</v>
      </c>
      <c r="P39" s="39"/>
      <c r="Q39" s="40">
        <f t="shared" si="5"/>
        <v>0</v>
      </c>
      <c r="R39" s="41">
        <f t="shared" si="6"/>
        <v>0</v>
      </c>
    </row>
    <row r="40" spans="1:18" s="42" customFormat="1" ht="147" customHeight="1" x14ac:dyDescent="0.25">
      <c r="A40" s="128"/>
      <c r="B40" s="131"/>
      <c r="C40" s="137"/>
      <c r="D40" s="130" t="s">
        <v>85</v>
      </c>
      <c r="E40" s="33">
        <v>0.5</v>
      </c>
      <c r="F40" s="33">
        <f t="shared" si="2"/>
        <v>2.6602482898403852</v>
      </c>
      <c r="G40" s="34" t="s">
        <v>86</v>
      </c>
      <c r="H40" s="43">
        <v>10</v>
      </c>
      <c r="I40" s="36" t="s">
        <v>87</v>
      </c>
      <c r="J40" s="37" t="s">
        <v>88</v>
      </c>
      <c r="K40" s="38">
        <v>10</v>
      </c>
      <c r="L40" s="38">
        <v>8</v>
      </c>
      <c r="M40" s="38">
        <v>6</v>
      </c>
      <c r="N40" s="38">
        <v>5</v>
      </c>
      <c r="O40" s="38" t="s">
        <v>77</v>
      </c>
      <c r="P40" s="39"/>
      <c r="Q40" s="40">
        <f t="shared" si="5"/>
        <v>0</v>
      </c>
      <c r="R40" s="41">
        <f t="shared" si="6"/>
        <v>0</v>
      </c>
    </row>
    <row r="41" spans="1:18" s="42" customFormat="1" ht="147" customHeight="1" x14ac:dyDescent="0.25">
      <c r="A41" s="128"/>
      <c r="B41" s="131"/>
      <c r="C41" s="137"/>
      <c r="D41" s="132"/>
      <c r="E41" s="33">
        <v>0.5</v>
      </c>
      <c r="F41" s="33">
        <f t="shared" si="2"/>
        <v>2.6602482898403852</v>
      </c>
      <c r="G41" s="34" t="s">
        <v>89</v>
      </c>
      <c r="H41" s="44">
        <v>0.8</v>
      </c>
      <c r="I41" s="43" t="s">
        <v>45</v>
      </c>
      <c r="J41" s="37" t="s">
        <v>61</v>
      </c>
      <c r="K41" s="38">
        <v>80</v>
      </c>
      <c r="L41" s="38">
        <v>75</v>
      </c>
      <c r="M41" s="38">
        <v>70</v>
      </c>
      <c r="N41" s="38">
        <v>50</v>
      </c>
      <c r="O41" s="38" t="s">
        <v>56</v>
      </c>
      <c r="P41" s="39"/>
      <c r="Q41" s="40">
        <f t="shared" si="5"/>
        <v>0</v>
      </c>
      <c r="R41" s="41">
        <f t="shared" si="6"/>
        <v>0</v>
      </c>
    </row>
    <row r="42" spans="1:18" s="42" customFormat="1" ht="147" customHeight="1" x14ac:dyDescent="0.25">
      <c r="A42" s="128"/>
      <c r="B42" s="131"/>
      <c r="C42" s="137"/>
      <c r="D42" s="130" t="s">
        <v>90</v>
      </c>
      <c r="E42" s="33">
        <v>0.5</v>
      </c>
      <c r="F42" s="33">
        <f t="shared" si="2"/>
        <v>2.6602482898403852</v>
      </c>
      <c r="G42" s="34" t="s">
        <v>91</v>
      </c>
      <c r="H42" s="43">
        <v>5</v>
      </c>
      <c r="I42" s="36" t="s">
        <v>87</v>
      </c>
      <c r="J42" s="37" t="s">
        <v>92</v>
      </c>
      <c r="K42" s="38">
        <v>5</v>
      </c>
      <c r="L42" s="38">
        <v>4</v>
      </c>
      <c r="M42" s="38">
        <v>3</v>
      </c>
      <c r="N42" s="38">
        <v>2</v>
      </c>
      <c r="O42" s="38">
        <v>1</v>
      </c>
      <c r="P42" s="39"/>
      <c r="Q42" s="40">
        <f t="shared" si="5"/>
        <v>0</v>
      </c>
      <c r="R42" s="41">
        <f t="shared" si="6"/>
        <v>0</v>
      </c>
    </row>
    <row r="43" spans="1:18" s="42" customFormat="1" ht="147" customHeight="1" x14ac:dyDescent="0.25">
      <c r="A43" s="128"/>
      <c r="B43" s="131"/>
      <c r="C43" s="137"/>
      <c r="D43" s="132"/>
      <c r="E43" s="33">
        <v>0.5</v>
      </c>
      <c r="F43" s="33">
        <f t="shared" si="2"/>
        <v>2.6602482898403852</v>
      </c>
      <c r="G43" s="34" t="s">
        <v>93</v>
      </c>
      <c r="H43" s="43">
        <v>10</v>
      </c>
      <c r="I43" s="36" t="s">
        <v>87</v>
      </c>
      <c r="J43" s="37" t="s">
        <v>88</v>
      </c>
      <c r="K43" s="38">
        <v>10</v>
      </c>
      <c r="L43" s="38">
        <v>8</v>
      </c>
      <c r="M43" s="38">
        <v>6</v>
      </c>
      <c r="N43" s="38">
        <v>5</v>
      </c>
      <c r="O43" s="38" t="s">
        <v>77</v>
      </c>
      <c r="P43" s="39"/>
      <c r="Q43" s="40">
        <f t="shared" si="5"/>
        <v>0</v>
      </c>
      <c r="R43" s="41">
        <f t="shared" si="6"/>
        <v>0</v>
      </c>
    </row>
    <row r="44" spans="1:18" s="42" customFormat="1" ht="147" customHeight="1" x14ac:dyDescent="0.25">
      <c r="A44" s="128"/>
      <c r="B44" s="131"/>
      <c r="C44" s="137"/>
      <c r="D44" s="130" t="s">
        <v>94</v>
      </c>
      <c r="E44" s="33">
        <v>0.8</v>
      </c>
      <c r="F44" s="33">
        <f t="shared" si="2"/>
        <v>4.2563972637446161</v>
      </c>
      <c r="G44" s="34" t="s">
        <v>95</v>
      </c>
      <c r="H44" s="44">
        <v>0.8</v>
      </c>
      <c r="I44" s="43" t="s">
        <v>45</v>
      </c>
      <c r="J44" s="37" t="s">
        <v>61</v>
      </c>
      <c r="K44" s="38">
        <v>80</v>
      </c>
      <c r="L44" s="38">
        <v>75</v>
      </c>
      <c r="M44" s="38">
        <v>70</v>
      </c>
      <c r="N44" s="38">
        <v>50</v>
      </c>
      <c r="O44" s="38" t="s">
        <v>56</v>
      </c>
      <c r="P44" s="39"/>
      <c r="Q44" s="40">
        <f t="shared" si="5"/>
        <v>0</v>
      </c>
      <c r="R44" s="41">
        <f t="shared" si="6"/>
        <v>0</v>
      </c>
    </row>
    <row r="45" spans="1:18" s="42" customFormat="1" ht="147" customHeight="1" x14ac:dyDescent="0.25">
      <c r="A45" s="129"/>
      <c r="B45" s="132"/>
      <c r="C45" s="138"/>
      <c r="D45" s="132"/>
      <c r="E45" s="119">
        <v>0.2</v>
      </c>
      <c r="F45" s="33">
        <f t="shared" si="2"/>
        <v>1.064099315936154</v>
      </c>
      <c r="G45" s="120" t="s">
        <v>96</v>
      </c>
      <c r="H45" s="44">
        <v>0.2</v>
      </c>
      <c r="I45" s="36" t="s">
        <v>45</v>
      </c>
      <c r="J45" s="37" t="s">
        <v>76</v>
      </c>
      <c r="K45" s="38">
        <v>20</v>
      </c>
      <c r="L45" s="38">
        <v>15</v>
      </c>
      <c r="M45" s="38">
        <v>10</v>
      </c>
      <c r="N45" s="38">
        <v>5</v>
      </c>
      <c r="O45" s="38" t="s">
        <v>77</v>
      </c>
      <c r="P45" s="39"/>
      <c r="Q45" s="40">
        <f t="shared" si="5"/>
        <v>0</v>
      </c>
      <c r="R45" s="41">
        <f t="shared" si="6"/>
        <v>0</v>
      </c>
    </row>
    <row r="46" spans="1:18" s="42" customFormat="1" ht="147" customHeight="1" x14ac:dyDescent="0.25">
      <c r="A46" s="124">
        <v>4</v>
      </c>
      <c r="B46" s="125" t="s">
        <v>97</v>
      </c>
      <c r="C46" s="126">
        <f>SUM(E46:E48)</f>
        <v>3.5</v>
      </c>
      <c r="D46" s="125" t="s">
        <v>98</v>
      </c>
      <c r="E46" s="33">
        <v>1.4</v>
      </c>
      <c r="F46" s="33">
        <f t="shared" si="2"/>
        <v>7.4486952115530789</v>
      </c>
      <c r="G46" s="34" t="s">
        <v>99</v>
      </c>
      <c r="H46" s="43">
        <v>5</v>
      </c>
      <c r="I46" s="36" t="s">
        <v>87</v>
      </c>
      <c r="J46" s="37" t="s">
        <v>92</v>
      </c>
      <c r="K46" s="38">
        <v>5</v>
      </c>
      <c r="L46" s="38">
        <v>4</v>
      </c>
      <c r="M46" s="38">
        <v>3</v>
      </c>
      <c r="N46" s="38">
        <v>2</v>
      </c>
      <c r="O46" s="38">
        <v>1</v>
      </c>
      <c r="P46" s="39"/>
      <c r="Q46" s="40">
        <f t="shared" si="5"/>
        <v>0</v>
      </c>
      <c r="R46" s="41">
        <f t="shared" si="6"/>
        <v>0</v>
      </c>
    </row>
    <row r="47" spans="1:18" s="42" customFormat="1" ht="147" customHeight="1" x14ac:dyDescent="0.25">
      <c r="A47" s="124"/>
      <c r="B47" s="125"/>
      <c r="C47" s="126"/>
      <c r="D47" s="125"/>
      <c r="E47" s="33">
        <v>1.4</v>
      </c>
      <c r="F47" s="33">
        <f t="shared" si="2"/>
        <v>7.4486952115530789</v>
      </c>
      <c r="G47" s="34" t="s">
        <v>100</v>
      </c>
      <c r="H47" s="44">
        <v>0.1</v>
      </c>
      <c r="I47" s="43" t="s">
        <v>45</v>
      </c>
      <c r="J47" s="37" t="s">
        <v>88</v>
      </c>
      <c r="K47" s="38">
        <v>10</v>
      </c>
      <c r="L47" s="38">
        <v>7</v>
      </c>
      <c r="M47" s="38">
        <v>6</v>
      </c>
      <c r="N47" s="38">
        <v>5</v>
      </c>
      <c r="O47" s="38" t="s">
        <v>77</v>
      </c>
      <c r="P47" s="39"/>
      <c r="Q47" s="40">
        <f t="shared" si="5"/>
        <v>0</v>
      </c>
      <c r="R47" s="41">
        <f t="shared" si="6"/>
        <v>0</v>
      </c>
    </row>
    <row r="48" spans="1:18" s="42" customFormat="1" ht="147" customHeight="1" x14ac:dyDescent="0.25">
      <c r="A48" s="124"/>
      <c r="B48" s="125"/>
      <c r="C48" s="126"/>
      <c r="D48" s="125"/>
      <c r="E48" s="33">
        <v>0.7</v>
      </c>
      <c r="F48" s="33">
        <f t="shared" si="2"/>
        <v>3.7243476057765394</v>
      </c>
      <c r="G48" s="34" t="s">
        <v>101</v>
      </c>
      <c r="H48" s="43">
        <v>2</v>
      </c>
      <c r="I48" s="36" t="s">
        <v>87</v>
      </c>
      <c r="J48" s="37" t="s">
        <v>102</v>
      </c>
      <c r="K48" s="38">
        <v>2</v>
      </c>
      <c r="L48" s="38">
        <v>1</v>
      </c>
      <c r="M48" s="38">
        <v>0</v>
      </c>
      <c r="N48" s="38"/>
      <c r="O48" s="38"/>
      <c r="P48" s="39"/>
      <c r="Q48" s="40">
        <f t="shared" si="5"/>
        <v>0</v>
      </c>
      <c r="R48" s="41">
        <f t="shared" si="6"/>
        <v>0</v>
      </c>
    </row>
    <row r="49" spans="1:18" s="42" customFormat="1" ht="147" customHeight="1" x14ac:dyDescent="0.25">
      <c r="A49" s="43">
        <v>5</v>
      </c>
      <c r="B49" s="34" t="s">
        <v>103</v>
      </c>
      <c r="C49" s="45">
        <f>E49</f>
        <v>0.30000000000000004</v>
      </c>
      <c r="D49" s="34" t="s">
        <v>104</v>
      </c>
      <c r="E49" s="33">
        <v>0.30000000000000004</v>
      </c>
      <c r="F49" s="33">
        <f t="shared" si="2"/>
        <v>1.5961489739042312</v>
      </c>
      <c r="G49" s="34" t="s">
        <v>105</v>
      </c>
      <c r="H49" s="43">
        <v>5</v>
      </c>
      <c r="I49" s="43" t="s">
        <v>87</v>
      </c>
      <c r="J49" s="37" t="s">
        <v>92</v>
      </c>
      <c r="K49" s="38">
        <v>5</v>
      </c>
      <c r="L49" s="38">
        <v>4</v>
      </c>
      <c r="M49" s="38">
        <v>3</v>
      </c>
      <c r="N49" s="38">
        <v>2</v>
      </c>
      <c r="O49" s="38">
        <v>1</v>
      </c>
      <c r="P49" s="39"/>
      <c r="Q49" s="40">
        <f t="shared" si="5"/>
        <v>0</v>
      </c>
      <c r="R49" s="41">
        <f t="shared" si="6"/>
        <v>0</v>
      </c>
    </row>
    <row r="50" spans="1:18" s="42" customFormat="1" ht="147" customHeight="1" x14ac:dyDescent="0.25">
      <c r="A50" s="127">
        <v>6</v>
      </c>
      <c r="B50" s="130" t="s">
        <v>106</v>
      </c>
      <c r="C50" s="133">
        <f>SUM(E50:E52)</f>
        <v>2</v>
      </c>
      <c r="D50" s="130" t="s">
        <v>107</v>
      </c>
      <c r="E50" s="33">
        <v>0.4</v>
      </c>
      <c r="F50" s="33">
        <f t="shared" si="2"/>
        <v>2.1281986318723081</v>
      </c>
      <c r="G50" s="34" t="s">
        <v>108</v>
      </c>
      <c r="H50" s="43">
        <v>5</v>
      </c>
      <c r="I50" s="43" t="s">
        <v>87</v>
      </c>
      <c r="J50" s="37" t="s">
        <v>92</v>
      </c>
      <c r="K50" s="38">
        <v>5</v>
      </c>
      <c r="L50" s="38">
        <v>4</v>
      </c>
      <c r="M50" s="38">
        <v>3</v>
      </c>
      <c r="N50" s="38">
        <v>2</v>
      </c>
      <c r="O50" s="38">
        <v>1</v>
      </c>
      <c r="P50" s="39"/>
      <c r="Q50" s="40">
        <f t="shared" si="5"/>
        <v>0</v>
      </c>
      <c r="R50" s="41">
        <f t="shared" si="6"/>
        <v>0</v>
      </c>
    </row>
    <row r="51" spans="1:18" s="42" customFormat="1" ht="147" customHeight="1" x14ac:dyDescent="0.25">
      <c r="A51" s="128"/>
      <c r="B51" s="131"/>
      <c r="C51" s="134"/>
      <c r="D51" s="131"/>
      <c r="E51" s="33">
        <v>0.8</v>
      </c>
      <c r="F51" s="33">
        <f t="shared" si="2"/>
        <v>4.2563972637446161</v>
      </c>
      <c r="G51" s="34" t="s">
        <v>109</v>
      </c>
      <c r="H51" s="44">
        <v>0.2</v>
      </c>
      <c r="I51" s="36" t="s">
        <v>45</v>
      </c>
      <c r="J51" s="37" t="s">
        <v>76</v>
      </c>
      <c r="K51" s="38">
        <v>20</v>
      </c>
      <c r="L51" s="38">
        <v>15</v>
      </c>
      <c r="M51" s="38">
        <v>10</v>
      </c>
      <c r="N51" s="38">
        <v>5</v>
      </c>
      <c r="O51" s="38" t="s">
        <v>77</v>
      </c>
      <c r="P51" s="39"/>
      <c r="Q51" s="40">
        <f t="shared" si="5"/>
        <v>0</v>
      </c>
      <c r="R51" s="41">
        <f t="shared" si="6"/>
        <v>0</v>
      </c>
    </row>
    <row r="52" spans="1:18" s="42" customFormat="1" ht="147" customHeight="1" x14ac:dyDescent="0.25">
      <c r="A52" s="129"/>
      <c r="B52" s="132"/>
      <c r="C52" s="135"/>
      <c r="D52" s="132"/>
      <c r="E52" s="33">
        <v>0.8</v>
      </c>
      <c r="F52" s="33">
        <f t="shared" si="2"/>
        <v>4.2563972637446161</v>
      </c>
      <c r="G52" s="34" t="s">
        <v>110</v>
      </c>
      <c r="H52" s="44">
        <v>0.8</v>
      </c>
      <c r="I52" s="43" t="s">
        <v>45</v>
      </c>
      <c r="J52" s="37" t="s">
        <v>61</v>
      </c>
      <c r="K52" s="38">
        <v>80</v>
      </c>
      <c r="L52" s="38">
        <v>75</v>
      </c>
      <c r="M52" s="38">
        <v>70</v>
      </c>
      <c r="N52" s="38">
        <v>50</v>
      </c>
      <c r="O52" s="38" t="s">
        <v>56</v>
      </c>
      <c r="P52" s="39"/>
      <c r="Q52" s="40">
        <f t="shared" si="5"/>
        <v>0</v>
      </c>
      <c r="R52" s="41">
        <f t="shared" si="6"/>
        <v>0</v>
      </c>
    </row>
    <row r="53" spans="1:18" s="42" customFormat="1" ht="147" customHeight="1" x14ac:dyDescent="0.25">
      <c r="A53" s="124">
        <v>7</v>
      </c>
      <c r="B53" s="125" t="s">
        <v>111</v>
      </c>
      <c r="C53" s="126">
        <f>SUM(E53:E54)</f>
        <v>0.16666666666666669</v>
      </c>
      <c r="D53" s="125" t="s">
        <v>112</v>
      </c>
      <c r="E53" s="33">
        <v>0.10000000000000002</v>
      </c>
      <c r="F53" s="33">
        <f t="shared" si="2"/>
        <v>0.53204965796807713</v>
      </c>
      <c r="G53" s="34" t="s">
        <v>113</v>
      </c>
      <c r="H53" s="44">
        <v>0.8</v>
      </c>
      <c r="I53" s="43" t="s">
        <v>45</v>
      </c>
      <c r="J53" s="37" t="s">
        <v>61</v>
      </c>
      <c r="K53" s="38">
        <v>80</v>
      </c>
      <c r="L53" s="38">
        <v>75</v>
      </c>
      <c r="M53" s="38">
        <v>70</v>
      </c>
      <c r="N53" s="38">
        <v>50</v>
      </c>
      <c r="O53" s="38" t="s">
        <v>56</v>
      </c>
      <c r="P53" s="39"/>
      <c r="Q53" s="40">
        <f t="shared" si="5"/>
        <v>0</v>
      </c>
      <c r="R53" s="41">
        <f t="shared" si="6"/>
        <v>0</v>
      </c>
    </row>
    <row r="54" spans="1:18" s="42" customFormat="1" ht="147" customHeight="1" x14ac:dyDescent="0.25">
      <c r="A54" s="124"/>
      <c r="B54" s="125"/>
      <c r="C54" s="126"/>
      <c r="D54" s="125"/>
      <c r="E54" s="33">
        <v>6.6666666666666666E-2</v>
      </c>
      <c r="F54" s="33">
        <f t="shared" si="2"/>
        <v>0.35469977197871805</v>
      </c>
      <c r="G54" s="34" t="s">
        <v>114</v>
      </c>
      <c r="H54" s="44">
        <v>0.8</v>
      </c>
      <c r="I54" s="43" t="s">
        <v>45</v>
      </c>
      <c r="J54" s="37" t="s">
        <v>61</v>
      </c>
      <c r="K54" s="38">
        <v>80</v>
      </c>
      <c r="L54" s="38">
        <v>75</v>
      </c>
      <c r="M54" s="38">
        <v>70</v>
      </c>
      <c r="N54" s="38">
        <v>50</v>
      </c>
      <c r="O54" s="38" t="s">
        <v>56</v>
      </c>
      <c r="P54" s="39"/>
      <c r="Q54" s="40">
        <f t="shared" si="5"/>
        <v>0</v>
      </c>
      <c r="R54" s="41">
        <f t="shared" si="6"/>
        <v>0</v>
      </c>
    </row>
    <row r="55" spans="1:18" s="42" customFormat="1" ht="147" customHeight="1" x14ac:dyDescent="0.25">
      <c r="A55" s="121">
        <v>8</v>
      </c>
      <c r="B55" s="122" t="s">
        <v>115</v>
      </c>
      <c r="C55" s="123">
        <f>E55</f>
        <v>0.42857142857142855</v>
      </c>
      <c r="D55" s="122" t="s">
        <v>116</v>
      </c>
      <c r="E55" s="33">
        <v>0.42857142857142855</v>
      </c>
      <c r="F55" s="33">
        <f t="shared" si="2"/>
        <v>2.2802128198631872</v>
      </c>
      <c r="G55" s="34" t="s">
        <v>117</v>
      </c>
      <c r="H55" s="44">
        <v>1</v>
      </c>
      <c r="I55" s="36" t="s">
        <v>45</v>
      </c>
      <c r="J55" s="37">
        <v>100</v>
      </c>
      <c r="K55" s="38">
        <v>95</v>
      </c>
      <c r="L55" s="38">
        <v>90</v>
      </c>
      <c r="M55" s="38">
        <v>85</v>
      </c>
      <c r="N55" s="38">
        <v>80</v>
      </c>
      <c r="O55" s="38" t="s">
        <v>46</v>
      </c>
      <c r="P55" s="39"/>
      <c r="Q55" s="40">
        <f t="shared" si="5"/>
        <v>0</v>
      </c>
      <c r="R55" s="41">
        <f t="shared" si="6"/>
        <v>0</v>
      </c>
    </row>
    <row r="56" spans="1:18" s="42" customFormat="1" ht="147" customHeight="1" x14ac:dyDescent="0.25">
      <c r="A56" s="124">
        <v>9</v>
      </c>
      <c r="B56" s="125" t="s">
        <v>118</v>
      </c>
      <c r="C56" s="126">
        <f>SUM(E56:E57)</f>
        <v>0.13333333333333333</v>
      </c>
      <c r="D56" s="34" t="s">
        <v>119</v>
      </c>
      <c r="E56" s="33">
        <v>6.6666666666666666E-2</v>
      </c>
      <c r="F56" s="33">
        <f t="shared" si="2"/>
        <v>0.35469977197871805</v>
      </c>
      <c r="G56" s="34" t="s">
        <v>120</v>
      </c>
      <c r="H56" s="35">
        <v>0.7</v>
      </c>
      <c r="I56" s="43" t="s">
        <v>45</v>
      </c>
      <c r="J56" s="37" t="s">
        <v>121</v>
      </c>
      <c r="K56" s="38">
        <v>70</v>
      </c>
      <c r="L56" s="38">
        <v>60</v>
      </c>
      <c r="M56" s="38">
        <v>50</v>
      </c>
      <c r="N56" s="38">
        <v>40</v>
      </c>
      <c r="O56" s="38" t="s">
        <v>122</v>
      </c>
      <c r="P56" s="39"/>
      <c r="Q56" s="40">
        <f t="shared" si="5"/>
        <v>0</v>
      </c>
      <c r="R56" s="41">
        <f t="shared" si="6"/>
        <v>0</v>
      </c>
    </row>
    <row r="57" spans="1:18" s="42" customFormat="1" ht="147" customHeight="1" x14ac:dyDescent="0.25">
      <c r="A57" s="124"/>
      <c r="B57" s="125"/>
      <c r="C57" s="126"/>
      <c r="D57" s="34" t="s">
        <v>123</v>
      </c>
      <c r="E57" s="33">
        <v>6.6666666666666666E-2</v>
      </c>
      <c r="F57" s="33">
        <f t="shared" si="2"/>
        <v>0.35469977197871805</v>
      </c>
      <c r="G57" s="34" t="s">
        <v>124</v>
      </c>
      <c r="H57" s="35">
        <v>0.5</v>
      </c>
      <c r="I57" s="36" t="s">
        <v>45</v>
      </c>
      <c r="J57" s="37" t="s">
        <v>51</v>
      </c>
      <c r="K57" s="38">
        <v>50</v>
      </c>
      <c r="L57" s="38">
        <v>45</v>
      </c>
      <c r="M57" s="38">
        <v>40</v>
      </c>
      <c r="N57" s="38">
        <v>25</v>
      </c>
      <c r="O57" s="38" t="s">
        <v>52</v>
      </c>
      <c r="P57" s="39"/>
      <c r="Q57" s="40">
        <f t="shared" si="5"/>
        <v>0</v>
      </c>
      <c r="R57" s="41">
        <f t="shared" si="6"/>
        <v>0</v>
      </c>
    </row>
    <row r="58" spans="1:18" s="56" customFormat="1" ht="44.25" x14ac:dyDescent="0.25">
      <c r="A58" s="46"/>
      <c r="B58" s="47" t="s">
        <v>125</v>
      </c>
      <c r="C58" s="48">
        <f>SUM(C19:C57)</f>
        <v>18.795238095238094</v>
      </c>
      <c r="D58" s="47"/>
      <c r="E58" s="48">
        <f>SUM(E19:E57)</f>
        <v>18.795238095238094</v>
      </c>
      <c r="F58" s="48">
        <f>SUM(F19:F57)</f>
        <v>99.999999999999943</v>
      </c>
      <c r="G58" s="49"/>
      <c r="H58" s="50"/>
      <c r="I58" s="51"/>
      <c r="J58" s="52"/>
      <c r="K58" s="52"/>
      <c r="L58" s="52"/>
      <c r="M58" s="52"/>
      <c r="N58" s="52"/>
      <c r="O58" s="52"/>
      <c r="P58" s="53"/>
      <c r="Q58" s="54"/>
      <c r="R58" s="55">
        <f>SUM(R19:R57)</f>
        <v>0</v>
      </c>
    </row>
    <row r="59" spans="1:18" s="58" customFormat="1" ht="66" customHeight="1" x14ac:dyDescent="0.7">
      <c r="A59" s="57"/>
      <c r="G59" s="59"/>
      <c r="H59" s="59"/>
      <c r="I59" s="218" t="s">
        <v>175</v>
      </c>
      <c r="J59" s="219"/>
      <c r="K59" s="219"/>
      <c r="L59" s="219"/>
      <c r="M59" s="219"/>
      <c r="N59" s="219"/>
      <c r="O59" s="219"/>
      <c r="P59" s="219"/>
      <c r="Q59" s="220"/>
      <c r="R59" s="60">
        <f>R58/100 * 70</f>
        <v>0</v>
      </c>
    </row>
    <row r="60" spans="1:18" s="65" customFormat="1" ht="36" x14ac:dyDescent="0.55000000000000004">
      <c r="A60" s="221" t="s">
        <v>126</v>
      </c>
      <c r="B60" s="222"/>
      <c r="C60" s="222"/>
      <c r="D60" s="222"/>
      <c r="E60" s="222"/>
      <c r="F60" s="222"/>
      <c r="G60" s="223"/>
      <c r="H60" s="224"/>
      <c r="I60" s="224"/>
      <c r="J60" s="224"/>
      <c r="K60" s="224"/>
      <c r="L60" s="225" t="s">
        <v>131</v>
      </c>
      <c r="M60" s="61" t="s">
        <v>127</v>
      </c>
      <c r="N60" s="61"/>
      <c r="O60" s="61"/>
      <c r="P60" s="62"/>
      <c r="Q60" s="63"/>
      <c r="R60" s="64"/>
    </row>
    <row r="61" spans="1:18" s="65" customFormat="1" ht="31.5" customHeight="1" x14ac:dyDescent="0.55000000000000004">
      <c r="A61" s="66"/>
      <c r="B61" s="67"/>
      <c r="C61" s="227" t="s">
        <v>128</v>
      </c>
      <c r="D61" s="227"/>
      <c r="E61" s="227"/>
      <c r="F61" s="227"/>
      <c r="G61" s="227"/>
      <c r="H61" s="68" t="s">
        <v>176</v>
      </c>
      <c r="I61" s="68" t="s">
        <v>177</v>
      </c>
      <c r="J61" s="68"/>
      <c r="K61" s="69"/>
      <c r="L61" s="226"/>
      <c r="M61" s="70"/>
      <c r="N61" s="70"/>
      <c r="O61" s="70"/>
      <c r="P61" s="71"/>
      <c r="Q61" s="63"/>
      <c r="R61" s="64"/>
    </row>
    <row r="62" spans="1:18" s="65" customFormat="1" ht="36" customHeight="1" x14ac:dyDescent="0.55000000000000004">
      <c r="A62" s="72">
        <v>1</v>
      </c>
      <c r="B62" s="73" t="s">
        <v>132</v>
      </c>
      <c r="C62" s="213"/>
      <c r="D62" s="214"/>
      <c r="E62" s="214"/>
      <c r="F62" s="214"/>
      <c r="G62" s="215"/>
      <c r="H62" s="74"/>
      <c r="I62" s="74"/>
      <c r="J62" s="74"/>
      <c r="K62" s="74"/>
      <c r="L62" s="75"/>
      <c r="M62" s="76" t="s">
        <v>36</v>
      </c>
      <c r="N62" s="211" t="s">
        <v>133</v>
      </c>
      <c r="O62" s="212"/>
      <c r="P62" s="71"/>
      <c r="Q62" s="63"/>
      <c r="R62" s="64"/>
    </row>
    <row r="63" spans="1:18" s="65" customFormat="1" ht="84.75" customHeight="1" x14ac:dyDescent="0.55000000000000004">
      <c r="A63" s="77" t="s">
        <v>134</v>
      </c>
      <c r="B63" s="78" t="s">
        <v>178</v>
      </c>
      <c r="C63" s="208"/>
      <c r="D63" s="209"/>
      <c r="E63" s="209"/>
      <c r="F63" s="209"/>
      <c r="G63" s="210"/>
      <c r="H63" s="79">
        <v>4</v>
      </c>
      <c r="I63" s="80"/>
      <c r="J63" s="79"/>
      <c r="K63" s="79"/>
      <c r="L63" s="75"/>
      <c r="M63" s="76" t="s">
        <v>37</v>
      </c>
      <c r="N63" s="211" t="s">
        <v>135</v>
      </c>
      <c r="O63" s="212"/>
      <c r="P63" s="71"/>
      <c r="Q63" s="63"/>
      <c r="R63" s="64"/>
    </row>
    <row r="64" spans="1:18" s="65" customFormat="1" ht="82.5" customHeight="1" x14ac:dyDescent="0.55000000000000004">
      <c r="A64" s="77" t="s">
        <v>136</v>
      </c>
      <c r="B64" s="78" t="s">
        <v>179</v>
      </c>
      <c r="C64" s="208"/>
      <c r="D64" s="209"/>
      <c r="E64" s="209"/>
      <c r="F64" s="209"/>
      <c r="G64" s="210"/>
      <c r="H64" s="79">
        <v>2</v>
      </c>
      <c r="I64" s="80"/>
      <c r="J64" s="79"/>
      <c r="K64" s="79"/>
      <c r="L64" s="75"/>
      <c r="M64" s="76" t="s">
        <v>38</v>
      </c>
      <c r="N64" s="211" t="s">
        <v>137</v>
      </c>
      <c r="O64" s="212"/>
      <c r="P64" s="71"/>
      <c r="Q64" s="63"/>
      <c r="R64" s="64"/>
    </row>
    <row r="65" spans="1:18" s="65" customFormat="1" ht="78.75" customHeight="1" x14ac:dyDescent="0.55000000000000004">
      <c r="A65" s="77" t="s">
        <v>138</v>
      </c>
      <c r="B65" s="78" t="s">
        <v>139</v>
      </c>
      <c r="C65" s="208"/>
      <c r="D65" s="209"/>
      <c r="E65" s="209"/>
      <c r="F65" s="209"/>
      <c r="G65" s="210"/>
      <c r="H65" s="79">
        <v>2</v>
      </c>
      <c r="I65" s="80"/>
      <c r="J65" s="79"/>
      <c r="K65" s="79"/>
      <c r="L65" s="75"/>
      <c r="M65" s="76" t="s">
        <v>39</v>
      </c>
      <c r="N65" s="211" t="s">
        <v>140</v>
      </c>
      <c r="O65" s="212"/>
      <c r="P65" s="71"/>
      <c r="Q65" s="63"/>
      <c r="R65" s="64"/>
    </row>
    <row r="66" spans="1:18" s="65" customFormat="1" ht="36" x14ac:dyDescent="0.55000000000000004">
      <c r="A66" s="81">
        <v>2</v>
      </c>
      <c r="B66" s="82" t="s">
        <v>141</v>
      </c>
      <c r="C66" s="202"/>
      <c r="D66" s="203"/>
      <c r="E66" s="203"/>
      <c r="F66" s="203"/>
      <c r="G66" s="204"/>
      <c r="H66" s="79"/>
      <c r="I66" s="80"/>
      <c r="J66" s="79"/>
      <c r="K66" s="79"/>
      <c r="L66" s="75"/>
      <c r="M66" s="76" t="s">
        <v>40</v>
      </c>
      <c r="N66" s="211" t="s">
        <v>142</v>
      </c>
      <c r="O66" s="212"/>
      <c r="P66" s="71"/>
      <c r="Q66" s="63"/>
      <c r="R66" s="64"/>
    </row>
    <row r="67" spans="1:18" s="65" customFormat="1" ht="82.5" customHeight="1" x14ac:dyDescent="0.55000000000000004">
      <c r="A67" s="77" t="s">
        <v>134</v>
      </c>
      <c r="B67" s="83" t="s">
        <v>180</v>
      </c>
      <c r="C67" s="194"/>
      <c r="D67" s="195"/>
      <c r="E67" s="195"/>
      <c r="F67" s="195"/>
      <c r="G67" s="196"/>
      <c r="H67" s="79">
        <v>2</v>
      </c>
      <c r="I67" s="80"/>
      <c r="J67" s="79"/>
      <c r="K67" s="79"/>
      <c r="L67" s="75"/>
      <c r="M67" s="76" t="s">
        <v>41</v>
      </c>
      <c r="N67" s="211" t="s">
        <v>143</v>
      </c>
      <c r="O67" s="212"/>
      <c r="P67" s="84"/>
      <c r="Q67" s="63"/>
      <c r="R67" s="64"/>
    </row>
    <row r="68" spans="1:18" s="65" customFormat="1" ht="114.75" customHeight="1" x14ac:dyDescent="0.55000000000000004">
      <c r="A68" s="77" t="s">
        <v>136</v>
      </c>
      <c r="B68" s="83" t="s">
        <v>181</v>
      </c>
      <c r="C68" s="194"/>
      <c r="D68" s="195"/>
      <c r="E68" s="195"/>
      <c r="F68" s="195"/>
      <c r="G68" s="196"/>
      <c r="H68" s="79">
        <v>2</v>
      </c>
      <c r="I68" s="80"/>
      <c r="J68" s="79"/>
      <c r="K68" s="79"/>
      <c r="L68" s="75"/>
      <c r="M68" s="71" t="s">
        <v>131</v>
      </c>
      <c r="N68" s="85" t="s">
        <v>144</v>
      </c>
      <c r="O68" s="86"/>
      <c r="P68" s="84"/>
      <c r="Q68" s="63"/>
      <c r="R68" s="64"/>
    </row>
    <row r="69" spans="1:18" s="65" customFormat="1" ht="72" customHeight="1" x14ac:dyDescent="0.55000000000000004">
      <c r="A69" s="77" t="s">
        <v>138</v>
      </c>
      <c r="B69" s="83" t="s">
        <v>182</v>
      </c>
      <c r="C69" s="194"/>
      <c r="D69" s="195"/>
      <c r="E69" s="195"/>
      <c r="F69" s="195"/>
      <c r="G69" s="196"/>
      <c r="H69" s="79">
        <v>2</v>
      </c>
      <c r="I69" s="80"/>
      <c r="J69" s="79"/>
      <c r="K69" s="79"/>
      <c r="L69" s="75"/>
      <c r="M69" s="71" t="s">
        <v>145</v>
      </c>
      <c r="N69" s="85" t="s">
        <v>146</v>
      </c>
      <c r="O69" s="86"/>
      <c r="P69" s="84"/>
      <c r="Q69" s="63"/>
      <c r="R69" s="64"/>
    </row>
    <row r="70" spans="1:18" s="65" customFormat="1" ht="66" customHeight="1" x14ac:dyDescent="0.55000000000000004">
      <c r="A70" s="81">
        <v>3</v>
      </c>
      <c r="B70" s="82" t="s">
        <v>147</v>
      </c>
      <c r="C70" s="202"/>
      <c r="D70" s="203"/>
      <c r="E70" s="203"/>
      <c r="F70" s="203"/>
      <c r="G70" s="204"/>
      <c r="H70" s="79"/>
      <c r="I70" s="80"/>
      <c r="J70" s="79"/>
      <c r="K70" s="79"/>
      <c r="L70" s="75"/>
      <c r="M70" s="71" t="s">
        <v>129</v>
      </c>
      <c r="N70" s="85" t="s">
        <v>148</v>
      </c>
      <c r="O70" s="86"/>
      <c r="P70" s="84"/>
      <c r="Q70" s="63"/>
      <c r="R70" s="64"/>
    </row>
    <row r="71" spans="1:18" s="65" customFormat="1" ht="72" customHeight="1" x14ac:dyDescent="0.55000000000000004">
      <c r="A71" s="77" t="s">
        <v>134</v>
      </c>
      <c r="B71" s="83" t="s">
        <v>149</v>
      </c>
      <c r="C71" s="205"/>
      <c r="D71" s="206"/>
      <c r="E71" s="206"/>
      <c r="F71" s="206"/>
      <c r="G71" s="207"/>
      <c r="H71" s="79">
        <v>2</v>
      </c>
      <c r="I71" s="80"/>
      <c r="J71" s="79"/>
      <c r="K71" s="79"/>
      <c r="L71" s="75"/>
      <c r="M71" s="71" t="s">
        <v>130</v>
      </c>
      <c r="N71" s="85" t="s">
        <v>150</v>
      </c>
      <c r="O71" s="86"/>
      <c r="P71" s="84"/>
      <c r="Q71" s="63"/>
      <c r="R71" s="64"/>
    </row>
    <row r="72" spans="1:18" s="65" customFormat="1" ht="72" customHeight="1" x14ac:dyDescent="0.55000000000000004">
      <c r="A72" s="77" t="s">
        <v>136</v>
      </c>
      <c r="B72" s="83" t="s">
        <v>183</v>
      </c>
      <c r="C72" s="205"/>
      <c r="D72" s="206"/>
      <c r="E72" s="206"/>
      <c r="F72" s="206"/>
      <c r="G72" s="207"/>
      <c r="H72" s="79">
        <v>2</v>
      </c>
      <c r="I72" s="80"/>
      <c r="J72" s="79"/>
      <c r="K72" s="79"/>
      <c r="L72" s="75"/>
      <c r="M72" s="71" t="s">
        <v>151</v>
      </c>
      <c r="N72" s="85" t="s">
        <v>152</v>
      </c>
      <c r="O72" s="86"/>
      <c r="P72" s="84"/>
      <c r="Q72" s="63"/>
      <c r="R72" s="64"/>
    </row>
    <row r="73" spans="1:18" s="65" customFormat="1" ht="44.25" customHeight="1" x14ac:dyDescent="0.55000000000000004">
      <c r="A73" s="77" t="s">
        <v>138</v>
      </c>
      <c r="B73" s="83" t="s">
        <v>184</v>
      </c>
      <c r="C73" s="205"/>
      <c r="D73" s="206"/>
      <c r="E73" s="206"/>
      <c r="F73" s="206"/>
      <c r="G73" s="207"/>
      <c r="H73" s="79">
        <v>2</v>
      </c>
      <c r="I73" s="80"/>
      <c r="J73" s="79"/>
      <c r="K73" s="79"/>
      <c r="L73" s="75"/>
      <c r="M73" s="87"/>
      <c r="N73" s="87"/>
      <c r="O73" s="87"/>
      <c r="P73" s="88"/>
      <c r="Q73" s="63"/>
      <c r="R73" s="64"/>
    </row>
    <row r="74" spans="1:18" s="65" customFormat="1" ht="31.5" customHeight="1" x14ac:dyDescent="0.55000000000000004">
      <c r="A74" s="192" t="s">
        <v>153</v>
      </c>
      <c r="B74" s="193"/>
      <c r="C74" s="193"/>
      <c r="D74" s="193"/>
      <c r="E74" s="193"/>
      <c r="F74" s="193"/>
      <c r="G74" s="193"/>
      <c r="H74" s="89">
        <f>SUM(H63:H73)</f>
        <v>20</v>
      </c>
      <c r="I74" s="89">
        <f>SUM(I63:I73)</f>
        <v>0</v>
      </c>
      <c r="J74" s="89"/>
      <c r="K74" s="90"/>
      <c r="L74" s="75"/>
      <c r="M74" s="87"/>
      <c r="N74" s="87"/>
      <c r="O74" s="87"/>
      <c r="P74" s="88"/>
      <c r="Q74" s="63"/>
      <c r="R74" s="64"/>
    </row>
    <row r="75" spans="1:18" s="65" customFormat="1" ht="36" customHeight="1" x14ac:dyDescent="0.55000000000000004">
      <c r="A75" s="91" t="s">
        <v>134</v>
      </c>
      <c r="B75" s="92" t="s">
        <v>154</v>
      </c>
      <c r="C75" s="194" t="s">
        <v>155</v>
      </c>
      <c r="D75" s="195"/>
      <c r="E75" s="195"/>
      <c r="F75" s="195"/>
      <c r="G75" s="196"/>
      <c r="H75" s="93">
        <v>4</v>
      </c>
      <c r="I75" s="94"/>
      <c r="J75" s="93"/>
      <c r="K75" s="95"/>
      <c r="L75" s="75"/>
      <c r="M75" s="87"/>
      <c r="N75" s="87"/>
      <c r="O75" s="87"/>
      <c r="P75" s="88"/>
      <c r="Q75" s="63"/>
      <c r="R75" s="64"/>
    </row>
    <row r="76" spans="1:18" s="65" customFormat="1" ht="129" customHeight="1" x14ac:dyDescent="0.55000000000000004">
      <c r="A76" s="91" t="s">
        <v>136</v>
      </c>
      <c r="B76" s="92" t="s">
        <v>156</v>
      </c>
      <c r="C76" s="194" t="s">
        <v>157</v>
      </c>
      <c r="D76" s="195"/>
      <c r="E76" s="195"/>
      <c r="F76" s="195"/>
      <c r="G76" s="196"/>
      <c r="H76" s="93">
        <v>3</v>
      </c>
      <c r="I76" s="94"/>
      <c r="J76" s="93"/>
      <c r="K76" s="95"/>
      <c r="L76" s="75"/>
      <c r="M76" s="87"/>
      <c r="N76" s="87"/>
      <c r="O76" s="87"/>
      <c r="P76" s="88"/>
      <c r="Q76" s="63"/>
      <c r="R76" s="64"/>
    </row>
    <row r="77" spans="1:18" s="65" customFormat="1" ht="69" customHeight="1" x14ac:dyDescent="0.55000000000000004">
      <c r="A77" s="91" t="s">
        <v>136</v>
      </c>
      <c r="B77" s="92" t="s">
        <v>158</v>
      </c>
      <c r="C77" s="194" t="s">
        <v>159</v>
      </c>
      <c r="D77" s="195"/>
      <c r="E77" s="195"/>
      <c r="F77" s="195"/>
      <c r="G77" s="196"/>
      <c r="H77" s="93">
        <v>3</v>
      </c>
      <c r="I77" s="94"/>
      <c r="J77" s="93"/>
      <c r="K77" s="95"/>
      <c r="L77" s="75"/>
      <c r="M77" s="87"/>
      <c r="N77" s="87"/>
      <c r="O77" s="87"/>
      <c r="P77" s="88"/>
      <c r="Q77" s="63"/>
      <c r="R77" s="64"/>
    </row>
    <row r="78" spans="1:18" s="65" customFormat="1" ht="46.5" customHeight="1" x14ac:dyDescent="0.55000000000000004">
      <c r="A78" s="96"/>
      <c r="B78" s="197" t="s">
        <v>160</v>
      </c>
      <c r="C78" s="197"/>
      <c r="D78" s="197"/>
      <c r="E78" s="97"/>
      <c r="F78" s="97"/>
      <c r="G78" s="97"/>
      <c r="H78" s="89">
        <f>SUM(H75:H77)</f>
        <v>10</v>
      </c>
      <c r="I78" s="89">
        <f>SUM(I75:I77)</f>
        <v>0</v>
      </c>
      <c r="J78" s="97"/>
      <c r="K78" s="98"/>
      <c r="L78" s="87"/>
      <c r="M78" s="87"/>
      <c r="N78" s="87"/>
      <c r="O78" s="87"/>
      <c r="P78" s="88"/>
      <c r="Q78" s="63"/>
      <c r="R78" s="64"/>
    </row>
    <row r="79" spans="1:18" s="101" customFormat="1" ht="45" customHeight="1" x14ac:dyDescent="0.7">
      <c r="A79" s="99"/>
      <c r="B79" s="198"/>
      <c r="C79" s="100"/>
      <c r="D79" s="100"/>
      <c r="E79" s="100"/>
      <c r="F79" s="201"/>
      <c r="G79" s="201"/>
      <c r="H79" s="201"/>
      <c r="I79" s="201"/>
      <c r="J79" s="201"/>
      <c r="K79" s="100"/>
      <c r="L79" s="100"/>
      <c r="M79" s="100"/>
      <c r="N79" s="100"/>
      <c r="O79" s="183" t="s">
        <v>185</v>
      </c>
      <c r="P79" s="184"/>
      <c r="Q79" s="183" t="s">
        <v>186</v>
      </c>
      <c r="R79" s="185"/>
    </row>
    <row r="80" spans="1:18" s="101" customFormat="1" ht="45" customHeight="1" x14ac:dyDescent="0.7">
      <c r="A80" s="99"/>
      <c r="B80" s="199"/>
      <c r="C80" s="179" t="s">
        <v>187</v>
      </c>
      <c r="D80" s="180"/>
      <c r="E80" s="180"/>
      <c r="F80" s="180"/>
      <c r="G80" s="180"/>
      <c r="H80" s="180"/>
      <c r="I80" s="180"/>
      <c r="J80" s="180"/>
      <c r="K80" s="181"/>
      <c r="L80" s="174"/>
      <c r="M80" s="175"/>
      <c r="N80" s="176"/>
      <c r="O80" s="177">
        <f>R59</f>
        <v>0</v>
      </c>
      <c r="P80" s="178"/>
      <c r="Q80" s="186">
        <f>O83/100 * 20</f>
        <v>0</v>
      </c>
      <c r="R80" s="187"/>
    </row>
    <row r="81" spans="1:18" s="101" customFormat="1" ht="45" customHeight="1" x14ac:dyDescent="0.7">
      <c r="A81" s="99"/>
      <c r="B81" s="199"/>
      <c r="C81" s="180" t="s">
        <v>188</v>
      </c>
      <c r="D81" s="180"/>
      <c r="E81" s="180"/>
      <c r="F81" s="180"/>
      <c r="G81" s="180"/>
      <c r="H81" s="180"/>
      <c r="I81" s="180"/>
      <c r="J81" s="180"/>
      <c r="K81" s="180"/>
      <c r="L81" s="175"/>
      <c r="M81" s="175"/>
      <c r="N81" s="176"/>
      <c r="O81" s="177">
        <f>I74</f>
        <v>0</v>
      </c>
      <c r="P81" s="178"/>
      <c r="Q81" s="188"/>
      <c r="R81" s="189"/>
    </row>
    <row r="82" spans="1:18" s="101" customFormat="1" ht="45" customHeight="1" x14ac:dyDescent="0.7">
      <c r="A82" s="99"/>
      <c r="B82" s="199"/>
      <c r="C82" s="179" t="s">
        <v>189</v>
      </c>
      <c r="D82" s="180"/>
      <c r="E82" s="180"/>
      <c r="F82" s="180"/>
      <c r="G82" s="180"/>
      <c r="H82" s="180"/>
      <c r="I82" s="180"/>
      <c r="J82" s="180"/>
      <c r="K82" s="181"/>
      <c r="L82" s="174"/>
      <c r="M82" s="175"/>
      <c r="N82" s="176"/>
      <c r="O82" s="177">
        <f>I78</f>
        <v>0</v>
      </c>
      <c r="P82" s="178"/>
      <c r="Q82" s="188"/>
      <c r="R82" s="189"/>
    </row>
    <row r="83" spans="1:18" s="101" customFormat="1" ht="45" customHeight="1" x14ac:dyDescent="0.7">
      <c r="A83" s="99"/>
      <c r="B83" s="200"/>
      <c r="C83" s="179" t="s">
        <v>190</v>
      </c>
      <c r="D83" s="180"/>
      <c r="E83" s="180"/>
      <c r="F83" s="180"/>
      <c r="G83" s="180"/>
      <c r="H83" s="180"/>
      <c r="I83" s="180"/>
      <c r="J83" s="180"/>
      <c r="K83" s="181"/>
      <c r="L83" s="174"/>
      <c r="M83" s="175"/>
      <c r="N83" s="176"/>
      <c r="O83" s="177">
        <f>SUM(O80:P82)</f>
        <v>0</v>
      </c>
      <c r="P83" s="178"/>
      <c r="Q83" s="190"/>
      <c r="R83" s="191"/>
    </row>
    <row r="84" spans="1:18" s="101" customFormat="1" ht="64.900000000000006" customHeight="1" x14ac:dyDescent="0.7">
      <c r="A84" s="99"/>
      <c r="B84" s="182" t="s">
        <v>191</v>
      </c>
      <c r="C84" s="182"/>
      <c r="D84" s="182"/>
      <c r="E84" s="182"/>
      <c r="F84" s="182"/>
      <c r="G84" s="182"/>
      <c r="H84" s="102"/>
      <c r="I84" s="102"/>
      <c r="J84" s="102"/>
      <c r="K84" s="102"/>
      <c r="L84" s="102"/>
      <c r="M84" s="102"/>
      <c r="N84" s="102"/>
      <c r="O84" s="102"/>
      <c r="P84" s="102"/>
      <c r="Q84" s="102"/>
      <c r="R84" s="103"/>
    </row>
    <row r="85" spans="1:18" s="101" customFormat="1" ht="64.900000000000006" customHeight="1" x14ac:dyDescent="0.7">
      <c r="A85" s="99"/>
      <c r="B85" s="165" t="s">
        <v>192</v>
      </c>
      <c r="C85" s="165"/>
      <c r="D85" s="165"/>
      <c r="E85" s="165"/>
      <c r="F85" s="165"/>
      <c r="G85" s="165"/>
      <c r="H85" s="165"/>
      <c r="I85" s="165"/>
      <c r="J85" s="165"/>
      <c r="K85" s="165"/>
      <c r="L85" s="165"/>
      <c r="M85" s="165"/>
      <c r="N85" s="165"/>
      <c r="O85" s="165"/>
      <c r="P85" s="165"/>
      <c r="Q85" s="165"/>
      <c r="R85" s="166"/>
    </row>
    <row r="86" spans="1:18" s="101" customFormat="1" ht="48.75" customHeight="1" x14ac:dyDescent="0.7">
      <c r="A86" s="99"/>
      <c r="B86" s="167" t="s">
        <v>193</v>
      </c>
      <c r="C86" s="167"/>
      <c r="D86" s="167"/>
      <c r="E86" s="167"/>
      <c r="F86" s="167"/>
      <c r="G86" s="167"/>
      <c r="H86" s="104"/>
      <c r="I86" s="104"/>
      <c r="J86" s="104"/>
      <c r="K86" s="104"/>
      <c r="L86" s="104"/>
      <c r="M86" s="104"/>
      <c r="N86" s="104"/>
      <c r="O86" s="104"/>
      <c r="P86" s="104"/>
      <c r="Q86" s="104"/>
      <c r="R86" s="105"/>
    </row>
    <row r="87" spans="1:18" s="101" customFormat="1" ht="45.75" x14ac:dyDescent="0.7">
      <c r="A87" s="99"/>
      <c r="B87" s="165"/>
      <c r="C87" s="165"/>
      <c r="D87" s="165"/>
      <c r="E87" s="165"/>
      <c r="F87" s="165"/>
      <c r="G87" s="165"/>
      <c r="H87" s="165"/>
      <c r="I87" s="165"/>
      <c r="J87" s="165"/>
      <c r="K87" s="165"/>
      <c r="L87" s="165"/>
      <c r="M87" s="165"/>
      <c r="N87" s="165"/>
      <c r="O87" s="165"/>
      <c r="P87" s="165"/>
      <c r="Q87" s="165"/>
      <c r="R87" s="166"/>
    </row>
    <row r="88" spans="1:18" s="65" customFormat="1" ht="31.5" customHeight="1" x14ac:dyDescent="0.55000000000000004">
      <c r="A88" s="168" t="s">
        <v>194</v>
      </c>
      <c r="B88" s="152"/>
      <c r="C88" s="144"/>
      <c r="D88" s="145"/>
      <c r="E88" s="148" t="s">
        <v>195</v>
      </c>
      <c r="F88" s="150"/>
      <c r="G88" s="152" t="s">
        <v>196</v>
      </c>
      <c r="H88" s="144"/>
      <c r="I88" s="144"/>
      <c r="J88" s="144"/>
      <c r="K88" s="106"/>
      <c r="L88" s="75"/>
      <c r="M88" s="171"/>
      <c r="N88" s="171"/>
      <c r="O88" s="171"/>
      <c r="P88" s="171"/>
      <c r="Q88" s="171"/>
      <c r="R88" s="64"/>
    </row>
    <row r="89" spans="1:18" s="65" customFormat="1" ht="31.5" customHeight="1" x14ac:dyDescent="0.55000000000000004">
      <c r="A89" s="142"/>
      <c r="B89" s="143"/>
      <c r="C89" s="158"/>
      <c r="D89" s="159"/>
      <c r="E89" s="170"/>
      <c r="F89" s="163"/>
      <c r="G89" s="143"/>
      <c r="H89" s="158"/>
      <c r="I89" s="158"/>
      <c r="J89" s="158"/>
      <c r="K89" s="106"/>
      <c r="L89" s="75"/>
      <c r="M89" s="172"/>
      <c r="N89" s="172"/>
      <c r="O89" s="172"/>
      <c r="P89" s="172"/>
      <c r="Q89" s="172"/>
      <c r="R89" s="64"/>
    </row>
    <row r="90" spans="1:18" s="65" customFormat="1" ht="31.5" customHeight="1" x14ac:dyDescent="0.55000000000000004">
      <c r="A90" s="142"/>
      <c r="B90" s="143"/>
      <c r="C90" s="158"/>
      <c r="D90" s="159"/>
      <c r="E90" s="170"/>
      <c r="F90" s="163"/>
      <c r="G90" s="143"/>
      <c r="H90" s="158"/>
      <c r="I90" s="158"/>
      <c r="J90" s="158"/>
      <c r="K90" s="106"/>
      <c r="L90" s="75"/>
      <c r="M90" s="172"/>
      <c r="N90" s="172"/>
      <c r="O90" s="172"/>
      <c r="P90" s="172"/>
      <c r="Q90" s="172"/>
      <c r="R90" s="64"/>
    </row>
    <row r="91" spans="1:18" s="65" customFormat="1" ht="31.5" customHeight="1" x14ac:dyDescent="0.55000000000000004">
      <c r="A91" s="169"/>
      <c r="B91" s="153"/>
      <c r="C91" s="146"/>
      <c r="D91" s="147"/>
      <c r="E91" s="149"/>
      <c r="F91" s="151"/>
      <c r="G91" s="153"/>
      <c r="H91" s="146"/>
      <c r="I91" s="146"/>
      <c r="J91" s="146"/>
      <c r="K91" s="106"/>
      <c r="L91" s="75"/>
      <c r="M91" s="172"/>
      <c r="N91" s="172"/>
      <c r="O91" s="172"/>
      <c r="P91" s="172"/>
      <c r="Q91" s="172"/>
      <c r="R91" s="64"/>
    </row>
    <row r="92" spans="1:18" s="65" customFormat="1" ht="31.5" customHeight="1" x14ac:dyDescent="0.55000000000000004">
      <c r="A92" s="154" t="s">
        <v>161</v>
      </c>
      <c r="B92" s="155"/>
      <c r="C92" s="144"/>
      <c r="D92" s="145"/>
      <c r="E92" s="160" t="s">
        <v>197</v>
      </c>
      <c r="F92" s="150"/>
      <c r="G92" s="155" t="s">
        <v>197</v>
      </c>
      <c r="H92" s="144"/>
      <c r="I92" s="144"/>
      <c r="J92" s="144"/>
      <c r="K92" s="106"/>
      <c r="L92" s="75"/>
      <c r="M92" s="172"/>
      <c r="N92" s="172"/>
      <c r="O92" s="172"/>
      <c r="P92" s="172"/>
      <c r="Q92" s="172"/>
      <c r="R92" s="64"/>
    </row>
    <row r="93" spans="1:18" s="65" customFormat="1" ht="31.5" customHeight="1" x14ac:dyDescent="0.55000000000000004">
      <c r="A93" s="156"/>
      <c r="B93" s="157"/>
      <c r="C93" s="158"/>
      <c r="D93" s="159"/>
      <c r="E93" s="161"/>
      <c r="F93" s="163"/>
      <c r="G93" s="157"/>
      <c r="H93" s="158"/>
      <c r="I93" s="158"/>
      <c r="J93" s="158"/>
      <c r="K93" s="106"/>
      <c r="L93" s="75"/>
      <c r="M93" s="172"/>
      <c r="N93" s="172"/>
      <c r="O93" s="172"/>
      <c r="P93" s="172"/>
      <c r="Q93" s="172"/>
      <c r="R93" s="64"/>
    </row>
    <row r="94" spans="1:18" s="65" customFormat="1" ht="31.5" customHeight="1" x14ac:dyDescent="0.55000000000000004">
      <c r="A94" s="156"/>
      <c r="B94" s="157"/>
      <c r="C94" s="146"/>
      <c r="D94" s="147"/>
      <c r="E94" s="162"/>
      <c r="F94" s="151"/>
      <c r="G94" s="164"/>
      <c r="H94" s="146"/>
      <c r="I94" s="146"/>
      <c r="J94" s="146"/>
      <c r="K94" s="106"/>
      <c r="L94" s="75"/>
      <c r="M94" s="172"/>
      <c r="N94" s="172"/>
      <c r="O94" s="172"/>
      <c r="P94" s="172"/>
      <c r="Q94" s="172"/>
      <c r="R94" s="64"/>
    </row>
    <row r="95" spans="1:18" s="65" customFormat="1" ht="31.5" customHeight="1" x14ac:dyDescent="0.55000000000000004">
      <c r="A95" s="142" t="s">
        <v>162</v>
      </c>
      <c r="B95" s="143"/>
      <c r="C95" s="144"/>
      <c r="D95" s="145"/>
      <c r="E95" s="148" t="s">
        <v>198</v>
      </c>
      <c r="F95" s="150"/>
      <c r="G95" s="152" t="s">
        <v>198</v>
      </c>
      <c r="H95" s="144"/>
      <c r="I95" s="144"/>
      <c r="J95" s="144"/>
      <c r="K95" s="106"/>
      <c r="L95" s="75"/>
      <c r="M95" s="172"/>
      <c r="N95" s="172"/>
      <c r="O95" s="172"/>
      <c r="P95" s="172"/>
      <c r="Q95" s="172"/>
      <c r="R95" s="64"/>
    </row>
    <row r="96" spans="1:18" s="65" customFormat="1" ht="31.5" customHeight="1" x14ac:dyDescent="0.55000000000000004">
      <c r="A96" s="142"/>
      <c r="B96" s="143"/>
      <c r="C96" s="146"/>
      <c r="D96" s="147"/>
      <c r="E96" s="149"/>
      <c r="F96" s="151"/>
      <c r="G96" s="153"/>
      <c r="H96" s="146"/>
      <c r="I96" s="146"/>
      <c r="J96" s="146"/>
      <c r="K96" s="106"/>
      <c r="L96" s="75"/>
      <c r="M96" s="172"/>
      <c r="N96" s="172"/>
      <c r="O96" s="172"/>
      <c r="P96" s="172"/>
      <c r="Q96" s="172"/>
      <c r="R96" s="64"/>
    </row>
    <row r="97" spans="1:18" s="65" customFormat="1" ht="31.5" customHeight="1" thickBot="1" x14ac:dyDescent="0.6">
      <c r="A97" s="139"/>
      <c r="B97" s="140"/>
      <c r="C97" s="140"/>
      <c r="D97" s="140"/>
      <c r="E97" s="140"/>
      <c r="F97" s="140"/>
      <c r="G97" s="140"/>
      <c r="H97" s="140"/>
      <c r="I97" s="140"/>
      <c r="J97" s="140"/>
      <c r="K97" s="107"/>
      <c r="L97" s="108"/>
      <c r="M97" s="173"/>
      <c r="N97" s="173"/>
      <c r="O97" s="173"/>
      <c r="P97" s="173"/>
      <c r="Q97" s="173"/>
      <c r="R97" s="109"/>
    </row>
  </sheetData>
  <mergeCells count="139">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9:Q59"/>
    <mergeCell ref="A60:G60"/>
    <mergeCell ref="H60:K60"/>
    <mergeCell ref="L60:L61"/>
    <mergeCell ref="C61:G61"/>
    <mergeCell ref="D28:D29"/>
    <mergeCell ref="D30:D31"/>
    <mergeCell ref="D32:D33"/>
    <mergeCell ref="D34:D35"/>
    <mergeCell ref="G17:G18"/>
    <mergeCell ref="H17:H18"/>
    <mergeCell ref="I17:I18"/>
    <mergeCell ref="J17:O17"/>
    <mergeCell ref="P17:P18"/>
    <mergeCell ref="Q17:Q18"/>
    <mergeCell ref="C65:G65"/>
    <mergeCell ref="N65:O65"/>
    <mergeCell ref="C66:G66"/>
    <mergeCell ref="N66:O66"/>
    <mergeCell ref="C67:G67"/>
    <mergeCell ref="N67:O67"/>
    <mergeCell ref="C62:G62"/>
    <mergeCell ref="N62:O62"/>
    <mergeCell ref="C63:G63"/>
    <mergeCell ref="N63:O63"/>
    <mergeCell ref="C64:G64"/>
    <mergeCell ref="N64:O64"/>
    <mergeCell ref="A74:G74"/>
    <mergeCell ref="C75:G75"/>
    <mergeCell ref="C76:G76"/>
    <mergeCell ref="C77:G77"/>
    <mergeCell ref="B78:D78"/>
    <mergeCell ref="B79:B83"/>
    <mergeCell ref="F79:J79"/>
    <mergeCell ref="C68:G68"/>
    <mergeCell ref="C69:G69"/>
    <mergeCell ref="C70:G70"/>
    <mergeCell ref="C71:G71"/>
    <mergeCell ref="C72:G72"/>
    <mergeCell ref="C73:G73"/>
    <mergeCell ref="O79:P79"/>
    <mergeCell ref="Q79:R79"/>
    <mergeCell ref="C80:K80"/>
    <mergeCell ref="L80:N80"/>
    <mergeCell ref="O80:P80"/>
    <mergeCell ref="Q80:R83"/>
    <mergeCell ref="C81:K81"/>
    <mergeCell ref="L81:N81"/>
    <mergeCell ref="O81:P81"/>
    <mergeCell ref="C82:K82"/>
    <mergeCell ref="A88:B91"/>
    <mergeCell ref="C88:D91"/>
    <mergeCell ref="E88:E91"/>
    <mergeCell ref="F88:F91"/>
    <mergeCell ref="G88:G91"/>
    <mergeCell ref="H88:J91"/>
    <mergeCell ref="M88:Q97"/>
    <mergeCell ref="L82:N82"/>
    <mergeCell ref="O82:P82"/>
    <mergeCell ref="C83:K83"/>
    <mergeCell ref="L83:N83"/>
    <mergeCell ref="O83:P83"/>
    <mergeCell ref="B84:G84"/>
    <mergeCell ref="A19:A24"/>
    <mergeCell ref="B19:B24"/>
    <mergeCell ref="C19:C24"/>
    <mergeCell ref="D19:D21"/>
    <mergeCell ref="D22:D24"/>
    <mergeCell ref="A25:A35"/>
    <mergeCell ref="B25:B35"/>
    <mergeCell ref="C25:C35"/>
    <mergeCell ref="D25:D27"/>
    <mergeCell ref="A36:A45"/>
    <mergeCell ref="B36:B45"/>
    <mergeCell ref="C36:C45"/>
    <mergeCell ref="D36:D37"/>
    <mergeCell ref="D38:D39"/>
    <mergeCell ref="D40:D41"/>
    <mergeCell ref="D42:D43"/>
    <mergeCell ref="D44:D45"/>
    <mergeCell ref="A97:J97"/>
    <mergeCell ref="A95:B96"/>
    <mergeCell ref="C95:D96"/>
    <mergeCell ref="E95:E96"/>
    <mergeCell ref="F95:F96"/>
    <mergeCell ref="G95:G96"/>
    <mergeCell ref="H95:J96"/>
    <mergeCell ref="A92:B94"/>
    <mergeCell ref="C92:D94"/>
    <mergeCell ref="E92:E94"/>
    <mergeCell ref="F92:F94"/>
    <mergeCell ref="G92:G94"/>
    <mergeCell ref="H92:J94"/>
    <mergeCell ref="B85:R85"/>
    <mergeCell ref="B86:G86"/>
    <mergeCell ref="B87:R87"/>
    <mergeCell ref="A53:A54"/>
    <mergeCell ref="B53:B54"/>
    <mergeCell ref="C53:C54"/>
    <mergeCell ref="D53:D54"/>
    <mergeCell ref="A56:A57"/>
    <mergeCell ref="B56:B57"/>
    <mergeCell ref="C56:C57"/>
    <mergeCell ref="A46:A48"/>
    <mergeCell ref="B46:B48"/>
    <mergeCell ref="C46:C48"/>
    <mergeCell ref="D46:D48"/>
    <mergeCell ref="A50:A52"/>
    <mergeCell ref="B50:B52"/>
    <mergeCell ref="C50:C52"/>
    <mergeCell ref="D50:D52"/>
  </mergeCells>
  <hyperlinks>
    <hyperlink ref="E8" r:id="rId1" display="jakinbodewa@gmail.com" xr:uid="{82429A90-3E06-42AD-97EF-A0E57B10A382}"/>
  </hyperlinks>
  <pageMargins left="0.7" right="0.7" top="0.75" bottom="0.75" header="0.3" footer="0.3"/>
  <pageSetup scale="1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1101F-3296-4465-9DF3-EC514EE757DF}">
  <sheetPr>
    <pageSetUpPr fitToPage="1"/>
  </sheetPr>
  <dimension ref="A1:R97"/>
  <sheetViews>
    <sheetView topLeftCell="H5" zoomScale="30" zoomScaleNormal="30" workbookViewId="0">
      <selection activeCell="F19" sqref="F19:F57"/>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58" t="s">
        <v>163</v>
      </c>
      <c r="B1" s="259"/>
      <c r="C1" s="259"/>
      <c r="D1" s="259"/>
      <c r="E1" s="259"/>
      <c r="F1" s="259"/>
      <c r="G1" s="259"/>
      <c r="H1" s="259"/>
      <c r="I1" s="259"/>
      <c r="J1" s="259"/>
      <c r="K1" s="259"/>
      <c r="L1" s="259"/>
      <c r="M1" s="259"/>
      <c r="N1" s="259"/>
      <c r="O1" s="259"/>
      <c r="P1" s="259"/>
      <c r="Q1" s="259"/>
      <c r="R1" s="260"/>
    </row>
    <row r="2" spans="1:18" ht="31.5" customHeight="1" x14ac:dyDescent="0.25">
      <c r="A2" s="261"/>
      <c r="B2" s="262"/>
      <c r="C2" s="262"/>
      <c r="D2" s="262"/>
      <c r="E2" s="262"/>
      <c r="F2" s="262"/>
      <c r="G2" s="262"/>
      <c r="H2" s="262"/>
      <c r="I2" s="262"/>
      <c r="J2" s="262"/>
      <c r="K2" s="262"/>
      <c r="L2" s="262"/>
      <c r="M2" s="262"/>
      <c r="N2" s="262"/>
      <c r="O2" s="262"/>
      <c r="P2" s="262"/>
      <c r="Q2" s="262"/>
      <c r="R2" s="263"/>
    </row>
    <row r="3" spans="1:18" ht="31.5" customHeight="1" thickBot="1" x14ac:dyDescent="0.3">
      <c r="A3" s="261"/>
      <c r="B3" s="262"/>
      <c r="C3" s="262"/>
      <c r="D3" s="262"/>
      <c r="E3" s="262"/>
      <c r="F3" s="262"/>
      <c r="G3" s="262"/>
      <c r="H3" s="262"/>
      <c r="I3" s="262"/>
      <c r="J3" s="262"/>
      <c r="K3" s="262"/>
      <c r="L3" s="262"/>
      <c r="M3" s="262"/>
      <c r="N3" s="262"/>
      <c r="O3" s="262"/>
      <c r="P3" s="262"/>
      <c r="Q3" s="262"/>
      <c r="R3" s="263"/>
    </row>
    <row r="4" spans="1:18" s="2" customFormat="1" ht="45.75" x14ac:dyDescent="0.25">
      <c r="A4" s="264" t="s">
        <v>0</v>
      </c>
      <c r="B4" s="265"/>
      <c r="C4" s="265"/>
      <c r="D4" s="265"/>
      <c r="E4" s="265"/>
      <c r="F4" s="265"/>
      <c r="G4" s="265"/>
      <c r="H4" s="265"/>
      <c r="I4" s="265"/>
      <c r="J4" s="265"/>
      <c r="K4" s="266"/>
      <c r="L4" s="267"/>
      <c r="M4" s="267"/>
      <c r="N4" s="267"/>
      <c r="O4" s="267"/>
      <c r="P4" s="267"/>
      <c r="Q4" s="267"/>
      <c r="R4" s="268"/>
    </row>
    <row r="5" spans="1:18" s="9" customFormat="1" ht="32.25" x14ac:dyDescent="0.5">
      <c r="A5" s="3" t="s">
        <v>1</v>
      </c>
      <c r="B5" s="4" t="s">
        <v>199</v>
      </c>
      <c r="C5" s="5" t="s">
        <v>2</v>
      </c>
      <c r="D5" s="6" t="s">
        <v>200</v>
      </c>
      <c r="E5" s="275"/>
      <c r="F5" s="275"/>
      <c r="G5" s="275"/>
      <c r="H5" s="275"/>
      <c r="I5" s="7"/>
      <c r="J5" s="8"/>
      <c r="K5" s="269"/>
      <c r="L5" s="270"/>
      <c r="M5" s="270"/>
      <c r="N5" s="270"/>
      <c r="O5" s="270"/>
      <c r="P5" s="270"/>
      <c r="Q5" s="270"/>
      <c r="R5" s="271"/>
    </row>
    <row r="6" spans="1:18" s="12" customFormat="1" ht="38.25" customHeight="1" x14ac:dyDescent="0.55000000000000004">
      <c r="A6" s="276" t="s">
        <v>3</v>
      </c>
      <c r="B6" s="277"/>
      <c r="C6" s="277"/>
      <c r="D6" s="277"/>
      <c r="E6" s="277"/>
      <c r="F6" s="277"/>
      <c r="G6" s="277"/>
      <c r="H6" s="277"/>
      <c r="I6" s="10"/>
      <c r="J6" s="11"/>
      <c r="K6" s="269"/>
      <c r="L6" s="270"/>
      <c r="M6" s="270"/>
      <c r="N6" s="270"/>
      <c r="O6" s="270"/>
      <c r="P6" s="270"/>
      <c r="Q6" s="270"/>
      <c r="R6" s="271"/>
    </row>
    <row r="7" spans="1:18" s="14" customFormat="1" ht="39" x14ac:dyDescent="0.6">
      <c r="A7" s="278" t="s">
        <v>4</v>
      </c>
      <c r="B7" s="278"/>
      <c r="C7" s="113" t="s">
        <v>5</v>
      </c>
      <c r="D7" s="114" t="s">
        <v>6</v>
      </c>
      <c r="E7" s="113" t="s">
        <v>7</v>
      </c>
      <c r="F7" s="114" t="s">
        <v>8</v>
      </c>
      <c r="G7" s="113" t="s">
        <v>9</v>
      </c>
      <c r="H7" s="114" t="s">
        <v>10</v>
      </c>
      <c r="I7" s="279" t="s">
        <v>11</v>
      </c>
      <c r="J7" s="279"/>
      <c r="K7" s="269"/>
      <c r="L7" s="270"/>
      <c r="M7" s="270"/>
      <c r="N7" s="270"/>
      <c r="O7" s="270"/>
      <c r="P7" s="270"/>
      <c r="Q7" s="270"/>
      <c r="R7" s="271"/>
    </row>
    <row r="8" spans="1:18" s="14" customFormat="1" ht="39" x14ac:dyDescent="0.6">
      <c r="A8" s="280" t="s">
        <v>12</v>
      </c>
      <c r="B8" s="280"/>
      <c r="C8" s="113">
        <v>88721</v>
      </c>
      <c r="D8" s="114" t="s">
        <v>13</v>
      </c>
      <c r="E8" s="115" t="s">
        <v>14</v>
      </c>
      <c r="F8" s="114" t="s">
        <v>15</v>
      </c>
      <c r="G8" s="113"/>
      <c r="H8" s="114" t="s">
        <v>16</v>
      </c>
      <c r="I8" s="279" t="s">
        <v>17</v>
      </c>
      <c r="J8" s="279"/>
      <c r="K8" s="269"/>
      <c r="L8" s="270"/>
      <c r="M8" s="270"/>
      <c r="N8" s="270"/>
      <c r="O8" s="270"/>
      <c r="P8" s="270"/>
      <c r="Q8" s="270"/>
      <c r="R8" s="271"/>
    </row>
    <row r="9" spans="1:18" s="14" customFormat="1" ht="62.25" customHeight="1" x14ac:dyDescent="0.6">
      <c r="A9" s="254" t="s">
        <v>18</v>
      </c>
      <c r="B9" s="254"/>
      <c r="C9" s="254"/>
      <c r="D9" s="254"/>
      <c r="E9" s="254"/>
      <c r="F9" s="254"/>
      <c r="G9" s="254"/>
      <c r="H9" s="254"/>
      <c r="I9" s="254"/>
      <c r="J9" s="13"/>
      <c r="K9" s="269"/>
      <c r="L9" s="270"/>
      <c r="M9" s="270"/>
      <c r="N9" s="270"/>
      <c r="O9" s="270"/>
      <c r="P9" s="270"/>
      <c r="Q9" s="270"/>
      <c r="R9" s="271"/>
    </row>
    <row r="10" spans="1:18" s="19" customFormat="1" ht="39" x14ac:dyDescent="0.6">
      <c r="A10" s="246" t="s">
        <v>4</v>
      </c>
      <c r="B10" s="247"/>
      <c r="C10" s="15" t="s">
        <v>19</v>
      </c>
      <c r="D10" s="16" t="s">
        <v>6</v>
      </c>
      <c r="E10" s="15" t="s">
        <v>20</v>
      </c>
      <c r="F10" s="17" t="s">
        <v>8</v>
      </c>
      <c r="G10" s="18" t="s">
        <v>21</v>
      </c>
      <c r="H10" s="16" t="s">
        <v>10</v>
      </c>
      <c r="I10" s="248" t="s">
        <v>22</v>
      </c>
      <c r="J10" s="249"/>
      <c r="K10" s="269"/>
      <c r="L10" s="270"/>
      <c r="M10" s="270"/>
      <c r="N10" s="270"/>
      <c r="O10" s="270"/>
      <c r="P10" s="270"/>
      <c r="Q10" s="270"/>
      <c r="R10" s="271"/>
    </row>
    <row r="11" spans="1:18" s="19" customFormat="1" ht="39.75" x14ac:dyDescent="0.6">
      <c r="A11" s="250" t="s">
        <v>12</v>
      </c>
      <c r="B11" s="251"/>
      <c r="C11" s="20">
        <v>60529</v>
      </c>
      <c r="D11" s="21" t="s">
        <v>13</v>
      </c>
      <c r="E11" s="116" t="s">
        <v>23</v>
      </c>
      <c r="F11" s="22" t="s">
        <v>15</v>
      </c>
      <c r="G11" s="117"/>
      <c r="H11" s="21" t="s">
        <v>16</v>
      </c>
      <c r="I11" s="252" t="s">
        <v>24</v>
      </c>
      <c r="J11" s="253"/>
      <c r="K11" s="269"/>
      <c r="L11" s="270"/>
      <c r="M11" s="270"/>
      <c r="N11" s="270"/>
      <c r="O11" s="270"/>
      <c r="P11" s="270"/>
      <c r="Q11" s="270"/>
      <c r="R11" s="271"/>
    </row>
    <row r="12" spans="1:18" s="14" customFormat="1" ht="39" x14ac:dyDescent="0.6">
      <c r="A12" s="254" t="s">
        <v>25</v>
      </c>
      <c r="B12" s="254"/>
      <c r="C12" s="254"/>
      <c r="D12" s="254"/>
      <c r="E12" s="254"/>
      <c r="F12" s="254"/>
      <c r="G12" s="254"/>
      <c r="H12" s="254"/>
      <c r="I12" s="254"/>
      <c r="J12" s="13"/>
      <c r="K12" s="269"/>
      <c r="L12" s="270"/>
      <c r="M12" s="270"/>
      <c r="N12" s="270"/>
      <c r="O12" s="270"/>
      <c r="P12" s="270"/>
      <c r="Q12" s="270"/>
      <c r="R12" s="271"/>
    </row>
    <row r="13" spans="1:18" s="19" customFormat="1" ht="56.25" customHeight="1" x14ac:dyDescent="0.6">
      <c r="A13" s="255" t="s">
        <v>4</v>
      </c>
      <c r="B13" s="255"/>
      <c r="C13" s="15"/>
      <c r="D13" s="16" t="s">
        <v>6</v>
      </c>
      <c r="E13" s="15"/>
      <c r="F13" s="17" t="s">
        <v>8</v>
      </c>
      <c r="G13" s="18"/>
      <c r="H13" s="16" t="s">
        <v>10</v>
      </c>
      <c r="I13" s="256"/>
      <c r="J13" s="257"/>
      <c r="K13" s="269"/>
      <c r="L13" s="270"/>
      <c r="M13" s="270"/>
      <c r="N13" s="270"/>
      <c r="O13" s="270"/>
      <c r="P13" s="270"/>
      <c r="Q13" s="270"/>
      <c r="R13" s="271"/>
    </row>
    <row r="14" spans="1:18" s="19" customFormat="1" ht="57" customHeight="1" x14ac:dyDescent="0.6">
      <c r="A14" s="235" t="s">
        <v>12</v>
      </c>
      <c r="B14" s="235"/>
      <c r="C14" s="20"/>
      <c r="D14" s="21" t="s">
        <v>13</v>
      </c>
      <c r="E14" s="118"/>
      <c r="F14" s="22" t="s">
        <v>15</v>
      </c>
      <c r="G14" s="117"/>
      <c r="H14" s="21" t="s">
        <v>16</v>
      </c>
      <c r="I14" s="236"/>
      <c r="J14" s="237"/>
      <c r="K14" s="269"/>
      <c r="L14" s="270"/>
      <c r="M14" s="270"/>
      <c r="N14" s="270"/>
      <c r="O14" s="270"/>
      <c r="P14" s="270"/>
      <c r="Q14" s="270"/>
      <c r="R14" s="271"/>
    </row>
    <row r="15" spans="1:18" s="24" customFormat="1" ht="20.25" customHeight="1" thickBot="1" x14ac:dyDescent="0.75">
      <c r="A15" s="238"/>
      <c r="B15" s="239"/>
      <c r="C15" s="239"/>
      <c r="D15" s="239"/>
      <c r="E15" s="239"/>
      <c r="F15" s="239"/>
      <c r="G15" s="239"/>
      <c r="H15" s="239"/>
      <c r="I15" s="239"/>
      <c r="J15" s="23"/>
      <c r="K15" s="272"/>
      <c r="L15" s="273"/>
      <c r="M15" s="273"/>
      <c r="N15" s="273"/>
      <c r="O15" s="273"/>
      <c r="P15" s="273"/>
      <c r="Q15" s="273"/>
      <c r="R15" s="274"/>
    </row>
    <row r="16" spans="1:18" s="24" customFormat="1" ht="47.25" x14ac:dyDescent="0.7">
      <c r="A16" s="240" t="s">
        <v>26</v>
      </c>
      <c r="B16" s="241"/>
      <c r="C16" s="241"/>
      <c r="D16" s="241"/>
      <c r="E16" s="241"/>
      <c r="F16" s="241"/>
      <c r="G16" s="241"/>
      <c r="H16" s="241"/>
      <c r="I16" s="241"/>
      <c r="J16" s="25"/>
      <c r="K16" s="26"/>
      <c r="L16" s="27"/>
      <c r="M16" s="27"/>
      <c r="N16" s="27"/>
      <c r="O16" s="27"/>
      <c r="P16" s="28"/>
      <c r="Q16" s="28"/>
      <c r="R16" s="29"/>
    </row>
    <row r="17" spans="1:18" s="30" customFormat="1" ht="31.5" customHeight="1" x14ac:dyDescent="0.25">
      <c r="A17" s="242" t="s">
        <v>27</v>
      </c>
      <c r="B17" s="244" t="s">
        <v>28</v>
      </c>
      <c r="C17" s="245" t="s">
        <v>29</v>
      </c>
      <c r="D17" s="245" t="s">
        <v>30</v>
      </c>
      <c r="E17" s="245" t="s">
        <v>29</v>
      </c>
      <c r="F17" s="228" t="s">
        <v>31</v>
      </c>
      <c r="G17" s="228" t="s">
        <v>32</v>
      </c>
      <c r="H17" s="230" t="s">
        <v>33</v>
      </c>
      <c r="I17" s="228" t="s">
        <v>34</v>
      </c>
      <c r="J17" s="232" t="s">
        <v>35</v>
      </c>
      <c r="K17" s="233"/>
      <c r="L17" s="233"/>
      <c r="M17" s="233"/>
      <c r="N17" s="233"/>
      <c r="O17" s="234"/>
      <c r="P17" s="225" t="s">
        <v>166</v>
      </c>
      <c r="Q17" s="225" t="s">
        <v>167</v>
      </c>
      <c r="R17" s="216" t="s">
        <v>168</v>
      </c>
    </row>
    <row r="18" spans="1:18" s="30" customFormat="1" ht="36" x14ac:dyDescent="0.25">
      <c r="A18" s="243"/>
      <c r="B18" s="244"/>
      <c r="C18" s="244"/>
      <c r="D18" s="244"/>
      <c r="E18" s="244"/>
      <c r="F18" s="229"/>
      <c r="G18" s="229"/>
      <c r="H18" s="231"/>
      <c r="I18" s="229"/>
      <c r="J18" s="31" t="s">
        <v>169</v>
      </c>
      <c r="K18" s="32" t="s">
        <v>170</v>
      </c>
      <c r="L18" s="32" t="s">
        <v>171</v>
      </c>
      <c r="M18" s="31" t="s">
        <v>172</v>
      </c>
      <c r="N18" s="31" t="s">
        <v>173</v>
      </c>
      <c r="O18" s="31" t="s">
        <v>174</v>
      </c>
      <c r="P18" s="226"/>
      <c r="Q18" s="226"/>
      <c r="R18" s="217"/>
    </row>
    <row r="19" spans="1:18" s="42" customFormat="1" ht="147" customHeight="1" x14ac:dyDescent="0.25">
      <c r="A19" s="124">
        <v>1</v>
      </c>
      <c r="B19" s="125" t="s">
        <v>42</v>
      </c>
      <c r="C19" s="141">
        <f>SUM(E19:E24)</f>
        <v>2.2666666666666666</v>
      </c>
      <c r="D19" s="130" t="s">
        <v>43</v>
      </c>
      <c r="E19" s="33">
        <v>6.6666666666666666E-2</v>
      </c>
      <c r="F19" s="33">
        <f>E19/$E$58* 100</f>
        <v>0.35469977197871805</v>
      </c>
      <c r="G19" s="34" t="s">
        <v>44</v>
      </c>
      <c r="H19" s="35">
        <v>1</v>
      </c>
      <c r="I19" s="36" t="s">
        <v>45</v>
      </c>
      <c r="J19" s="37">
        <v>100</v>
      </c>
      <c r="K19" s="38">
        <v>95</v>
      </c>
      <c r="L19" s="38">
        <v>90</v>
      </c>
      <c r="M19" s="38">
        <v>85</v>
      </c>
      <c r="N19" s="38">
        <v>80</v>
      </c>
      <c r="O19" s="38" t="s">
        <v>46</v>
      </c>
      <c r="P19" s="39"/>
      <c r="Q19" s="40">
        <f t="shared" ref="Q19" si="0">IF(OR(TRIM(P19)="",P19=0),0,
IF(P19&lt;N19,50,
IF(P19&lt;M19,60,
IF(P19&lt;L19,70,
IF(P19&lt;K19,80,
IF(ISNUMBER(J19),
    IF(P19&lt;J19,IF(P19&gt;=K19,90,80),100),
    IF(P19=K19,90,100)
))))))</f>
        <v>0</v>
      </c>
      <c r="R19" s="41">
        <f t="shared" ref="R19" si="1">F19*Q19/100</f>
        <v>0</v>
      </c>
    </row>
    <row r="20" spans="1:18" s="42" customFormat="1" ht="147" customHeight="1" x14ac:dyDescent="0.25">
      <c r="A20" s="124"/>
      <c r="B20" s="125"/>
      <c r="C20" s="141"/>
      <c r="D20" s="131"/>
      <c r="E20" s="33">
        <v>6.6666666666666666E-2</v>
      </c>
      <c r="F20" s="33">
        <f t="shared" ref="F20:F57" si="2">E20/$E$58* 100</f>
        <v>0.35469977197871805</v>
      </c>
      <c r="G20" s="34" t="s">
        <v>47</v>
      </c>
      <c r="H20" s="35">
        <v>1</v>
      </c>
      <c r="I20" s="36" t="s">
        <v>45</v>
      </c>
      <c r="J20" s="37">
        <v>100</v>
      </c>
      <c r="K20" s="38">
        <v>95</v>
      </c>
      <c r="L20" s="38">
        <v>90</v>
      </c>
      <c r="M20" s="38">
        <v>85</v>
      </c>
      <c r="N20" s="38">
        <v>80</v>
      </c>
      <c r="O20" s="38" t="s">
        <v>46</v>
      </c>
      <c r="P20" s="39"/>
      <c r="Q20" s="40">
        <f t="shared" ref="Q20:Q21" si="3">IF(OR(TRIM(P20)="",P20=0),0,
IF(P20&lt;N20,50,
IF(P20&lt;M20,60,
IF(P20&lt;L20,70,
IF(P20&lt;K20,80,
IF(ISNUMBER(J20),
    IF(P20&lt;J20,IF(P20&gt;=K20,90,80),100),
    IF(P20=K20,90,100)
))))))</f>
        <v>0</v>
      </c>
      <c r="R20" s="41">
        <f t="shared" ref="R20:R21" si="4">F20*Q20/100</f>
        <v>0</v>
      </c>
    </row>
    <row r="21" spans="1:18" s="42" customFormat="1" ht="147" customHeight="1" x14ac:dyDescent="0.25">
      <c r="A21" s="124"/>
      <c r="B21" s="125"/>
      <c r="C21" s="141"/>
      <c r="D21" s="132"/>
      <c r="E21" s="33">
        <v>0.13333333333333333</v>
      </c>
      <c r="F21" s="33">
        <f t="shared" si="2"/>
        <v>0.7093995439574361</v>
      </c>
      <c r="G21" s="34" t="s">
        <v>48</v>
      </c>
      <c r="H21" s="35">
        <v>1</v>
      </c>
      <c r="I21" s="36" t="s">
        <v>45</v>
      </c>
      <c r="J21" s="37">
        <v>100</v>
      </c>
      <c r="K21" s="38">
        <v>95</v>
      </c>
      <c r="L21" s="38">
        <v>90</v>
      </c>
      <c r="M21" s="38">
        <v>85</v>
      </c>
      <c r="N21" s="38">
        <v>80</v>
      </c>
      <c r="O21" s="38" t="s">
        <v>46</v>
      </c>
      <c r="P21" s="39"/>
      <c r="Q21" s="40">
        <f t="shared" si="3"/>
        <v>0</v>
      </c>
      <c r="R21" s="41">
        <f t="shared" si="4"/>
        <v>0</v>
      </c>
    </row>
    <row r="22" spans="1:18" s="42" customFormat="1" ht="147" customHeight="1" x14ac:dyDescent="0.25">
      <c r="A22" s="124"/>
      <c r="B22" s="125"/>
      <c r="C22" s="141"/>
      <c r="D22" s="125" t="s">
        <v>49</v>
      </c>
      <c r="E22" s="33">
        <v>1</v>
      </c>
      <c r="F22" s="33">
        <f t="shared" si="2"/>
        <v>5.3204965796807704</v>
      </c>
      <c r="G22" s="34" t="s">
        <v>50</v>
      </c>
      <c r="H22" s="35">
        <v>0.5</v>
      </c>
      <c r="I22" s="36" t="s">
        <v>45</v>
      </c>
      <c r="J22" s="37" t="s">
        <v>51</v>
      </c>
      <c r="K22" s="38">
        <v>50</v>
      </c>
      <c r="L22" s="38">
        <v>45</v>
      </c>
      <c r="M22" s="38">
        <v>40</v>
      </c>
      <c r="N22" s="38">
        <v>25</v>
      </c>
      <c r="O22" s="38" t="s">
        <v>52</v>
      </c>
      <c r="P22" s="39"/>
      <c r="Q22" s="40">
        <f t="shared" ref="Q22:Q57" si="5">IF(OR(TRIM(P22)="",P22=0),0,
IF(P22&lt;N22,50,
IF(P22&lt;M22,60,
IF(P22&lt;L22,70,
IF(P22&lt;K22,80,
IF(ISNUMBER(J22),
    IF(P22&lt;J22,IF(P22&gt;=K22,90,80),100),
    IF(P22=K22,90,100)
))))))</f>
        <v>0</v>
      </c>
      <c r="R22" s="41">
        <f t="shared" ref="R22:R57" si="6">F22*Q22/100</f>
        <v>0</v>
      </c>
    </row>
    <row r="23" spans="1:18" s="42" customFormat="1" ht="147" customHeight="1" x14ac:dyDescent="0.25">
      <c r="A23" s="124"/>
      <c r="B23" s="125"/>
      <c r="C23" s="141"/>
      <c r="D23" s="125"/>
      <c r="E23" s="33">
        <v>0.5</v>
      </c>
      <c r="F23" s="33">
        <f t="shared" si="2"/>
        <v>2.6602482898403852</v>
      </c>
      <c r="G23" s="34" t="s">
        <v>53</v>
      </c>
      <c r="H23" s="35">
        <v>0.5</v>
      </c>
      <c r="I23" s="36" t="s">
        <v>45</v>
      </c>
      <c r="J23" s="37" t="s">
        <v>51</v>
      </c>
      <c r="K23" s="38">
        <v>50</v>
      </c>
      <c r="L23" s="38">
        <v>45</v>
      </c>
      <c r="M23" s="38">
        <v>40</v>
      </c>
      <c r="N23" s="38">
        <v>25</v>
      </c>
      <c r="O23" s="38" t="s">
        <v>52</v>
      </c>
      <c r="P23" s="39"/>
      <c r="Q23" s="40">
        <f t="shared" si="5"/>
        <v>0</v>
      </c>
      <c r="R23" s="41">
        <f t="shared" si="6"/>
        <v>0</v>
      </c>
    </row>
    <row r="24" spans="1:18" s="42" customFormat="1" ht="147" customHeight="1" x14ac:dyDescent="0.25">
      <c r="A24" s="124"/>
      <c r="B24" s="125"/>
      <c r="C24" s="141"/>
      <c r="D24" s="125"/>
      <c r="E24" s="33">
        <v>0.5</v>
      </c>
      <c r="F24" s="33">
        <f t="shared" si="2"/>
        <v>2.6602482898403852</v>
      </c>
      <c r="G24" s="34" t="s">
        <v>54</v>
      </c>
      <c r="H24" s="35">
        <v>0.75</v>
      </c>
      <c r="I24" s="36" t="s">
        <v>45</v>
      </c>
      <c r="J24" s="37" t="s">
        <v>55</v>
      </c>
      <c r="K24" s="38">
        <v>75</v>
      </c>
      <c r="L24" s="38">
        <v>70</v>
      </c>
      <c r="M24" s="38">
        <v>60</v>
      </c>
      <c r="N24" s="38">
        <v>50</v>
      </c>
      <c r="O24" s="38" t="s">
        <v>56</v>
      </c>
      <c r="P24" s="39"/>
      <c r="Q24" s="40">
        <f t="shared" si="5"/>
        <v>0</v>
      </c>
      <c r="R24" s="41">
        <f t="shared" si="6"/>
        <v>0</v>
      </c>
    </row>
    <row r="25" spans="1:18" s="42" customFormat="1" ht="147" customHeight="1" x14ac:dyDescent="0.25">
      <c r="A25" s="127">
        <v>2</v>
      </c>
      <c r="B25" s="130" t="s">
        <v>57</v>
      </c>
      <c r="C25" s="136">
        <f>SUM(E25:E35)</f>
        <v>5</v>
      </c>
      <c r="D25" s="130" t="s">
        <v>58</v>
      </c>
      <c r="E25" s="33">
        <v>0.3</v>
      </c>
      <c r="F25" s="33">
        <f t="shared" si="2"/>
        <v>1.5961489739042312</v>
      </c>
      <c r="G25" s="34" t="s">
        <v>59</v>
      </c>
      <c r="H25" s="44">
        <v>1</v>
      </c>
      <c r="I25" s="36" t="s">
        <v>45</v>
      </c>
      <c r="J25" s="37">
        <v>100</v>
      </c>
      <c r="K25" s="38">
        <v>95</v>
      </c>
      <c r="L25" s="38">
        <v>90</v>
      </c>
      <c r="M25" s="38">
        <v>85</v>
      </c>
      <c r="N25" s="38">
        <v>80</v>
      </c>
      <c r="O25" s="38" t="s">
        <v>46</v>
      </c>
      <c r="P25" s="39"/>
      <c r="Q25" s="40">
        <f t="shared" si="5"/>
        <v>0</v>
      </c>
      <c r="R25" s="41">
        <f t="shared" si="6"/>
        <v>0</v>
      </c>
    </row>
    <row r="26" spans="1:18" s="42" customFormat="1" ht="147" customHeight="1" x14ac:dyDescent="0.25">
      <c r="A26" s="128"/>
      <c r="B26" s="131"/>
      <c r="C26" s="137"/>
      <c r="D26" s="131"/>
      <c r="E26" s="33">
        <v>0.3</v>
      </c>
      <c r="F26" s="33">
        <f t="shared" si="2"/>
        <v>1.5961489739042312</v>
      </c>
      <c r="G26" s="34" t="s">
        <v>60</v>
      </c>
      <c r="H26" s="44">
        <v>0.8</v>
      </c>
      <c r="I26" s="43" t="s">
        <v>45</v>
      </c>
      <c r="J26" s="37" t="s">
        <v>61</v>
      </c>
      <c r="K26" s="38">
        <v>80</v>
      </c>
      <c r="L26" s="38">
        <v>75</v>
      </c>
      <c r="M26" s="38">
        <v>70</v>
      </c>
      <c r="N26" s="38">
        <v>50</v>
      </c>
      <c r="O26" s="38" t="s">
        <v>56</v>
      </c>
      <c r="P26" s="39"/>
      <c r="Q26" s="40">
        <f t="shared" si="5"/>
        <v>0</v>
      </c>
      <c r="R26" s="41">
        <f t="shared" si="6"/>
        <v>0</v>
      </c>
    </row>
    <row r="27" spans="1:18" s="42" customFormat="1" ht="147" customHeight="1" x14ac:dyDescent="0.25">
      <c r="A27" s="128"/>
      <c r="B27" s="131"/>
      <c r="C27" s="137"/>
      <c r="D27" s="132"/>
      <c r="E27" s="33">
        <v>0.4</v>
      </c>
      <c r="F27" s="33">
        <f t="shared" si="2"/>
        <v>2.1281986318723081</v>
      </c>
      <c r="G27" s="34" t="s">
        <v>62</v>
      </c>
      <c r="H27" s="44">
        <v>0.9</v>
      </c>
      <c r="I27" s="43" t="s">
        <v>45</v>
      </c>
      <c r="J27" s="37" t="s">
        <v>63</v>
      </c>
      <c r="K27" s="38">
        <v>90</v>
      </c>
      <c r="L27" s="38">
        <v>80</v>
      </c>
      <c r="M27" s="38">
        <v>70</v>
      </c>
      <c r="N27" s="38">
        <v>50</v>
      </c>
      <c r="O27" s="38" t="s">
        <v>56</v>
      </c>
      <c r="P27" s="39"/>
      <c r="Q27" s="40">
        <f t="shared" si="5"/>
        <v>0</v>
      </c>
      <c r="R27" s="41">
        <f t="shared" si="6"/>
        <v>0</v>
      </c>
    </row>
    <row r="28" spans="1:18" s="42" customFormat="1" ht="147" customHeight="1" x14ac:dyDescent="0.25">
      <c r="A28" s="128"/>
      <c r="B28" s="131"/>
      <c r="C28" s="137"/>
      <c r="D28" s="130" t="s">
        <v>64</v>
      </c>
      <c r="E28" s="33">
        <v>0.5</v>
      </c>
      <c r="F28" s="33">
        <f t="shared" si="2"/>
        <v>2.6602482898403852</v>
      </c>
      <c r="G28" s="34" t="s">
        <v>65</v>
      </c>
      <c r="H28" s="44">
        <v>0.75</v>
      </c>
      <c r="I28" s="36" t="s">
        <v>45</v>
      </c>
      <c r="J28" s="37" t="s">
        <v>55</v>
      </c>
      <c r="K28" s="38">
        <v>75</v>
      </c>
      <c r="L28" s="38">
        <v>70</v>
      </c>
      <c r="M28" s="38">
        <v>60</v>
      </c>
      <c r="N28" s="38">
        <v>50</v>
      </c>
      <c r="O28" s="38" t="s">
        <v>56</v>
      </c>
      <c r="P28" s="39"/>
      <c r="Q28" s="40">
        <f t="shared" si="5"/>
        <v>0</v>
      </c>
      <c r="R28" s="41">
        <f t="shared" si="6"/>
        <v>0</v>
      </c>
    </row>
    <row r="29" spans="1:18" s="42" customFormat="1" ht="147" customHeight="1" x14ac:dyDescent="0.25">
      <c r="A29" s="128"/>
      <c r="B29" s="131"/>
      <c r="C29" s="137"/>
      <c r="D29" s="132"/>
      <c r="E29" s="33">
        <v>0.5</v>
      </c>
      <c r="F29" s="33">
        <f t="shared" si="2"/>
        <v>2.6602482898403852</v>
      </c>
      <c r="G29" s="34" t="s">
        <v>66</v>
      </c>
      <c r="H29" s="44">
        <v>0.9</v>
      </c>
      <c r="I29" s="43" t="s">
        <v>45</v>
      </c>
      <c r="J29" s="37" t="s">
        <v>63</v>
      </c>
      <c r="K29" s="38">
        <v>90</v>
      </c>
      <c r="L29" s="38">
        <v>80</v>
      </c>
      <c r="M29" s="38">
        <v>70</v>
      </c>
      <c r="N29" s="38">
        <v>50</v>
      </c>
      <c r="O29" s="38" t="s">
        <v>56</v>
      </c>
      <c r="P29" s="39"/>
      <c r="Q29" s="40">
        <f t="shared" si="5"/>
        <v>0</v>
      </c>
      <c r="R29" s="41">
        <f t="shared" si="6"/>
        <v>0</v>
      </c>
    </row>
    <row r="30" spans="1:18" s="42" customFormat="1" ht="147" customHeight="1" x14ac:dyDescent="0.25">
      <c r="A30" s="128"/>
      <c r="B30" s="131"/>
      <c r="C30" s="137"/>
      <c r="D30" s="130" t="s">
        <v>67</v>
      </c>
      <c r="E30" s="33">
        <v>0.5</v>
      </c>
      <c r="F30" s="33">
        <f t="shared" si="2"/>
        <v>2.6602482898403852</v>
      </c>
      <c r="G30" s="34" t="s">
        <v>68</v>
      </c>
      <c r="H30" s="44">
        <v>0.8</v>
      </c>
      <c r="I30" s="43" t="s">
        <v>45</v>
      </c>
      <c r="J30" s="37" t="s">
        <v>61</v>
      </c>
      <c r="K30" s="38">
        <v>80</v>
      </c>
      <c r="L30" s="38">
        <v>75</v>
      </c>
      <c r="M30" s="38">
        <v>70</v>
      </c>
      <c r="N30" s="38">
        <v>50</v>
      </c>
      <c r="O30" s="38" t="s">
        <v>56</v>
      </c>
      <c r="P30" s="39"/>
      <c r="Q30" s="40">
        <f t="shared" si="5"/>
        <v>0</v>
      </c>
      <c r="R30" s="41">
        <f t="shared" si="6"/>
        <v>0</v>
      </c>
    </row>
    <row r="31" spans="1:18" s="42" customFormat="1" ht="147" customHeight="1" x14ac:dyDescent="0.25">
      <c r="A31" s="128"/>
      <c r="B31" s="131"/>
      <c r="C31" s="137"/>
      <c r="D31" s="132"/>
      <c r="E31" s="33">
        <v>0.5</v>
      </c>
      <c r="F31" s="33">
        <f t="shared" si="2"/>
        <v>2.6602482898403852</v>
      </c>
      <c r="G31" s="34" t="s">
        <v>69</v>
      </c>
      <c r="H31" s="44">
        <v>0.9</v>
      </c>
      <c r="I31" s="43" t="s">
        <v>45</v>
      </c>
      <c r="J31" s="37" t="s">
        <v>63</v>
      </c>
      <c r="K31" s="38">
        <v>90</v>
      </c>
      <c r="L31" s="38">
        <v>80</v>
      </c>
      <c r="M31" s="38">
        <v>70</v>
      </c>
      <c r="N31" s="38">
        <v>50</v>
      </c>
      <c r="O31" s="38" t="s">
        <v>56</v>
      </c>
      <c r="P31" s="39"/>
      <c r="Q31" s="40">
        <f t="shared" si="5"/>
        <v>0</v>
      </c>
      <c r="R31" s="41">
        <f t="shared" si="6"/>
        <v>0</v>
      </c>
    </row>
    <row r="32" spans="1:18" s="42" customFormat="1" ht="147" customHeight="1" x14ac:dyDescent="0.25">
      <c r="A32" s="128"/>
      <c r="B32" s="131"/>
      <c r="C32" s="137"/>
      <c r="D32" s="130" t="s">
        <v>70</v>
      </c>
      <c r="E32" s="33">
        <v>0.5</v>
      </c>
      <c r="F32" s="33">
        <f t="shared" si="2"/>
        <v>2.6602482898403852</v>
      </c>
      <c r="G32" s="34" t="s">
        <v>71</v>
      </c>
      <c r="H32" s="44">
        <v>1</v>
      </c>
      <c r="I32" s="36" t="s">
        <v>45</v>
      </c>
      <c r="J32" s="37">
        <v>100</v>
      </c>
      <c r="K32" s="38">
        <v>95</v>
      </c>
      <c r="L32" s="38">
        <v>90</v>
      </c>
      <c r="M32" s="38">
        <v>85</v>
      </c>
      <c r="N32" s="38">
        <v>80</v>
      </c>
      <c r="O32" s="38" t="s">
        <v>46</v>
      </c>
      <c r="P32" s="39"/>
      <c r="Q32" s="40">
        <f t="shared" si="5"/>
        <v>0</v>
      </c>
      <c r="R32" s="41">
        <f t="shared" si="6"/>
        <v>0</v>
      </c>
    </row>
    <row r="33" spans="1:18" s="42" customFormat="1" ht="147" customHeight="1" x14ac:dyDescent="0.25">
      <c r="A33" s="128"/>
      <c r="B33" s="131"/>
      <c r="C33" s="137"/>
      <c r="D33" s="132"/>
      <c r="E33" s="33">
        <v>0.5</v>
      </c>
      <c r="F33" s="33">
        <f t="shared" si="2"/>
        <v>2.6602482898403852</v>
      </c>
      <c r="G33" s="34" t="s">
        <v>72</v>
      </c>
      <c r="H33" s="44">
        <v>1</v>
      </c>
      <c r="I33" s="36" t="s">
        <v>45</v>
      </c>
      <c r="J33" s="37">
        <v>100</v>
      </c>
      <c r="K33" s="38">
        <v>95</v>
      </c>
      <c r="L33" s="38">
        <v>90</v>
      </c>
      <c r="M33" s="38">
        <v>85</v>
      </c>
      <c r="N33" s="38">
        <v>80</v>
      </c>
      <c r="O33" s="38" t="s">
        <v>46</v>
      </c>
      <c r="P33" s="39"/>
      <c r="Q33" s="40">
        <f t="shared" si="5"/>
        <v>0</v>
      </c>
      <c r="R33" s="41">
        <f t="shared" si="6"/>
        <v>0</v>
      </c>
    </row>
    <row r="34" spans="1:18" s="42" customFormat="1" ht="147" customHeight="1" x14ac:dyDescent="0.25">
      <c r="A34" s="128"/>
      <c r="B34" s="131"/>
      <c r="C34" s="137"/>
      <c r="D34" s="130" t="s">
        <v>73</v>
      </c>
      <c r="E34" s="33">
        <v>0.5</v>
      </c>
      <c r="F34" s="33">
        <f t="shared" si="2"/>
        <v>2.6602482898403852</v>
      </c>
      <c r="G34" s="34" t="s">
        <v>74</v>
      </c>
      <c r="H34" s="44">
        <v>0.8</v>
      </c>
      <c r="I34" s="43" t="s">
        <v>45</v>
      </c>
      <c r="J34" s="37" t="s">
        <v>61</v>
      </c>
      <c r="K34" s="38">
        <v>80</v>
      </c>
      <c r="L34" s="38">
        <v>75</v>
      </c>
      <c r="M34" s="38">
        <v>70</v>
      </c>
      <c r="N34" s="38">
        <v>50</v>
      </c>
      <c r="O34" s="38" t="s">
        <v>56</v>
      </c>
      <c r="P34" s="39"/>
      <c r="Q34" s="40">
        <f t="shared" si="5"/>
        <v>0</v>
      </c>
      <c r="R34" s="41">
        <f t="shared" si="6"/>
        <v>0</v>
      </c>
    </row>
    <row r="35" spans="1:18" s="42" customFormat="1" ht="147" customHeight="1" x14ac:dyDescent="0.25">
      <c r="A35" s="129"/>
      <c r="B35" s="132"/>
      <c r="C35" s="138"/>
      <c r="D35" s="132"/>
      <c r="E35" s="33">
        <v>0.5</v>
      </c>
      <c r="F35" s="33">
        <f t="shared" si="2"/>
        <v>2.6602482898403852</v>
      </c>
      <c r="G35" s="34" t="s">
        <v>75</v>
      </c>
      <c r="H35" s="35">
        <v>0.2</v>
      </c>
      <c r="I35" s="36" t="s">
        <v>45</v>
      </c>
      <c r="J35" s="37" t="s">
        <v>76</v>
      </c>
      <c r="K35" s="38">
        <v>20</v>
      </c>
      <c r="L35" s="38">
        <v>15</v>
      </c>
      <c r="M35" s="38">
        <v>10</v>
      </c>
      <c r="N35" s="38">
        <v>5</v>
      </c>
      <c r="O35" s="38" t="s">
        <v>77</v>
      </c>
      <c r="P35" s="39"/>
      <c r="Q35" s="40">
        <f t="shared" si="5"/>
        <v>0</v>
      </c>
      <c r="R35" s="41">
        <f t="shared" si="6"/>
        <v>0</v>
      </c>
    </row>
    <row r="36" spans="1:18" s="42" customFormat="1" ht="147" customHeight="1" x14ac:dyDescent="0.25">
      <c r="A36" s="127">
        <v>3</v>
      </c>
      <c r="B36" s="130" t="s">
        <v>78</v>
      </c>
      <c r="C36" s="136">
        <f>SUM(E36:E45)</f>
        <v>5</v>
      </c>
      <c r="D36" s="130" t="s">
        <v>79</v>
      </c>
      <c r="E36" s="33">
        <v>0.7</v>
      </c>
      <c r="F36" s="33">
        <f t="shared" si="2"/>
        <v>3.7243476057765394</v>
      </c>
      <c r="G36" s="34" t="s">
        <v>80</v>
      </c>
      <c r="H36" s="44">
        <v>0.8</v>
      </c>
      <c r="I36" s="43" t="s">
        <v>45</v>
      </c>
      <c r="J36" s="37" t="s">
        <v>61</v>
      </c>
      <c r="K36" s="38">
        <v>80</v>
      </c>
      <c r="L36" s="38">
        <v>75</v>
      </c>
      <c r="M36" s="38">
        <v>70</v>
      </c>
      <c r="N36" s="38">
        <v>50</v>
      </c>
      <c r="O36" s="38" t="s">
        <v>56</v>
      </c>
      <c r="P36" s="39"/>
      <c r="Q36" s="40">
        <f t="shared" si="5"/>
        <v>0</v>
      </c>
      <c r="R36" s="41">
        <f t="shared" si="6"/>
        <v>0</v>
      </c>
    </row>
    <row r="37" spans="1:18" s="42" customFormat="1" ht="147" customHeight="1" x14ac:dyDescent="0.25">
      <c r="A37" s="128"/>
      <c r="B37" s="131"/>
      <c r="C37" s="137"/>
      <c r="D37" s="132"/>
      <c r="E37" s="33">
        <v>0.3</v>
      </c>
      <c r="F37" s="33">
        <f t="shared" si="2"/>
        <v>1.5961489739042312</v>
      </c>
      <c r="G37" s="34" t="s">
        <v>81</v>
      </c>
      <c r="H37" s="44">
        <v>1</v>
      </c>
      <c r="I37" s="36" t="s">
        <v>45</v>
      </c>
      <c r="J37" s="37">
        <v>100</v>
      </c>
      <c r="K37" s="38">
        <v>95</v>
      </c>
      <c r="L37" s="38">
        <v>90</v>
      </c>
      <c r="M37" s="38">
        <v>85</v>
      </c>
      <c r="N37" s="38">
        <v>80</v>
      </c>
      <c r="O37" s="38" t="s">
        <v>46</v>
      </c>
      <c r="P37" s="39"/>
      <c r="Q37" s="40">
        <f t="shared" si="5"/>
        <v>0</v>
      </c>
      <c r="R37" s="41">
        <f t="shared" si="6"/>
        <v>0</v>
      </c>
    </row>
    <row r="38" spans="1:18" s="42" customFormat="1" ht="147" customHeight="1" x14ac:dyDescent="0.25">
      <c r="A38" s="128"/>
      <c r="B38" s="131"/>
      <c r="C38" s="137"/>
      <c r="D38" s="130" t="s">
        <v>82</v>
      </c>
      <c r="E38" s="33">
        <v>0.5</v>
      </c>
      <c r="F38" s="33">
        <f t="shared" si="2"/>
        <v>2.6602482898403852</v>
      </c>
      <c r="G38" s="34" t="s">
        <v>83</v>
      </c>
      <c r="H38" s="44">
        <v>1</v>
      </c>
      <c r="I38" s="36" t="s">
        <v>45</v>
      </c>
      <c r="J38" s="37">
        <v>100</v>
      </c>
      <c r="K38" s="38">
        <v>95</v>
      </c>
      <c r="L38" s="38">
        <v>90</v>
      </c>
      <c r="M38" s="38">
        <v>85</v>
      </c>
      <c r="N38" s="38">
        <v>80</v>
      </c>
      <c r="O38" s="38" t="s">
        <v>46</v>
      </c>
      <c r="P38" s="39"/>
      <c r="Q38" s="40">
        <f t="shared" si="5"/>
        <v>0</v>
      </c>
      <c r="R38" s="41">
        <f t="shared" si="6"/>
        <v>0</v>
      </c>
    </row>
    <row r="39" spans="1:18" s="42" customFormat="1" ht="147" customHeight="1" x14ac:dyDescent="0.25">
      <c r="A39" s="128"/>
      <c r="B39" s="131"/>
      <c r="C39" s="137"/>
      <c r="D39" s="132"/>
      <c r="E39" s="33">
        <v>0.5</v>
      </c>
      <c r="F39" s="33">
        <f t="shared" si="2"/>
        <v>2.6602482898403852</v>
      </c>
      <c r="G39" s="34" t="s">
        <v>84</v>
      </c>
      <c r="H39" s="44">
        <v>0.8</v>
      </c>
      <c r="I39" s="43" t="s">
        <v>45</v>
      </c>
      <c r="J39" s="37" t="s">
        <v>61</v>
      </c>
      <c r="K39" s="38">
        <v>80</v>
      </c>
      <c r="L39" s="38">
        <v>75</v>
      </c>
      <c r="M39" s="38">
        <v>70</v>
      </c>
      <c r="N39" s="38">
        <v>50</v>
      </c>
      <c r="O39" s="38" t="s">
        <v>56</v>
      </c>
      <c r="P39" s="39"/>
      <c r="Q39" s="40">
        <f t="shared" si="5"/>
        <v>0</v>
      </c>
      <c r="R39" s="41">
        <f t="shared" si="6"/>
        <v>0</v>
      </c>
    </row>
    <row r="40" spans="1:18" s="42" customFormat="1" ht="147" customHeight="1" x14ac:dyDescent="0.25">
      <c r="A40" s="128"/>
      <c r="B40" s="131"/>
      <c r="C40" s="137"/>
      <c r="D40" s="130" t="s">
        <v>85</v>
      </c>
      <c r="E40" s="33">
        <v>0.5</v>
      </c>
      <c r="F40" s="33">
        <f t="shared" si="2"/>
        <v>2.6602482898403852</v>
      </c>
      <c r="G40" s="34" t="s">
        <v>86</v>
      </c>
      <c r="H40" s="43">
        <v>10</v>
      </c>
      <c r="I40" s="36" t="s">
        <v>87</v>
      </c>
      <c r="J40" s="37" t="s">
        <v>88</v>
      </c>
      <c r="K40" s="38">
        <v>10</v>
      </c>
      <c r="L40" s="38">
        <v>8</v>
      </c>
      <c r="M40" s="38">
        <v>6</v>
      </c>
      <c r="N40" s="38">
        <v>5</v>
      </c>
      <c r="O40" s="38" t="s">
        <v>77</v>
      </c>
      <c r="P40" s="39"/>
      <c r="Q40" s="40">
        <f t="shared" si="5"/>
        <v>0</v>
      </c>
      <c r="R40" s="41">
        <f t="shared" si="6"/>
        <v>0</v>
      </c>
    </row>
    <row r="41" spans="1:18" s="42" customFormat="1" ht="147" customHeight="1" x14ac:dyDescent="0.25">
      <c r="A41" s="128"/>
      <c r="B41" s="131"/>
      <c r="C41" s="137"/>
      <c r="D41" s="132"/>
      <c r="E41" s="33">
        <v>0.5</v>
      </c>
      <c r="F41" s="33">
        <f t="shared" si="2"/>
        <v>2.6602482898403852</v>
      </c>
      <c r="G41" s="34" t="s">
        <v>89</v>
      </c>
      <c r="H41" s="44">
        <v>0.8</v>
      </c>
      <c r="I41" s="43" t="s">
        <v>45</v>
      </c>
      <c r="J41" s="37" t="s">
        <v>61</v>
      </c>
      <c r="K41" s="38">
        <v>80</v>
      </c>
      <c r="L41" s="38">
        <v>75</v>
      </c>
      <c r="M41" s="38">
        <v>70</v>
      </c>
      <c r="N41" s="38">
        <v>50</v>
      </c>
      <c r="O41" s="38" t="s">
        <v>56</v>
      </c>
      <c r="P41" s="39"/>
      <c r="Q41" s="40">
        <f t="shared" si="5"/>
        <v>0</v>
      </c>
      <c r="R41" s="41">
        <f t="shared" si="6"/>
        <v>0</v>
      </c>
    </row>
    <row r="42" spans="1:18" s="42" customFormat="1" ht="147" customHeight="1" x14ac:dyDescent="0.25">
      <c r="A42" s="128"/>
      <c r="B42" s="131"/>
      <c r="C42" s="137"/>
      <c r="D42" s="130" t="s">
        <v>90</v>
      </c>
      <c r="E42" s="33">
        <v>0.5</v>
      </c>
      <c r="F42" s="33">
        <f t="shared" si="2"/>
        <v>2.6602482898403852</v>
      </c>
      <c r="G42" s="34" t="s">
        <v>91</v>
      </c>
      <c r="H42" s="43">
        <v>5</v>
      </c>
      <c r="I42" s="36" t="s">
        <v>87</v>
      </c>
      <c r="J42" s="37" t="s">
        <v>92</v>
      </c>
      <c r="K42" s="38">
        <v>5</v>
      </c>
      <c r="L42" s="38">
        <v>4</v>
      </c>
      <c r="M42" s="38">
        <v>3</v>
      </c>
      <c r="N42" s="38">
        <v>2</v>
      </c>
      <c r="O42" s="38">
        <v>1</v>
      </c>
      <c r="P42" s="39"/>
      <c r="Q42" s="40">
        <f t="shared" si="5"/>
        <v>0</v>
      </c>
      <c r="R42" s="41">
        <f t="shared" si="6"/>
        <v>0</v>
      </c>
    </row>
    <row r="43" spans="1:18" s="42" customFormat="1" ht="147" customHeight="1" x14ac:dyDescent="0.25">
      <c r="A43" s="128"/>
      <c r="B43" s="131"/>
      <c r="C43" s="137"/>
      <c r="D43" s="132"/>
      <c r="E43" s="33">
        <v>0.5</v>
      </c>
      <c r="F43" s="33">
        <f t="shared" si="2"/>
        <v>2.6602482898403852</v>
      </c>
      <c r="G43" s="34" t="s">
        <v>93</v>
      </c>
      <c r="H43" s="43">
        <v>10</v>
      </c>
      <c r="I43" s="36" t="s">
        <v>87</v>
      </c>
      <c r="J43" s="37" t="s">
        <v>88</v>
      </c>
      <c r="K43" s="38">
        <v>10</v>
      </c>
      <c r="L43" s="38">
        <v>8</v>
      </c>
      <c r="M43" s="38">
        <v>6</v>
      </c>
      <c r="N43" s="38">
        <v>5</v>
      </c>
      <c r="O43" s="38" t="s">
        <v>77</v>
      </c>
      <c r="P43" s="39"/>
      <c r="Q43" s="40">
        <f t="shared" si="5"/>
        <v>0</v>
      </c>
      <c r="R43" s="41">
        <f t="shared" si="6"/>
        <v>0</v>
      </c>
    </row>
    <row r="44" spans="1:18" s="42" customFormat="1" ht="147" customHeight="1" x14ac:dyDescent="0.25">
      <c r="A44" s="128"/>
      <c r="B44" s="131"/>
      <c r="C44" s="137"/>
      <c r="D44" s="130" t="s">
        <v>94</v>
      </c>
      <c r="E44" s="33">
        <v>0.8</v>
      </c>
      <c r="F44" s="33">
        <f t="shared" si="2"/>
        <v>4.2563972637446161</v>
      </c>
      <c r="G44" s="34" t="s">
        <v>95</v>
      </c>
      <c r="H44" s="44">
        <v>0.8</v>
      </c>
      <c r="I44" s="43" t="s">
        <v>45</v>
      </c>
      <c r="J44" s="37" t="s">
        <v>61</v>
      </c>
      <c r="K44" s="38">
        <v>80</v>
      </c>
      <c r="L44" s="38">
        <v>75</v>
      </c>
      <c r="M44" s="38">
        <v>70</v>
      </c>
      <c r="N44" s="38">
        <v>50</v>
      </c>
      <c r="O44" s="38" t="s">
        <v>56</v>
      </c>
      <c r="P44" s="39"/>
      <c r="Q44" s="40">
        <f t="shared" si="5"/>
        <v>0</v>
      </c>
      <c r="R44" s="41">
        <f t="shared" si="6"/>
        <v>0</v>
      </c>
    </row>
    <row r="45" spans="1:18" s="42" customFormat="1" ht="147" customHeight="1" x14ac:dyDescent="0.25">
      <c r="A45" s="129"/>
      <c r="B45" s="132"/>
      <c r="C45" s="138"/>
      <c r="D45" s="132"/>
      <c r="E45" s="119">
        <v>0.2</v>
      </c>
      <c r="F45" s="33">
        <f t="shared" si="2"/>
        <v>1.064099315936154</v>
      </c>
      <c r="G45" s="120" t="s">
        <v>96</v>
      </c>
      <c r="H45" s="44">
        <v>0.2</v>
      </c>
      <c r="I45" s="36" t="s">
        <v>45</v>
      </c>
      <c r="J45" s="37" t="s">
        <v>76</v>
      </c>
      <c r="K45" s="38">
        <v>20</v>
      </c>
      <c r="L45" s="38">
        <v>15</v>
      </c>
      <c r="M45" s="38">
        <v>10</v>
      </c>
      <c r="N45" s="38">
        <v>5</v>
      </c>
      <c r="O45" s="38" t="s">
        <v>77</v>
      </c>
      <c r="P45" s="39"/>
      <c r="Q45" s="40">
        <f t="shared" si="5"/>
        <v>0</v>
      </c>
      <c r="R45" s="41">
        <f t="shared" si="6"/>
        <v>0</v>
      </c>
    </row>
    <row r="46" spans="1:18" s="42" customFormat="1" ht="147" customHeight="1" x14ac:dyDescent="0.25">
      <c r="A46" s="124">
        <v>4</v>
      </c>
      <c r="B46" s="125" t="s">
        <v>97</v>
      </c>
      <c r="C46" s="126">
        <f>SUM(E46:E48)</f>
        <v>3.5</v>
      </c>
      <c r="D46" s="125" t="s">
        <v>98</v>
      </c>
      <c r="E46" s="33">
        <v>1.4</v>
      </c>
      <c r="F46" s="33">
        <f t="shared" si="2"/>
        <v>7.4486952115530789</v>
      </c>
      <c r="G46" s="34" t="s">
        <v>99</v>
      </c>
      <c r="H46" s="43">
        <v>5</v>
      </c>
      <c r="I46" s="36" t="s">
        <v>87</v>
      </c>
      <c r="J46" s="37" t="s">
        <v>92</v>
      </c>
      <c r="K46" s="38">
        <v>5</v>
      </c>
      <c r="L46" s="38">
        <v>4</v>
      </c>
      <c r="M46" s="38">
        <v>3</v>
      </c>
      <c r="N46" s="38">
        <v>2</v>
      </c>
      <c r="O46" s="38">
        <v>1</v>
      </c>
      <c r="P46" s="39"/>
      <c r="Q46" s="40">
        <f t="shared" si="5"/>
        <v>0</v>
      </c>
      <c r="R46" s="41">
        <f t="shared" si="6"/>
        <v>0</v>
      </c>
    </row>
    <row r="47" spans="1:18" s="42" customFormat="1" ht="147" customHeight="1" x14ac:dyDescent="0.25">
      <c r="A47" s="124"/>
      <c r="B47" s="125"/>
      <c r="C47" s="126"/>
      <c r="D47" s="125"/>
      <c r="E47" s="33">
        <v>1.4</v>
      </c>
      <c r="F47" s="33">
        <f t="shared" si="2"/>
        <v>7.4486952115530789</v>
      </c>
      <c r="G47" s="34" t="s">
        <v>100</v>
      </c>
      <c r="H47" s="44">
        <v>0.1</v>
      </c>
      <c r="I47" s="43" t="s">
        <v>45</v>
      </c>
      <c r="J47" s="37" t="s">
        <v>88</v>
      </c>
      <c r="K47" s="38">
        <v>10</v>
      </c>
      <c r="L47" s="38">
        <v>7</v>
      </c>
      <c r="M47" s="38">
        <v>6</v>
      </c>
      <c r="N47" s="38">
        <v>5</v>
      </c>
      <c r="O47" s="38" t="s">
        <v>77</v>
      </c>
      <c r="P47" s="39"/>
      <c r="Q47" s="40">
        <f t="shared" si="5"/>
        <v>0</v>
      </c>
      <c r="R47" s="41">
        <f t="shared" si="6"/>
        <v>0</v>
      </c>
    </row>
    <row r="48" spans="1:18" s="42" customFormat="1" ht="147" customHeight="1" x14ac:dyDescent="0.25">
      <c r="A48" s="124"/>
      <c r="B48" s="125"/>
      <c r="C48" s="126"/>
      <c r="D48" s="125"/>
      <c r="E48" s="33">
        <v>0.7</v>
      </c>
      <c r="F48" s="33">
        <f t="shared" si="2"/>
        <v>3.7243476057765394</v>
      </c>
      <c r="G48" s="34" t="s">
        <v>101</v>
      </c>
      <c r="H48" s="43">
        <v>2</v>
      </c>
      <c r="I48" s="36" t="s">
        <v>87</v>
      </c>
      <c r="J48" s="37" t="s">
        <v>102</v>
      </c>
      <c r="K48" s="38">
        <v>2</v>
      </c>
      <c r="L48" s="38">
        <v>1</v>
      </c>
      <c r="M48" s="38">
        <v>0</v>
      </c>
      <c r="N48" s="38"/>
      <c r="O48" s="38"/>
      <c r="P48" s="39"/>
      <c r="Q48" s="40">
        <f t="shared" si="5"/>
        <v>0</v>
      </c>
      <c r="R48" s="41">
        <f t="shared" si="6"/>
        <v>0</v>
      </c>
    </row>
    <row r="49" spans="1:18" s="42" customFormat="1" ht="147" customHeight="1" x14ac:dyDescent="0.25">
      <c r="A49" s="43">
        <v>5</v>
      </c>
      <c r="B49" s="34" t="s">
        <v>103</v>
      </c>
      <c r="C49" s="45">
        <f>E49</f>
        <v>0.30000000000000004</v>
      </c>
      <c r="D49" s="34" t="s">
        <v>104</v>
      </c>
      <c r="E49" s="33">
        <v>0.30000000000000004</v>
      </c>
      <c r="F49" s="33">
        <f t="shared" si="2"/>
        <v>1.5961489739042312</v>
      </c>
      <c r="G49" s="34" t="s">
        <v>105</v>
      </c>
      <c r="H49" s="43">
        <v>5</v>
      </c>
      <c r="I49" s="43" t="s">
        <v>87</v>
      </c>
      <c r="J49" s="37" t="s">
        <v>92</v>
      </c>
      <c r="K49" s="38">
        <v>5</v>
      </c>
      <c r="L49" s="38">
        <v>4</v>
      </c>
      <c r="M49" s="38">
        <v>3</v>
      </c>
      <c r="N49" s="38">
        <v>2</v>
      </c>
      <c r="O49" s="38">
        <v>1</v>
      </c>
      <c r="P49" s="39"/>
      <c r="Q49" s="40">
        <f t="shared" si="5"/>
        <v>0</v>
      </c>
      <c r="R49" s="41">
        <f t="shared" si="6"/>
        <v>0</v>
      </c>
    </row>
    <row r="50" spans="1:18" s="42" customFormat="1" ht="147" customHeight="1" x14ac:dyDescent="0.25">
      <c r="A50" s="127">
        <v>6</v>
      </c>
      <c r="B50" s="130" t="s">
        <v>106</v>
      </c>
      <c r="C50" s="133">
        <f>SUM(E50:E52)</f>
        <v>2</v>
      </c>
      <c r="D50" s="130" t="s">
        <v>107</v>
      </c>
      <c r="E50" s="33">
        <v>0.4</v>
      </c>
      <c r="F50" s="33">
        <f t="shared" si="2"/>
        <v>2.1281986318723081</v>
      </c>
      <c r="G50" s="34" t="s">
        <v>108</v>
      </c>
      <c r="H50" s="43">
        <v>5</v>
      </c>
      <c r="I50" s="43" t="s">
        <v>87</v>
      </c>
      <c r="J50" s="37" t="s">
        <v>92</v>
      </c>
      <c r="K50" s="38">
        <v>5</v>
      </c>
      <c r="L50" s="38">
        <v>4</v>
      </c>
      <c r="M50" s="38">
        <v>3</v>
      </c>
      <c r="N50" s="38">
        <v>2</v>
      </c>
      <c r="O50" s="38">
        <v>1</v>
      </c>
      <c r="P50" s="39"/>
      <c r="Q50" s="40">
        <f t="shared" si="5"/>
        <v>0</v>
      </c>
      <c r="R50" s="41">
        <f t="shared" si="6"/>
        <v>0</v>
      </c>
    </row>
    <row r="51" spans="1:18" s="42" customFormat="1" ht="147" customHeight="1" x14ac:dyDescent="0.25">
      <c r="A51" s="128"/>
      <c r="B51" s="131"/>
      <c r="C51" s="134"/>
      <c r="D51" s="131"/>
      <c r="E51" s="33">
        <v>0.8</v>
      </c>
      <c r="F51" s="33">
        <f t="shared" si="2"/>
        <v>4.2563972637446161</v>
      </c>
      <c r="G51" s="34" t="s">
        <v>109</v>
      </c>
      <c r="H51" s="44">
        <v>0.2</v>
      </c>
      <c r="I51" s="36" t="s">
        <v>45</v>
      </c>
      <c r="J51" s="37" t="s">
        <v>76</v>
      </c>
      <c r="K51" s="38">
        <v>20</v>
      </c>
      <c r="L51" s="38">
        <v>15</v>
      </c>
      <c r="M51" s="38">
        <v>10</v>
      </c>
      <c r="N51" s="38">
        <v>5</v>
      </c>
      <c r="O51" s="38" t="s">
        <v>77</v>
      </c>
      <c r="P51" s="39"/>
      <c r="Q51" s="40">
        <f t="shared" si="5"/>
        <v>0</v>
      </c>
      <c r="R51" s="41">
        <f t="shared" si="6"/>
        <v>0</v>
      </c>
    </row>
    <row r="52" spans="1:18" s="42" customFormat="1" ht="147" customHeight="1" x14ac:dyDescent="0.25">
      <c r="A52" s="129"/>
      <c r="B52" s="132"/>
      <c r="C52" s="135"/>
      <c r="D52" s="132"/>
      <c r="E52" s="33">
        <v>0.8</v>
      </c>
      <c r="F52" s="33">
        <f t="shared" si="2"/>
        <v>4.2563972637446161</v>
      </c>
      <c r="G52" s="34" t="s">
        <v>110</v>
      </c>
      <c r="H52" s="44">
        <v>0.8</v>
      </c>
      <c r="I52" s="43" t="s">
        <v>45</v>
      </c>
      <c r="J52" s="37" t="s">
        <v>61</v>
      </c>
      <c r="K52" s="38">
        <v>80</v>
      </c>
      <c r="L52" s="38">
        <v>75</v>
      </c>
      <c r="M52" s="38">
        <v>70</v>
      </c>
      <c r="N52" s="38">
        <v>50</v>
      </c>
      <c r="O52" s="38" t="s">
        <v>56</v>
      </c>
      <c r="P52" s="39"/>
      <c r="Q52" s="40">
        <f t="shared" si="5"/>
        <v>0</v>
      </c>
      <c r="R52" s="41">
        <f t="shared" si="6"/>
        <v>0</v>
      </c>
    </row>
    <row r="53" spans="1:18" s="42" customFormat="1" ht="147" customHeight="1" x14ac:dyDescent="0.25">
      <c r="A53" s="124">
        <v>7</v>
      </c>
      <c r="B53" s="125" t="s">
        <v>111</v>
      </c>
      <c r="C53" s="126">
        <f>SUM(E53:E54)</f>
        <v>0.16666666666666669</v>
      </c>
      <c r="D53" s="125" t="s">
        <v>112</v>
      </c>
      <c r="E53" s="33">
        <v>0.10000000000000002</v>
      </c>
      <c r="F53" s="33">
        <f t="shared" si="2"/>
        <v>0.53204965796807713</v>
      </c>
      <c r="G53" s="34" t="s">
        <v>113</v>
      </c>
      <c r="H53" s="44">
        <v>0.8</v>
      </c>
      <c r="I53" s="43" t="s">
        <v>45</v>
      </c>
      <c r="J53" s="37" t="s">
        <v>61</v>
      </c>
      <c r="K53" s="38">
        <v>80</v>
      </c>
      <c r="L53" s="38">
        <v>75</v>
      </c>
      <c r="M53" s="38">
        <v>70</v>
      </c>
      <c r="N53" s="38">
        <v>50</v>
      </c>
      <c r="O53" s="38" t="s">
        <v>56</v>
      </c>
      <c r="P53" s="39"/>
      <c r="Q53" s="40">
        <f t="shared" si="5"/>
        <v>0</v>
      </c>
      <c r="R53" s="41">
        <f t="shared" si="6"/>
        <v>0</v>
      </c>
    </row>
    <row r="54" spans="1:18" s="42" customFormat="1" ht="147" customHeight="1" x14ac:dyDescent="0.25">
      <c r="A54" s="124"/>
      <c r="B54" s="125"/>
      <c r="C54" s="126"/>
      <c r="D54" s="125"/>
      <c r="E54" s="33">
        <v>6.6666666666666666E-2</v>
      </c>
      <c r="F54" s="33">
        <f t="shared" si="2"/>
        <v>0.35469977197871805</v>
      </c>
      <c r="G54" s="34" t="s">
        <v>114</v>
      </c>
      <c r="H54" s="44">
        <v>0.8</v>
      </c>
      <c r="I54" s="43" t="s">
        <v>45</v>
      </c>
      <c r="J54" s="37" t="s">
        <v>61</v>
      </c>
      <c r="K54" s="38">
        <v>80</v>
      </c>
      <c r="L54" s="38">
        <v>75</v>
      </c>
      <c r="M54" s="38">
        <v>70</v>
      </c>
      <c r="N54" s="38">
        <v>50</v>
      </c>
      <c r="O54" s="38" t="s">
        <v>56</v>
      </c>
      <c r="P54" s="39"/>
      <c r="Q54" s="40">
        <f t="shared" si="5"/>
        <v>0</v>
      </c>
      <c r="R54" s="41">
        <f t="shared" si="6"/>
        <v>0</v>
      </c>
    </row>
    <row r="55" spans="1:18" s="42" customFormat="1" ht="147" customHeight="1" x14ac:dyDescent="0.25">
      <c r="A55" s="121">
        <v>8</v>
      </c>
      <c r="B55" s="122" t="s">
        <v>115</v>
      </c>
      <c r="C55" s="123">
        <f>E55</f>
        <v>0.42857142857142855</v>
      </c>
      <c r="D55" s="122" t="s">
        <v>116</v>
      </c>
      <c r="E55" s="33">
        <v>0.42857142857142855</v>
      </c>
      <c r="F55" s="33">
        <f t="shared" si="2"/>
        <v>2.2802128198631872</v>
      </c>
      <c r="G55" s="34" t="s">
        <v>117</v>
      </c>
      <c r="H55" s="44">
        <v>1</v>
      </c>
      <c r="I55" s="36" t="s">
        <v>45</v>
      </c>
      <c r="J55" s="37">
        <v>100</v>
      </c>
      <c r="K55" s="38">
        <v>95</v>
      </c>
      <c r="L55" s="38">
        <v>90</v>
      </c>
      <c r="M55" s="38">
        <v>85</v>
      </c>
      <c r="N55" s="38">
        <v>80</v>
      </c>
      <c r="O55" s="38" t="s">
        <v>46</v>
      </c>
      <c r="P55" s="39"/>
      <c r="Q55" s="40">
        <f t="shared" si="5"/>
        <v>0</v>
      </c>
      <c r="R55" s="41">
        <f t="shared" si="6"/>
        <v>0</v>
      </c>
    </row>
    <row r="56" spans="1:18" s="42" customFormat="1" ht="147" customHeight="1" x14ac:dyDescent="0.25">
      <c r="A56" s="124">
        <v>9</v>
      </c>
      <c r="B56" s="125" t="s">
        <v>118</v>
      </c>
      <c r="C56" s="126">
        <f>SUM(E56:E57)</f>
        <v>0.13333333333333333</v>
      </c>
      <c r="D56" s="34" t="s">
        <v>119</v>
      </c>
      <c r="E56" s="33">
        <v>6.6666666666666666E-2</v>
      </c>
      <c r="F56" s="33">
        <f t="shared" si="2"/>
        <v>0.35469977197871805</v>
      </c>
      <c r="G56" s="34" t="s">
        <v>120</v>
      </c>
      <c r="H56" s="35">
        <v>0.7</v>
      </c>
      <c r="I56" s="43" t="s">
        <v>45</v>
      </c>
      <c r="J56" s="37" t="s">
        <v>121</v>
      </c>
      <c r="K56" s="38">
        <v>70</v>
      </c>
      <c r="L56" s="38">
        <v>60</v>
      </c>
      <c r="M56" s="38">
        <v>50</v>
      </c>
      <c r="N56" s="38">
        <v>40</v>
      </c>
      <c r="O56" s="38" t="s">
        <v>122</v>
      </c>
      <c r="P56" s="39"/>
      <c r="Q56" s="40">
        <f t="shared" si="5"/>
        <v>0</v>
      </c>
      <c r="R56" s="41">
        <f t="shared" si="6"/>
        <v>0</v>
      </c>
    </row>
    <row r="57" spans="1:18" s="42" customFormat="1" ht="147" customHeight="1" x14ac:dyDescent="0.25">
      <c r="A57" s="124"/>
      <c r="B57" s="125"/>
      <c r="C57" s="126"/>
      <c r="D57" s="34" t="s">
        <v>123</v>
      </c>
      <c r="E57" s="33">
        <v>6.6666666666666666E-2</v>
      </c>
      <c r="F57" s="33">
        <f t="shared" si="2"/>
        <v>0.35469977197871805</v>
      </c>
      <c r="G57" s="34" t="s">
        <v>124</v>
      </c>
      <c r="H57" s="35">
        <v>0.5</v>
      </c>
      <c r="I57" s="36" t="s">
        <v>45</v>
      </c>
      <c r="J57" s="37" t="s">
        <v>51</v>
      </c>
      <c r="K57" s="38">
        <v>50</v>
      </c>
      <c r="L57" s="38">
        <v>45</v>
      </c>
      <c r="M57" s="38">
        <v>40</v>
      </c>
      <c r="N57" s="38">
        <v>25</v>
      </c>
      <c r="O57" s="38" t="s">
        <v>52</v>
      </c>
      <c r="P57" s="39"/>
      <c r="Q57" s="40">
        <f t="shared" si="5"/>
        <v>0</v>
      </c>
      <c r="R57" s="41">
        <f t="shared" si="6"/>
        <v>0</v>
      </c>
    </row>
    <row r="58" spans="1:18" s="56" customFormat="1" ht="44.25" x14ac:dyDescent="0.25">
      <c r="A58" s="46"/>
      <c r="B58" s="47" t="s">
        <v>125</v>
      </c>
      <c r="C58" s="48">
        <f>SUM(C19:C57)</f>
        <v>18.795238095238094</v>
      </c>
      <c r="D58" s="47"/>
      <c r="E58" s="48">
        <f>SUM(E19:E57)</f>
        <v>18.795238095238094</v>
      </c>
      <c r="F58" s="48">
        <f>SUM(F19:F57)</f>
        <v>99.999999999999943</v>
      </c>
      <c r="G58" s="49"/>
      <c r="H58" s="50"/>
      <c r="I58" s="51"/>
      <c r="J58" s="52"/>
      <c r="K58" s="52"/>
      <c r="L58" s="52"/>
      <c r="M58" s="52"/>
      <c r="N58" s="52"/>
      <c r="O58" s="52"/>
      <c r="P58" s="53"/>
      <c r="Q58" s="54"/>
      <c r="R58" s="55">
        <f>SUM(R19:R57)</f>
        <v>0</v>
      </c>
    </row>
    <row r="59" spans="1:18" s="58" customFormat="1" ht="66" customHeight="1" x14ac:dyDescent="0.7">
      <c r="A59" s="57"/>
      <c r="G59" s="59"/>
      <c r="H59" s="59"/>
      <c r="I59" s="218" t="s">
        <v>175</v>
      </c>
      <c r="J59" s="219"/>
      <c r="K59" s="219"/>
      <c r="L59" s="219"/>
      <c r="M59" s="219"/>
      <c r="N59" s="219"/>
      <c r="O59" s="219"/>
      <c r="P59" s="219"/>
      <c r="Q59" s="220"/>
      <c r="R59" s="60">
        <f>R58/100 * 70</f>
        <v>0</v>
      </c>
    </row>
    <row r="60" spans="1:18" s="65" customFormat="1" ht="36" x14ac:dyDescent="0.55000000000000004">
      <c r="A60" s="221" t="s">
        <v>126</v>
      </c>
      <c r="B60" s="222"/>
      <c r="C60" s="222"/>
      <c r="D60" s="222"/>
      <c r="E60" s="222"/>
      <c r="F60" s="222"/>
      <c r="G60" s="223"/>
      <c r="H60" s="224"/>
      <c r="I60" s="224"/>
      <c r="J60" s="224"/>
      <c r="K60" s="224"/>
      <c r="L60" s="225" t="s">
        <v>131</v>
      </c>
      <c r="M60" s="61" t="s">
        <v>127</v>
      </c>
      <c r="N60" s="61"/>
      <c r="O60" s="61"/>
      <c r="P60" s="62"/>
      <c r="Q60" s="63"/>
      <c r="R60" s="64"/>
    </row>
    <row r="61" spans="1:18" s="65" customFormat="1" ht="31.5" customHeight="1" x14ac:dyDescent="0.55000000000000004">
      <c r="A61" s="66"/>
      <c r="B61" s="67"/>
      <c r="C61" s="227" t="s">
        <v>128</v>
      </c>
      <c r="D61" s="227"/>
      <c r="E61" s="227"/>
      <c r="F61" s="227"/>
      <c r="G61" s="227"/>
      <c r="H61" s="68" t="s">
        <v>176</v>
      </c>
      <c r="I61" s="68" t="s">
        <v>177</v>
      </c>
      <c r="J61" s="68"/>
      <c r="K61" s="69"/>
      <c r="L61" s="226"/>
      <c r="M61" s="70"/>
      <c r="N61" s="70"/>
      <c r="O61" s="70"/>
      <c r="P61" s="71"/>
      <c r="Q61" s="63"/>
      <c r="R61" s="64"/>
    </row>
    <row r="62" spans="1:18" s="65" customFormat="1" ht="36" customHeight="1" x14ac:dyDescent="0.55000000000000004">
      <c r="A62" s="72">
        <v>1</v>
      </c>
      <c r="B62" s="73" t="s">
        <v>132</v>
      </c>
      <c r="C62" s="213"/>
      <c r="D62" s="214"/>
      <c r="E62" s="214"/>
      <c r="F62" s="214"/>
      <c r="G62" s="215"/>
      <c r="H62" s="74"/>
      <c r="I62" s="74"/>
      <c r="J62" s="74"/>
      <c r="K62" s="74"/>
      <c r="L62" s="75"/>
      <c r="M62" s="76" t="s">
        <v>36</v>
      </c>
      <c r="N62" s="211" t="s">
        <v>133</v>
      </c>
      <c r="O62" s="212"/>
      <c r="P62" s="71"/>
      <c r="Q62" s="63"/>
      <c r="R62" s="64"/>
    </row>
    <row r="63" spans="1:18" s="65" customFormat="1" ht="84.75" customHeight="1" x14ac:dyDescent="0.55000000000000004">
      <c r="A63" s="77" t="s">
        <v>134</v>
      </c>
      <c r="B63" s="78" t="s">
        <v>178</v>
      </c>
      <c r="C63" s="208"/>
      <c r="D63" s="209"/>
      <c r="E63" s="209"/>
      <c r="F63" s="209"/>
      <c r="G63" s="210"/>
      <c r="H63" s="79">
        <v>4</v>
      </c>
      <c r="I63" s="80"/>
      <c r="J63" s="79"/>
      <c r="K63" s="79"/>
      <c r="L63" s="75"/>
      <c r="M63" s="76" t="s">
        <v>37</v>
      </c>
      <c r="N63" s="211" t="s">
        <v>135</v>
      </c>
      <c r="O63" s="212"/>
      <c r="P63" s="71"/>
      <c r="Q63" s="63"/>
      <c r="R63" s="64"/>
    </row>
    <row r="64" spans="1:18" s="65" customFormat="1" ht="82.5" customHeight="1" x14ac:dyDescent="0.55000000000000004">
      <c r="A64" s="77" t="s">
        <v>136</v>
      </c>
      <c r="B64" s="78" t="s">
        <v>179</v>
      </c>
      <c r="C64" s="208"/>
      <c r="D64" s="209"/>
      <c r="E64" s="209"/>
      <c r="F64" s="209"/>
      <c r="G64" s="210"/>
      <c r="H64" s="79">
        <v>2</v>
      </c>
      <c r="I64" s="80"/>
      <c r="J64" s="79"/>
      <c r="K64" s="79"/>
      <c r="L64" s="75"/>
      <c r="M64" s="76" t="s">
        <v>38</v>
      </c>
      <c r="N64" s="211" t="s">
        <v>137</v>
      </c>
      <c r="O64" s="212"/>
      <c r="P64" s="71"/>
      <c r="Q64" s="63"/>
      <c r="R64" s="64"/>
    </row>
    <row r="65" spans="1:18" s="65" customFormat="1" ht="78.75" customHeight="1" x14ac:dyDescent="0.55000000000000004">
      <c r="A65" s="77" t="s">
        <v>138</v>
      </c>
      <c r="B65" s="78" t="s">
        <v>139</v>
      </c>
      <c r="C65" s="208"/>
      <c r="D65" s="209"/>
      <c r="E65" s="209"/>
      <c r="F65" s="209"/>
      <c r="G65" s="210"/>
      <c r="H65" s="79">
        <v>2</v>
      </c>
      <c r="I65" s="80"/>
      <c r="J65" s="79"/>
      <c r="K65" s="79"/>
      <c r="L65" s="75"/>
      <c r="M65" s="76" t="s">
        <v>39</v>
      </c>
      <c r="N65" s="211" t="s">
        <v>140</v>
      </c>
      <c r="O65" s="212"/>
      <c r="P65" s="71"/>
      <c r="Q65" s="63"/>
      <c r="R65" s="64"/>
    </row>
    <row r="66" spans="1:18" s="65" customFormat="1" ht="36" x14ac:dyDescent="0.55000000000000004">
      <c r="A66" s="81">
        <v>2</v>
      </c>
      <c r="B66" s="82" t="s">
        <v>141</v>
      </c>
      <c r="C66" s="202"/>
      <c r="D66" s="203"/>
      <c r="E66" s="203"/>
      <c r="F66" s="203"/>
      <c r="G66" s="204"/>
      <c r="H66" s="79"/>
      <c r="I66" s="80"/>
      <c r="J66" s="79"/>
      <c r="K66" s="79"/>
      <c r="L66" s="75"/>
      <c r="M66" s="76" t="s">
        <v>40</v>
      </c>
      <c r="N66" s="211" t="s">
        <v>142</v>
      </c>
      <c r="O66" s="212"/>
      <c r="P66" s="71"/>
      <c r="Q66" s="63"/>
      <c r="R66" s="64"/>
    </row>
    <row r="67" spans="1:18" s="65" customFormat="1" ht="82.5" customHeight="1" x14ac:dyDescent="0.55000000000000004">
      <c r="A67" s="77" t="s">
        <v>134</v>
      </c>
      <c r="B67" s="83" t="s">
        <v>180</v>
      </c>
      <c r="C67" s="194"/>
      <c r="D67" s="195"/>
      <c r="E67" s="195"/>
      <c r="F67" s="195"/>
      <c r="G67" s="196"/>
      <c r="H67" s="79">
        <v>2</v>
      </c>
      <c r="I67" s="80"/>
      <c r="J67" s="79"/>
      <c r="K67" s="79"/>
      <c r="L67" s="75"/>
      <c r="M67" s="76" t="s">
        <v>41</v>
      </c>
      <c r="N67" s="211" t="s">
        <v>143</v>
      </c>
      <c r="O67" s="212"/>
      <c r="P67" s="84"/>
      <c r="Q67" s="63"/>
      <c r="R67" s="64"/>
    </row>
    <row r="68" spans="1:18" s="65" customFormat="1" ht="114.75" customHeight="1" x14ac:dyDescent="0.55000000000000004">
      <c r="A68" s="77" t="s">
        <v>136</v>
      </c>
      <c r="B68" s="83" t="s">
        <v>181</v>
      </c>
      <c r="C68" s="194"/>
      <c r="D68" s="195"/>
      <c r="E68" s="195"/>
      <c r="F68" s="195"/>
      <c r="G68" s="196"/>
      <c r="H68" s="79">
        <v>2</v>
      </c>
      <c r="I68" s="80"/>
      <c r="J68" s="79"/>
      <c r="K68" s="79"/>
      <c r="L68" s="75"/>
      <c r="M68" s="71" t="s">
        <v>131</v>
      </c>
      <c r="N68" s="85" t="s">
        <v>144</v>
      </c>
      <c r="O68" s="86"/>
      <c r="P68" s="84"/>
      <c r="Q68" s="63"/>
      <c r="R68" s="64"/>
    </row>
    <row r="69" spans="1:18" s="65" customFormat="1" ht="72" customHeight="1" x14ac:dyDescent="0.55000000000000004">
      <c r="A69" s="77" t="s">
        <v>138</v>
      </c>
      <c r="B69" s="83" t="s">
        <v>182</v>
      </c>
      <c r="C69" s="194"/>
      <c r="D69" s="195"/>
      <c r="E69" s="195"/>
      <c r="F69" s="195"/>
      <c r="G69" s="196"/>
      <c r="H69" s="79">
        <v>2</v>
      </c>
      <c r="I69" s="80"/>
      <c r="J69" s="79"/>
      <c r="K69" s="79"/>
      <c r="L69" s="75"/>
      <c r="M69" s="71" t="s">
        <v>145</v>
      </c>
      <c r="N69" s="85" t="s">
        <v>146</v>
      </c>
      <c r="O69" s="86"/>
      <c r="P69" s="84"/>
      <c r="Q69" s="63"/>
      <c r="R69" s="64"/>
    </row>
    <row r="70" spans="1:18" s="65" customFormat="1" ht="66" customHeight="1" x14ac:dyDescent="0.55000000000000004">
      <c r="A70" s="81">
        <v>3</v>
      </c>
      <c r="B70" s="82" t="s">
        <v>147</v>
      </c>
      <c r="C70" s="202"/>
      <c r="D70" s="203"/>
      <c r="E70" s="203"/>
      <c r="F70" s="203"/>
      <c r="G70" s="204"/>
      <c r="H70" s="79"/>
      <c r="I70" s="80"/>
      <c r="J70" s="79"/>
      <c r="K70" s="79"/>
      <c r="L70" s="75"/>
      <c r="M70" s="71" t="s">
        <v>129</v>
      </c>
      <c r="N70" s="85" t="s">
        <v>148</v>
      </c>
      <c r="O70" s="86"/>
      <c r="P70" s="84"/>
      <c r="Q70" s="63"/>
      <c r="R70" s="64"/>
    </row>
    <row r="71" spans="1:18" s="65" customFormat="1" ht="72" customHeight="1" x14ac:dyDescent="0.55000000000000004">
      <c r="A71" s="77" t="s">
        <v>134</v>
      </c>
      <c r="B71" s="83" t="s">
        <v>149</v>
      </c>
      <c r="C71" s="205"/>
      <c r="D71" s="206"/>
      <c r="E71" s="206"/>
      <c r="F71" s="206"/>
      <c r="G71" s="207"/>
      <c r="H71" s="79">
        <v>2</v>
      </c>
      <c r="I71" s="80"/>
      <c r="J71" s="79"/>
      <c r="K71" s="79"/>
      <c r="L71" s="75"/>
      <c r="M71" s="71" t="s">
        <v>130</v>
      </c>
      <c r="N71" s="85" t="s">
        <v>150</v>
      </c>
      <c r="O71" s="86"/>
      <c r="P71" s="84"/>
      <c r="Q71" s="63"/>
      <c r="R71" s="64"/>
    </row>
    <row r="72" spans="1:18" s="65" customFormat="1" ht="72" customHeight="1" x14ac:dyDescent="0.55000000000000004">
      <c r="A72" s="77" t="s">
        <v>136</v>
      </c>
      <c r="B72" s="83" t="s">
        <v>183</v>
      </c>
      <c r="C72" s="205"/>
      <c r="D72" s="206"/>
      <c r="E72" s="206"/>
      <c r="F72" s="206"/>
      <c r="G72" s="207"/>
      <c r="H72" s="79">
        <v>2</v>
      </c>
      <c r="I72" s="80"/>
      <c r="J72" s="79"/>
      <c r="K72" s="79"/>
      <c r="L72" s="75"/>
      <c r="M72" s="71" t="s">
        <v>151</v>
      </c>
      <c r="N72" s="85" t="s">
        <v>152</v>
      </c>
      <c r="O72" s="86"/>
      <c r="P72" s="84"/>
      <c r="Q72" s="63"/>
      <c r="R72" s="64"/>
    </row>
    <row r="73" spans="1:18" s="65" customFormat="1" ht="44.25" customHeight="1" x14ac:dyDescent="0.55000000000000004">
      <c r="A73" s="77" t="s">
        <v>138</v>
      </c>
      <c r="B73" s="83" t="s">
        <v>184</v>
      </c>
      <c r="C73" s="205"/>
      <c r="D73" s="206"/>
      <c r="E73" s="206"/>
      <c r="F73" s="206"/>
      <c r="G73" s="207"/>
      <c r="H73" s="79">
        <v>2</v>
      </c>
      <c r="I73" s="80"/>
      <c r="J73" s="79"/>
      <c r="K73" s="79"/>
      <c r="L73" s="75"/>
      <c r="M73" s="87"/>
      <c r="N73" s="87"/>
      <c r="O73" s="87"/>
      <c r="P73" s="88"/>
      <c r="Q73" s="63"/>
      <c r="R73" s="64"/>
    </row>
    <row r="74" spans="1:18" s="65" customFormat="1" ht="31.5" customHeight="1" x14ac:dyDescent="0.55000000000000004">
      <c r="A74" s="192" t="s">
        <v>153</v>
      </c>
      <c r="B74" s="193"/>
      <c r="C74" s="193"/>
      <c r="D74" s="193"/>
      <c r="E74" s="193"/>
      <c r="F74" s="193"/>
      <c r="G74" s="193"/>
      <c r="H74" s="89">
        <f>SUM(H63:H73)</f>
        <v>20</v>
      </c>
      <c r="I74" s="89">
        <f>SUM(I63:I73)</f>
        <v>0</v>
      </c>
      <c r="J74" s="89"/>
      <c r="K74" s="90"/>
      <c r="L74" s="75"/>
      <c r="M74" s="87"/>
      <c r="N74" s="87"/>
      <c r="O74" s="87"/>
      <c r="P74" s="88"/>
      <c r="Q74" s="63"/>
      <c r="R74" s="64"/>
    </row>
    <row r="75" spans="1:18" s="65" customFormat="1" ht="36" customHeight="1" x14ac:dyDescent="0.55000000000000004">
      <c r="A75" s="91" t="s">
        <v>134</v>
      </c>
      <c r="B75" s="92" t="s">
        <v>154</v>
      </c>
      <c r="C75" s="194" t="s">
        <v>155</v>
      </c>
      <c r="D75" s="195"/>
      <c r="E75" s="195"/>
      <c r="F75" s="195"/>
      <c r="G75" s="196"/>
      <c r="H75" s="93">
        <v>4</v>
      </c>
      <c r="I75" s="94"/>
      <c r="J75" s="93"/>
      <c r="K75" s="95"/>
      <c r="L75" s="75"/>
      <c r="M75" s="87"/>
      <c r="N75" s="87"/>
      <c r="O75" s="87"/>
      <c r="P75" s="88"/>
      <c r="Q75" s="63"/>
      <c r="R75" s="64"/>
    </row>
    <row r="76" spans="1:18" s="65" customFormat="1" ht="129" customHeight="1" x14ac:dyDescent="0.55000000000000004">
      <c r="A76" s="91" t="s">
        <v>136</v>
      </c>
      <c r="B76" s="92" t="s">
        <v>156</v>
      </c>
      <c r="C76" s="194" t="s">
        <v>157</v>
      </c>
      <c r="D76" s="195"/>
      <c r="E76" s="195"/>
      <c r="F76" s="195"/>
      <c r="G76" s="196"/>
      <c r="H76" s="93">
        <v>3</v>
      </c>
      <c r="I76" s="94"/>
      <c r="J76" s="93"/>
      <c r="K76" s="95"/>
      <c r="L76" s="75"/>
      <c r="M76" s="87"/>
      <c r="N76" s="87"/>
      <c r="O76" s="87"/>
      <c r="P76" s="88"/>
      <c r="Q76" s="63"/>
      <c r="R76" s="64"/>
    </row>
    <row r="77" spans="1:18" s="65" customFormat="1" ht="69" customHeight="1" x14ac:dyDescent="0.55000000000000004">
      <c r="A77" s="91" t="s">
        <v>136</v>
      </c>
      <c r="B77" s="92" t="s">
        <v>158</v>
      </c>
      <c r="C77" s="194" t="s">
        <v>159</v>
      </c>
      <c r="D77" s="195"/>
      <c r="E77" s="195"/>
      <c r="F77" s="195"/>
      <c r="G77" s="196"/>
      <c r="H77" s="93">
        <v>3</v>
      </c>
      <c r="I77" s="94"/>
      <c r="J77" s="93"/>
      <c r="K77" s="95"/>
      <c r="L77" s="75"/>
      <c r="M77" s="87"/>
      <c r="N77" s="87"/>
      <c r="O77" s="87"/>
      <c r="P77" s="88"/>
      <c r="Q77" s="63"/>
      <c r="R77" s="64"/>
    </row>
    <row r="78" spans="1:18" s="65" customFormat="1" ht="46.5" customHeight="1" x14ac:dyDescent="0.55000000000000004">
      <c r="A78" s="96"/>
      <c r="B78" s="197" t="s">
        <v>160</v>
      </c>
      <c r="C78" s="197"/>
      <c r="D78" s="197"/>
      <c r="E78" s="97"/>
      <c r="F78" s="97"/>
      <c r="G78" s="97"/>
      <c r="H78" s="89">
        <f>SUM(H75:H77)</f>
        <v>10</v>
      </c>
      <c r="I78" s="89">
        <f>SUM(I75:I77)</f>
        <v>0</v>
      </c>
      <c r="J78" s="97"/>
      <c r="K78" s="98"/>
      <c r="L78" s="87"/>
      <c r="M78" s="87"/>
      <c r="N78" s="87"/>
      <c r="O78" s="87"/>
      <c r="P78" s="88"/>
      <c r="Q78" s="63"/>
      <c r="R78" s="64"/>
    </row>
    <row r="79" spans="1:18" s="101" customFormat="1" ht="45" customHeight="1" x14ac:dyDescent="0.7">
      <c r="A79" s="99"/>
      <c r="B79" s="198"/>
      <c r="C79" s="100"/>
      <c r="D79" s="100"/>
      <c r="E79" s="100"/>
      <c r="F79" s="201"/>
      <c r="G79" s="201"/>
      <c r="H79" s="201"/>
      <c r="I79" s="201"/>
      <c r="J79" s="201"/>
      <c r="K79" s="100"/>
      <c r="L79" s="100"/>
      <c r="M79" s="100"/>
      <c r="N79" s="100"/>
      <c r="O79" s="183" t="s">
        <v>185</v>
      </c>
      <c r="P79" s="184"/>
      <c r="Q79" s="183" t="s">
        <v>186</v>
      </c>
      <c r="R79" s="185"/>
    </row>
    <row r="80" spans="1:18" s="101" customFormat="1" ht="45" customHeight="1" x14ac:dyDescent="0.7">
      <c r="A80" s="99"/>
      <c r="B80" s="199"/>
      <c r="C80" s="179" t="s">
        <v>187</v>
      </c>
      <c r="D80" s="180"/>
      <c r="E80" s="180"/>
      <c r="F80" s="180"/>
      <c r="G80" s="180"/>
      <c r="H80" s="180"/>
      <c r="I80" s="180"/>
      <c r="J80" s="180"/>
      <c r="K80" s="181"/>
      <c r="L80" s="174"/>
      <c r="M80" s="175"/>
      <c r="N80" s="176"/>
      <c r="O80" s="177">
        <f>R59</f>
        <v>0</v>
      </c>
      <c r="P80" s="178"/>
      <c r="Q80" s="186">
        <f>O83/100 * 20</f>
        <v>0</v>
      </c>
      <c r="R80" s="187"/>
    </row>
    <row r="81" spans="1:18" s="101" customFormat="1" ht="45" customHeight="1" x14ac:dyDescent="0.7">
      <c r="A81" s="99"/>
      <c r="B81" s="199"/>
      <c r="C81" s="180" t="s">
        <v>188</v>
      </c>
      <c r="D81" s="180"/>
      <c r="E81" s="180"/>
      <c r="F81" s="180"/>
      <c r="G81" s="180"/>
      <c r="H81" s="180"/>
      <c r="I81" s="180"/>
      <c r="J81" s="180"/>
      <c r="K81" s="180"/>
      <c r="L81" s="175"/>
      <c r="M81" s="175"/>
      <c r="N81" s="176"/>
      <c r="O81" s="177">
        <f>I74</f>
        <v>0</v>
      </c>
      <c r="P81" s="178"/>
      <c r="Q81" s="188"/>
      <c r="R81" s="189"/>
    </row>
    <row r="82" spans="1:18" s="101" customFormat="1" ht="45" customHeight="1" x14ac:dyDescent="0.7">
      <c r="A82" s="99"/>
      <c r="B82" s="199"/>
      <c r="C82" s="179" t="s">
        <v>189</v>
      </c>
      <c r="D82" s="180"/>
      <c r="E82" s="180"/>
      <c r="F82" s="180"/>
      <c r="G82" s="180"/>
      <c r="H82" s="180"/>
      <c r="I82" s="180"/>
      <c r="J82" s="180"/>
      <c r="K82" s="181"/>
      <c r="L82" s="174"/>
      <c r="M82" s="175"/>
      <c r="N82" s="176"/>
      <c r="O82" s="177">
        <f>I78</f>
        <v>0</v>
      </c>
      <c r="P82" s="178"/>
      <c r="Q82" s="188"/>
      <c r="R82" s="189"/>
    </row>
    <row r="83" spans="1:18" s="101" customFormat="1" ht="45" customHeight="1" x14ac:dyDescent="0.7">
      <c r="A83" s="99"/>
      <c r="B83" s="200"/>
      <c r="C83" s="179" t="s">
        <v>190</v>
      </c>
      <c r="D83" s="180"/>
      <c r="E83" s="180"/>
      <c r="F83" s="180"/>
      <c r="G83" s="180"/>
      <c r="H83" s="180"/>
      <c r="I83" s="180"/>
      <c r="J83" s="180"/>
      <c r="K83" s="181"/>
      <c r="L83" s="174"/>
      <c r="M83" s="175"/>
      <c r="N83" s="176"/>
      <c r="O83" s="177">
        <f>SUM(O80:P82)</f>
        <v>0</v>
      </c>
      <c r="P83" s="178"/>
      <c r="Q83" s="190"/>
      <c r="R83" s="191"/>
    </row>
    <row r="84" spans="1:18" s="101" customFormat="1" ht="64.900000000000006" customHeight="1" x14ac:dyDescent="0.7">
      <c r="A84" s="99"/>
      <c r="B84" s="182" t="s">
        <v>191</v>
      </c>
      <c r="C84" s="182"/>
      <c r="D84" s="182"/>
      <c r="E84" s="182"/>
      <c r="F84" s="182"/>
      <c r="G84" s="182"/>
      <c r="H84" s="102"/>
      <c r="I84" s="102"/>
      <c r="J84" s="102"/>
      <c r="K84" s="102"/>
      <c r="L84" s="102"/>
      <c r="M84" s="102"/>
      <c r="N84" s="102"/>
      <c r="O84" s="102"/>
      <c r="P84" s="102"/>
      <c r="Q84" s="102"/>
      <c r="R84" s="103"/>
    </row>
    <row r="85" spans="1:18" s="101" customFormat="1" ht="64.900000000000006" customHeight="1" x14ac:dyDescent="0.7">
      <c r="A85" s="99"/>
      <c r="B85" s="165" t="s">
        <v>192</v>
      </c>
      <c r="C85" s="165"/>
      <c r="D85" s="165"/>
      <c r="E85" s="165"/>
      <c r="F85" s="165"/>
      <c r="G85" s="165"/>
      <c r="H85" s="165"/>
      <c r="I85" s="165"/>
      <c r="J85" s="165"/>
      <c r="K85" s="165"/>
      <c r="L85" s="165"/>
      <c r="M85" s="165"/>
      <c r="N85" s="165"/>
      <c r="O85" s="165"/>
      <c r="P85" s="165"/>
      <c r="Q85" s="165"/>
      <c r="R85" s="166"/>
    </row>
    <row r="86" spans="1:18" s="101" customFormat="1" ht="48.75" customHeight="1" x14ac:dyDescent="0.7">
      <c r="A86" s="99"/>
      <c r="B86" s="167" t="s">
        <v>193</v>
      </c>
      <c r="C86" s="167"/>
      <c r="D86" s="167"/>
      <c r="E86" s="167"/>
      <c r="F86" s="167"/>
      <c r="G86" s="167"/>
      <c r="H86" s="104"/>
      <c r="I86" s="104"/>
      <c r="J86" s="104"/>
      <c r="K86" s="104"/>
      <c r="L86" s="104"/>
      <c r="M86" s="104"/>
      <c r="N86" s="104"/>
      <c r="O86" s="104"/>
      <c r="P86" s="104"/>
      <c r="Q86" s="104"/>
      <c r="R86" s="105"/>
    </row>
    <row r="87" spans="1:18" s="101" customFormat="1" ht="45.75" x14ac:dyDescent="0.7">
      <c r="A87" s="99"/>
      <c r="B87" s="165"/>
      <c r="C87" s="165"/>
      <c r="D87" s="165"/>
      <c r="E87" s="165"/>
      <c r="F87" s="165"/>
      <c r="G87" s="165"/>
      <c r="H87" s="165"/>
      <c r="I87" s="165"/>
      <c r="J87" s="165"/>
      <c r="K87" s="165"/>
      <c r="L87" s="165"/>
      <c r="M87" s="165"/>
      <c r="N87" s="165"/>
      <c r="O87" s="165"/>
      <c r="P87" s="165"/>
      <c r="Q87" s="165"/>
      <c r="R87" s="166"/>
    </row>
    <row r="88" spans="1:18" s="65" customFormat="1" ht="31.5" customHeight="1" x14ac:dyDescent="0.55000000000000004">
      <c r="A88" s="168" t="s">
        <v>194</v>
      </c>
      <c r="B88" s="152"/>
      <c r="C88" s="144"/>
      <c r="D88" s="145"/>
      <c r="E88" s="148" t="s">
        <v>195</v>
      </c>
      <c r="F88" s="150"/>
      <c r="G88" s="152" t="s">
        <v>196</v>
      </c>
      <c r="H88" s="144"/>
      <c r="I88" s="144"/>
      <c r="J88" s="144"/>
      <c r="K88" s="106"/>
      <c r="L88" s="75"/>
      <c r="M88" s="171"/>
      <c r="N88" s="171"/>
      <c r="O88" s="171"/>
      <c r="P88" s="171"/>
      <c r="Q88" s="171"/>
      <c r="R88" s="64"/>
    </row>
    <row r="89" spans="1:18" s="65" customFormat="1" ht="31.5" customHeight="1" x14ac:dyDescent="0.55000000000000004">
      <c r="A89" s="142"/>
      <c r="B89" s="143"/>
      <c r="C89" s="158"/>
      <c r="D89" s="159"/>
      <c r="E89" s="170"/>
      <c r="F89" s="163"/>
      <c r="G89" s="143"/>
      <c r="H89" s="158"/>
      <c r="I89" s="158"/>
      <c r="J89" s="158"/>
      <c r="K89" s="106"/>
      <c r="L89" s="75"/>
      <c r="M89" s="172"/>
      <c r="N89" s="172"/>
      <c r="O89" s="172"/>
      <c r="P89" s="172"/>
      <c r="Q89" s="172"/>
      <c r="R89" s="64"/>
    </row>
    <row r="90" spans="1:18" s="65" customFormat="1" ht="31.5" customHeight="1" x14ac:dyDescent="0.55000000000000004">
      <c r="A90" s="142"/>
      <c r="B90" s="143"/>
      <c r="C90" s="158"/>
      <c r="D90" s="159"/>
      <c r="E90" s="170"/>
      <c r="F90" s="163"/>
      <c r="G90" s="143"/>
      <c r="H90" s="158"/>
      <c r="I90" s="158"/>
      <c r="J90" s="158"/>
      <c r="K90" s="106"/>
      <c r="L90" s="75"/>
      <c r="M90" s="172"/>
      <c r="N90" s="172"/>
      <c r="O90" s="172"/>
      <c r="P90" s="172"/>
      <c r="Q90" s="172"/>
      <c r="R90" s="64"/>
    </row>
    <row r="91" spans="1:18" s="65" customFormat="1" ht="31.5" customHeight="1" x14ac:dyDescent="0.55000000000000004">
      <c r="A91" s="169"/>
      <c r="B91" s="153"/>
      <c r="C91" s="146"/>
      <c r="D91" s="147"/>
      <c r="E91" s="149"/>
      <c r="F91" s="151"/>
      <c r="G91" s="153"/>
      <c r="H91" s="146"/>
      <c r="I91" s="146"/>
      <c r="J91" s="146"/>
      <c r="K91" s="106"/>
      <c r="L91" s="75"/>
      <c r="M91" s="172"/>
      <c r="N91" s="172"/>
      <c r="O91" s="172"/>
      <c r="P91" s="172"/>
      <c r="Q91" s="172"/>
      <c r="R91" s="64"/>
    </row>
    <row r="92" spans="1:18" s="65" customFormat="1" ht="31.5" customHeight="1" x14ac:dyDescent="0.55000000000000004">
      <c r="A92" s="154" t="s">
        <v>161</v>
      </c>
      <c r="B92" s="155"/>
      <c r="C92" s="144"/>
      <c r="D92" s="145"/>
      <c r="E92" s="160" t="s">
        <v>197</v>
      </c>
      <c r="F92" s="150"/>
      <c r="G92" s="155" t="s">
        <v>197</v>
      </c>
      <c r="H92" s="144"/>
      <c r="I92" s="144"/>
      <c r="J92" s="144"/>
      <c r="K92" s="106"/>
      <c r="L92" s="75"/>
      <c r="M92" s="172"/>
      <c r="N92" s="172"/>
      <c r="O92" s="172"/>
      <c r="P92" s="172"/>
      <c r="Q92" s="172"/>
      <c r="R92" s="64"/>
    </row>
    <row r="93" spans="1:18" s="65" customFormat="1" ht="31.5" customHeight="1" x14ac:dyDescent="0.55000000000000004">
      <c r="A93" s="156"/>
      <c r="B93" s="157"/>
      <c r="C93" s="158"/>
      <c r="D93" s="159"/>
      <c r="E93" s="161"/>
      <c r="F93" s="163"/>
      <c r="G93" s="157"/>
      <c r="H93" s="158"/>
      <c r="I93" s="158"/>
      <c r="J93" s="158"/>
      <c r="K93" s="106"/>
      <c r="L93" s="75"/>
      <c r="M93" s="172"/>
      <c r="N93" s="172"/>
      <c r="O93" s="172"/>
      <c r="P93" s="172"/>
      <c r="Q93" s="172"/>
      <c r="R93" s="64"/>
    </row>
    <row r="94" spans="1:18" s="65" customFormat="1" ht="31.5" customHeight="1" x14ac:dyDescent="0.55000000000000004">
      <c r="A94" s="156"/>
      <c r="B94" s="157"/>
      <c r="C94" s="146"/>
      <c r="D94" s="147"/>
      <c r="E94" s="162"/>
      <c r="F94" s="151"/>
      <c r="G94" s="164"/>
      <c r="H94" s="146"/>
      <c r="I94" s="146"/>
      <c r="J94" s="146"/>
      <c r="K94" s="106"/>
      <c r="L94" s="75"/>
      <c r="M94" s="172"/>
      <c r="N94" s="172"/>
      <c r="O94" s="172"/>
      <c r="P94" s="172"/>
      <c r="Q94" s="172"/>
      <c r="R94" s="64"/>
    </row>
    <row r="95" spans="1:18" s="65" customFormat="1" ht="31.5" customHeight="1" x14ac:dyDescent="0.55000000000000004">
      <c r="A95" s="142" t="s">
        <v>162</v>
      </c>
      <c r="B95" s="143"/>
      <c r="C95" s="144"/>
      <c r="D95" s="145"/>
      <c r="E95" s="148" t="s">
        <v>198</v>
      </c>
      <c r="F95" s="150"/>
      <c r="G95" s="152" t="s">
        <v>198</v>
      </c>
      <c r="H95" s="144"/>
      <c r="I95" s="144"/>
      <c r="J95" s="144"/>
      <c r="K95" s="106"/>
      <c r="L95" s="75"/>
      <c r="M95" s="172"/>
      <c r="N95" s="172"/>
      <c r="O95" s="172"/>
      <c r="P95" s="172"/>
      <c r="Q95" s="172"/>
      <c r="R95" s="64"/>
    </row>
    <row r="96" spans="1:18" s="65" customFormat="1" ht="31.5" customHeight="1" x14ac:dyDescent="0.55000000000000004">
      <c r="A96" s="142"/>
      <c r="B96" s="143"/>
      <c r="C96" s="146"/>
      <c r="D96" s="147"/>
      <c r="E96" s="149"/>
      <c r="F96" s="151"/>
      <c r="G96" s="153"/>
      <c r="H96" s="146"/>
      <c r="I96" s="146"/>
      <c r="J96" s="146"/>
      <c r="K96" s="106"/>
      <c r="L96" s="75"/>
      <c r="M96" s="172"/>
      <c r="N96" s="172"/>
      <c r="O96" s="172"/>
      <c r="P96" s="172"/>
      <c r="Q96" s="172"/>
      <c r="R96" s="64"/>
    </row>
    <row r="97" spans="1:18" s="65" customFormat="1" ht="31.5" customHeight="1" thickBot="1" x14ac:dyDescent="0.6">
      <c r="A97" s="139"/>
      <c r="B97" s="140"/>
      <c r="C97" s="140"/>
      <c r="D97" s="140"/>
      <c r="E97" s="140"/>
      <c r="F97" s="140"/>
      <c r="G97" s="140"/>
      <c r="H97" s="140"/>
      <c r="I97" s="140"/>
      <c r="J97" s="140"/>
      <c r="K97" s="107"/>
      <c r="L97" s="108"/>
      <c r="M97" s="173"/>
      <c r="N97" s="173"/>
      <c r="O97" s="173"/>
      <c r="P97" s="173"/>
      <c r="Q97" s="173"/>
      <c r="R97" s="109"/>
    </row>
  </sheetData>
  <mergeCells count="139">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9:Q59"/>
    <mergeCell ref="A60:G60"/>
    <mergeCell ref="H60:K60"/>
    <mergeCell ref="L60:L61"/>
    <mergeCell ref="C61:G61"/>
    <mergeCell ref="D28:D29"/>
    <mergeCell ref="D30:D31"/>
    <mergeCell ref="D32:D33"/>
    <mergeCell ref="D34:D35"/>
    <mergeCell ref="G17:G18"/>
    <mergeCell ref="H17:H18"/>
    <mergeCell ref="I17:I18"/>
    <mergeCell ref="J17:O17"/>
    <mergeCell ref="P17:P18"/>
    <mergeCell ref="Q17:Q18"/>
    <mergeCell ref="C65:G65"/>
    <mergeCell ref="N65:O65"/>
    <mergeCell ref="C66:G66"/>
    <mergeCell ref="N66:O66"/>
    <mergeCell ref="C67:G67"/>
    <mergeCell ref="N67:O67"/>
    <mergeCell ref="C62:G62"/>
    <mergeCell ref="N62:O62"/>
    <mergeCell ref="C63:G63"/>
    <mergeCell ref="N63:O63"/>
    <mergeCell ref="C64:G64"/>
    <mergeCell ref="N64:O64"/>
    <mergeCell ref="A74:G74"/>
    <mergeCell ref="C75:G75"/>
    <mergeCell ref="C76:G76"/>
    <mergeCell ref="C77:G77"/>
    <mergeCell ref="B78:D78"/>
    <mergeCell ref="B79:B83"/>
    <mergeCell ref="F79:J79"/>
    <mergeCell ref="C68:G68"/>
    <mergeCell ref="C69:G69"/>
    <mergeCell ref="C70:G70"/>
    <mergeCell ref="C71:G71"/>
    <mergeCell ref="C72:G72"/>
    <mergeCell ref="C73:G73"/>
    <mergeCell ref="O79:P79"/>
    <mergeCell ref="Q79:R79"/>
    <mergeCell ref="C80:K80"/>
    <mergeCell ref="L80:N80"/>
    <mergeCell ref="O80:P80"/>
    <mergeCell ref="Q80:R83"/>
    <mergeCell ref="C81:K81"/>
    <mergeCell ref="L81:N81"/>
    <mergeCell ref="O81:P81"/>
    <mergeCell ref="C82:K82"/>
    <mergeCell ref="A88:B91"/>
    <mergeCell ref="C88:D91"/>
    <mergeCell ref="E88:E91"/>
    <mergeCell ref="F88:F91"/>
    <mergeCell ref="G88:G91"/>
    <mergeCell ref="H88:J91"/>
    <mergeCell ref="M88:Q97"/>
    <mergeCell ref="L82:N82"/>
    <mergeCell ref="O82:P82"/>
    <mergeCell ref="C83:K83"/>
    <mergeCell ref="L83:N83"/>
    <mergeCell ref="O83:P83"/>
    <mergeCell ref="B84:G84"/>
    <mergeCell ref="A19:A24"/>
    <mergeCell ref="B19:B24"/>
    <mergeCell ref="C19:C24"/>
    <mergeCell ref="D19:D21"/>
    <mergeCell ref="D22:D24"/>
    <mergeCell ref="A25:A35"/>
    <mergeCell ref="B25:B35"/>
    <mergeCell ref="C25:C35"/>
    <mergeCell ref="D25:D27"/>
    <mergeCell ref="A36:A45"/>
    <mergeCell ref="B36:B45"/>
    <mergeCell ref="C36:C45"/>
    <mergeCell ref="D36:D37"/>
    <mergeCell ref="D38:D39"/>
    <mergeCell ref="D40:D41"/>
    <mergeCell ref="D42:D43"/>
    <mergeCell ref="D44:D45"/>
    <mergeCell ref="A97:J97"/>
    <mergeCell ref="A95:B96"/>
    <mergeCell ref="C95:D96"/>
    <mergeCell ref="E95:E96"/>
    <mergeCell ref="F95:F96"/>
    <mergeCell ref="G95:G96"/>
    <mergeCell ref="H95:J96"/>
    <mergeCell ref="A92:B94"/>
    <mergeCell ref="C92:D94"/>
    <mergeCell ref="E92:E94"/>
    <mergeCell ref="F92:F94"/>
    <mergeCell ref="G92:G94"/>
    <mergeCell ref="H92:J94"/>
    <mergeCell ref="B85:R85"/>
    <mergeCell ref="B86:G86"/>
    <mergeCell ref="B87:R87"/>
    <mergeCell ref="A53:A54"/>
    <mergeCell ref="B53:B54"/>
    <mergeCell ref="C53:C54"/>
    <mergeCell ref="D53:D54"/>
    <mergeCell ref="A56:A57"/>
    <mergeCell ref="B56:B57"/>
    <mergeCell ref="C56:C57"/>
    <mergeCell ref="A46:A48"/>
    <mergeCell ref="B46:B48"/>
    <mergeCell ref="C46:C48"/>
    <mergeCell ref="D46:D48"/>
    <mergeCell ref="A50:A52"/>
    <mergeCell ref="B50:B52"/>
    <mergeCell ref="C50:C52"/>
    <mergeCell ref="D50:D52"/>
  </mergeCells>
  <hyperlinks>
    <hyperlink ref="E8" r:id="rId1" display="jakinbodewa@gmail.com" xr:uid="{2AE7680D-32C1-4DC3-9EF0-4DFE972152F6}"/>
  </hyperlinks>
  <pageMargins left="0.7" right="0.7" top="0.75" bottom="0.75" header="0.3" footer="0.3"/>
  <pageSetup scale="14"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F940-0C96-4FB3-A667-3BF54CDFD8DA}">
  <sheetPr>
    <pageSetUpPr fitToPage="1"/>
  </sheetPr>
  <dimension ref="A1:R97"/>
  <sheetViews>
    <sheetView zoomScale="30" zoomScaleNormal="30" workbookViewId="0">
      <selection activeCell="F19" sqref="F19:F57"/>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58" t="s">
        <v>163</v>
      </c>
      <c r="B1" s="259"/>
      <c r="C1" s="259"/>
      <c r="D1" s="259"/>
      <c r="E1" s="259"/>
      <c r="F1" s="259"/>
      <c r="G1" s="259"/>
      <c r="H1" s="259"/>
      <c r="I1" s="259"/>
      <c r="J1" s="259"/>
      <c r="K1" s="259"/>
      <c r="L1" s="259"/>
      <c r="M1" s="259"/>
      <c r="N1" s="259"/>
      <c r="O1" s="259"/>
      <c r="P1" s="259"/>
      <c r="Q1" s="259"/>
      <c r="R1" s="260"/>
    </row>
    <row r="2" spans="1:18" ht="31.5" customHeight="1" x14ac:dyDescent="0.25">
      <c r="A2" s="261"/>
      <c r="B2" s="262"/>
      <c r="C2" s="262"/>
      <c r="D2" s="262"/>
      <c r="E2" s="262"/>
      <c r="F2" s="262"/>
      <c r="G2" s="262"/>
      <c r="H2" s="262"/>
      <c r="I2" s="262"/>
      <c r="J2" s="262"/>
      <c r="K2" s="262"/>
      <c r="L2" s="262"/>
      <c r="M2" s="262"/>
      <c r="N2" s="262"/>
      <c r="O2" s="262"/>
      <c r="P2" s="262"/>
      <c r="Q2" s="262"/>
      <c r="R2" s="263"/>
    </row>
    <row r="3" spans="1:18" ht="31.5" customHeight="1" thickBot="1" x14ac:dyDescent="0.3">
      <c r="A3" s="261"/>
      <c r="B3" s="262"/>
      <c r="C3" s="262"/>
      <c r="D3" s="262"/>
      <c r="E3" s="262"/>
      <c r="F3" s="262"/>
      <c r="G3" s="262"/>
      <c r="H3" s="262"/>
      <c r="I3" s="262"/>
      <c r="J3" s="262"/>
      <c r="K3" s="262"/>
      <c r="L3" s="262"/>
      <c r="M3" s="262"/>
      <c r="N3" s="262"/>
      <c r="O3" s="262"/>
      <c r="P3" s="262"/>
      <c r="Q3" s="262"/>
      <c r="R3" s="263"/>
    </row>
    <row r="4" spans="1:18" s="2" customFormat="1" ht="45.75" x14ac:dyDescent="0.25">
      <c r="A4" s="264" t="s">
        <v>0</v>
      </c>
      <c r="B4" s="265"/>
      <c r="C4" s="265"/>
      <c r="D4" s="265"/>
      <c r="E4" s="265"/>
      <c r="F4" s="265"/>
      <c r="G4" s="265"/>
      <c r="H4" s="265"/>
      <c r="I4" s="265"/>
      <c r="J4" s="265"/>
      <c r="K4" s="266"/>
      <c r="L4" s="267"/>
      <c r="M4" s="267"/>
      <c r="N4" s="267"/>
      <c r="O4" s="267"/>
      <c r="P4" s="267"/>
      <c r="Q4" s="267"/>
      <c r="R4" s="268"/>
    </row>
    <row r="5" spans="1:18" s="9" customFormat="1" ht="32.25" x14ac:dyDescent="0.5">
      <c r="A5" s="3" t="s">
        <v>1</v>
      </c>
      <c r="B5" s="4" t="s">
        <v>201</v>
      </c>
      <c r="C5" s="5" t="s">
        <v>2</v>
      </c>
      <c r="D5" s="6" t="s">
        <v>202</v>
      </c>
      <c r="E5" s="275"/>
      <c r="F5" s="275"/>
      <c r="G5" s="275"/>
      <c r="H5" s="275"/>
      <c r="I5" s="7"/>
      <c r="J5" s="8"/>
      <c r="K5" s="269"/>
      <c r="L5" s="270"/>
      <c r="M5" s="270"/>
      <c r="N5" s="270"/>
      <c r="O5" s="270"/>
      <c r="P5" s="270"/>
      <c r="Q5" s="270"/>
      <c r="R5" s="271"/>
    </row>
    <row r="6" spans="1:18" s="12" customFormat="1" ht="38.25" customHeight="1" x14ac:dyDescent="0.55000000000000004">
      <c r="A6" s="276" t="s">
        <v>3</v>
      </c>
      <c r="B6" s="277"/>
      <c r="C6" s="277"/>
      <c r="D6" s="277"/>
      <c r="E6" s="277"/>
      <c r="F6" s="277"/>
      <c r="G6" s="277"/>
      <c r="H6" s="277"/>
      <c r="I6" s="10"/>
      <c r="J6" s="11"/>
      <c r="K6" s="269"/>
      <c r="L6" s="270"/>
      <c r="M6" s="270"/>
      <c r="N6" s="270"/>
      <c r="O6" s="270"/>
      <c r="P6" s="270"/>
      <c r="Q6" s="270"/>
      <c r="R6" s="271"/>
    </row>
    <row r="7" spans="1:18" s="14" customFormat="1" ht="39" x14ac:dyDescent="0.6">
      <c r="A7" s="278" t="s">
        <v>4</v>
      </c>
      <c r="B7" s="278"/>
      <c r="C7" s="113" t="s">
        <v>5</v>
      </c>
      <c r="D7" s="114" t="s">
        <v>6</v>
      </c>
      <c r="E7" s="113" t="s">
        <v>7</v>
      </c>
      <c r="F7" s="114" t="s">
        <v>8</v>
      </c>
      <c r="G7" s="113" t="s">
        <v>9</v>
      </c>
      <c r="H7" s="114" t="s">
        <v>10</v>
      </c>
      <c r="I7" s="279" t="s">
        <v>11</v>
      </c>
      <c r="J7" s="279"/>
      <c r="K7" s="269"/>
      <c r="L7" s="270"/>
      <c r="M7" s="270"/>
      <c r="N7" s="270"/>
      <c r="O7" s="270"/>
      <c r="P7" s="270"/>
      <c r="Q7" s="270"/>
      <c r="R7" s="271"/>
    </row>
    <row r="8" spans="1:18" s="14" customFormat="1" ht="39" x14ac:dyDescent="0.6">
      <c r="A8" s="280" t="s">
        <v>12</v>
      </c>
      <c r="B8" s="280"/>
      <c r="C8" s="113">
        <v>88721</v>
      </c>
      <c r="D8" s="114" t="s">
        <v>13</v>
      </c>
      <c r="E8" s="115" t="s">
        <v>14</v>
      </c>
      <c r="F8" s="114" t="s">
        <v>15</v>
      </c>
      <c r="G8" s="113"/>
      <c r="H8" s="114" t="s">
        <v>16</v>
      </c>
      <c r="I8" s="279" t="s">
        <v>17</v>
      </c>
      <c r="J8" s="279"/>
      <c r="K8" s="269"/>
      <c r="L8" s="270"/>
      <c r="M8" s="270"/>
      <c r="N8" s="270"/>
      <c r="O8" s="270"/>
      <c r="P8" s="270"/>
      <c r="Q8" s="270"/>
      <c r="R8" s="271"/>
    </row>
    <row r="9" spans="1:18" s="14" customFormat="1" ht="62.25" customHeight="1" x14ac:dyDescent="0.6">
      <c r="A9" s="254" t="s">
        <v>18</v>
      </c>
      <c r="B9" s="254"/>
      <c r="C9" s="254"/>
      <c r="D9" s="254"/>
      <c r="E9" s="254"/>
      <c r="F9" s="254"/>
      <c r="G9" s="254"/>
      <c r="H9" s="254"/>
      <c r="I9" s="254"/>
      <c r="J9" s="13"/>
      <c r="K9" s="269"/>
      <c r="L9" s="270"/>
      <c r="M9" s="270"/>
      <c r="N9" s="270"/>
      <c r="O9" s="270"/>
      <c r="P9" s="270"/>
      <c r="Q9" s="270"/>
      <c r="R9" s="271"/>
    </row>
    <row r="10" spans="1:18" s="19" customFormat="1" ht="39" x14ac:dyDescent="0.6">
      <c r="A10" s="246" t="s">
        <v>4</v>
      </c>
      <c r="B10" s="247"/>
      <c r="C10" s="15" t="s">
        <v>19</v>
      </c>
      <c r="D10" s="16" t="s">
        <v>6</v>
      </c>
      <c r="E10" s="15" t="s">
        <v>20</v>
      </c>
      <c r="F10" s="17" t="s">
        <v>8</v>
      </c>
      <c r="G10" s="18" t="s">
        <v>21</v>
      </c>
      <c r="H10" s="16" t="s">
        <v>10</v>
      </c>
      <c r="I10" s="248" t="s">
        <v>22</v>
      </c>
      <c r="J10" s="249"/>
      <c r="K10" s="269"/>
      <c r="L10" s="270"/>
      <c r="M10" s="270"/>
      <c r="N10" s="270"/>
      <c r="O10" s="270"/>
      <c r="P10" s="270"/>
      <c r="Q10" s="270"/>
      <c r="R10" s="271"/>
    </row>
    <row r="11" spans="1:18" s="19" customFormat="1" ht="39.75" x14ac:dyDescent="0.6">
      <c r="A11" s="250" t="s">
        <v>12</v>
      </c>
      <c r="B11" s="251"/>
      <c r="C11" s="20">
        <v>60529</v>
      </c>
      <c r="D11" s="21" t="s">
        <v>13</v>
      </c>
      <c r="E11" s="116" t="s">
        <v>23</v>
      </c>
      <c r="F11" s="22" t="s">
        <v>15</v>
      </c>
      <c r="G11" s="117"/>
      <c r="H11" s="21" t="s">
        <v>16</v>
      </c>
      <c r="I11" s="252" t="s">
        <v>24</v>
      </c>
      <c r="J11" s="253"/>
      <c r="K11" s="269"/>
      <c r="L11" s="270"/>
      <c r="M11" s="270"/>
      <c r="N11" s="270"/>
      <c r="O11" s="270"/>
      <c r="P11" s="270"/>
      <c r="Q11" s="270"/>
      <c r="R11" s="271"/>
    </row>
    <row r="12" spans="1:18" s="14" customFormat="1" ht="39" x14ac:dyDescent="0.6">
      <c r="A12" s="254" t="s">
        <v>25</v>
      </c>
      <c r="B12" s="254"/>
      <c r="C12" s="254"/>
      <c r="D12" s="254"/>
      <c r="E12" s="254"/>
      <c r="F12" s="254"/>
      <c r="G12" s="254"/>
      <c r="H12" s="254"/>
      <c r="I12" s="254"/>
      <c r="J12" s="13"/>
      <c r="K12" s="269"/>
      <c r="L12" s="270"/>
      <c r="M12" s="270"/>
      <c r="N12" s="270"/>
      <c r="O12" s="270"/>
      <c r="P12" s="270"/>
      <c r="Q12" s="270"/>
      <c r="R12" s="271"/>
    </row>
    <row r="13" spans="1:18" s="19" customFormat="1" ht="56.25" customHeight="1" x14ac:dyDescent="0.6">
      <c r="A13" s="255" t="s">
        <v>4</v>
      </c>
      <c r="B13" s="255"/>
      <c r="C13" s="15"/>
      <c r="D13" s="16" t="s">
        <v>6</v>
      </c>
      <c r="E13" s="15"/>
      <c r="F13" s="17" t="s">
        <v>8</v>
      </c>
      <c r="G13" s="18"/>
      <c r="H13" s="16" t="s">
        <v>10</v>
      </c>
      <c r="I13" s="256"/>
      <c r="J13" s="257"/>
      <c r="K13" s="269"/>
      <c r="L13" s="270"/>
      <c r="M13" s="270"/>
      <c r="N13" s="270"/>
      <c r="O13" s="270"/>
      <c r="P13" s="270"/>
      <c r="Q13" s="270"/>
      <c r="R13" s="271"/>
    </row>
    <row r="14" spans="1:18" s="19" customFormat="1" ht="57" customHeight="1" x14ac:dyDescent="0.6">
      <c r="A14" s="235" t="s">
        <v>12</v>
      </c>
      <c r="B14" s="235"/>
      <c r="C14" s="20"/>
      <c r="D14" s="21" t="s">
        <v>13</v>
      </c>
      <c r="E14" s="118"/>
      <c r="F14" s="22" t="s">
        <v>15</v>
      </c>
      <c r="G14" s="117"/>
      <c r="H14" s="21" t="s">
        <v>16</v>
      </c>
      <c r="I14" s="236"/>
      <c r="J14" s="237"/>
      <c r="K14" s="269"/>
      <c r="L14" s="270"/>
      <c r="M14" s="270"/>
      <c r="N14" s="270"/>
      <c r="O14" s="270"/>
      <c r="P14" s="270"/>
      <c r="Q14" s="270"/>
      <c r="R14" s="271"/>
    </row>
    <row r="15" spans="1:18" s="24" customFormat="1" ht="20.25" customHeight="1" thickBot="1" x14ac:dyDescent="0.75">
      <c r="A15" s="238"/>
      <c r="B15" s="239"/>
      <c r="C15" s="239"/>
      <c r="D15" s="239"/>
      <c r="E15" s="239"/>
      <c r="F15" s="239"/>
      <c r="G15" s="239"/>
      <c r="H15" s="239"/>
      <c r="I15" s="239"/>
      <c r="J15" s="23"/>
      <c r="K15" s="272"/>
      <c r="L15" s="273"/>
      <c r="M15" s="273"/>
      <c r="N15" s="273"/>
      <c r="O15" s="273"/>
      <c r="P15" s="273"/>
      <c r="Q15" s="273"/>
      <c r="R15" s="274"/>
    </row>
    <row r="16" spans="1:18" s="24" customFormat="1" ht="47.25" x14ac:dyDescent="0.7">
      <c r="A16" s="240" t="s">
        <v>26</v>
      </c>
      <c r="B16" s="241"/>
      <c r="C16" s="241"/>
      <c r="D16" s="241"/>
      <c r="E16" s="241"/>
      <c r="F16" s="241"/>
      <c r="G16" s="241"/>
      <c r="H16" s="241"/>
      <c r="I16" s="241"/>
      <c r="J16" s="25"/>
      <c r="K16" s="26"/>
      <c r="L16" s="27"/>
      <c r="M16" s="27"/>
      <c r="N16" s="27"/>
      <c r="O16" s="27"/>
      <c r="P16" s="28"/>
      <c r="Q16" s="28"/>
      <c r="R16" s="29"/>
    </row>
    <row r="17" spans="1:18" s="30" customFormat="1" ht="31.5" customHeight="1" x14ac:dyDescent="0.25">
      <c r="A17" s="242" t="s">
        <v>27</v>
      </c>
      <c r="B17" s="244" t="s">
        <v>28</v>
      </c>
      <c r="C17" s="245" t="s">
        <v>29</v>
      </c>
      <c r="D17" s="245" t="s">
        <v>30</v>
      </c>
      <c r="E17" s="245" t="s">
        <v>29</v>
      </c>
      <c r="F17" s="228" t="s">
        <v>31</v>
      </c>
      <c r="G17" s="228" t="s">
        <v>32</v>
      </c>
      <c r="H17" s="230" t="s">
        <v>33</v>
      </c>
      <c r="I17" s="228" t="s">
        <v>34</v>
      </c>
      <c r="J17" s="232" t="s">
        <v>35</v>
      </c>
      <c r="K17" s="233"/>
      <c r="L17" s="233"/>
      <c r="M17" s="233"/>
      <c r="N17" s="233"/>
      <c r="O17" s="234"/>
      <c r="P17" s="225" t="s">
        <v>166</v>
      </c>
      <c r="Q17" s="225" t="s">
        <v>167</v>
      </c>
      <c r="R17" s="216" t="s">
        <v>168</v>
      </c>
    </row>
    <row r="18" spans="1:18" s="30" customFormat="1" ht="36" x14ac:dyDescent="0.25">
      <c r="A18" s="243"/>
      <c r="B18" s="244"/>
      <c r="C18" s="244"/>
      <c r="D18" s="244"/>
      <c r="E18" s="244"/>
      <c r="F18" s="229"/>
      <c r="G18" s="229"/>
      <c r="H18" s="231"/>
      <c r="I18" s="229"/>
      <c r="J18" s="31" t="s">
        <v>169</v>
      </c>
      <c r="K18" s="32" t="s">
        <v>170</v>
      </c>
      <c r="L18" s="32" t="s">
        <v>171</v>
      </c>
      <c r="M18" s="31" t="s">
        <v>172</v>
      </c>
      <c r="N18" s="31" t="s">
        <v>173</v>
      </c>
      <c r="O18" s="31" t="s">
        <v>174</v>
      </c>
      <c r="P18" s="226"/>
      <c r="Q18" s="226"/>
      <c r="R18" s="217"/>
    </row>
    <row r="19" spans="1:18" s="42" customFormat="1" ht="147" customHeight="1" x14ac:dyDescent="0.25">
      <c r="A19" s="124">
        <v>1</v>
      </c>
      <c r="B19" s="125" t="s">
        <v>42</v>
      </c>
      <c r="C19" s="141">
        <f>SUM(E19:E24)</f>
        <v>2.2666666666666666</v>
      </c>
      <c r="D19" s="130" t="s">
        <v>43</v>
      </c>
      <c r="E19" s="33">
        <v>6.6666666666666666E-2</v>
      </c>
      <c r="F19" s="33">
        <f>E19/$E$58* 100</f>
        <v>0.35469977197871805</v>
      </c>
      <c r="G19" s="34" t="s">
        <v>44</v>
      </c>
      <c r="H19" s="35">
        <v>1</v>
      </c>
      <c r="I19" s="36" t="s">
        <v>45</v>
      </c>
      <c r="J19" s="37">
        <v>100</v>
      </c>
      <c r="K19" s="38">
        <v>95</v>
      </c>
      <c r="L19" s="38">
        <v>90</v>
      </c>
      <c r="M19" s="38">
        <v>85</v>
      </c>
      <c r="N19" s="38">
        <v>80</v>
      </c>
      <c r="O19" s="38" t="s">
        <v>46</v>
      </c>
      <c r="P19" s="39"/>
      <c r="Q19" s="40">
        <f t="shared" ref="Q19" si="0">IF(OR(TRIM(P19)="",P19=0),0,
IF(P19&lt;N19,50,
IF(P19&lt;M19,60,
IF(P19&lt;L19,70,
IF(P19&lt;K19,80,
IF(ISNUMBER(J19),
    IF(P19&lt;J19,IF(P19&gt;=K19,90,80),100),
    IF(P19=K19,90,100)
))))))</f>
        <v>0</v>
      </c>
      <c r="R19" s="41">
        <f t="shared" ref="R19" si="1">F19*Q19/100</f>
        <v>0</v>
      </c>
    </row>
    <row r="20" spans="1:18" s="42" customFormat="1" ht="147" customHeight="1" x14ac:dyDescent="0.25">
      <c r="A20" s="124"/>
      <c r="B20" s="125"/>
      <c r="C20" s="141"/>
      <c r="D20" s="131"/>
      <c r="E20" s="33">
        <v>6.6666666666666666E-2</v>
      </c>
      <c r="F20" s="33">
        <f t="shared" ref="F20:F57" si="2">E20/$E$58* 100</f>
        <v>0.35469977197871805</v>
      </c>
      <c r="G20" s="34" t="s">
        <v>47</v>
      </c>
      <c r="H20" s="35">
        <v>1</v>
      </c>
      <c r="I20" s="36" t="s">
        <v>45</v>
      </c>
      <c r="J20" s="37">
        <v>100</v>
      </c>
      <c r="K20" s="38">
        <v>95</v>
      </c>
      <c r="L20" s="38">
        <v>90</v>
      </c>
      <c r="M20" s="38">
        <v>85</v>
      </c>
      <c r="N20" s="38">
        <v>80</v>
      </c>
      <c r="O20" s="38" t="s">
        <v>46</v>
      </c>
      <c r="P20" s="39"/>
      <c r="Q20" s="40">
        <f t="shared" ref="Q20:Q21" si="3">IF(OR(TRIM(P20)="",P20=0),0,
IF(P20&lt;N20,50,
IF(P20&lt;M20,60,
IF(P20&lt;L20,70,
IF(P20&lt;K20,80,
IF(ISNUMBER(J20),
    IF(P20&lt;J20,IF(P20&gt;=K20,90,80),100),
    IF(P20=K20,90,100)
))))))</f>
        <v>0</v>
      </c>
      <c r="R20" s="41">
        <f t="shared" ref="R20:R21" si="4">F20*Q20/100</f>
        <v>0</v>
      </c>
    </row>
    <row r="21" spans="1:18" s="42" customFormat="1" ht="147" customHeight="1" x14ac:dyDescent="0.25">
      <c r="A21" s="124"/>
      <c r="B21" s="125"/>
      <c r="C21" s="141"/>
      <c r="D21" s="132"/>
      <c r="E21" s="33">
        <v>0.13333333333333333</v>
      </c>
      <c r="F21" s="33">
        <f t="shared" si="2"/>
        <v>0.7093995439574361</v>
      </c>
      <c r="G21" s="34" t="s">
        <v>48</v>
      </c>
      <c r="H21" s="35">
        <v>1</v>
      </c>
      <c r="I21" s="36" t="s">
        <v>45</v>
      </c>
      <c r="J21" s="37">
        <v>100</v>
      </c>
      <c r="K21" s="38">
        <v>95</v>
      </c>
      <c r="L21" s="38">
        <v>90</v>
      </c>
      <c r="M21" s="38">
        <v>85</v>
      </c>
      <c r="N21" s="38">
        <v>80</v>
      </c>
      <c r="O21" s="38" t="s">
        <v>46</v>
      </c>
      <c r="P21" s="39"/>
      <c r="Q21" s="40">
        <f t="shared" si="3"/>
        <v>0</v>
      </c>
      <c r="R21" s="41">
        <f t="shared" si="4"/>
        <v>0</v>
      </c>
    </row>
    <row r="22" spans="1:18" s="42" customFormat="1" ht="147" customHeight="1" x14ac:dyDescent="0.25">
      <c r="A22" s="124"/>
      <c r="B22" s="125"/>
      <c r="C22" s="141"/>
      <c r="D22" s="125" t="s">
        <v>49</v>
      </c>
      <c r="E22" s="33">
        <v>1</v>
      </c>
      <c r="F22" s="33">
        <f t="shared" si="2"/>
        <v>5.3204965796807704</v>
      </c>
      <c r="G22" s="34" t="s">
        <v>50</v>
      </c>
      <c r="H22" s="35">
        <v>0.5</v>
      </c>
      <c r="I22" s="36" t="s">
        <v>45</v>
      </c>
      <c r="J22" s="37" t="s">
        <v>51</v>
      </c>
      <c r="K22" s="38">
        <v>50</v>
      </c>
      <c r="L22" s="38">
        <v>45</v>
      </c>
      <c r="M22" s="38">
        <v>40</v>
      </c>
      <c r="N22" s="38">
        <v>25</v>
      </c>
      <c r="O22" s="38" t="s">
        <v>52</v>
      </c>
      <c r="P22" s="39"/>
      <c r="Q22" s="40">
        <f t="shared" ref="Q22:Q57" si="5">IF(OR(TRIM(P22)="",P22=0),0,
IF(P22&lt;N22,50,
IF(P22&lt;M22,60,
IF(P22&lt;L22,70,
IF(P22&lt;K22,80,
IF(ISNUMBER(J22),
    IF(P22&lt;J22,IF(P22&gt;=K22,90,80),100),
    IF(P22=K22,90,100)
))))))</f>
        <v>0</v>
      </c>
      <c r="R22" s="41">
        <f t="shared" ref="R22:R57" si="6">F22*Q22/100</f>
        <v>0</v>
      </c>
    </row>
    <row r="23" spans="1:18" s="42" customFormat="1" ht="147" customHeight="1" x14ac:dyDescent="0.25">
      <c r="A23" s="124"/>
      <c r="B23" s="125"/>
      <c r="C23" s="141"/>
      <c r="D23" s="125"/>
      <c r="E23" s="33">
        <v>0.5</v>
      </c>
      <c r="F23" s="33">
        <f t="shared" si="2"/>
        <v>2.6602482898403852</v>
      </c>
      <c r="G23" s="34" t="s">
        <v>53</v>
      </c>
      <c r="H23" s="35">
        <v>0.5</v>
      </c>
      <c r="I23" s="36" t="s">
        <v>45</v>
      </c>
      <c r="J23" s="37" t="s">
        <v>51</v>
      </c>
      <c r="K23" s="38">
        <v>50</v>
      </c>
      <c r="L23" s="38">
        <v>45</v>
      </c>
      <c r="M23" s="38">
        <v>40</v>
      </c>
      <c r="N23" s="38">
        <v>25</v>
      </c>
      <c r="O23" s="38" t="s">
        <v>52</v>
      </c>
      <c r="P23" s="39"/>
      <c r="Q23" s="40">
        <f t="shared" si="5"/>
        <v>0</v>
      </c>
      <c r="R23" s="41">
        <f t="shared" si="6"/>
        <v>0</v>
      </c>
    </row>
    <row r="24" spans="1:18" s="42" customFormat="1" ht="147" customHeight="1" x14ac:dyDescent="0.25">
      <c r="A24" s="124"/>
      <c r="B24" s="125"/>
      <c r="C24" s="141"/>
      <c r="D24" s="125"/>
      <c r="E24" s="33">
        <v>0.5</v>
      </c>
      <c r="F24" s="33">
        <f t="shared" si="2"/>
        <v>2.6602482898403852</v>
      </c>
      <c r="G24" s="34" t="s">
        <v>54</v>
      </c>
      <c r="H24" s="35">
        <v>0.75</v>
      </c>
      <c r="I24" s="36" t="s">
        <v>45</v>
      </c>
      <c r="J24" s="37" t="s">
        <v>55</v>
      </c>
      <c r="K24" s="38">
        <v>75</v>
      </c>
      <c r="L24" s="38">
        <v>70</v>
      </c>
      <c r="M24" s="38">
        <v>60</v>
      </c>
      <c r="N24" s="38">
        <v>50</v>
      </c>
      <c r="O24" s="38" t="s">
        <v>56</v>
      </c>
      <c r="P24" s="39"/>
      <c r="Q24" s="40">
        <f t="shared" si="5"/>
        <v>0</v>
      </c>
      <c r="R24" s="41">
        <f t="shared" si="6"/>
        <v>0</v>
      </c>
    </row>
    <row r="25" spans="1:18" s="42" customFormat="1" ht="147" customHeight="1" x14ac:dyDescent="0.25">
      <c r="A25" s="127">
        <v>2</v>
      </c>
      <c r="B25" s="130" t="s">
        <v>57</v>
      </c>
      <c r="C25" s="136">
        <f>SUM(E25:E35)</f>
        <v>5</v>
      </c>
      <c r="D25" s="130" t="s">
        <v>58</v>
      </c>
      <c r="E25" s="33">
        <v>0.3</v>
      </c>
      <c r="F25" s="33">
        <f t="shared" si="2"/>
        <v>1.5961489739042312</v>
      </c>
      <c r="G25" s="34" t="s">
        <v>59</v>
      </c>
      <c r="H25" s="44">
        <v>1</v>
      </c>
      <c r="I25" s="36" t="s">
        <v>45</v>
      </c>
      <c r="J25" s="37">
        <v>100</v>
      </c>
      <c r="K25" s="38">
        <v>95</v>
      </c>
      <c r="L25" s="38">
        <v>90</v>
      </c>
      <c r="M25" s="38">
        <v>85</v>
      </c>
      <c r="N25" s="38">
        <v>80</v>
      </c>
      <c r="O25" s="38" t="s">
        <v>46</v>
      </c>
      <c r="P25" s="39"/>
      <c r="Q25" s="40">
        <f t="shared" si="5"/>
        <v>0</v>
      </c>
      <c r="R25" s="41">
        <f t="shared" si="6"/>
        <v>0</v>
      </c>
    </row>
    <row r="26" spans="1:18" s="42" customFormat="1" ht="147" customHeight="1" x14ac:dyDescent="0.25">
      <c r="A26" s="128"/>
      <c r="B26" s="131"/>
      <c r="C26" s="137"/>
      <c r="D26" s="131"/>
      <c r="E26" s="33">
        <v>0.3</v>
      </c>
      <c r="F26" s="33">
        <f t="shared" si="2"/>
        <v>1.5961489739042312</v>
      </c>
      <c r="G26" s="34" t="s">
        <v>60</v>
      </c>
      <c r="H26" s="44">
        <v>0.8</v>
      </c>
      <c r="I26" s="43" t="s">
        <v>45</v>
      </c>
      <c r="J26" s="37" t="s">
        <v>61</v>
      </c>
      <c r="K26" s="38">
        <v>80</v>
      </c>
      <c r="L26" s="38">
        <v>75</v>
      </c>
      <c r="M26" s="38">
        <v>70</v>
      </c>
      <c r="N26" s="38">
        <v>50</v>
      </c>
      <c r="O26" s="38" t="s">
        <v>56</v>
      </c>
      <c r="P26" s="39"/>
      <c r="Q26" s="40">
        <f t="shared" si="5"/>
        <v>0</v>
      </c>
      <c r="R26" s="41">
        <f t="shared" si="6"/>
        <v>0</v>
      </c>
    </row>
    <row r="27" spans="1:18" s="42" customFormat="1" ht="147" customHeight="1" x14ac:dyDescent="0.25">
      <c r="A27" s="128"/>
      <c r="B27" s="131"/>
      <c r="C27" s="137"/>
      <c r="D27" s="132"/>
      <c r="E27" s="33">
        <v>0.4</v>
      </c>
      <c r="F27" s="33">
        <f t="shared" si="2"/>
        <v>2.1281986318723081</v>
      </c>
      <c r="G27" s="34" t="s">
        <v>62</v>
      </c>
      <c r="H27" s="44">
        <v>0.9</v>
      </c>
      <c r="I27" s="43" t="s">
        <v>45</v>
      </c>
      <c r="J27" s="37" t="s">
        <v>63</v>
      </c>
      <c r="K27" s="38">
        <v>90</v>
      </c>
      <c r="L27" s="38">
        <v>80</v>
      </c>
      <c r="M27" s="38">
        <v>70</v>
      </c>
      <c r="N27" s="38">
        <v>50</v>
      </c>
      <c r="O27" s="38" t="s">
        <v>56</v>
      </c>
      <c r="P27" s="39"/>
      <c r="Q27" s="40">
        <f t="shared" si="5"/>
        <v>0</v>
      </c>
      <c r="R27" s="41">
        <f t="shared" si="6"/>
        <v>0</v>
      </c>
    </row>
    <row r="28" spans="1:18" s="42" customFormat="1" ht="147" customHeight="1" x14ac:dyDescent="0.25">
      <c r="A28" s="128"/>
      <c r="B28" s="131"/>
      <c r="C28" s="137"/>
      <c r="D28" s="130" t="s">
        <v>64</v>
      </c>
      <c r="E28" s="33">
        <v>0.5</v>
      </c>
      <c r="F28" s="33">
        <f t="shared" si="2"/>
        <v>2.6602482898403852</v>
      </c>
      <c r="G28" s="34" t="s">
        <v>65</v>
      </c>
      <c r="H28" s="44">
        <v>0.75</v>
      </c>
      <c r="I28" s="36" t="s">
        <v>45</v>
      </c>
      <c r="J28" s="37" t="s">
        <v>55</v>
      </c>
      <c r="K28" s="38">
        <v>75</v>
      </c>
      <c r="L28" s="38">
        <v>70</v>
      </c>
      <c r="M28" s="38">
        <v>60</v>
      </c>
      <c r="N28" s="38">
        <v>50</v>
      </c>
      <c r="O28" s="38" t="s">
        <v>56</v>
      </c>
      <c r="P28" s="39"/>
      <c r="Q28" s="40">
        <f t="shared" si="5"/>
        <v>0</v>
      </c>
      <c r="R28" s="41">
        <f t="shared" si="6"/>
        <v>0</v>
      </c>
    </row>
    <row r="29" spans="1:18" s="42" customFormat="1" ht="147" customHeight="1" x14ac:dyDescent="0.25">
      <c r="A29" s="128"/>
      <c r="B29" s="131"/>
      <c r="C29" s="137"/>
      <c r="D29" s="132"/>
      <c r="E29" s="33">
        <v>0.5</v>
      </c>
      <c r="F29" s="33">
        <f t="shared" si="2"/>
        <v>2.6602482898403852</v>
      </c>
      <c r="G29" s="34" t="s">
        <v>66</v>
      </c>
      <c r="H29" s="44">
        <v>0.9</v>
      </c>
      <c r="I29" s="43" t="s">
        <v>45</v>
      </c>
      <c r="J29" s="37" t="s">
        <v>63</v>
      </c>
      <c r="K29" s="38">
        <v>90</v>
      </c>
      <c r="L29" s="38">
        <v>80</v>
      </c>
      <c r="M29" s="38">
        <v>70</v>
      </c>
      <c r="N29" s="38">
        <v>50</v>
      </c>
      <c r="O29" s="38" t="s">
        <v>56</v>
      </c>
      <c r="P29" s="39"/>
      <c r="Q29" s="40">
        <f t="shared" si="5"/>
        <v>0</v>
      </c>
      <c r="R29" s="41">
        <f t="shared" si="6"/>
        <v>0</v>
      </c>
    </row>
    <row r="30" spans="1:18" s="42" customFormat="1" ht="147" customHeight="1" x14ac:dyDescent="0.25">
      <c r="A30" s="128"/>
      <c r="B30" s="131"/>
      <c r="C30" s="137"/>
      <c r="D30" s="130" t="s">
        <v>67</v>
      </c>
      <c r="E30" s="33">
        <v>0.5</v>
      </c>
      <c r="F30" s="33">
        <f t="shared" si="2"/>
        <v>2.6602482898403852</v>
      </c>
      <c r="G30" s="34" t="s">
        <v>68</v>
      </c>
      <c r="H30" s="44">
        <v>0.8</v>
      </c>
      <c r="I30" s="43" t="s">
        <v>45</v>
      </c>
      <c r="J30" s="37" t="s">
        <v>61</v>
      </c>
      <c r="K30" s="38">
        <v>80</v>
      </c>
      <c r="L30" s="38">
        <v>75</v>
      </c>
      <c r="M30" s="38">
        <v>70</v>
      </c>
      <c r="N30" s="38">
        <v>50</v>
      </c>
      <c r="O30" s="38" t="s">
        <v>56</v>
      </c>
      <c r="P30" s="39"/>
      <c r="Q30" s="40">
        <f t="shared" si="5"/>
        <v>0</v>
      </c>
      <c r="R30" s="41">
        <f t="shared" si="6"/>
        <v>0</v>
      </c>
    </row>
    <row r="31" spans="1:18" s="42" customFormat="1" ht="147" customHeight="1" x14ac:dyDescent="0.25">
      <c r="A31" s="128"/>
      <c r="B31" s="131"/>
      <c r="C31" s="137"/>
      <c r="D31" s="132"/>
      <c r="E31" s="33">
        <v>0.5</v>
      </c>
      <c r="F31" s="33">
        <f t="shared" si="2"/>
        <v>2.6602482898403852</v>
      </c>
      <c r="G31" s="34" t="s">
        <v>69</v>
      </c>
      <c r="H31" s="44">
        <v>0.9</v>
      </c>
      <c r="I31" s="43" t="s">
        <v>45</v>
      </c>
      <c r="J31" s="37" t="s">
        <v>63</v>
      </c>
      <c r="K31" s="38">
        <v>90</v>
      </c>
      <c r="L31" s="38">
        <v>80</v>
      </c>
      <c r="M31" s="38">
        <v>70</v>
      </c>
      <c r="N31" s="38">
        <v>50</v>
      </c>
      <c r="O31" s="38" t="s">
        <v>56</v>
      </c>
      <c r="P31" s="39"/>
      <c r="Q31" s="40">
        <f t="shared" si="5"/>
        <v>0</v>
      </c>
      <c r="R31" s="41">
        <f t="shared" si="6"/>
        <v>0</v>
      </c>
    </row>
    <row r="32" spans="1:18" s="42" customFormat="1" ht="147" customHeight="1" x14ac:dyDescent="0.25">
      <c r="A32" s="128"/>
      <c r="B32" s="131"/>
      <c r="C32" s="137"/>
      <c r="D32" s="130" t="s">
        <v>70</v>
      </c>
      <c r="E32" s="33">
        <v>0.5</v>
      </c>
      <c r="F32" s="33">
        <f t="shared" si="2"/>
        <v>2.6602482898403852</v>
      </c>
      <c r="G32" s="34" t="s">
        <v>71</v>
      </c>
      <c r="H32" s="44">
        <v>1</v>
      </c>
      <c r="I32" s="36" t="s">
        <v>45</v>
      </c>
      <c r="J32" s="37">
        <v>100</v>
      </c>
      <c r="K32" s="38">
        <v>95</v>
      </c>
      <c r="L32" s="38">
        <v>90</v>
      </c>
      <c r="M32" s="38">
        <v>85</v>
      </c>
      <c r="N32" s="38">
        <v>80</v>
      </c>
      <c r="O32" s="38" t="s">
        <v>46</v>
      </c>
      <c r="P32" s="39"/>
      <c r="Q32" s="40">
        <f t="shared" si="5"/>
        <v>0</v>
      </c>
      <c r="R32" s="41">
        <f t="shared" si="6"/>
        <v>0</v>
      </c>
    </row>
    <row r="33" spans="1:18" s="42" customFormat="1" ht="147" customHeight="1" x14ac:dyDescent="0.25">
      <c r="A33" s="128"/>
      <c r="B33" s="131"/>
      <c r="C33" s="137"/>
      <c r="D33" s="132"/>
      <c r="E33" s="33">
        <v>0.5</v>
      </c>
      <c r="F33" s="33">
        <f t="shared" si="2"/>
        <v>2.6602482898403852</v>
      </c>
      <c r="G33" s="34" t="s">
        <v>72</v>
      </c>
      <c r="H33" s="44">
        <v>1</v>
      </c>
      <c r="I33" s="36" t="s">
        <v>45</v>
      </c>
      <c r="J33" s="37">
        <v>100</v>
      </c>
      <c r="K33" s="38">
        <v>95</v>
      </c>
      <c r="L33" s="38">
        <v>90</v>
      </c>
      <c r="M33" s="38">
        <v>85</v>
      </c>
      <c r="N33" s="38">
        <v>80</v>
      </c>
      <c r="O33" s="38" t="s">
        <v>46</v>
      </c>
      <c r="P33" s="39"/>
      <c r="Q33" s="40">
        <f t="shared" si="5"/>
        <v>0</v>
      </c>
      <c r="R33" s="41">
        <f t="shared" si="6"/>
        <v>0</v>
      </c>
    </row>
    <row r="34" spans="1:18" s="42" customFormat="1" ht="147" customHeight="1" x14ac:dyDescent="0.25">
      <c r="A34" s="128"/>
      <c r="B34" s="131"/>
      <c r="C34" s="137"/>
      <c r="D34" s="130" t="s">
        <v>73</v>
      </c>
      <c r="E34" s="33">
        <v>0.5</v>
      </c>
      <c r="F34" s="33">
        <f t="shared" si="2"/>
        <v>2.6602482898403852</v>
      </c>
      <c r="G34" s="34" t="s">
        <v>74</v>
      </c>
      <c r="H34" s="44">
        <v>0.8</v>
      </c>
      <c r="I34" s="43" t="s">
        <v>45</v>
      </c>
      <c r="J34" s="37" t="s">
        <v>61</v>
      </c>
      <c r="K34" s="38">
        <v>80</v>
      </c>
      <c r="L34" s="38">
        <v>75</v>
      </c>
      <c r="M34" s="38">
        <v>70</v>
      </c>
      <c r="N34" s="38">
        <v>50</v>
      </c>
      <c r="O34" s="38" t="s">
        <v>56</v>
      </c>
      <c r="P34" s="39"/>
      <c r="Q34" s="40">
        <f t="shared" si="5"/>
        <v>0</v>
      </c>
      <c r="R34" s="41">
        <f t="shared" si="6"/>
        <v>0</v>
      </c>
    </row>
    <row r="35" spans="1:18" s="42" customFormat="1" ht="147" customHeight="1" x14ac:dyDescent="0.25">
      <c r="A35" s="129"/>
      <c r="B35" s="132"/>
      <c r="C35" s="138"/>
      <c r="D35" s="132"/>
      <c r="E35" s="33">
        <v>0.5</v>
      </c>
      <c r="F35" s="33">
        <f t="shared" si="2"/>
        <v>2.6602482898403852</v>
      </c>
      <c r="G35" s="34" t="s">
        <v>75</v>
      </c>
      <c r="H35" s="35">
        <v>0.2</v>
      </c>
      <c r="I35" s="36" t="s">
        <v>45</v>
      </c>
      <c r="J35" s="37" t="s">
        <v>76</v>
      </c>
      <c r="K35" s="38">
        <v>20</v>
      </c>
      <c r="L35" s="38">
        <v>15</v>
      </c>
      <c r="M35" s="38">
        <v>10</v>
      </c>
      <c r="N35" s="38">
        <v>5</v>
      </c>
      <c r="O35" s="38" t="s">
        <v>77</v>
      </c>
      <c r="P35" s="39"/>
      <c r="Q35" s="40">
        <f t="shared" si="5"/>
        <v>0</v>
      </c>
      <c r="R35" s="41">
        <f t="shared" si="6"/>
        <v>0</v>
      </c>
    </row>
    <row r="36" spans="1:18" s="42" customFormat="1" ht="147" customHeight="1" x14ac:dyDescent="0.25">
      <c r="A36" s="127">
        <v>3</v>
      </c>
      <c r="B36" s="130" t="s">
        <v>78</v>
      </c>
      <c r="C36" s="136">
        <f>SUM(E36:E45)</f>
        <v>5</v>
      </c>
      <c r="D36" s="130" t="s">
        <v>79</v>
      </c>
      <c r="E36" s="33">
        <v>0.7</v>
      </c>
      <c r="F36" s="33">
        <f t="shared" si="2"/>
        <v>3.7243476057765394</v>
      </c>
      <c r="G36" s="34" t="s">
        <v>80</v>
      </c>
      <c r="H36" s="44">
        <v>0.8</v>
      </c>
      <c r="I36" s="43" t="s">
        <v>45</v>
      </c>
      <c r="J36" s="37" t="s">
        <v>61</v>
      </c>
      <c r="K36" s="38">
        <v>80</v>
      </c>
      <c r="L36" s="38">
        <v>75</v>
      </c>
      <c r="M36" s="38">
        <v>70</v>
      </c>
      <c r="N36" s="38">
        <v>50</v>
      </c>
      <c r="O36" s="38" t="s">
        <v>56</v>
      </c>
      <c r="P36" s="39"/>
      <c r="Q36" s="40">
        <f t="shared" si="5"/>
        <v>0</v>
      </c>
      <c r="R36" s="41">
        <f t="shared" si="6"/>
        <v>0</v>
      </c>
    </row>
    <row r="37" spans="1:18" s="42" customFormat="1" ht="147" customHeight="1" x14ac:dyDescent="0.25">
      <c r="A37" s="128"/>
      <c r="B37" s="131"/>
      <c r="C37" s="137"/>
      <c r="D37" s="132"/>
      <c r="E37" s="33">
        <v>0.3</v>
      </c>
      <c r="F37" s="33">
        <f t="shared" si="2"/>
        <v>1.5961489739042312</v>
      </c>
      <c r="G37" s="34" t="s">
        <v>81</v>
      </c>
      <c r="H37" s="44">
        <v>1</v>
      </c>
      <c r="I37" s="36" t="s">
        <v>45</v>
      </c>
      <c r="J37" s="37">
        <v>100</v>
      </c>
      <c r="K37" s="38">
        <v>95</v>
      </c>
      <c r="L37" s="38">
        <v>90</v>
      </c>
      <c r="M37" s="38">
        <v>85</v>
      </c>
      <c r="N37" s="38">
        <v>80</v>
      </c>
      <c r="O37" s="38" t="s">
        <v>46</v>
      </c>
      <c r="P37" s="39"/>
      <c r="Q37" s="40">
        <f t="shared" si="5"/>
        <v>0</v>
      </c>
      <c r="R37" s="41">
        <f t="shared" si="6"/>
        <v>0</v>
      </c>
    </row>
    <row r="38" spans="1:18" s="42" customFormat="1" ht="147" customHeight="1" x14ac:dyDescent="0.25">
      <c r="A38" s="128"/>
      <c r="B38" s="131"/>
      <c r="C38" s="137"/>
      <c r="D38" s="130" t="s">
        <v>82</v>
      </c>
      <c r="E38" s="33">
        <v>0.5</v>
      </c>
      <c r="F38" s="33">
        <f t="shared" si="2"/>
        <v>2.6602482898403852</v>
      </c>
      <c r="G38" s="34" t="s">
        <v>83</v>
      </c>
      <c r="H38" s="44">
        <v>1</v>
      </c>
      <c r="I38" s="36" t="s">
        <v>45</v>
      </c>
      <c r="J38" s="37">
        <v>100</v>
      </c>
      <c r="K38" s="38">
        <v>95</v>
      </c>
      <c r="L38" s="38">
        <v>90</v>
      </c>
      <c r="M38" s="38">
        <v>85</v>
      </c>
      <c r="N38" s="38">
        <v>80</v>
      </c>
      <c r="O38" s="38" t="s">
        <v>46</v>
      </c>
      <c r="P38" s="39"/>
      <c r="Q38" s="40">
        <f t="shared" si="5"/>
        <v>0</v>
      </c>
      <c r="R38" s="41">
        <f t="shared" si="6"/>
        <v>0</v>
      </c>
    </row>
    <row r="39" spans="1:18" s="42" customFormat="1" ht="147" customHeight="1" x14ac:dyDescent="0.25">
      <c r="A39" s="128"/>
      <c r="B39" s="131"/>
      <c r="C39" s="137"/>
      <c r="D39" s="132"/>
      <c r="E39" s="33">
        <v>0.5</v>
      </c>
      <c r="F39" s="33">
        <f t="shared" si="2"/>
        <v>2.6602482898403852</v>
      </c>
      <c r="G39" s="34" t="s">
        <v>84</v>
      </c>
      <c r="H39" s="44">
        <v>0.8</v>
      </c>
      <c r="I39" s="43" t="s">
        <v>45</v>
      </c>
      <c r="J39" s="37" t="s">
        <v>61</v>
      </c>
      <c r="K39" s="38">
        <v>80</v>
      </c>
      <c r="L39" s="38">
        <v>75</v>
      </c>
      <c r="M39" s="38">
        <v>70</v>
      </c>
      <c r="N39" s="38">
        <v>50</v>
      </c>
      <c r="O39" s="38" t="s">
        <v>56</v>
      </c>
      <c r="P39" s="39"/>
      <c r="Q39" s="40">
        <f t="shared" si="5"/>
        <v>0</v>
      </c>
      <c r="R39" s="41">
        <f t="shared" si="6"/>
        <v>0</v>
      </c>
    </row>
    <row r="40" spans="1:18" s="42" customFormat="1" ht="147" customHeight="1" x14ac:dyDescent="0.25">
      <c r="A40" s="128"/>
      <c r="B40" s="131"/>
      <c r="C40" s="137"/>
      <c r="D40" s="130" t="s">
        <v>85</v>
      </c>
      <c r="E40" s="33">
        <v>0.5</v>
      </c>
      <c r="F40" s="33">
        <f t="shared" si="2"/>
        <v>2.6602482898403852</v>
      </c>
      <c r="G40" s="34" t="s">
        <v>86</v>
      </c>
      <c r="H40" s="43">
        <v>10</v>
      </c>
      <c r="I40" s="36" t="s">
        <v>87</v>
      </c>
      <c r="J40" s="37" t="s">
        <v>88</v>
      </c>
      <c r="K40" s="38">
        <v>10</v>
      </c>
      <c r="L40" s="38">
        <v>8</v>
      </c>
      <c r="M40" s="38">
        <v>6</v>
      </c>
      <c r="N40" s="38">
        <v>5</v>
      </c>
      <c r="O40" s="38" t="s">
        <v>77</v>
      </c>
      <c r="P40" s="39"/>
      <c r="Q40" s="40">
        <f t="shared" si="5"/>
        <v>0</v>
      </c>
      <c r="R40" s="41">
        <f t="shared" si="6"/>
        <v>0</v>
      </c>
    </row>
    <row r="41" spans="1:18" s="42" customFormat="1" ht="147" customHeight="1" x14ac:dyDescent="0.25">
      <c r="A41" s="128"/>
      <c r="B41" s="131"/>
      <c r="C41" s="137"/>
      <c r="D41" s="132"/>
      <c r="E41" s="33">
        <v>0.5</v>
      </c>
      <c r="F41" s="33">
        <f t="shared" si="2"/>
        <v>2.6602482898403852</v>
      </c>
      <c r="G41" s="34" t="s">
        <v>89</v>
      </c>
      <c r="H41" s="44">
        <v>0.8</v>
      </c>
      <c r="I41" s="43" t="s">
        <v>45</v>
      </c>
      <c r="J41" s="37" t="s">
        <v>61</v>
      </c>
      <c r="K41" s="38">
        <v>80</v>
      </c>
      <c r="L41" s="38">
        <v>75</v>
      </c>
      <c r="M41" s="38">
        <v>70</v>
      </c>
      <c r="N41" s="38">
        <v>50</v>
      </c>
      <c r="O41" s="38" t="s">
        <v>56</v>
      </c>
      <c r="P41" s="39"/>
      <c r="Q41" s="40">
        <f t="shared" si="5"/>
        <v>0</v>
      </c>
      <c r="R41" s="41">
        <f t="shared" si="6"/>
        <v>0</v>
      </c>
    </row>
    <row r="42" spans="1:18" s="42" customFormat="1" ht="147" customHeight="1" x14ac:dyDescent="0.25">
      <c r="A42" s="128"/>
      <c r="B42" s="131"/>
      <c r="C42" s="137"/>
      <c r="D42" s="130" t="s">
        <v>90</v>
      </c>
      <c r="E42" s="33">
        <v>0.5</v>
      </c>
      <c r="F42" s="33">
        <f t="shared" si="2"/>
        <v>2.6602482898403852</v>
      </c>
      <c r="G42" s="34" t="s">
        <v>91</v>
      </c>
      <c r="H42" s="43">
        <v>5</v>
      </c>
      <c r="I42" s="36" t="s">
        <v>87</v>
      </c>
      <c r="J42" s="37" t="s">
        <v>92</v>
      </c>
      <c r="K42" s="38">
        <v>5</v>
      </c>
      <c r="L42" s="38">
        <v>4</v>
      </c>
      <c r="M42" s="38">
        <v>3</v>
      </c>
      <c r="N42" s="38">
        <v>2</v>
      </c>
      <c r="O42" s="38">
        <v>1</v>
      </c>
      <c r="P42" s="39"/>
      <c r="Q42" s="40">
        <f t="shared" si="5"/>
        <v>0</v>
      </c>
      <c r="R42" s="41">
        <f t="shared" si="6"/>
        <v>0</v>
      </c>
    </row>
    <row r="43" spans="1:18" s="42" customFormat="1" ht="147" customHeight="1" x14ac:dyDescent="0.25">
      <c r="A43" s="128"/>
      <c r="B43" s="131"/>
      <c r="C43" s="137"/>
      <c r="D43" s="132"/>
      <c r="E43" s="33">
        <v>0.5</v>
      </c>
      <c r="F43" s="33">
        <f t="shared" si="2"/>
        <v>2.6602482898403852</v>
      </c>
      <c r="G43" s="34" t="s">
        <v>93</v>
      </c>
      <c r="H43" s="43">
        <v>10</v>
      </c>
      <c r="I43" s="36" t="s">
        <v>87</v>
      </c>
      <c r="J43" s="37" t="s">
        <v>88</v>
      </c>
      <c r="K43" s="38">
        <v>10</v>
      </c>
      <c r="L43" s="38">
        <v>8</v>
      </c>
      <c r="M43" s="38">
        <v>6</v>
      </c>
      <c r="N43" s="38">
        <v>5</v>
      </c>
      <c r="O43" s="38" t="s">
        <v>77</v>
      </c>
      <c r="P43" s="39"/>
      <c r="Q43" s="40">
        <f t="shared" si="5"/>
        <v>0</v>
      </c>
      <c r="R43" s="41">
        <f t="shared" si="6"/>
        <v>0</v>
      </c>
    </row>
    <row r="44" spans="1:18" s="42" customFormat="1" ht="147" customHeight="1" x14ac:dyDescent="0.25">
      <c r="A44" s="128"/>
      <c r="B44" s="131"/>
      <c r="C44" s="137"/>
      <c r="D44" s="130" t="s">
        <v>94</v>
      </c>
      <c r="E44" s="33">
        <v>0.8</v>
      </c>
      <c r="F44" s="33">
        <f t="shared" si="2"/>
        <v>4.2563972637446161</v>
      </c>
      <c r="G44" s="34" t="s">
        <v>95</v>
      </c>
      <c r="H44" s="44">
        <v>0.8</v>
      </c>
      <c r="I44" s="43" t="s">
        <v>45</v>
      </c>
      <c r="J44" s="37" t="s">
        <v>61</v>
      </c>
      <c r="K44" s="38">
        <v>80</v>
      </c>
      <c r="L44" s="38">
        <v>75</v>
      </c>
      <c r="M44" s="38">
        <v>70</v>
      </c>
      <c r="N44" s="38">
        <v>50</v>
      </c>
      <c r="O44" s="38" t="s">
        <v>56</v>
      </c>
      <c r="P44" s="39"/>
      <c r="Q44" s="40">
        <f t="shared" si="5"/>
        <v>0</v>
      </c>
      <c r="R44" s="41">
        <f t="shared" si="6"/>
        <v>0</v>
      </c>
    </row>
    <row r="45" spans="1:18" s="42" customFormat="1" ht="147" customHeight="1" x14ac:dyDescent="0.25">
      <c r="A45" s="129"/>
      <c r="B45" s="132"/>
      <c r="C45" s="138"/>
      <c r="D45" s="132"/>
      <c r="E45" s="119">
        <v>0.2</v>
      </c>
      <c r="F45" s="33">
        <f t="shared" si="2"/>
        <v>1.064099315936154</v>
      </c>
      <c r="G45" s="120" t="s">
        <v>96</v>
      </c>
      <c r="H45" s="44">
        <v>0.2</v>
      </c>
      <c r="I45" s="36" t="s">
        <v>45</v>
      </c>
      <c r="J45" s="37" t="s">
        <v>76</v>
      </c>
      <c r="K45" s="38">
        <v>20</v>
      </c>
      <c r="L45" s="38">
        <v>15</v>
      </c>
      <c r="M45" s="38">
        <v>10</v>
      </c>
      <c r="N45" s="38">
        <v>5</v>
      </c>
      <c r="O45" s="38" t="s">
        <v>77</v>
      </c>
      <c r="P45" s="39"/>
      <c r="Q45" s="40">
        <f t="shared" si="5"/>
        <v>0</v>
      </c>
      <c r="R45" s="41">
        <f t="shared" si="6"/>
        <v>0</v>
      </c>
    </row>
    <row r="46" spans="1:18" s="42" customFormat="1" ht="147" customHeight="1" x14ac:dyDescent="0.25">
      <c r="A46" s="124">
        <v>4</v>
      </c>
      <c r="B46" s="125" t="s">
        <v>97</v>
      </c>
      <c r="C46" s="126">
        <f>SUM(E46:E48)</f>
        <v>3.5</v>
      </c>
      <c r="D46" s="125" t="s">
        <v>98</v>
      </c>
      <c r="E46" s="33">
        <v>1.4</v>
      </c>
      <c r="F46" s="33">
        <f t="shared" si="2"/>
        <v>7.4486952115530789</v>
      </c>
      <c r="G46" s="34" t="s">
        <v>99</v>
      </c>
      <c r="H46" s="43">
        <v>5</v>
      </c>
      <c r="I46" s="36" t="s">
        <v>87</v>
      </c>
      <c r="J46" s="37" t="s">
        <v>92</v>
      </c>
      <c r="K46" s="38">
        <v>5</v>
      </c>
      <c r="L46" s="38">
        <v>4</v>
      </c>
      <c r="M46" s="38">
        <v>3</v>
      </c>
      <c r="N46" s="38">
        <v>2</v>
      </c>
      <c r="O46" s="38">
        <v>1</v>
      </c>
      <c r="P46" s="39"/>
      <c r="Q46" s="40">
        <f t="shared" si="5"/>
        <v>0</v>
      </c>
      <c r="R46" s="41">
        <f t="shared" si="6"/>
        <v>0</v>
      </c>
    </row>
    <row r="47" spans="1:18" s="42" customFormat="1" ht="147" customHeight="1" x14ac:dyDescent="0.25">
      <c r="A47" s="124"/>
      <c r="B47" s="125"/>
      <c r="C47" s="126"/>
      <c r="D47" s="125"/>
      <c r="E47" s="33">
        <v>1.4</v>
      </c>
      <c r="F47" s="33">
        <f t="shared" si="2"/>
        <v>7.4486952115530789</v>
      </c>
      <c r="G47" s="34" t="s">
        <v>100</v>
      </c>
      <c r="H47" s="44">
        <v>0.1</v>
      </c>
      <c r="I47" s="43" t="s">
        <v>45</v>
      </c>
      <c r="J47" s="37" t="s">
        <v>88</v>
      </c>
      <c r="K47" s="38">
        <v>10</v>
      </c>
      <c r="L47" s="38">
        <v>7</v>
      </c>
      <c r="M47" s="38">
        <v>6</v>
      </c>
      <c r="N47" s="38">
        <v>5</v>
      </c>
      <c r="O47" s="38" t="s">
        <v>77</v>
      </c>
      <c r="P47" s="39"/>
      <c r="Q47" s="40">
        <f t="shared" si="5"/>
        <v>0</v>
      </c>
      <c r="R47" s="41">
        <f t="shared" si="6"/>
        <v>0</v>
      </c>
    </row>
    <row r="48" spans="1:18" s="42" customFormat="1" ht="147" customHeight="1" x14ac:dyDescent="0.25">
      <c r="A48" s="124"/>
      <c r="B48" s="125"/>
      <c r="C48" s="126"/>
      <c r="D48" s="125"/>
      <c r="E48" s="33">
        <v>0.7</v>
      </c>
      <c r="F48" s="33">
        <f t="shared" si="2"/>
        <v>3.7243476057765394</v>
      </c>
      <c r="G48" s="34" t="s">
        <v>101</v>
      </c>
      <c r="H48" s="43">
        <v>2</v>
      </c>
      <c r="I48" s="36" t="s">
        <v>87</v>
      </c>
      <c r="J48" s="37" t="s">
        <v>102</v>
      </c>
      <c r="K48" s="38">
        <v>2</v>
      </c>
      <c r="L48" s="38">
        <v>1</v>
      </c>
      <c r="M48" s="38">
        <v>0</v>
      </c>
      <c r="N48" s="38"/>
      <c r="O48" s="38"/>
      <c r="P48" s="39"/>
      <c r="Q48" s="40">
        <f t="shared" si="5"/>
        <v>0</v>
      </c>
      <c r="R48" s="41">
        <f t="shared" si="6"/>
        <v>0</v>
      </c>
    </row>
    <row r="49" spans="1:18" s="42" customFormat="1" ht="147" customHeight="1" x14ac:dyDescent="0.25">
      <c r="A49" s="43">
        <v>5</v>
      </c>
      <c r="B49" s="34" t="s">
        <v>103</v>
      </c>
      <c r="C49" s="45">
        <f>E49</f>
        <v>0.30000000000000004</v>
      </c>
      <c r="D49" s="34" t="s">
        <v>104</v>
      </c>
      <c r="E49" s="33">
        <v>0.30000000000000004</v>
      </c>
      <c r="F49" s="33">
        <f t="shared" si="2"/>
        <v>1.5961489739042312</v>
      </c>
      <c r="G49" s="34" t="s">
        <v>105</v>
      </c>
      <c r="H49" s="43">
        <v>5</v>
      </c>
      <c r="I49" s="43" t="s">
        <v>87</v>
      </c>
      <c r="J49" s="37" t="s">
        <v>92</v>
      </c>
      <c r="K49" s="38">
        <v>5</v>
      </c>
      <c r="L49" s="38">
        <v>4</v>
      </c>
      <c r="M49" s="38">
        <v>3</v>
      </c>
      <c r="N49" s="38">
        <v>2</v>
      </c>
      <c r="O49" s="38">
        <v>1</v>
      </c>
      <c r="P49" s="39"/>
      <c r="Q49" s="40">
        <f t="shared" si="5"/>
        <v>0</v>
      </c>
      <c r="R49" s="41">
        <f t="shared" si="6"/>
        <v>0</v>
      </c>
    </row>
    <row r="50" spans="1:18" s="42" customFormat="1" ht="147" customHeight="1" x14ac:dyDescent="0.25">
      <c r="A50" s="127">
        <v>6</v>
      </c>
      <c r="B50" s="130" t="s">
        <v>106</v>
      </c>
      <c r="C50" s="133">
        <f>SUM(E50:E52)</f>
        <v>2</v>
      </c>
      <c r="D50" s="130" t="s">
        <v>107</v>
      </c>
      <c r="E50" s="33">
        <v>0.4</v>
      </c>
      <c r="F50" s="33">
        <f t="shared" si="2"/>
        <v>2.1281986318723081</v>
      </c>
      <c r="G50" s="34" t="s">
        <v>108</v>
      </c>
      <c r="H50" s="43">
        <v>5</v>
      </c>
      <c r="I50" s="43" t="s">
        <v>87</v>
      </c>
      <c r="J50" s="37" t="s">
        <v>92</v>
      </c>
      <c r="K50" s="38">
        <v>5</v>
      </c>
      <c r="L50" s="38">
        <v>4</v>
      </c>
      <c r="M50" s="38">
        <v>3</v>
      </c>
      <c r="N50" s="38">
        <v>2</v>
      </c>
      <c r="O50" s="38">
        <v>1</v>
      </c>
      <c r="P50" s="39"/>
      <c r="Q50" s="40">
        <f t="shared" si="5"/>
        <v>0</v>
      </c>
      <c r="R50" s="41">
        <f t="shared" si="6"/>
        <v>0</v>
      </c>
    </row>
    <row r="51" spans="1:18" s="42" customFormat="1" ht="147" customHeight="1" x14ac:dyDescent="0.25">
      <c r="A51" s="128"/>
      <c r="B51" s="131"/>
      <c r="C51" s="134"/>
      <c r="D51" s="131"/>
      <c r="E51" s="33">
        <v>0.8</v>
      </c>
      <c r="F51" s="33">
        <f t="shared" si="2"/>
        <v>4.2563972637446161</v>
      </c>
      <c r="G51" s="34" t="s">
        <v>109</v>
      </c>
      <c r="H51" s="44">
        <v>0.2</v>
      </c>
      <c r="I51" s="36" t="s">
        <v>45</v>
      </c>
      <c r="J51" s="37" t="s">
        <v>76</v>
      </c>
      <c r="K51" s="38">
        <v>20</v>
      </c>
      <c r="L51" s="38">
        <v>15</v>
      </c>
      <c r="M51" s="38">
        <v>10</v>
      </c>
      <c r="N51" s="38">
        <v>5</v>
      </c>
      <c r="O51" s="38" t="s">
        <v>77</v>
      </c>
      <c r="P51" s="39"/>
      <c r="Q51" s="40">
        <f t="shared" si="5"/>
        <v>0</v>
      </c>
      <c r="R51" s="41">
        <f t="shared" si="6"/>
        <v>0</v>
      </c>
    </row>
    <row r="52" spans="1:18" s="42" customFormat="1" ht="147" customHeight="1" x14ac:dyDescent="0.25">
      <c r="A52" s="129"/>
      <c r="B52" s="132"/>
      <c r="C52" s="135"/>
      <c r="D52" s="132"/>
      <c r="E52" s="33">
        <v>0.8</v>
      </c>
      <c r="F52" s="33">
        <f t="shared" si="2"/>
        <v>4.2563972637446161</v>
      </c>
      <c r="G52" s="34" t="s">
        <v>110</v>
      </c>
      <c r="H52" s="44">
        <v>0.8</v>
      </c>
      <c r="I52" s="43" t="s">
        <v>45</v>
      </c>
      <c r="J52" s="37" t="s">
        <v>61</v>
      </c>
      <c r="K52" s="38">
        <v>80</v>
      </c>
      <c r="L52" s="38">
        <v>75</v>
      </c>
      <c r="M52" s="38">
        <v>70</v>
      </c>
      <c r="N52" s="38">
        <v>50</v>
      </c>
      <c r="O52" s="38" t="s">
        <v>56</v>
      </c>
      <c r="P52" s="39"/>
      <c r="Q52" s="40">
        <f t="shared" si="5"/>
        <v>0</v>
      </c>
      <c r="R52" s="41">
        <f t="shared" si="6"/>
        <v>0</v>
      </c>
    </row>
    <row r="53" spans="1:18" s="42" customFormat="1" ht="147" customHeight="1" x14ac:dyDescent="0.25">
      <c r="A53" s="124">
        <v>7</v>
      </c>
      <c r="B53" s="125" t="s">
        <v>111</v>
      </c>
      <c r="C53" s="126">
        <f>SUM(E53:E54)</f>
        <v>0.16666666666666669</v>
      </c>
      <c r="D53" s="125" t="s">
        <v>112</v>
      </c>
      <c r="E53" s="33">
        <v>0.10000000000000002</v>
      </c>
      <c r="F53" s="33">
        <f t="shared" si="2"/>
        <v>0.53204965796807713</v>
      </c>
      <c r="G53" s="34" t="s">
        <v>113</v>
      </c>
      <c r="H53" s="44">
        <v>0.8</v>
      </c>
      <c r="I53" s="43" t="s">
        <v>45</v>
      </c>
      <c r="J53" s="37" t="s">
        <v>61</v>
      </c>
      <c r="K53" s="38">
        <v>80</v>
      </c>
      <c r="L53" s="38">
        <v>75</v>
      </c>
      <c r="M53" s="38">
        <v>70</v>
      </c>
      <c r="N53" s="38">
        <v>50</v>
      </c>
      <c r="O53" s="38" t="s">
        <v>56</v>
      </c>
      <c r="P53" s="39"/>
      <c r="Q53" s="40">
        <f t="shared" si="5"/>
        <v>0</v>
      </c>
      <c r="R53" s="41">
        <f t="shared" si="6"/>
        <v>0</v>
      </c>
    </row>
    <row r="54" spans="1:18" s="42" customFormat="1" ht="147" customHeight="1" x14ac:dyDescent="0.25">
      <c r="A54" s="124"/>
      <c r="B54" s="125"/>
      <c r="C54" s="126"/>
      <c r="D54" s="125"/>
      <c r="E54" s="33">
        <v>6.6666666666666666E-2</v>
      </c>
      <c r="F54" s="33">
        <f t="shared" si="2"/>
        <v>0.35469977197871805</v>
      </c>
      <c r="G54" s="34" t="s">
        <v>114</v>
      </c>
      <c r="H54" s="44">
        <v>0.8</v>
      </c>
      <c r="I54" s="43" t="s">
        <v>45</v>
      </c>
      <c r="J54" s="37" t="s">
        <v>61</v>
      </c>
      <c r="K54" s="38">
        <v>80</v>
      </c>
      <c r="L54" s="38">
        <v>75</v>
      </c>
      <c r="M54" s="38">
        <v>70</v>
      </c>
      <c r="N54" s="38">
        <v>50</v>
      </c>
      <c r="O54" s="38" t="s">
        <v>56</v>
      </c>
      <c r="P54" s="39"/>
      <c r="Q54" s="40">
        <f t="shared" si="5"/>
        <v>0</v>
      </c>
      <c r="R54" s="41">
        <f t="shared" si="6"/>
        <v>0</v>
      </c>
    </row>
    <row r="55" spans="1:18" s="42" customFormat="1" ht="147" customHeight="1" x14ac:dyDescent="0.25">
      <c r="A55" s="121">
        <v>8</v>
      </c>
      <c r="B55" s="122" t="s">
        <v>115</v>
      </c>
      <c r="C55" s="123">
        <f>E55</f>
        <v>0.42857142857142855</v>
      </c>
      <c r="D55" s="122" t="s">
        <v>116</v>
      </c>
      <c r="E55" s="33">
        <v>0.42857142857142855</v>
      </c>
      <c r="F55" s="33">
        <f t="shared" si="2"/>
        <v>2.2802128198631872</v>
      </c>
      <c r="G55" s="34" t="s">
        <v>117</v>
      </c>
      <c r="H55" s="44">
        <v>1</v>
      </c>
      <c r="I55" s="36" t="s">
        <v>45</v>
      </c>
      <c r="J55" s="37">
        <v>100</v>
      </c>
      <c r="K55" s="38">
        <v>95</v>
      </c>
      <c r="L55" s="38">
        <v>90</v>
      </c>
      <c r="M55" s="38">
        <v>85</v>
      </c>
      <c r="N55" s="38">
        <v>80</v>
      </c>
      <c r="O55" s="38" t="s">
        <v>46</v>
      </c>
      <c r="P55" s="39"/>
      <c r="Q55" s="40">
        <f t="shared" si="5"/>
        <v>0</v>
      </c>
      <c r="R55" s="41">
        <f t="shared" si="6"/>
        <v>0</v>
      </c>
    </row>
    <row r="56" spans="1:18" s="42" customFormat="1" ht="147" customHeight="1" x14ac:dyDescent="0.25">
      <c r="A56" s="124">
        <v>9</v>
      </c>
      <c r="B56" s="125" t="s">
        <v>118</v>
      </c>
      <c r="C56" s="126">
        <f>SUM(E56:E57)</f>
        <v>0.13333333333333333</v>
      </c>
      <c r="D56" s="34" t="s">
        <v>119</v>
      </c>
      <c r="E56" s="33">
        <v>6.6666666666666666E-2</v>
      </c>
      <c r="F56" s="33">
        <f t="shared" si="2"/>
        <v>0.35469977197871805</v>
      </c>
      <c r="G56" s="34" t="s">
        <v>120</v>
      </c>
      <c r="H56" s="35">
        <v>0.7</v>
      </c>
      <c r="I56" s="43" t="s">
        <v>45</v>
      </c>
      <c r="J56" s="37" t="s">
        <v>121</v>
      </c>
      <c r="K56" s="38">
        <v>70</v>
      </c>
      <c r="L56" s="38">
        <v>60</v>
      </c>
      <c r="M56" s="38">
        <v>50</v>
      </c>
      <c r="N56" s="38">
        <v>40</v>
      </c>
      <c r="O56" s="38" t="s">
        <v>122</v>
      </c>
      <c r="P56" s="39"/>
      <c r="Q56" s="40">
        <f t="shared" si="5"/>
        <v>0</v>
      </c>
      <c r="R56" s="41">
        <f t="shared" si="6"/>
        <v>0</v>
      </c>
    </row>
    <row r="57" spans="1:18" s="42" customFormat="1" ht="147" customHeight="1" x14ac:dyDescent="0.25">
      <c r="A57" s="124"/>
      <c r="B57" s="125"/>
      <c r="C57" s="126"/>
      <c r="D57" s="34" t="s">
        <v>123</v>
      </c>
      <c r="E57" s="33">
        <v>6.6666666666666666E-2</v>
      </c>
      <c r="F57" s="33">
        <f t="shared" si="2"/>
        <v>0.35469977197871805</v>
      </c>
      <c r="G57" s="34" t="s">
        <v>124</v>
      </c>
      <c r="H57" s="35">
        <v>0.5</v>
      </c>
      <c r="I57" s="36" t="s">
        <v>45</v>
      </c>
      <c r="J57" s="37" t="s">
        <v>51</v>
      </c>
      <c r="K57" s="38">
        <v>50</v>
      </c>
      <c r="L57" s="38">
        <v>45</v>
      </c>
      <c r="M57" s="38">
        <v>40</v>
      </c>
      <c r="N57" s="38">
        <v>25</v>
      </c>
      <c r="O57" s="38" t="s">
        <v>52</v>
      </c>
      <c r="P57" s="39"/>
      <c r="Q57" s="40">
        <f t="shared" si="5"/>
        <v>0</v>
      </c>
      <c r="R57" s="41">
        <f t="shared" si="6"/>
        <v>0</v>
      </c>
    </row>
    <row r="58" spans="1:18" s="56" customFormat="1" ht="44.25" x14ac:dyDescent="0.25">
      <c r="A58" s="46"/>
      <c r="B58" s="47" t="s">
        <v>125</v>
      </c>
      <c r="C58" s="48">
        <f>SUM(C19:C57)</f>
        <v>18.795238095238094</v>
      </c>
      <c r="D58" s="47"/>
      <c r="E58" s="48">
        <f>SUM(E19:E57)</f>
        <v>18.795238095238094</v>
      </c>
      <c r="F58" s="48">
        <f>SUM(F19:F57)</f>
        <v>99.999999999999943</v>
      </c>
      <c r="G58" s="49"/>
      <c r="H58" s="50"/>
      <c r="I58" s="51"/>
      <c r="J58" s="52"/>
      <c r="K58" s="52"/>
      <c r="L58" s="52"/>
      <c r="M58" s="52"/>
      <c r="N58" s="52"/>
      <c r="O58" s="52"/>
      <c r="P58" s="53"/>
      <c r="Q58" s="54"/>
      <c r="R58" s="55">
        <f>SUM(R19:R57)</f>
        <v>0</v>
      </c>
    </row>
    <row r="59" spans="1:18" s="58" customFormat="1" ht="66" customHeight="1" x14ac:dyDescent="0.7">
      <c r="A59" s="57"/>
      <c r="G59" s="59"/>
      <c r="H59" s="59"/>
      <c r="I59" s="218" t="s">
        <v>175</v>
      </c>
      <c r="J59" s="219"/>
      <c r="K59" s="219"/>
      <c r="L59" s="219"/>
      <c r="M59" s="219"/>
      <c r="N59" s="219"/>
      <c r="O59" s="219"/>
      <c r="P59" s="219"/>
      <c r="Q59" s="220"/>
      <c r="R59" s="60">
        <f>R58/100 * 70</f>
        <v>0</v>
      </c>
    </row>
    <row r="60" spans="1:18" s="65" customFormat="1" ht="36" x14ac:dyDescent="0.55000000000000004">
      <c r="A60" s="221" t="s">
        <v>126</v>
      </c>
      <c r="B60" s="222"/>
      <c r="C60" s="222"/>
      <c r="D60" s="222"/>
      <c r="E60" s="222"/>
      <c r="F60" s="222"/>
      <c r="G60" s="223"/>
      <c r="H60" s="224"/>
      <c r="I60" s="224"/>
      <c r="J60" s="224"/>
      <c r="K60" s="224"/>
      <c r="L60" s="225" t="s">
        <v>131</v>
      </c>
      <c r="M60" s="61" t="s">
        <v>127</v>
      </c>
      <c r="N60" s="61"/>
      <c r="O60" s="61"/>
      <c r="P60" s="62"/>
      <c r="Q60" s="63"/>
      <c r="R60" s="64"/>
    </row>
    <row r="61" spans="1:18" s="65" customFormat="1" ht="31.5" customHeight="1" x14ac:dyDescent="0.55000000000000004">
      <c r="A61" s="66"/>
      <c r="B61" s="67"/>
      <c r="C61" s="227" t="s">
        <v>128</v>
      </c>
      <c r="D61" s="227"/>
      <c r="E61" s="227"/>
      <c r="F61" s="227"/>
      <c r="G61" s="227"/>
      <c r="H61" s="68" t="s">
        <v>176</v>
      </c>
      <c r="I61" s="68" t="s">
        <v>177</v>
      </c>
      <c r="J61" s="68"/>
      <c r="K61" s="69"/>
      <c r="L61" s="226"/>
      <c r="M61" s="70"/>
      <c r="N61" s="70"/>
      <c r="O61" s="70"/>
      <c r="P61" s="71"/>
      <c r="Q61" s="63"/>
      <c r="R61" s="64"/>
    </row>
    <row r="62" spans="1:18" s="65" customFormat="1" ht="36" customHeight="1" x14ac:dyDescent="0.55000000000000004">
      <c r="A62" s="72">
        <v>1</v>
      </c>
      <c r="B62" s="73" t="s">
        <v>132</v>
      </c>
      <c r="C62" s="213"/>
      <c r="D62" s="214"/>
      <c r="E62" s="214"/>
      <c r="F62" s="214"/>
      <c r="G62" s="215"/>
      <c r="H62" s="74"/>
      <c r="I62" s="74"/>
      <c r="J62" s="74"/>
      <c r="K62" s="74"/>
      <c r="L62" s="75"/>
      <c r="M62" s="76" t="s">
        <v>36</v>
      </c>
      <c r="N62" s="211" t="s">
        <v>133</v>
      </c>
      <c r="O62" s="212"/>
      <c r="P62" s="71"/>
      <c r="Q62" s="63"/>
      <c r="R62" s="64"/>
    </row>
    <row r="63" spans="1:18" s="65" customFormat="1" ht="84.75" customHeight="1" x14ac:dyDescent="0.55000000000000004">
      <c r="A63" s="77" t="s">
        <v>134</v>
      </c>
      <c r="B63" s="78" t="s">
        <v>178</v>
      </c>
      <c r="C63" s="208"/>
      <c r="D63" s="209"/>
      <c r="E63" s="209"/>
      <c r="F63" s="209"/>
      <c r="G63" s="210"/>
      <c r="H63" s="79">
        <v>4</v>
      </c>
      <c r="I63" s="80"/>
      <c r="J63" s="79"/>
      <c r="K63" s="79"/>
      <c r="L63" s="75"/>
      <c r="M63" s="76" t="s">
        <v>37</v>
      </c>
      <c r="N63" s="211" t="s">
        <v>135</v>
      </c>
      <c r="O63" s="212"/>
      <c r="P63" s="71"/>
      <c r="Q63" s="63"/>
      <c r="R63" s="64"/>
    </row>
    <row r="64" spans="1:18" s="65" customFormat="1" ht="82.5" customHeight="1" x14ac:dyDescent="0.55000000000000004">
      <c r="A64" s="77" t="s">
        <v>136</v>
      </c>
      <c r="B64" s="78" t="s">
        <v>179</v>
      </c>
      <c r="C64" s="208"/>
      <c r="D64" s="209"/>
      <c r="E64" s="209"/>
      <c r="F64" s="209"/>
      <c r="G64" s="210"/>
      <c r="H64" s="79">
        <v>2</v>
      </c>
      <c r="I64" s="80"/>
      <c r="J64" s="79"/>
      <c r="K64" s="79"/>
      <c r="L64" s="75"/>
      <c r="M64" s="76" t="s">
        <v>38</v>
      </c>
      <c r="N64" s="211" t="s">
        <v>137</v>
      </c>
      <c r="O64" s="212"/>
      <c r="P64" s="71"/>
      <c r="Q64" s="63"/>
      <c r="R64" s="64"/>
    </row>
    <row r="65" spans="1:18" s="65" customFormat="1" ht="78.75" customHeight="1" x14ac:dyDescent="0.55000000000000004">
      <c r="A65" s="77" t="s">
        <v>138</v>
      </c>
      <c r="B65" s="78" t="s">
        <v>139</v>
      </c>
      <c r="C65" s="208"/>
      <c r="D65" s="209"/>
      <c r="E65" s="209"/>
      <c r="F65" s="209"/>
      <c r="G65" s="210"/>
      <c r="H65" s="79">
        <v>2</v>
      </c>
      <c r="I65" s="80"/>
      <c r="J65" s="79"/>
      <c r="K65" s="79"/>
      <c r="L65" s="75"/>
      <c r="M65" s="76" t="s">
        <v>39</v>
      </c>
      <c r="N65" s="211" t="s">
        <v>140</v>
      </c>
      <c r="O65" s="212"/>
      <c r="P65" s="71"/>
      <c r="Q65" s="63"/>
      <c r="R65" s="64"/>
    </row>
    <row r="66" spans="1:18" s="65" customFormat="1" ht="36" x14ac:dyDescent="0.55000000000000004">
      <c r="A66" s="81">
        <v>2</v>
      </c>
      <c r="B66" s="82" t="s">
        <v>141</v>
      </c>
      <c r="C66" s="202"/>
      <c r="D66" s="203"/>
      <c r="E66" s="203"/>
      <c r="F66" s="203"/>
      <c r="G66" s="204"/>
      <c r="H66" s="79"/>
      <c r="I66" s="80"/>
      <c r="J66" s="79"/>
      <c r="K66" s="79"/>
      <c r="L66" s="75"/>
      <c r="M66" s="76" t="s">
        <v>40</v>
      </c>
      <c r="N66" s="211" t="s">
        <v>142</v>
      </c>
      <c r="O66" s="212"/>
      <c r="P66" s="71"/>
      <c r="Q66" s="63"/>
      <c r="R66" s="64"/>
    </row>
    <row r="67" spans="1:18" s="65" customFormat="1" ht="82.5" customHeight="1" x14ac:dyDescent="0.55000000000000004">
      <c r="A67" s="77" t="s">
        <v>134</v>
      </c>
      <c r="B67" s="83" t="s">
        <v>180</v>
      </c>
      <c r="C67" s="194"/>
      <c r="D67" s="195"/>
      <c r="E67" s="195"/>
      <c r="F67" s="195"/>
      <c r="G67" s="196"/>
      <c r="H67" s="79">
        <v>2</v>
      </c>
      <c r="I67" s="80"/>
      <c r="J67" s="79"/>
      <c r="K67" s="79"/>
      <c r="L67" s="75"/>
      <c r="M67" s="76" t="s">
        <v>41</v>
      </c>
      <c r="N67" s="211" t="s">
        <v>143</v>
      </c>
      <c r="O67" s="212"/>
      <c r="P67" s="84"/>
      <c r="Q67" s="63"/>
      <c r="R67" s="64"/>
    </row>
    <row r="68" spans="1:18" s="65" customFormat="1" ht="114.75" customHeight="1" x14ac:dyDescent="0.55000000000000004">
      <c r="A68" s="77" t="s">
        <v>136</v>
      </c>
      <c r="B68" s="83" t="s">
        <v>181</v>
      </c>
      <c r="C68" s="194"/>
      <c r="D68" s="195"/>
      <c r="E68" s="195"/>
      <c r="F68" s="195"/>
      <c r="G68" s="196"/>
      <c r="H68" s="79">
        <v>2</v>
      </c>
      <c r="I68" s="80"/>
      <c r="J68" s="79"/>
      <c r="K68" s="79"/>
      <c r="L68" s="75"/>
      <c r="M68" s="71" t="s">
        <v>131</v>
      </c>
      <c r="N68" s="85" t="s">
        <v>144</v>
      </c>
      <c r="O68" s="86"/>
      <c r="P68" s="84"/>
      <c r="Q68" s="63"/>
      <c r="R68" s="64"/>
    </row>
    <row r="69" spans="1:18" s="65" customFormat="1" ht="72" customHeight="1" x14ac:dyDescent="0.55000000000000004">
      <c r="A69" s="77" t="s">
        <v>138</v>
      </c>
      <c r="B69" s="83" t="s">
        <v>182</v>
      </c>
      <c r="C69" s="194"/>
      <c r="D69" s="195"/>
      <c r="E69" s="195"/>
      <c r="F69" s="195"/>
      <c r="G69" s="196"/>
      <c r="H69" s="79">
        <v>2</v>
      </c>
      <c r="I69" s="80"/>
      <c r="J69" s="79"/>
      <c r="K69" s="79"/>
      <c r="L69" s="75"/>
      <c r="M69" s="71" t="s">
        <v>145</v>
      </c>
      <c r="N69" s="85" t="s">
        <v>146</v>
      </c>
      <c r="O69" s="86"/>
      <c r="P69" s="84"/>
      <c r="Q69" s="63"/>
      <c r="R69" s="64"/>
    </row>
    <row r="70" spans="1:18" s="65" customFormat="1" ht="66" customHeight="1" x14ac:dyDescent="0.55000000000000004">
      <c r="A70" s="81">
        <v>3</v>
      </c>
      <c r="B70" s="82" t="s">
        <v>147</v>
      </c>
      <c r="C70" s="202"/>
      <c r="D70" s="203"/>
      <c r="E70" s="203"/>
      <c r="F70" s="203"/>
      <c r="G70" s="204"/>
      <c r="H70" s="79"/>
      <c r="I70" s="80"/>
      <c r="J70" s="79"/>
      <c r="K70" s="79"/>
      <c r="L70" s="75"/>
      <c r="M70" s="71" t="s">
        <v>129</v>
      </c>
      <c r="N70" s="85" t="s">
        <v>148</v>
      </c>
      <c r="O70" s="86"/>
      <c r="P70" s="84"/>
      <c r="Q70" s="63"/>
      <c r="R70" s="64"/>
    </row>
    <row r="71" spans="1:18" s="65" customFormat="1" ht="72" customHeight="1" x14ac:dyDescent="0.55000000000000004">
      <c r="A71" s="77" t="s">
        <v>134</v>
      </c>
      <c r="B71" s="83" t="s">
        <v>149</v>
      </c>
      <c r="C71" s="205"/>
      <c r="D71" s="206"/>
      <c r="E71" s="206"/>
      <c r="F71" s="206"/>
      <c r="G71" s="207"/>
      <c r="H71" s="79">
        <v>2</v>
      </c>
      <c r="I71" s="80"/>
      <c r="J71" s="79"/>
      <c r="K71" s="79"/>
      <c r="L71" s="75"/>
      <c r="M71" s="71" t="s">
        <v>130</v>
      </c>
      <c r="N71" s="85" t="s">
        <v>150</v>
      </c>
      <c r="O71" s="86"/>
      <c r="P71" s="84"/>
      <c r="Q71" s="63"/>
      <c r="R71" s="64"/>
    </row>
    <row r="72" spans="1:18" s="65" customFormat="1" ht="72" customHeight="1" x14ac:dyDescent="0.55000000000000004">
      <c r="A72" s="77" t="s">
        <v>136</v>
      </c>
      <c r="B72" s="83" t="s">
        <v>183</v>
      </c>
      <c r="C72" s="205"/>
      <c r="D72" s="206"/>
      <c r="E72" s="206"/>
      <c r="F72" s="206"/>
      <c r="G72" s="207"/>
      <c r="H72" s="79">
        <v>2</v>
      </c>
      <c r="I72" s="80"/>
      <c r="J72" s="79"/>
      <c r="K72" s="79"/>
      <c r="L72" s="75"/>
      <c r="M72" s="71" t="s">
        <v>151</v>
      </c>
      <c r="N72" s="85" t="s">
        <v>152</v>
      </c>
      <c r="O72" s="86"/>
      <c r="P72" s="84"/>
      <c r="Q72" s="63"/>
      <c r="R72" s="64"/>
    </row>
    <row r="73" spans="1:18" s="65" customFormat="1" ht="44.25" customHeight="1" x14ac:dyDescent="0.55000000000000004">
      <c r="A73" s="77" t="s">
        <v>138</v>
      </c>
      <c r="B73" s="83" t="s">
        <v>184</v>
      </c>
      <c r="C73" s="205"/>
      <c r="D73" s="206"/>
      <c r="E73" s="206"/>
      <c r="F73" s="206"/>
      <c r="G73" s="207"/>
      <c r="H73" s="79">
        <v>2</v>
      </c>
      <c r="I73" s="80"/>
      <c r="J73" s="79"/>
      <c r="K73" s="79"/>
      <c r="L73" s="75"/>
      <c r="M73" s="87"/>
      <c r="N73" s="87"/>
      <c r="O73" s="87"/>
      <c r="P73" s="88"/>
      <c r="Q73" s="63"/>
      <c r="R73" s="64"/>
    </row>
    <row r="74" spans="1:18" s="65" customFormat="1" ht="31.5" customHeight="1" x14ac:dyDescent="0.55000000000000004">
      <c r="A74" s="192" t="s">
        <v>153</v>
      </c>
      <c r="B74" s="193"/>
      <c r="C74" s="193"/>
      <c r="D74" s="193"/>
      <c r="E74" s="193"/>
      <c r="F74" s="193"/>
      <c r="G74" s="193"/>
      <c r="H74" s="89">
        <f>SUM(H63:H73)</f>
        <v>20</v>
      </c>
      <c r="I74" s="89">
        <f>SUM(I63:I73)</f>
        <v>0</v>
      </c>
      <c r="J74" s="89"/>
      <c r="K74" s="90"/>
      <c r="L74" s="75"/>
      <c r="M74" s="87"/>
      <c r="N74" s="87"/>
      <c r="O74" s="87"/>
      <c r="P74" s="88"/>
      <c r="Q74" s="63"/>
      <c r="R74" s="64"/>
    </row>
    <row r="75" spans="1:18" s="65" customFormat="1" ht="36" customHeight="1" x14ac:dyDescent="0.55000000000000004">
      <c r="A75" s="91" t="s">
        <v>134</v>
      </c>
      <c r="B75" s="92" t="s">
        <v>154</v>
      </c>
      <c r="C75" s="194" t="s">
        <v>155</v>
      </c>
      <c r="D75" s="195"/>
      <c r="E75" s="195"/>
      <c r="F75" s="195"/>
      <c r="G75" s="196"/>
      <c r="H75" s="93">
        <v>4</v>
      </c>
      <c r="I75" s="94"/>
      <c r="J75" s="93"/>
      <c r="K75" s="95"/>
      <c r="L75" s="75"/>
      <c r="M75" s="87"/>
      <c r="N75" s="87"/>
      <c r="O75" s="87"/>
      <c r="P75" s="88"/>
      <c r="Q75" s="63"/>
      <c r="R75" s="64"/>
    </row>
    <row r="76" spans="1:18" s="65" customFormat="1" ht="129" customHeight="1" x14ac:dyDescent="0.55000000000000004">
      <c r="A76" s="91" t="s">
        <v>136</v>
      </c>
      <c r="B76" s="92" t="s">
        <v>156</v>
      </c>
      <c r="C76" s="194" t="s">
        <v>157</v>
      </c>
      <c r="D76" s="195"/>
      <c r="E76" s="195"/>
      <c r="F76" s="195"/>
      <c r="G76" s="196"/>
      <c r="H76" s="93">
        <v>3</v>
      </c>
      <c r="I76" s="94"/>
      <c r="J76" s="93"/>
      <c r="K76" s="95"/>
      <c r="L76" s="75"/>
      <c r="M76" s="87"/>
      <c r="N76" s="87"/>
      <c r="O76" s="87"/>
      <c r="P76" s="88"/>
      <c r="Q76" s="63"/>
      <c r="R76" s="64"/>
    </row>
    <row r="77" spans="1:18" s="65" customFormat="1" ht="69" customHeight="1" x14ac:dyDescent="0.55000000000000004">
      <c r="A77" s="91" t="s">
        <v>136</v>
      </c>
      <c r="B77" s="92" t="s">
        <v>158</v>
      </c>
      <c r="C77" s="194" t="s">
        <v>159</v>
      </c>
      <c r="D77" s="195"/>
      <c r="E77" s="195"/>
      <c r="F77" s="195"/>
      <c r="G77" s="196"/>
      <c r="H77" s="93">
        <v>3</v>
      </c>
      <c r="I77" s="94"/>
      <c r="J77" s="93"/>
      <c r="K77" s="95"/>
      <c r="L77" s="75"/>
      <c r="M77" s="87"/>
      <c r="N77" s="87"/>
      <c r="O77" s="87"/>
      <c r="P77" s="88"/>
      <c r="Q77" s="63"/>
      <c r="R77" s="64"/>
    </row>
    <row r="78" spans="1:18" s="65" customFormat="1" ht="46.5" customHeight="1" x14ac:dyDescent="0.55000000000000004">
      <c r="A78" s="96"/>
      <c r="B78" s="197" t="s">
        <v>160</v>
      </c>
      <c r="C78" s="197"/>
      <c r="D78" s="197"/>
      <c r="E78" s="97"/>
      <c r="F78" s="97"/>
      <c r="G78" s="97"/>
      <c r="H78" s="89">
        <f>SUM(H75:H77)</f>
        <v>10</v>
      </c>
      <c r="I78" s="89">
        <f>SUM(I75:I77)</f>
        <v>0</v>
      </c>
      <c r="J78" s="97"/>
      <c r="K78" s="98"/>
      <c r="L78" s="87"/>
      <c r="M78" s="87"/>
      <c r="N78" s="87"/>
      <c r="O78" s="87"/>
      <c r="P78" s="88"/>
      <c r="Q78" s="63"/>
      <c r="R78" s="64"/>
    </row>
    <row r="79" spans="1:18" s="101" customFormat="1" ht="45" customHeight="1" x14ac:dyDescent="0.7">
      <c r="A79" s="99"/>
      <c r="B79" s="198"/>
      <c r="C79" s="100"/>
      <c r="D79" s="100"/>
      <c r="E79" s="100"/>
      <c r="F79" s="201"/>
      <c r="G79" s="201"/>
      <c r="H79" s="201"/>
      <c r="I79" s="201"/>
      <c r="J79" s="201"/>
      <c r="K79" s="100"/>
      <c r="L79" s="100"/>
      <c r="M79" s="100"/>
      <c r="N79" s="100"/>
      <c r="O79" s="183" t="s">
        <v>185</v>
      </c>
      <c r="P79" s="184"/>
      <c r="Q79" s="183" t="s">
        <v>186</v>
      </c>
      <c r="R79" s="185"/>
    </row>
    <row r="80" spans="1:18" s="101" customFormat="1" ht="45" customHeight="1" x14ac:dyDescent="0.7">
      <c r="A80" s="99"/>
      <c r="B80" s="199"/>
      <c r="C80" s="179" t="s">
        <v>187</v>
      </c>
      <c r="D80" s="180"/>
      <c r="E80" s="180"/>
      <c r="F80" s="180"/>
      <c r="G80" s="180"/>
      <c r="H80" s="180"/>
      <c r="I80" s="180"/>
      <c r="J80" s="180"/>
      <c r="K80" s="181"/>
      <c r="L80" s="174"/>
      <c r="M80" s="175"/>
      <c r="N80" s="176"/>
      <c r="O80" s="177">
        <f>R59</f>
        <v>0</v>
      </c>
      <c r="P80" s="178"/>
      <c r="Q80" s="186">
        <f>O83/100 * 20</f>
        <v>0</v>
      </c>
      <c r="R80" s="187"/>
    </row>
    <row r="81" spans="1:18" s="101" customFormat="1" ht="45" customHeight="1" x14ac:dyDescent="0.7">
      <c r="A81" s="99"/>
      <c r="B81" s="199"/>
      <c r="C81" s="180" t="s">
        <v>188</v>
      </c>
      <c r="D81" s="180"/>
      <c r="E81" s="180"/>
      <c r="F81" s="180"/>
      <c r="G81" s="180"/>
      <c r="H81" s="180"/>
      <c r="I81" s="180"/>
      <c r="J81" s="180"/>
      <c r="K81" s="180"/>
      <c r="L81" s="175"/>
      <c r="M81" s="175"/>
      <c r="N81" s="176"/>
      <c r="O81" s="177">
        <f>I74</f>
        <v>0</v>
      </c>
      <c r="P81" s="178"/>
      <c r="Q81" s="188"/>
      <c r="R81" s="189"/>
    </row>
    <row r="82" spans="1:18" s="101" customFormat="1" ht="45" customHeight="1" x14ac:dyDescent="0.7">
      <c r="A82" s="99"/>
      <c r="B82" s="199"/>
      <c r="C82" s="179" t="s">
        <v>189</v>
      </c>
      <c r="D82" s="180"/>
      <c r="E82" s="180"/>
      <c r="F82" s="180"/>
      <c r="G82" s="180"/>
      <c r="H82" s="180"/>
      <c r="I82" s="180"/>
      <c r="J82" s="180"/>
      <c r="K82" s="181"/>
      <c r="L82" s="174"/>
      <c r="M82" s="175"/>
      <c r="N82" s="176"/>
      <c r="O82" s="177">
        <f>I78</f>
        <v>0</v>
      </c>
      <c r="P82" s="178"/>
      <c r="Q82" s="188"/>
      <c r="R82" s="189"/>
    </row>
    <row r="83" spans="1:18" s="101" customFormat="1" ht="45" customHeight="1" x14ac:dyDescent="0.7">
      <c r="A83" s="99"/>
      <c r="B83" s="200"/>
      <c r="C83" s="179" t="s">
        <v>190</v>
      </c>
      <c r="D83" s="180"/>
      <c r="E83" s="180"/>
      <c r="F83" s="180"/>
      <c r="G83" s="180"/>
      <c r="H83" s="180"/>
      <c r="I83" s="180"/>
      <c r="J83" s="180"/>
      <c r="K83" s="181"/>
      <c r="L83" s="174"/>
      <c r="M83" s="175"/>
      <c r="N83" s="176"/>
      <c r="O83" s="177">
        <f>SUM(O80:P82)</f>
        <v>0</v>
      </c>
      <c r="P83" s="178"/>
      <c r="Q83" s="190"/>
      <c r="R83" s="191"/>
    </row>
    <row r="84" spans="1:18" s="101" customFormat="1" ht="64.900000000000006" customHeight="1" x14ac:dyDescent="0.7">
      <c r="A84" s="99"/>
      <c r="B84" s="182" t="s">
        <v>191</v>
      </c>
      <c r="C84" s="182"/>
      <c r="D84" s="182"/>
      <c r="E84" s="182"/>
      <c r="F84" s="182"/>
      <c r="G84" s="182"/>
      <c r="H84" s="102"/>
      <c r="I84" s="102"/>
      <c r="J84" s="102"/>
      <c r="K84" s="102"/>
      <c r="L84" s="102"/>
      <c r="M84" s="102"/>
      <c r="N84" s="102"/>
      <c r="O84" s="102"/>
      <c r="P84" s="102"/>
      <c r="Q84" s="102"/>
      <c r="R84" s="103"/>
    </row>
    <row r="85" spans="1:18" s="101" customFormat="1" ht="64.900000000000006" customHeight="1" x14ac:dyDescent="0.7">
      <c r="A85" s="99"/>
      <c r="B85" s="165" t="s">
        <v>192</v>
      </c>
      <c r="C85" s="165"/>
      <c r="D85" s="165"/>
      <c r="E85" s="165"/>
      <c r="F85" s="165"/>
      <c r="G85" s="165"/>
      <c r="H85" s="165"/>
      <c r="I85" s="165"/>
      <c r="J85" s="165"/>
      <c r="K85" s="165"/>
      <c r="L85" s="165"/>
      <c r="M85" s="165"/>
      <c r="N85" s="165"/>
      <c r="O85" s="165"/>
      <c r="P85" s="165"/>
      <c r="Q85" s="165"/>
      <c r="R85" s="166"/>
    </row>
    <row r="86" spans="1:18" s="101" customFormat="1" ht="48.75" customHeight="1" x14ac:dyDescent="0.7">
      <c r="A86" s="99"/>
      <c r="B86" s="167" t="s">
        <v>193</v>
      </c>
      <c r="C86" s="167"/>
      <c r="D86" s="167"/>
      <c r="E86" s="167"/>
      <c r="F86" s="167"/>
      <c r="G86" s="167"/>
      <c r="H86" s="104"/>
      <c r="I86" s="104"/>
      <c r="J86" s="104"/>
      <c r="K86" s="104"/>
      <c r="L86" s="104"/>
      <c r="M86" s="104"/>
      <c r="N86" s="104"/>
      <c r="O86" s="104"/>
      <c r="P86" s="104"/>
      <c r="Q86" s="104"/>
      <c r="R86" s="105"/>
    </row>
    <row r="87" spans="1:18" s="101" customFormat="1" ht="45.75" x14ac:dyDescent="0.7">
      <c r="A87" s="99"/>
      <c r="B87" s="165"/>
      <c r="C87" s="165"/>
      <c r="D87" s="165"/>
      <c r="E87" s="165"/>
      <c r="F87" s="165"/>
      <c r="G87" s="165"/>
      <c r="H87" s="165"/>
      <c r="I87" s="165"/>
      <c r="J87" s="165"/>
      <c r="K87" s="165"/>
      <c r="L87" s="165"/>
      <c r="M87" s="165"/>
      <c r="N87" s="165"/>
      <c r="O87" s="165"/>
      <c r="P87" s="165"/>
      <c r="Q87" s="165"/>
      <c r="R87" s="166"/>
    </row>
    <row r="88" spans="1:18" s="65" customFormat="1" ht="31.5" customHeight="1" x14ac:dyDescent="0.55000000000000004">
      <c r="A88" s="168" t="s">
        <v>194</v>
      </c>
      <c r="B88" s="152"/>
      <c r="C88" s="144"/>
      <c r="D88" s="145"/>
      <c r="E88" s="148" t="s">
        <v>195</v>
      </c>
      <c r="F88" s="150"/>
      <c r="G88" s="152" t="s">
        <v>196</v>
      </c>
      <c r="H88" s="144"/>
      <c r="I88" s="144"/>
      <c r="J88" s="144"/>
      <c r="K88" s="106"/>
      <c r="L88" s="75"/>
      <c r="M88" s="171"/>
      <c r="N88" s="171"/>
      <c r="O88" s="171"/>
      <c r="P88" s="171"/>
      <c r="Q88" s="171"/>
      <c r="R88" s="64"/>
    </row>
    <row r="89" spans="1:18" s="65" customFormat="1" ht="31.5" customHeight="1" x14ac:dyDescent="0.55000000000000004">
      <c r="A89" s="142"/>
      <c r="B89" s="143"/>
      <c r="C89" s="158"/>
      <c r="D89" s="159"/>
      <c r="E89" s="170"/>
      <c r="F89" s="163"/>
      <c r="G89" s="143"/>
      <c r="H89" s="158"/>
      <c r="I89" s="158"/>
      <c r="J89" s="158"/>
      <c r="K89" s="106"/>
      <c r="L89" s="75"/>
      <c r="M89" s="172"/>
      <c r="N89" s="172"/>
      <c r="O89" s="172"/>
      <c r="P89" s="172"/>
      <c r="Q89" s="172"/>
      <c r="R89" s="64"/>
    </row>
    <row r="90" spans="1:18" s="65" customFormat="1" ht="31.5" customHeight="1" x14ac:dyDescent="0.55000000000000004">
      <c r="A90" s="142"/>
      <c r="B90" s="143"/>
      <c r="C90" s="158"/>
      <c r="D90" s="159"/>
      <c r="E90" s="170"/>
      <c r="F90" s="163"/>
      <c r="G90" s="143"/>
      <c r="H90" s="158"/>
      <c r="I90" s="158"/>
      <c r="J90" s="158"/>
      <c r="K90" s="106"/>
      <c r="L90" s="75"/>
      <c r="M90" s="172"/>
      <c r="N90" s="172"/>
      <c r="O90" s="172"/>
      <c r="P90" s="172"/>
      <c r="Q90" s="172"/>
      <c r="R90" s="64"/>
    </row>
    <row r="91" spans="1:18" s="65" customFormat="1" ht="31.5" customHeight="1" x14ac:dyDescent="0.55000000000000004">
      <c r="A91" s="169"/>
      <c r="B91" s="153"/>
      <c r="C91" s="146"/>
      <c r="D91" s="147"/>
      <c r="E91" s="149"/>
      <c r="F91" s="151"/>
      <c r="G91" s="153"/>
      <c r="H91" s="146"/>
      <c r="I91" s="146"/>
      <c r="J91" s="146"/>
      <c r="K91" s="106"/>
      <c r="L91" s="75"/>
      <c r="M91" s="172"/>
      <c r="N91" s="172"/>
      <c r="O91" s="172"/>
      <c r="P91" s="172"/>
      <c r="Q91" s="172"/>
      <c r="R91" s="64"/>
    </row>
    <row r="92" spans="1:18" s="65" customFormat="1" ht="31.5" customHeight="1" x14ac:dyDescent="0.55000000000000004">
      <c r="A92" s="154" t="s">
        <v>161</v>
      </c>
      <c r="B92" s="155"/>
      <c r="C92" s="144"/>
      <c r="D92" s="145"/>
      <c r="E92" s="160" t="s">
        <v>197</v>
      </c>
      <c r="F92" s="150"/>
      <c r="G92" s="155" t="s">
        <v>197</v>
      </c>
      <c r="H92" s="144"/>
      <c r="I92" s="144"/>
      <c r="J92" s="144"/>
      <c r="K92" s="106"/>
      <c r="L92" s="75"/>
      <c r="M92" s="172"/>
      <c r="N92" s="172"/>
      <c r="O92" s="172"/>
      <c r="P92" s="172"/>
      <c r="Q92" s="172"/>
      <c r="R92" s="64"/>
    </row>
    <row r="93" spans="1:18" s="65" customFormat="1" ht="31.5" customHeight="1" x14ac:dyDescent="0.55000000000000004">
      <c r="A93" s="156"/>
      <c r="B93" s="157"/>
      <c r="C93" s="158"/>
      <c r="D93" s="159"/>
      <c r="E93" s="161"/>
      <c r="F93" s="163"/>
      <c r="G93" s="157"/>
      <c r="H93" s="158"/>
      <c r="I93" s="158"/>
      <c r="J93" s="158"/>
      <c r="K93" s="106"/>
      <c r="L93" s="75"/>
      <c r="M93" s="172"/>
      <c r="N93" s="172"/>
      <c r="O93" s="172"/>
      <c r="P93" s="172"/>
      <c r="Q93" s="172"/>
      <c r="R93" s="64"/>
    </row>
    <row r="94" spans="1:18" s="65" customFormat="1" ht="31.5" customHeight="1" x14ac:dyDescent="0.55000000000000004">
      <c r="A94" s="156"/>
      <c r="B94" s="157"/>
      <c r="C94" s="146"/>
      <c r="D94" s="147"/>
      <c r="E94" s="162"/>
      <c r="F94" s="151"/>
      <c r="G94" s="164"/>
      <c r="H94" s="146"/>
      <c r="I94" s="146"/>
      <c r="J94" s="146"/>
      <c r="K94" s="106"/>
      <c r="L94" s="75"/>
      <c r="M94" s="172"/>
      <c r="N94" s="172"/>
      <c r="O94" s="172"/>
      <c r="P94" s="172"/>
      <c r="Q94" s="172"/>
      <c r="R94" s="64"/>
    </row>
    <row r="95" spans="1:18" s="65" customFormat="1" ht="31.5" customHeight="1" x14ac:dyDescent="0.55000000000000004">
      <c r="A95" s="142" t="s">
        <v>162</v>
      </c>
      <c r="B95" s="143"/>
      <c r="C95" s="144"/>
      <c r="D95" s="145"/>
      <c r="E95" s="148" t="s">
        <v>198</v>
      </c>
      <c r="F95" s="150"/>
      <c r="G95" s="152" t="s">
        <v>198</v>
      </c>
      <c r="H95" s="144"/>
      <c r="I95" s="144"/>
      <c r="J95" s="144"/>
      <c r="K95" s="106"/>
      <c r="L95" s="75"/>
      <c r="M95" s="172"/>
      <c r="N95" s="172"/>
      <c r="O95" s="172"/>
      <c r="P95" s="172"/>
      <c r="Q95" s="172"/>
      <c r="R95" s="64"/>
    </row>
    <row r="96" spans="1:18" s="65" customFormat="1" ht="31.5" customHeight="1" x14ac:dyDescent="0.55000000000000004">
      <c r="A96" s="142"/>
      <c r="B96" s="143"/>
      <c r="C96" s="146"/>
      <c r="D96" s="147"/>
      <c r="E96" s="149"/>
      <c r="F96" s="151"/>
      <c r="G96" s="153"/>
      <c r="H96" s="146"/>
      <c r="I96" s="146"/>
      <c r="J96" s="146"/>
      <c r="K96" s="106"/>
      <c r="L96" s="75"/>
      <c r="M96" s="172"/>
      <c r="N96" s="172"/>
      <c r="O96" s="172"/>
      <c r="P96" s="172"/>
      <c r="Q96" s="172"/>
      <c r="R96" s="64"/>
    </row>
    <row r="97" spans="1:18" s="65" customFormat="1" ht="31.5" customHeight="1" thickBot="1" x14ac:dyDescent="0.6">
      <c r="A97" s="139"/>
      <c r="B97" s="140"/>
      <c r="C97" s="140"/>
      <c r="D97" s="140"/>
      <c r="E97" s="140"/>
      <c r="F97" s="140"/>
      <c r="G97" s="140"/>
      <c r="H97" s="140"/>
      <c r="I97" s="140"/>
      <c r="J97" s="140"/>
      <c r="K97" s="107"/>
      <c r="L97" s="108"/>
      <c r="M97" s="173"/>
      <c r="N97" s="173"/>
      <c r="O97" s="173"/>
      <c r="P97" s="173"/>
      <c r="Q97" s="173"/>
      <c r="R97" s="109"/>
    </row>
  </sheetData>
  <mergeCells count="139">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9:Q59"/>
    <mergeCell ref="A60:G60"/>
    <mergeCell ref="H60:K60"/>
    <mergeCell ref="L60:L61"/>
    <mergeCell ref="C61:G61"/>
    <mergeCell ref="D28:D29"/>
    <mergeCell ref="D30:D31"/>
    <mergeCell ref="D32:D33"/>
    <mergeCell ref="D34:D35"/>
    <mergeCell ref="G17:G18"/>
    <mergeCell ref="H17:H18"/>
    <mergeCell ref="I17:I18"/>
    <mergeCell ref="J17:O17"/>
    <mergeCell ref="P17:P18"/>
    <mergeCell ref="Q17:Q18"/>
    <mergeCell ref="C65:G65"/>
    <mergeCell ref="N65:O65"/>
    <mergeCell ref="C66:G66"/>
    <mergeCell ref="N66:O66"/>
    <mergeCell ref="C67:G67"/>
    <mergeCell ref="N67:O67"/>
    <mergeCell ref="C62:G62"/>
    <mergeCell ref="N62:O62"/>
    <mergeCell ref="C63:G63"/>
    <mergeCell ref="N63:O63"/>
    <mergeCell ref="C64:G64"/>
    <mergeCell ref="N64:O64"/>
    <mergeCell ref="A74:G74"/>
    <mergeCell ref="C75:G75"/>
    <mergeCell ref="C76:G76"/>
    <mergeCell ref="C77:G77"/>
    <mergeCell ref="B78:D78"/>
    <mergeCell ref="B79:B83"/>
    <mergeCell ref="F79:J79"/>
    <mergeCell ref="C68:G68"/>
    <mergeCell ref="C69:G69"/>
    <mergeCell ref="C70:G70"/>
    <mergeCell ref="C71:G71"/>
    <mergeCell ref="C72:G72"/>
    <mergeCell ref="C73:G73"/>
    <mergeCell ref="O79:P79"/>
    <mergeCell ref="Q79:R79"/>
    <mergeCell ref="C80:K80"/>
    <mergeCell ref="L80:N80"/>
    <mergeCell ref="O80:P80"/>
    <mergeCell ref="Q80:R83"/>
    <mergeCell ref="C81:K81"/>
    <mergeCell ref="L81:N81"/>
    <mergeCell ref="O81:P81"/>
    <mergeCell ref="C82:K82"/>
    <mergeCell ref="A88:B91"/>
    <mergeCell ref="C88:D91"/>
    <mergeCell ref="E88:E91"/>
    <mergeCell ref="F88:F91"/>
    <mergeCell ref="G88:G91"/>
    <mergeCell ref="H88:J91"/>
    <mergeCell ref="M88:Q97"/>
    <mergeCell ref="L82:N82"/>
    <mergeCell ref="O82:P82"/>
    <mergeCell ref="C83:K83"/>
    <mergeCell ref="L83:N83"/>
    <mergeCell ref="O83:P83"/>
    <mergeCell ref="B84:G84"/>
    <mergeCell ref="A19:A24"/>
    <mergeCell ref="B19:B24"/>
    <mergeCell ref="C19:C24"/>
    <mergeCell ref="D19:D21"/>
    <mergeCell ref="D22:D24"/>
    <mergeCell ref="A25:A35"/>
    <mergeCell ref="B25:B35"/>
    <mergeCell ref="C25:C35"/>
    <mergeCell ref="D25:D27"/>
    <mergeCell ref="A36:A45"/>
    <mergeCell ref="B36:B45"/>
    <mergeCell ref="C36:C45"/>
    <mergeCell ref="D36:D37"/>
    <mergeCell ref="D38:D39"/>
    <mergeCell ref="D40:D41"/>
    <mergeCell ref="D42:D43"/>
    <mergeCell ref="D44:D45"/>
    <mergeCell ref="A97:J97"/>
    <mergeCell ref="A95:B96"/>
    <mergeCell ref="C95:D96"/>
    <mergeCell ref="E95:E96"/>
    <mergeCell ref="F95:F96"/>
    <mergeCell ref="G95:G96"/>
    <mergeCell ref="H95:J96"/>
    <mergeCell ref="A92:B94"/>
    <mergeCell ref="C92:D94"/>
    <mergeCell ref="E92:E94"/>
    <mergeCell ref="F92:F94"/>
    <mergeCell ref="G92:G94"/>
    <mergeCell ref="H92:J94"/>
    <mergeCell ref="B85:R85"/>
    <mergeCell ref="B86:G86"/>
    <mergeCell ref="B87:R87"/>
    <mergeCell ref="A53:A54"/>
    <mergeCell ref="B53:B54"/>
    <mergeCell ref="C53:C54"/>
    <mergeCell ref="D53:D54"/>
    <mergeCell ref="A56:A57"/>
    <mergeCell ref="B56:B57"/>
    <mergeCell ref="C56:C57"/>
    <mergeCell ref="A46:A48"/>
    <mergeCell ref="B46:B48"/>
    <mergeCell ref="C46:C48"/>
    <mergeCell ref="D46:D48"/>
    <mergeCell ref="A50:A52"/>
    <mergeCell ref="B50:B52"/>
    <mergeCell ref="C50:C52"/>
    <mergeCell ref="D50:D52"/>
  </mergeCells>
  <hyperlinks>
    <hyperlink ref="E8" r:id="rId1" display="jakinbodewa@gmail.com" xr:uid="{906480AF-B1A3-4FAE-BE57-EB63386CBAC0}"/>
  </hyperlinks>
  <pageMargins left="0.7" right="0.7" top="0.75" bottom="0.75" header="0.3" footer="0.3"/>
  <pageSetup scale="14"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819A-FAEC-40D5-8D65-1EE60B1EF624}">
  <sheetPr>
    <pageSetUpPr fitToPage="1"/>
  </sheetPr>
  <dimension ref="A1:R97"/>
  <sheetViews>
    <sheetView zoomScale="30" zoomScaleNormal="30" workbookViewId="0">
      <selection activeCell="F19" sqref="F19:F57"/>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58" t="s">
        <v>163</v>
      </c>
      <c r="B1" s="259"/>
      <c r="C1" s="259"/>
      <c r="D1" s="259"/>
      <c r="E1" s="259"/>
      <c r="F1" s="259"/>
      <c r="G1" s="259"/>
      <c r="H1" s="259"/>
      <c r="I1" s="259"/>
      <c r="J1" s="259"/>
      <c r="K1" s="259"/>
      <c r="L1" s="259"/>
      <c r="M1" s="259"/>
      <c r="N1" s="259"/>
      <c r="O1" s="259"/>
      <c r="P1" s="259"/>
      <c r="Q1" s="259"/>
      <c r="R1" s="260"/>
    </row>
    <row r="2" spans="1:18" ht="31.5" customHeight="1" x14ac:dyDescent="0.25">
      <c r="A2" s="261"/>
      <c r="B2" s="262"/>
      <c r="C2" s="262"/>
      <c r="D2" s="262"/>
      <c r="E2" s="262"/>
      <c r="F2" s="262"/>
      <c r="G2" s="262"/>
      <c r="H2" s="262"/>
      <c r="I2" s="262"/>
      <c r="J2" s="262"/>
      <c r="K2" s="262"/>
      <c r="L2" s="262"/>
      <c r="M2" s="262"/>
      <c r="N2" s="262"/>
      <c r="O2" s="262"/>
      <c r="P2" s="262"/>
      <c r="Q2" s="262"/>
      <c r="R2" s="263"/>
    </row>
    <row r="3" spans="1:18" ht="31.5" customHeight="1" thickBot="1" x14ac:dyDescent="0.3">
      <c r="A3" s="261"/>
      <c r="B3" s="262"/>
      <c r="C3" s="262"/>
      <c r="D3" s="262"/>
      <c r="E3" s="262"/>
      <c r="F3" s="262"/>
      <c r="G3" s="262"/>
      <c r="H3" s="262"/>
      <c r="I3" s="262"/>
      <c r="J3" s="262"/>
      <c r="K3" s="262"/>
      <c r="L3" s="262"/>
      <c r="M3" s="262"/>
      <c r="N3" s="262"/>
      <c r="O3" s="262"/>
      <c r="P3" s="262"/>
      <c r="Q3" s="262"/>
      <c r="R3" s="263"/>
    </row>
    <row r="4" spans="1:18" s="2" customFormat="1" ht="45.75" x14ac:dyDescent="0.25">
      <c r="A4" s="264" t="s">
        <v>0</v>
      </c>
      <c r="B4" s="265"/>
      <c r="C4" s="265"/>
      <c r="D4" s="265"/>
      <c r="E4" s="265"/>
      <c r="F4" s="265"/>
      <c r="G4" s="265"/>
      <c r="H4" s="265"/>
      <c r="I4" s="265"/>
      <c r="J4" s="265"/>
      <c r="K4" s="266"/>
      <c r="L4" s="267"/>
      <c r="M4" s="267"/>
      <c r="N4" s="267"/>
      <c r="O4" s="267"/>
      <c r="P4" s="267"/>
      <c r="Q4" s="267"/>
      <c r="R4" s="268"/>
    </row>
    <row r="5" spans="1:18" s="9" customFormat="1" ht="32.25" x14ac:dyDescent="0.5">
      <c r="A5" s="3" t="s">
        <v>1</v>
      </c>
      <c r="B5" s="4" t="s">
        <v>203</v>
      </c>
      <c r="C5" s="5" t="s">
        <v>2</v>
      </c>
      <c r="D5" s="6" t="s">
        <v>204</v>
      </c>
      <c r="E5" s="275"/>
      <c r="F5" s="275"/>
      <c r="G5" s="275"/>
      <c r="H5" s="275"/>
      <c r="I5" s="7"/>
      <c r="J5" s="8"/>
      <c r="K5" s="269"/>
      <c r="L5" s="270"/>
      <c r="M5" s="270"/>
      <c r="N5" s="270"/>
      <c r="O5" s="270"/>
      <c r="P5" s="270"/>
      <c r="Q5" s="270"/>
      <c r="R5" s="271"/>
    </row>
    <row r="6" spans="1:18" s="12" customFormat="1" ht="38.25" customHeight="1" x14ac:dyDescent="0.55000000000000004">
      <c r="A6" s="276" t="s">
        <v>3</v>
      </c>
      <c r="B6" s="277"/>
      <c r="C6" s="277"/>
      <c r="D6" s="277"/>
      <c r="E6" s="277"/>
      <c r="F6" s="277"/>
      <c r="G6" s="277"/>
      <c r="H6" s="277"/>
      <c r="I6" s="10"/>
      <c r="J6" s="11"/>
      <c r="K6" s="269"/>
      <c r="L6" s="270"/>
      <c r="M6" s="270"/>
      <c r="N6" s="270"/>
      <c r="O6" s="270"/>
      <c r="P6" s="270"/>
      <c r="Q6" s="270"/>
      <c r="R6" s="271"/>
    </row>
    <row r="7" spans="1:18" s="14" customFormat="1" ht="39" x14ac:dyDescent="0.6">
      <c r="A7" s="278" t="s">
        <v>4</v>
      </c>
      <c r="B7" s="278"/>
      <c r="C7" s="113" t="s">
        <v>5</v>
      </c>
      <c r="D7" s="114" t="s">
        <v>6</v>
      </c>
      <c r="E7" s="113" t="s">
        <v>7</v>
      </c>
      <c r="F7" s="114" t="s">
        <v>8</v>
      </c>
      <c r="G7" s="113" t="s">
        <v>9</v>
      </c>
      <c r="H7" s="114" t="s">
        <v>10</v>
      </c>
      <c r="I7" s="279" t="s">
        <v>11</v>
      </c>
      <c r="J7" s="279"/>
      <c r="K7" s="269"/>
      <c r="L7" s="270"/>
      <c r="M7" s="270"/>
      <c r="N7" s="270"/>
      <c r="O7" s="270"/>
      <c r="P7" s="270"/>
      <c r="Q7" s="270"/>
      <c r="R7" s="271"/>
    </row>
    <row r="8" spans="1:18" s="14" customFormat="1" ht="39" x14ac:dyDescent="0.6">
      <c r="A8" s="280" t="s">
        <v>12</v>
      </c>
      <c r="B8" s="280"/>
      <c r="C8" s="113">
        <v>88721</v>
      </c>
      <c r="D8" s="114" t="s">
        <v>13</v>
      </c>
      <c r="E8" s="115" t="s">
        <v>14</v>
      </c>
      <c r="F8" s="114" t="s">
        <v>15</v>
      </c>
      <c r="G8" s="113"/>
      <c r="H8" s="114" t="s">
        <v>16</v>
      </c>
      <c r="I8" s="279" t="s">
        <v>17</v>
      </c>
      <c r="J8" s="279"/>
      <c r="K8" s="269"/>
      <c r="L8" s="270"/>
      <c r="M8" s="270"/>
      <c r="N8" s="270"/>
      <c r="O8" s="270"/>
      <c r="P8" s="270"/>
      <c r="Q8" s="270"/>
      <c r="R8" s="271"/>
    </row>
    <row r="9" spans="1:18" s="14" customFormat="1" ht="62.25" customHeight="1" x14ac:dyDescent="0.6">
      <c r="A9" s="254" t="s">
        <v>18</v>
      </c>
      <c r="B9" s="254"/>
      <c r="C9" s="254"/>
      <c r="D9" s="254"/>
      <c r="E9" s="254"/>
      <c r="F9" s="254"/>
      <c r="G9" s="254"/>
      <c r="H9" s="254"/>
      <c r="I9" s="254"/>
      <c r="J9" s="13"/>
      <c r="K9" s="269"/>
      <c r="L9" s="270"/>
      <c r="M9" s="270"/>
      <c r="N9" s="270"/>
      <c r="O9" s="270"/>
      <c r="P9" s="270"/>
      <c r="Q9" s="270"/>
      <c r="R9" s="271"/>
    </row>
    <row r="10" spans="1:18" s="19" customFormat="1" ht="39" x14ac:dyDescent="0.6">
      <c r="A10" s="246" t="s">
        <v>4</v>
      </c>
      <c r="B10" s="247"/>
      <c r="C10" s="15" t="s">
        <v>19</v>
      </c>
      <c r="D10" s="16" t="s">
        <v>6</v>
      </c>
      <c r="E10" s="15" t="s">
        <v>20</v>
      </c>
      <c r="F10" s="17" t="s">
        <v>8</v>
      </c>
      <c r="G10" s="18" t="s">
        <v>21</v>
      </c>
      <c r="H10" s="16" t="s">
        <v>10</v>
      </c>
      <c r="I10" s="248" t="s">
        <v>22</v>
      </c>
      <c r="J10" s="249"/>
      <c r="K10" s="269"/>
      <c r="L10" s="270"/>
      <c r="M10" s="270"/>
      <c r="N10" s="270"/>
      <c r="O10" s="270"/>
      <c r="P10" s="270"/>
      <c r="Q10" s="270"/>
      <c r="R10" s="271"/>
    </row>
    <row r="11" spans="1:18" s="19" customFormat="1" ht="39.75" x14ac:dyDescent="0.6">
      <c r="A11" s="250" t="s">
        <v>12</v>
      </c>
      <c r="B11" s="251"/>
      <c r="C11" s="20">
        <v>60529</v>
      </c>
      <c r="D11" s="21" t="s">
        <v>13</v>
      </c>
      <c r="E11" s="116" t="s">
        <v>23</v>
      </c>
      <c r="F11" s="22" t="s">
        <v>15</v>
      </c>
      <c r="G11" s="117"/>
      <c r="H11" s="21" t="s">
        <v>16</v>
      </c>
      <c r="I11" s="252" t="s">
        <v>24</v>
      </c>
      <c r="J11" s="253"/>
      <c r="K11" s="269"/>
      <c r="L11" s="270"/>
      <c r="M11" s="270"/>
      <c r="N11" s="270"/>
      <c r="O11" s="270"/>
      <c r="P11" s="270"/>
      <c r="Q11" s="270"/>
      <c r="R11" s="271"/>
    </row>
    <row r="12" spans="1:18" s="14" customFormat="1" ht="39" x14ac:dyDescent="0.6">
      <c r="A12" s="254" t="s">
        <v>25</v>
      </c>
      <c r="B12" s="254"/>
      <c r="C12" s="254"/>
      <c r="D12" s="254"/>
      <c r="E12" s="254"/>
      <c r="F12" s="254"/>
      <c r="G12" s="254"/>
      <c r="H12" s="254"/>
      <c r="I12" s="254"/>
      <c r="J12" s="13"/>
      <c r="K12" s="269"/>
      <c r="L12" s="270"/>
      <c r="M12" s="270"/>
      <c r="N12" s="270"/>
      <c r="O12" s="270"/>
      <c r="P12" s="270"/>
      <c r="Q12" s="270"/>
      <c r="R12" s="271"/>
    </row>
    <row r="13" spans="1:18" s="19" customFormat="1" ht="56.25" customHeight="1" x14ac:dyDescent="0.6">
      <c r="A13" s="255" t="s">
        <v>4</v>
      </c>
      <c r="B13" s="255"/>
      <c r="C13" s="15"/>
      <c r="D13" s="16" t="s">
        <v>6</v>
      </c>
      <c r="E13" s="15"/>
      <c r="F13" s="17" t="s">
        <v>8</v>
      </c>
      <c r="G13" s="18"/>
      <c r="H13" s="16" t="s">
        <v>10</v>
      </c>
      <c r="I13" s="256"/>
      <c r="J13" s="257"/>
      <c r="K13" s="269"/>
      <c r="L13" s="270"/>
      <c r="M13" s="270"/>
      <c r="N13" s="270"/>
      <c r="O13" s="270"/>
      <c r="P13" s="270"/>
      <c r="Q13" s="270"/>
      <c r="R13" s="271"/>
    </row>
    <row r="14" spans="1:18" s="19" customFormat="1" ht="57" customHeight="1" x14ac:dyDescent="0.6">
      <c r="A14" s="235" t="s">
        <v>12</v>
      </c>
      <c r="B14" s="235"/>
      <c r="C14" s="20"/>
      <c r="D14" s="21" t="s">
        <v>13</v>
      </c>
      <c r="E14" s="118"/>
      <c r="F14" s="22" t="s">
        <v>15</v>
      </c>
      <c r="G14" s="117"/>
      <c r="H14" s="21" t="s">
        <v>16</v>
      </c>
      <c r="I14" s="236"/>
      <c r="J14" s="237"/>
      <c r="K14" s="269"/>
      <c r="L14" s="270"/>
      <c r="M14" s="270"/>
      <c r="N14" s="270"/>
      <c r="O14" s="270"/>
      <c r="P14" s="270"/>
      <c r="Q14" s="270"/>
      <c r="R14" s="271"/>
    </row>
    <row r="15" spans="1:18" s="24" customFormat="1" ht="20.25" customHeight="1" thickBot="1" x14ac:dyDescent="0.75">
      <c r="A15" s="238"/>
      <c r="B15" s="239"/>
      <c r="C15" s="239"/>
      <c r="D15" s="239"/>
      <c r="E15" s="239"/>
      <c r="F15" s="239"/>
      <c r="G15" s="239"/>
      <c r="H15" s="239"/>
      <c r="I15" s="239"/>
      <c r="J15" s="23"/>
      <c r="K15" s="272"/>
      <c r="L15" s="273"/>
      <c r="M15" s="273"/>
      <c r="N15" s="273"/>
      <c r="O15" s="273"/>
      <c r="P15" s="273"/>
      <c r="Q15" s="273"/>
      <c r="R15" s="274"/>
    </row>
    <row r="16" spans="1:18" s="24" customFormat="1" ht="47.25" x14ac:dyDescent="0.7">
      <c r="A16" s="240" t="s">
        <v>26</v>
      </c>
      <c r="B16" s="241"/>
      <c r="C16" s="241"/>
      <c r="D16" s="241"/>
      <c r="E16" s="241"/>
      <c r="F16" s="241"/>
      <c r="G16" s="241"/>
      <c r="H16" s="241"/>
      <c r="I16" s="241"/>
      <c r="J16" s="25"/>
      <c r="K16" s="26"/>
      <c r="L16" s="27"/>
      <c r="M16" s="27"/>
      <c r="N16" s="27"/>
      <c r="O16" s="27"/>
      <c r="P16" s="28"/>
      <c r="Q16" s="28"/>
      <c r="R16" s="29"/>
    </row>
    <row r="17" spans="1:18" s="30" customFormat="1" ht="31.5" customHeight="1" x14ac:dyDescent="0.25">
      <c r="A17" s="242" t="s">
        <v>27</v>
      </c>
      <c r="B17" s="244" t="s">
        <v>28</v>
      </c>
      <c r="C17" s="245" t="s">
        <v>29</v>
      </c>
      <c r="D17" s="245" t="s">
        <v>30</v>
      </c>
      <c r="E17" s="245" t="s">
        <v>29</v>
      </c>
      <c r="F17" s="228" t="s">
        <v>31</v>
      </c>
      <c r="G17" s="228" t="s">
        <v>32</v>
      </c>
      <c r="H17" s="230" t="s">
        <v>33</v>
      </c>
      <c r="I17" s="228" t="s">
        <v>34</v>
      </c>
      <c r="J17" s="232" t="s">
        <v>35</v>
      </c>
      <c r="K17" s="233"/>
      <c r="L17" s="233"/>
      <c r="M17" s="233"/>
      <c r="N17" s="233"/>
      <c r="O17" s="234"/>
      <c r="P17" s="225" t="s">
        <v>166</v>
      </c>
      <c r="Q17" s="225" t="s">
        <v>167</v>
      </c>
      <c r="R17" s="216" t="s">
        <v>168</v>
      </c>
    </row>
    <row r="18" spans="1:18" s="30" customFormat="1" ht="36" x14ac:dyDescent="0.25">
      <c r="A18" s="243"/>
      <c r="B18" s="244"/>
      <c r="C18" s="244"/>
      <c r="D18" s="244"/>
      <c r="E18" s="244"/>
      <c r="F18" s="229"/>
      <c r="G18" s="229"/>
      <c r="H18" s="231"/>
      <c r="I18" s="229"/>
      <c r="J18" s="31" t="s">
        <v>169</v>
      </c>
      <c r="K18" s="32" t="s">
        <v>170</v>
      </c>
      <c r="L18" s="32" t="s">
        <v>171</v>
      </c>
      <c r="M18" s="31" t="s">
        <v>172</v>
      </c>
      <c r="N18" s="31" t="s">
        <v>173</v>
      </c>
      <c r="O18" s="31" t="s">
        <v>174</v>
      </c>
      <c r="P18" s="226"/>
      <c r="Q18" s="226"/>
      <c r="R18" s="217"/>
    </row>
    <row r="19" spans="1:18" s="42" customFormat="1" ht="147" customHeight="1" x14ac:dyDescent="0.25">
      <c r="A19" s="124">
        <v>1</v>
      </c>
      <c r="B19" s="125" t="s">
        <v>42</v>
      </c>
      <c r="C19" s="141">
        <f>SUM(E19:E24)</f>
        <v>2.2666666666666666</v>
      </c>
      <c r="D19" s="130" t="s">
        <v>43</v>
      </c>
      <c r="E19" s="33">
        <v>6.6666666666666666E-2</v>
      </c>
      <c r="F19" s="33">
        <f>E19/$E$58* 100</f>
        <v>0.35469977197871805</v>
      </c>
      <c r="G19" s="34" t="s">
        <v>44</v>
      </c>
      <c r="H19" s="35">
        <v>1</v>
      </c>
      <c r="I19" s="36" t="s">
        <v>45</v>
      </c>
      <c r="J19" s="37">
        <v>100</v>
      </c>
      <c r="K19" s="38">
        <v>95</v>
      </c>
      <c r="L19" s="38">
        <v>90</v>
      </c>
      <c r="M19" s="38">
        <v>85</v>
      </c>
      <c r="N19" s="38">
        <v>80</v>
      </c>
      <c r="O19" s="38" t="s">
        <v>46</v>
      </c>
      <c r="P19" s="39"/>
      <c r="Q19" s="40">
        <f t="shared" ref="Q19" si="0">IF(OR(TRIM(P19)="",P19=0),0,
IF(P19&lt;N19,50,
IF(P19&lt;M19,60,
IF(P19&lt;L19,70,
IF(P19&lt;K19,80,
IF(ISNUMBER(J19),
    IF(P19&lt;J19,IF(P19&gt;=K19,90,80),100),
    IF(P19=K19,90,100)
))))))</f>
        <v>0</v>
      </c>
      <c r="R19" s="41">
        <f t="shared" ref="R19" si="1">F19*Q19/100</f>
        <v>0</v>
      </c>
    </row>
    <row r="20" spans="1:18" s="42" customFormat="1" ht="147" customHeight="1" x14ac:dyDescent="0.25">
      <c r="A20" s="124"/>
      <c r="B20" s="125"/>
      <c r="C20" s="141"/>
      <c r="D20" s="131"/>
      <c r="E20" s="33">
        <v>6.6666666666666666E-2</v>
      </c>
      <c r="F20" s="33">
        <f t="shared" ref="F20:F57" si="2">E20/$E$58* 100</f>
        <v>0.35469977197871805</v>
      </c>
      <c r="G20" s="34" t="s">
        <v>47</v>
      </c>
      <c r="H20" s="35">
        <v>1</v>
      </c>
      <c r="I20" s="36" t="s">
        <v>45</v>
      </c>
      <c r="J20" s="37">
        <v>100</v>
      </c>
      <c r="K20" s="38">
        <v>95</v>
      </c>
      <c r="L20" s="38">
        <v>90</v>
      </c>
      <c r="M20" s="38">
        <v>85</v>
      </c>
      <c r="N20" s="38">
        <v>80</v>
      </c>
      <c r="O20" s="38" t="s">
        <v>46</v>
      </c>
      <c r="P20" s="39"/>
      <c r="Q20" s="40">
        <f t="shared" ref="Q20:Q21" si="3">IF(OR(TRIM(P20)="",P20=0),0,
IF(P20&lt;N20,50,
IF(P20&lt;M20,60,
IF(P20&lt;L20,70,
IF(P20&lt;K20,80,
IF(ISNUMBER(J20),
    IF(P20&lt;J20,IF(P20&gt;=K20,90,80),100),
    IF(P20=K20,90,100)
))))))</f>
        <v>0</v>
      </c>
      <c r="R20" s="41">
        <f t="shared" ref="R20:R21" si="4">F20*Q20/100</f>
        <v>0</v>
      </c>
    </row>
    <row r="21" spans="1:18" s="42" customFormat="1" ht="147" customHeight="1" x14ac:dyDescent="0.25">
      <c r="A21" s="124"/>
      <c r="B21" s="125"/>
      <c r="C21" s="141"/>
      <c r="D21" s="132"/>
      <c r="E21" s="33">
        <v>0.13333333333333333</v>
      </c>
      <c r="F21" s="33">
        <f t="shared" si="2"/>
        <v>0.7093995439574361</v>
      </c>
      <c r="G21" s="34" t="s">
        <v>48</v>
      </c>
      <c r="H21" s="35">
        <v>1</v>
      </c>
      <c r="I21" s="36" t="s">
        <v>45</v>
      </c>
      <c r="J21" s="37">
        <v>100</v>
      </c>
      <c r="K21" s="38">
        <v>95</v>
      </c>
      <c r="L21" s="38">
        <v>90</v>
      </c>
      <c r="M21" s="38">
        <v>85</v>
      </c>
      <c r="N21" s="38">
        <v>80</v>
      </c>
      <c r="O21" s="38" t="s">
        <v>46</v>
      </c>
      <c r="P21" s="39"/>
      <c r="Q21" s="40">
        <f t="shared" si="3"/>
        <v>0</v>
      </c>
      <c r="R21" s="41">
        <f t="shared" si="4"/>
        <v>0</v>
      </c>
    </row>
    <row r="22" spans="1:18" s="42" customFormat="1" ht="147" customHeight="1" x14ac:dyDescent="0.25">
      <c r="A22" s="124"/>
      <c r="B22" s="125"/>
      <c r="C22" s="141"/>
      <c r="D22" s="125" t="s">
        <v>49</v>
      </c>
      <c r="E22" s="33">
        <v>1</v>
      </c>
      <c r="F22" s="33">
        <f t="shared" si="2"/>
        <v>5.3204965796807704</v>
      </c>
      <c r="G22" s="34" t="s">
        <v>50</v>
      </c>
      <c r="H22" s="35">
        <v>0.5</v>
      </c>
      <c r="I22" s="36" t="s">
        <v>45</v>
      </c>
      <c r="J22" s="37" t="s">
        <v>51</v>
      </c>
      <c r="K22" s="38">
        <v>50</v>
      </c>
      <c r="L22" s="38">
        <v>45</v>
      </c>
      <c r="M22" s="38">
        <v>40</v>
      </c>
      <c r="N22" s="38">
        <v>25</v>
      </c>
      <c r="O22" s="38" t="s">
        <v>52</v>
      </c>
      <c r="P22" s="39"/>
      <c r="Q22" s="40">
        <f t="shared" ref="Q22:Q57" si="5">IF(OR(TRIM(P22)="",P22=0),0,
IF(P22&lt;N22,50,
IF(P22&lt;M22,60,
IF(P22&lt;L22,70,
IF(P22&lt;K22,80,
IF(ISNUMBER(J22),
    IF(P22&lt;J22,IF(P22&gt;=K22,90,80),100),
    IF(P22=K22,90,100)
))))))</f>
        <v>0</v>
      </c>
      <c r="R22" s="41">
        <f t="shared" ref="R22:R57" si="6">F22*Q22/100</f>
        <v>0</v>
      </c>
    </row>
    <row r="23" spans="1:18" s="42" customFormat="1" ht="147" customHeight="1" x14ac:dyDescent="0.25">
      <c r="A23" s="124"/>
      <c r="B23" s="125"/>
      <c r="C23" s="141"/>
      <c r="D23" s="125"/>
      <c r="E23" s="33">
        <v>0.5</v>
      </c>
      <c r="F23" s="33">
        <f t="shared" si="2"/>
        <v>2.6602482898403852</v>
      </c>
      <c r="G23" s="34" t="s">
        <v>53</v>
      </c>
      <c r="H23" s="35">
        <v>0.5</v>
      </c>
      <c r="I23" s="36" t="s">
        <v>45</v>
      </c>
      <c r="J23" s="37" t="s">
        <v>51</v>
      </c>
      <c r="K23" s="38">
        <v>50</v>
      </c>
      <c r="L23" s="38">
        <v>45</v>
      </c>
      <c r="M23" s="38">
        <v>40</v>
      </c>
      <c r="N23" s="38">
        <v>25</v>
      </c>
      <c r="O23" s="38" t="s">
        <v>52</v>
      </c>
      <c r="P23" s="39"/>
      <c r="Q23" s="40">
        <f t="shared" si="5"/>
        <v>0</v>
      </c>
      <c r="R23" s="41">
        <f t="shared" si="6"/>
        <v>0</v>
      </c>
    </row>
    <row r="24" spans="1:18" s="42" customFormat="1" ht="147" customHeight="1" x14ac:dyDescent="0.25">
      <c r="A24" s="124"/>
      <c r="B24" s="125"/>
      <c r="C24" s="141"/>
      <c r="D24" s="125"/>
      <c r="E24" s="33">
        <v>0.5</v>
      </c>
      <c r="F24" s="33">
        <f t="shared" si="2"/>
        <v>2.6602482898403852</v>
      </c>
      <c r="G24" s="34" t="s">
        <v>54</v>
      </c>
      <c r="H24" s="35">
        <v>0.75</v>
      </c>
      <c r="I24" s="36" t="s">
        <v>45</v>
      </c>
      <c r="J24" s="37" t="s">
        <v>55</v>
      </c>
      <c r="K24" s="38">
        <v>75</v>
      </c>
      <c r="L24" s="38">
        <v>70</v>
      </c>
      <c r="M24" s="38">
        <v>60</v>
      </c>
      <c r="N24" s="38">
        <v>50</v>
      </c>
      <c r="O24" s="38" t="s">
        <v>56</v>
      </c>
      <c r="P24" s="39"/>
      <c r="Q24" s="40">
        <f t="shared" si="5"/>
        <v>0</v>
      </c>
      <c r="R24" s="41">
        <f t="shared" si="6"/>
        <v>0</v>
      </c>
    </row>
    <row r="25" spans="1:18" s="42" customFormat="1" ht="147" customHeight="1" x14ac:dyDescent="0.25">
      <c r="A25" s="127">
        <v>2</v>
      </c>
      <c r="B25" s="130" t="s">
        <v>57</v>
      </c>
      <c r="C25" s="136">
        <f>SUM(E25:E35)</f>
        <v>5</v>
      </c>
      <c r="D25" s="130" t="s">
        <v>58</v>
      </c>
      <c r="E25" s="33">
        <v>0.3</v>
      </c>
      <c r="F25" s="33">
        <f t="shared" si="2"/>
        <v>1.5961489739042312</v>
      </c>
      <c r="G25" s="34" t="s">
        <v>59</v>
      </c>
      <c r="H25" s="44">
        <v>1</v>
      </c>
      <c r="I25" s="36" t="s">
        <v>45</v>
      </c>
      <c r="J25" s="37">
        <v>100</v>
      </c>
      <c r="K25" s="38">
        <v>95</v>
      </c>
      <c r="L25" s="38">
        <v>90</v>
      </c>
      <c r="M25" s="38">
        <v>85</v>
      </c>
      <c r="N25" s="38">
        <v>80</v>
      </c>
      <c r="O25" s="38" t="s">
        <v>46</v>
      </c>
      <c r="P25" s="39"/>
      <c r="Q25" s="40">
        <f t="shared" si="5"/>
        <v>0</v>
      </c>
      <c r="R25" s="41">
        <f t="shared" si="6"/>
        <v>0</v>
      </c>
    </row>
    <row r="26" spans="1:18" s="42" customFormat="1" ht="147" customHeight="1" x14ac:dyDescent="0.25">
      <c r="A26" s="128"/>
      <c r="B26" s="131"/>
      <c r="C26" s="137"/>
      <c r="D26" s="131"/>
      <c r="E26" s="33">
        <v>0.3</v>
      </c>
      <c r="F26" s="33">
        <f t="shared" si="2"/>
        <v>1.5961489739042312</v>
      </c>
      <c r="G26" s="34" t="s">
        <v>60</v>
      </c>
      <c r="H26" s="44">
        <v>0.8</v>
      </c>
      <c r="I26" s="43" t="s">
        <v>45</v>
      </c>
      <c r="J26" s="37" t="s">
        <v>61</v>
      </c>
      <c r="K26" s="38">
        <v>80</v>
      </c>
      <c r="L26" s="38">
        <v>75</v>
      </c>
      <c r="M26" s="38">
        <v>70</v>
      </c>
      <c r="N26" s="38">
        <v>50</v>
      </c>
      <c r="O26" s="38" t="s">
        <v>56</v>
      </c>
      <c r="P26" s="39"/>
      <c r="Q26" s="40">
        <f t="shared" si="5"/>
        <v>0</v>
      </c>
      <c r="R26" s="41">
        <f t="shared" si="6"/>
        <v>0</v>
      </c>
    </row>
    <row r="27" spans="1:18" s="42" customFormat="1" ht="147" customHeight="1" x14ac:dyDescent="0.25">
      <c r="A27" s="128"/>
      <c r="B27" s="131"/>
      <c r="C27" s="137"/>
      <c r="D27" s="132"/>
      <c r="E27" s="33">
        <v>0.4</v>
      </c>
      <c r="F27" s="33">
        <f t="shared" si="2"/>
        <v>2.1281986318723081</v>
      </c>
      <c r="G27" s="34" t="s">
        <v>62</v>
      </c>
      <c r="H27" s="44">
        <v>0.9</v>
      </c>
      <c r="I27" s="43" t="s">
        <v>45</v>
      </c>
      <c r="J27" s="37" t="s">
        <v>63</v>
      </c>
      <c r="K27" s="38">
        <v>90</v>
      </c>
      <c r="L27" s="38">
        <v>80</v>
      </c>
      <c r="M27" s="38">
        <v>70</v>
      </c>
      <c r="N27" s="38">
        <v>50</v>
      </c>
      <c r="O27" s="38" t="s">
        <v>56</v>
      </c>
      <c r="P27" s="39"/>
      <c r="Q27" s="40">
        <f t="shared" si="5"/>
        <v>0</v>
      </c>
      <c r="R27" s="41">
        <f t="shared" si="6"/>
        <v>0</v>
      </c>
    </row>
    <row r="28" spans="1:18" s="42" customFormat="1" ht="147" customHeight="1" x14ac:dyDescent="0.25">
      <c r="A28" s="128"/>
      <c r="B28" s="131"/>
      <c r="C28" s="137"/>
      <c r="D28" s="130" t="s">
        <v>64</v>
      </c>
      <c r="E28" s="33">
        <v>0.5</v>
      </c>
      <c r="F28" s="33">
        <f t="shared" si="2"/>
        <v>2.6602482898403852</v>
      </c>
      <c r="G28" s="34" t="s">
        <v>65</v>
      </c>
      <c r="H28" s="44">
        <v>0.75</v>
      </c>
      <c r="I28" s="36" t="s">
        <v>45</v>
      </c>
      <c r="J28" s="37" t="s">
        <v>55</v>
      </c>
      <c r="K28" s="38">
        <v>75</v>
      </c>
      <c r="L28" s="38">
        <v>70</v>
      </c>
      <c r="M28" s="38">
        <v>60</v>
      </c>
      <c r="N28" s="38">
        <v>50</v>
      </c>
      <c r="O28" s="38" t="s">
        <v>56</v>
      </c>
      <c r="P28" s="39"/>
      <c r="Q28" s="40">
        <f t="shared" si="5"/>
        <v>0</v>
      </c>
      <c r="R28" s="41">
        <f t="shared" si="6"/>
        <v>0</v>
      </c>
    </row>
    <row r="29" spans="1:18" s="42" customFormat="1" ht="147" customHeight="1" x14ac:dyDescent="0.25">
      <c r="A29" s="128"/>
      <c r="B29" s="131"/>
      <c r="C29" s="137"/>
      <c r="D29" s="132"/>
      <c r="E29" s="33">
        <v>0.5</v>
      </c>
      <c r="F29" s="33">
        <f t="shared" si="2"/>
        <v>2.6602482898403852</v>
      </c>
      <c r="G29" s="34" t="s">
        <v>66</v>
      </c>
      <c r="H29" s="44">
        <v>0.9</v>
      </c>
      <c r="I29" s="43" t="s">
        <v>45</v>
      </c>
      <c r="J29" s="37" t="s">
        <v>63</v>
      </c>
      <c r="K29" s="38">
        <v>90</v>
      </c>
      <c r="L29" s="38">
        <v>80</v>
      </c>
      <c r="M29" s="38">
        <v>70</v>
      </c>
      <c r="N29" s="38">
        <v>50</v>
      </c>
      <c r="O29" s="38" t="s">
        <v>56</v>
      </c>
      <c r="P29" s="39"/>
      <c r="Q29" s="40">
        <f t="shared" si="5"/>
        <v>0</v>
      </c>
      <c r="R29" s="41">
        <f t="shared" si="6"/>
        <v>0</v>
      </c>
    </row>
    <row r="30" spans="1:18" s="42" customFormat="1" ht="147" customHeight="1" x14ac:dyDescent="0.25">
      <c r="A30" s="128"/>
      <c r="B30" s="131"/>
      <c r="C30" s="137"/>
      <c r="D30" s="130" t="s">
        <v>67</v>
      </c>
      <c r="E30" s="33">
        <v>0.5</v>
      </c>
      <c r="F30" s="33">
        <f t="shared" si="2"/>
        <v>2.6602482898403852</v>
      </c>
      <c r="G30" s="34" t="s">
        <v>68</v>
      </c>
      <c r="H30" s="44">
        <v>0.8</v>
      </c>
      <c r="I30" s="43" t="s">
        <v>45</v>
      </c>
      <c r="J30" s="37" t="s">
        <v>61</v>
      </c>
      <c r="K30" s="38">
        <v>80</v>
      </c>
      <c r="L30" s="38">
        <v>75</v>
      </c>
      <c r="M30" s="38">
        <v>70</v>
      </c>
      <c r="N30" s="38">
        <v>50</v>
      </c>
      <c r="O30" s="38" t="s">
        <v>56</v>
      </c>
      <c r="P30" s="39"/>
      <c r="Q30" s="40">
        <f t="shared" si="5"/>
        <v>0</v>
      </c>
      <c r="R30" s="41">
        <f t="shared" si="6"/>
        <v>0</v>
      </c>
    </row>
    <row r="31" spans="1:18" s="42" customFormat="1" ht="147" customHeight="1" x14ac:dyDescent="0.25">
      <c r="A31" s="128"/>
      <c r="B31" s="131"/>
      <c r="C31" s="137"/>
      <c r="D31" s="132"/>
      <c r="E31" s="33">
        <v>0.5</v>
      </c>
      <c r="F31" s="33">
        <f t="shared" si="2"/>
        <v>2.6602482898403852</v>
      </c>
      <c r="G31" s="34" t="s">
        <v>69</v>
      </c>
      <c r="H31" s="44">
        <v>0.9</v>
      </c>
      <c r="I31" s="43" t="s">
        <v>45</v>
      </c>
      <c r="J31" s="37" t="s">
        <v>63</v>
      </c>
      <c r="K31" s="38">
        <v>90</v>
      </c>
      <c r="L31" s="38">
        <v>80</v>
      </c>
      <c r="M31" s="38">
        <v>70</v>
      </c>
      <c r="N31" s="38">
        <v>50</v>
      </c>
      <c r="O31" s="38" t="s">
        <v>56</v>
      </c>
      <c r="P31" s="39"/>
      <c r="Q31" s="40">
        <f t="shared" si="5"/>
        <v>0</v>
      </c>
      <c r="R31" s="41">
        <f t="shared" si="6"/>
        <v>0</v>
      </c>
    </row>
    <row r="32" spans="1:18" s="42" customFormat="1" ht="147" customHeight="1" x14ac:dyDescent="0.25">
      <c r="A32" s="128"/>
      <c r="B32" s="131"/>
      <c r="C32" s="137"/>
      <c r="D32" s="130" t="s">
        <v>70</v>
      </c>
      <c r="E32" s="33">
        <v>0.5</v>
      </c>
      <c r="F32" s="33">
        <f t="shared" si="2"/>
        <v>2.6602482898403852</v>
      </c>
      <c r="G32" s="34" t="s">
        <v>71</v>
      </c>
      <c r="H32" s="44">
        <v>1</v>
      </c>
      <c r="I32" s="36" t="s">
        <v>45</v>
      </c>
      <c r="J32" s="37">
        <v>100</v>
      </c>
      <c r="K32" s="38">
        <v>95</v>
      </c>
      <c r="L32" s="38">
        <v>90</v>
      </c>
      <c r="M32" s="38">
        <v>85</v>
      </c>
      <c r="N32" s="38">
        <v>80</v>
      </c>
      <c r="O32" s="38" t="s">
        <v>46</v>
      </c>
      <c r="P32" s="39"/>
      <c r="Q32" s="40">
        <f t="shared" si="5"/>
        <v>0</v>
      </c>
      <c r="R32" s="41">
        <f t="shared" si="6"/>
        <v>0</v>
      </c>
    </row>
    <row r="33" spans="1:18" s="42" customFormat="1" ht="147" customHeight="1" x14ac:dyDescent="0.25">
      <c r="A33" s="128"/>
      <c r="B33" s="131"/>
      <c r="C33" s="137"/>
      <c r="D33" s="132"/>
      <c r="E33" s="33">
        <v>0.5</v>
      </c>
      <c r="F33" s="33">
        <f t="shared" si="2"/>
        <v>2.6602482898403852</v>
      </c>
      <c r="G33" s="34" t="s">
        <v>72</v>
      </c>
      <c r="H33" s="44">
        <v>1</v>
      </c>
      <c r="I33" s="36" t="s">
        <v>45</v>
      </c>
      <c r="J33" s="37">
        <v>100</v>
      </c>
      <c r="K33" s="38">
        <v>95</v>
      </c>
      <c r="L33" s="38">
        <v>90</v>
      </c>
      <c r="M33" s="38">
        <v>85</v>
      </c>
      <c r="N33" s="38">
        <v>80</v>
      </c>
      <c r="O33" s="38" t="s">
        <v>46</v>
      </c>
      <c r="P33" s="39"/>
      <c r="Q33" s="40">
        <f t="shared" si="5"/>
        <v>0</v>
      </c>
      <c r="R33" s="41">
        <f t="shared" si="6"/>
        <v>0</v>
      </c>
    </row>
    <row r="34" spans="1:18" s="42" customFormat="1" ht="147" customHeight="1" x14ac:dyDescent="0.25">
      <c r="A34" s="128"/>
      <c r="B34" s="131"/>
      <c r="C34" s="137"/>
      <c r="D34" s="130" t="s">
        <v>73</v>
      </c>
      <c r="E34" s="33">
        <v>0.5</v>
      </c>
      <c r="F34" s="33">
        <f t="shared" si="2"/>
        <v>2.6602482898403852</v>
      </c>
      <c r="G34" s="34" t="s">
        <v>74</v>
      </c>
      <c r="H34" s="44">
        <v>0.8</v>
      </c>
      <c r="I34" s="43" t="s">
        <v>45</v>
      </c>
      <c r="J34" s="37" t="s">
        <v>61</v>
      </c>
      <c r="K34" s="38">
        <v>80</v>
      </c>
      <c r="L34" s="38">
        <v>75</v>
      </c>
      <c r="M34" s="38">
        <v>70</v>
      </c>
      <c r="N34" s="38">
        <v>50</v>
      </c>
      <c r="O34" s="38" t="s">
        <v>56</v>
      </c>
      <c r="P34" s="39"/>
      <c r="Q34" s="40">
        <f t="shared" si="5"/>
        <v>0</v>
      </c>
      <c r="R34" s="41">
        <f t="shared" si="6"/>
        <v>0</v>
      </c>
    </row>
    <row r="35" spans="1:18" s="42" customFormat="1" ht="147" customHeight="1" x14ac:dyDescent="0.25">
      <c r="A35" s="129"/>
      <c r="B35" s="132"/>
      <c r="C35" s="138"/>
      <c r="D35" s="132"/>
      <c r="E35" s="33">
        <v>0.5</v>
      </c>
      <c r="F35" s="33">
        <f t="shared" si="2"/>
        <v>2.6602482898403852</v>
      </c>
      <c r="G35" s="34" t="s">
        <v>75</v>
      </c>
      <c r="H35" s="35">
        <v>0.2</v>
      </c>
      <c r="I35" s="36" t="s">
        <v>45</v>
      </c>
      <c r="J35" s="37" t="s">
        <v>76</v>
      </c>
      <c r="K35" s="38">
        <v>20</v>
      </c>
      <c r="L35" s="38">
        <v>15</v>
      </c>
      <c r="M35" s="38">
        <v>10</v>
      </c>
      <c r="N35" s="38">
        <v>5</v>
      </c>
      <c r="O35" s="38" t="s">
        <v>77</v>
      </c>
      <c r="P35" s="39"/>
      <c r="Q35" s="40">
        <f t="shared" si="5"/>
        <v>0</v>
      </c>
      <c r="R35" s="41">
        <f t="shared" si="6"/>
        <v>0</v>
      </c>
    </row>
    <row r="36" spans="1:18" s="42" customFormat="1" ht="147" customHeight="1" x14ac:dyDescent="0.25">
      <c r="A36" s="127">
        <v>3</v>
      </c>
      <c r="B36" s="130" t="s">
        <v>78</v>
      </c>
      <c r="C36" s="136">
        <f>SUM(E36:E45)</f>
        <v>5</v>
      </c>
      <c r="D36" s="130" t="s">
        <v>79</v>
      </c>
      <c r="E36" s="33">
        <v>0.7</v>
      </c>
      <c r="F36" s="33">
        <f t="shared" si="2"/>
        <v>3.7243476057765394</v>
      </c>
      <c r="G36" s="34" t="s">
        <v>80</v>
      </c>
      <c r="H36" s="44">
        <v>0.8</v>
      </c>
      <c r="I36" s="43" t="s">
        <v>45</v>
      </c>
      <c r="J36" s="37" t="s">
        <v>61</v>
      </c>
      <c r="K36" s="38">
        <v>80</v>
      </c>
      <c r="L36" s="38">
        <v>75</v>
      </c>
      <c r="M36" s="38">
        <v>70</v>
      </c>
      <c r="N36" s="38">
        <v>50</v>
      </c>
      <c r="O36" s="38" t="s">
        <v>56</v>
      </c>
      <c r="P36" s="39"/>
      <c r="Q36" s="40">
        <f t="shared" si="5"/>
        <v>0</v>
      </c>
      <c r="R36" s="41">
        <f t="shared" si="6"/>
        <v>0</v>
      </c>
    </row>
    <row r="37" spans="1:18" s="42" customFormat="1" ht="147" customHeight="1" x14ac:dyDescent="0.25">
      <c r="A37" s="128"/>
      <c r="B37" s="131"/>
      <c r="C37" s="137"/>
      <c r="D37" s="132"/>
      <c r="E37" s="33">
        <v>0.3</v>
      </c>
      <c r="F37" s="33">
        <f t="shared" si="2"/>
        <v>1.5961489739042312</v>
      </c>
      <c r="G37" s="34" t="s">
        <v>81</v>
      </c>
      <c r="H37" s="44">
        <v>1</v>
      </c>
      <c r="I37" s="36" t="s">
        <v>45</v>
      </c>
      <c r="J37" s="37">
        <v>100</v>
      </c>
      <c r="K37" s="38">
        <v>95</v>
      </c>
      <c r="L37" s="38">
        <v>90</v>
      </c>
      <c r="M37" s="38">
        <v>85</v>
      </c>
      <c r="N37" s="38">
        <v>80</v>
      </c>
      <c r="O37" s="38" t="s">
        <v>46</v>
      </c>
      <c r="P37" s="39"/>
      <c r="Q37" s="40">
        <f t="shared" si="5"/>
        <v>0</v>
      </c>
      <c r="R37" s="41">
        <f t="shared" si="6"/>
        <v>0</v>
      </c>
    </row>
    <row r="38" spans="1:18" s="42" customFormat="1" ht="147" customHeight="1" x14ac:dyDescent="0.25">
      <c r="A38" s="128"/>
      <c r="B38" s="131"/>
      <c r="C38" s="137"/>
      <c r="D38" s="130" t="s">
        <v>82</v>
      </c>
      <c r="E38" s="33">
        <v>0.5</v>
      </c>
      <c r="F38" s="33">
        <f t="shared" si="2"/>
        <v>2.6602482898403852</v>
      </c>
      <c r="G38" s="34" t="s">
        <v>83</v>
      </c>
      <c r="H38" s="44">
        <v>1</v>
      </c>
      <c r="I38" s="36" t="s">
        <v>45</v>
      </c>
      <c r="J38" s="37">
        <v>100</v>
      </c>
      <c r="K38" s="38">
        <v>95</v>
      </c>
      <c r="L38" s="38">
        <v>90</v>
      </c>
      <c r="M38" s="38">
        <v>85</v>
      </c>
      <c r="N38" s="38">
        <v>80</v>
      </c>
      <c r="O38" s="38" t="s">
        <v>46</v>
      </c>
      <c r="P38" s="39"/>
      <c r="Q38" s="40">
        <f t="shared" si="5"/>
        <v>0</v>
      </c>
      <c r="R38" s="41">
        <f t="shared" si="6"/>
        <v>0</v>
      </c>
    </row>
    <row r="39" spans="1:18" s="42" customFormat="1" ht="147" customHeight="1" x14ac:dyDescent="0.25">
      <c r="A39" s="128"/>
      <c r="B39" s="131"/>
      <c r="C39" s="137"/>
      <c r="D39" s="132"/>
      <c r="E39" s="33">
        <v>0.5</v>
      </c>
      <c r="F39" s="33">
        <f t="shared" si="2"/>
        <v>2.6602482898403852</v>
      </c>
      <c r="G39" s="34" t="s">
        <v>84</v>
      </c>
      <c r="H39" s="44">
        <v>0.8</v>
      </c>
      <c r="I39" s="43" t="s">
        <v>45</v>
      </c>
      <c r="J39" s="37" t="s">
        <v>61</v>
      </c>
      <c r="K39" s="38">
        <v>80</v>
      </c>
      <c r="L39" s="38">
        <v>75</v>
      </c>
      <c r="M39" s="38">
        <v>70</v>
      </c>
      <c r="N39" s="38">
        <v>50</v>
      </c>
      <c r="O39" s="38" t="s">
        <v>56</v>
      </c>
      <c r="P39" s="39"/>
      <c r="Q39" s="40">
        <f t="shared" si="5"/>
        <v>0</v>
      </c>
      <c r="R39" s="41">
        <f t="shared" si="6"/>
        <v>0</v>
      </c>
    </row>
    <row r="40" spans="1:18" s="42" customFormat="1" ht="147" customHeight="1" x14ac:dyDescent="0.25">
      <c r="A40" s="128"/>
      <c r="B40" s="131"/>
      <c r="C40" s="137"/>
      <c r="D40" s="130" t="s">
        <v>85</v>
      </c>
      <c r="E40" s="33">
        <v>0.5</v>
      </c>
      <c r="F40" s="33">
        <f t="shared" si="2"/>
        <v>2.6602482898403852</v>
      </c>
      <c r="G40" s="34" t="s">
        <v>86</v>
      </c>
      <c r="H40" s="43">
        <v>10</v>
      </c>
      <c r="I40" s="36" t="s">
        <v>87</v>
      </c>
      <c r="J40" s="37" t="s">
        <v>88</v>
      </c>
      <c r="K40" s="38">
        <v>10</v>
      </c>
      <c r="L40" s="38">
        <v>8</v>
      </c>
      <c r="M40" s="38">
        <v>6</v>
      </c>
      <c r="N40" s="38">
        <v>5</v>
      </c>
      <c r="O40" s="38" t="s">
        <v>77</v>
      </c>
      <c r="P40" s="39"/>
      <c r="Q40" s="40">
        <f t="shared" si="5"/>
        <v>0</v>
      </c>
      <c r="R40" s="41">
        <f t="shared" si="6"/>
        <v>0</v>
      </c>
    </row>
    <row r="41" spans="1:18" s="42" customFormat="1" ht="147" customHeight="1" x14ac:dyDescent="0.25">
      <c r="A41" s="128"/>
      <c r="B41" s="131"/>
      <c r="C41" s="137"/>
      <c r="D41" s="132"/>
      <c r="E41" s="33">
        <v>0.5</v>
      </c>
      <c r="F41" s="33">
        <f t="shared" si="2"/>
        <v>2.6602482898403852</v>
      </c>
      <c r="G41" s="34" t="s">
        <v>89</v>
      </c>
      <c r="H41" s="44">
        <v>0.8</v>
      </c>
      <c r="I41" s="43" t="s">
        <v>45</v>
      </c>
      <c r="J41" s="37" t="s">
        <v>61</v>
      </c>
      <c r="K41" s="38">
        <v>80</v>
      </c>
      <c r="L41" s="38">
        <v>75</v>
      </c>
      <c r="M41" s="38">
        <v>70</v>
      </c>
      <c r="N41" s="38">
        <v>50</v>
      </c>
      <c r="O41" s="38" t="s">
        <v>56</v>
      </c>
      <c r="P41" s="39"/>
      <c r="Q41" s="40">
        <f t="shared" si="5"/>
        <v>0</v>
      </c>
      <c r="R41" s="41">
        <f t="shared" si="6"/>
        <v>0</v>
      </c>
    </row>
    <row r="42" spans="1:18" s="42" customFormat="1" ht="147" customHeight="1" x14ac:dyDescent="0.25">
      <c r="A42" s="128"/>
      <c r="B42" s="131"/>
      <c r="C42" s="137"/>
      <c r="D42" s="130" t="s">
        <v>90</v>
      </c>
      <c r="E42" s="33">
        <v>0.5</v>
      </c>
      <c r="F42" s="33">
        <f t="shared" si="2"/>
        <v>2.6602482898403852</v>
      </c>
      <c r="G42" s="34" t="s">
        <v>91</v>
      </c>
      <c r="H42" s="43">
        <v>5</v>
      </c>
      <c r="I42" s="36" t="s">
        <v>87</v>
      </c>
      <c r="J42" s="37" t="s">
        <v>92</v>
      </c>
      <c r="K42" s="38">
        <v>5</v>
      </c>
      <c r="L42" s="38">
        <v>4</v>
      </c>
      <c r="M42" s="38">
        <v>3</v>
      </c>
      <c r="N42" s="38">
        <v>2</v>
      </c>
      <c r="O42" s="38">
        <v>1</v>
      </c>
      <c r="P42" s="39"/>
      <c r="Q42" s="40">
        <f t="shared" si="5"/>
        <v>0</v>
      </c>
      <c r="R42" s="41">
        <f t="shared" si="6"/>
        <v>0</v>
      </c>
    </row>
    <row r="43" spans="1:18" s="42" customFormat="1" ht="147" customHeight="1" x14ac:dyDescent="0.25">
      <c r="A43" s="128"/>
      <c r="B43" s="131"/>
      <c r="C43" s="137"/>
      <c r="D43" s="132"/>
      <c r="E43" s="33">
        <v>0.5</v>
      </c>
      <c r="F43" s="33">
        <f t="shared" si="2"/>
        <v>2.6602482898403852</v>
      </c>
      <c r="G43" s="34" t="s">
        <v>93</v>
      </c>
      <c r="H43" s="43">
        <v>10</v>
      </c>
      <c r="I43" s="36" t="s">
        <v>87</v>
      </c>
      <c r="J43" s="37" t="s">
        <v>88</v>
      </c>
      <c r="K43" s="38">
        <v>10</v>
      </c>
      <c r="L43" s="38">
        <v>8</v>
      </c>
      <c r="M43" s="38">
        <v>6</v>
      </c>
      <c r="N43" s="38">
        <v>5</v>
      </c>
      <c r="O43" s="38" t="s">
        <v>77</v>
      </c>
      <c r="P43" s="39"/>
      <c r="Q43" s="40">
        <f t="shared" si="5"/>
        <v>0</v>
      </c>
      <c r="R43" s="41">
        <f t="shared" si="6"/>
        <v>0</v>
      </c>
    </row>
    <row r="44" spans="1:18" s="42" customFormat="1" ht="147" customHeight="1" x14ac:dyDescent="0.25">
      <c r="A44" s="128"/>
      <c r="B44" s="131"/>
      <c r="C44" s="137"/>
      <c r="D44" s="130" t="s">
        <v>94</v>
      </c>
      <c r="E44" s="33">
        <v>0.8</v>
      </c>
      <c r="F44" s="33">
        <f t="shared" si="2"/>
        <v>4.2563972637446161</v>
      </c>
      <c r="G44" s="34" t="s">
        <v>95</v>
      </c>
      <c r="H44" s="44">
        <v>0.8</v>
      </c>
      <c r="I44" s="43" t="s">
        <v>45</v>
      </c>
      <c r="J44" s="37" t="s">
        <v>61</v>
      </c>
      <c r="K44" s="38">
        <v>80</v>
      </c>
      <c r="L44" s="38">
        <v>75</v>
      </c>
      <c r="M44" s="38">
        <v>70</v>
      </c>
      <c r="N44" s="38">
        <v>50</v>
      </c>
      <c r="O44" s="38" t="s">
        <v>56</v>
      </c>
      <c r="P44" s="39"/>
      <c r="Q44" s="40">
        <f t="shared" si="5"/>
        <v>0</v>
      </c>
      <c r="R44" s="41">
        <f t="shared" si="6"/>
        <v>0</v>
      </c>
    </row>
    <row r="45" spans="1:18" s="42" customFormat="1" ht="147" customHeight="1" x14ac:dyDescent="0.25">
      <c r="A45" s="129"/>
      <c r="B45" s="132"/>
      <c r="C45" s="138"/>
      <c r="D45" s="132"/>
      <c r="E45" s="119">
        <v>0.2</v>
      </c>
      <c r="F45" s="33">
        <f t="shared" si="2"/>
        <v>1.064099315936154</v>
      </c>
      <c r="G45" s="120" t="s">
        <v>96</v>
      </c>
      <c r="H45" s="44">
        <v>0.2</v>
      </c>
      <c r="I45" s="36" t="s">
        <v>45</v>
      </c>
      <c r="J45" s="37" t="s">
        <v>76</v>
      </c>
      <c r="K45" s="38">
        <v>20</v>
      </c>
      <c r="L45" s="38">
        <v>15</v>
      </c>
      <c r="M45" s="38">
        <v>10</v>
      </c>
      <c r="N45" s="38">
        <v>5</v>
      </c>
      <c r="O45" s="38" t="s">
        <v>77</v>
      </c>
      <c r="P45" s="39"/>
      <c r="Q45" s="40">
        <f t="shared" si="5"/>
        <v>0</v>
      </c>
      <c r="R45" s="41">
        <f t="shared" si="6"/>
        <v>0</v>
      </c>
    </row>
    <row r="46" spans="1:18" s="42" customFormat="1" ht="147" customHeight="1" x14ac:dyDescent="0.25">
      <c r="A46" s="124">
        <v>4</v>
      </c>
      <c r="B46" s="125" t="s">
        <v>97</v>
      </c>
      <c r="C46" s="126">
        <f>SUM(E46:E48)</f>
        <v>3.5</v>
      </c>
      <c r="D46" s="125" t="s">
        <v>98</v>
      </c>
      <c r="E46" s="33">
        <v>1.4</v>
      </c>
      <c r="F46" s="33">
        <f t="shared" si="2"/>
        <v>7.4486952115530789</v>
      </c>
      <c r="G46" s="34" t="s">
        <v>99</v>
      </c>
      <c r="H46" s="43">
        <v>5</v>
      </c>
      <c r="I46" s="36" t="s">
        <v>87</v>
      </c>
      <c r="J46" s="37" t="s">
        <v>92</v>
      </c>
      <c r="K46" s="38">
        <v>5</v>
      </c>
      <c r="L46" s="38">
        <v>4</v>
      </c>
      <c r="M46" s="38">
        <v>3</v>
      </c>
      <c r="N46" s="38">
        <v>2</v>
      </c>
      <c r="O46" s="38">
        <v>1</v>
      </c>
      <c r="P46" s="39"/>
      <c r="Q46" s="40">
        <f t="shared" si="5"/>
        <v>0</v>
      </c>
      <c r="R46" s="41">
        <f t="shared" si="6"/>
        <v>0</v>
      </c>
    </row>
    <row r="47" spans="1:18" s="42" customFormat="1" ht="147" customHeight="1" x14ac:dyDescent="0.25">
      <c r="A47" s="124"/>
      <c r="B47" s="125"/>
      <c r="C47" s="126"/>
      <c r="D47" s="125"/>
      <c r="E47" s="33">
        <v>1.4</v>
      </c>
      <c r="F47" s="33">
        <f t="shared" si="2"/>
        <v>7.4486952115530789</v>
      </c>
      <c r="G47" s="34" t="s">
        <v>100</v>
      </c>
      <c r="H47" s="44">
        <v>0.1</v>
      </c>
      <c r="I47" s="43" t="s">
        <v>45</v>
      </c>
      <c r="J47" s="37" t="s">
        <v>88</v>
      </c>
      <c r="K47" s="38">
        <v>10</v>
      </c>
      <c r="L47" s="38">
        <v>7</v>
      </c>
      <c r="M47" s="38">
        <v>6</v>
      </c>
      <c r="N47" s="38">
        <v>5</v>
      </c>
      <c r="O47" s="38" t="s">
        <v>77</v>
      </c>
      <c r="P47" s="39"/>
      <c r="Q47" s="40">
        <f t="shared" si="5"/>
        <v>0</v>
      </c>
      <c r="R47" s="41">
        <f t="shared" si="6"/>
        <v>0</v>
      </c>
    </row>
    <row r="48" spans="1:18" s="42" customFormat="1" ht="147" customHeight="1" x14ac:dyDescent="0.25">
      <c r="A48" s="124"/>
      <c r="B48" s="125"/>
      <c r="C48" s="126"/>
      <c r="D48" s="125"/>
      <c r="E48" s="33">
        <v>0.7</v>
      </c>
      <c r="F48" s="33">
        <f t="shared" si="2"/>
        <v>3.7243476057765394</v>
      </c>
      <c r="G48" s="34" t="s">
        <v>101</v>
      </c>
      <c r="H48" s="43">
        <v>2</v>
      </c>
      <c r="I48" s="36" t="s">
        <v>87</v>
      </c>
      <c r="J48" s="37" t="s">
        <v>102</v>
      </c>
      <c r="K48" s="38">
        <v>2</v>
      </c>
      <c r="L48" s="38">
        <v>1</v>
      </c>
      <c r="M48" s="38">
        <v>0</v>
      </c>
      <c r="N48" s="38"/>
      <c r="O48" s="38"/>
      <c r="P48" s="39"/>
      <c r="Q48" s="40">
        <f t="shared" si="5"/>
        <v>0</v>
      </c>
      <c r="R48" s="41">
        <f t="shared" si="6"/>
        <v>0</v>
      </c>
    </row>
    <row r="49" spans="1:18" s="42" customFormat="1" ht="147" customHeight="1" x14ac:dyDescent="0.25">
      <c r="A49" s="43">
        <v>5</v>
      </c>
      <c r="B49" s="34" t="s">
        <v>103</v>
      </c>
      <c r="C49" s="45">
        <f>E49</f>
        <v>0.30000000000000004</v>
      </c>
      <c r="D49" s="34" t="s">
        <v>104</v>
      </c>
      <c r="E49" s="33">
        <v>0.30000000000000004</v>
      </c>
      <c r="F49" s="33">
        <f t="shared" si="2"/>
        <v>1.5961489739042312</v>
      </c>
      <c r="G49" s="34" t="s">
        <v>105</v>
      </c>
      <c r="H49" s="43">
        <v>5</v>
      </c>
      <c r="I49" s="43" t="s">
        <v>87</v>
      </c>
      <c r="J49" s="37" t="s">
        <v>92</v>
      </c>
      <c r="K49" s="38">
        <v>5</v>
      </c>
      <c r="L49" s="38">
        <v>4</v>
      </c>
      <c r="M49" s="38">
        <v>3</v>
      </c>
      <c r="N49" s="38">
        <v>2</v>
      </c>
      <c r="O49" s="38">
        <v>1</v>
      </c>
      <c r="P49" s="39"/>
      <c r="Q49" s="40">
        <f t="shared" si="5"/>
        <v>0</v>
      </c>
      <c r="R49" s="41">
        <f t="shared" si="6"/>
        <v>0</v>
      </c>
    </row>
    <row r="50" spans="1:18" s="42" customFormat="1" ht="147" customHeight="1" x14ac:dyDescent="0.25">
      <c r="A50" s="127">
        <v>6</v>
      </c>
      <c r="B50" s="130" t="s">
        <v>106</v>
      </c>
      <c r="C50" s="133">
        <f>SUM(E50:E52)</f>
        <v>2</v>
      </c>
      <c r="D50" s="130" t="s">
        <v>107</v>
      </c>
      <c r="E50" s="33">
        <v>0.4</v>
      </c>
      <c r="F50" s="33">
        <f t="shared" si="2"/>
        <v>2.1281986318723081</v>
      </c>
      <c r="G50" s="34" t="s">
        <v>108</v>
      </c>
      <c r="H50" s="43">
        <v>5</v>
      </c>
      <c r="I50" s="43" t="s">
        <v>87</v>
      </c>
      <c r="J50" s="37" t="s">
        <v>92</v>
      </c>
      <c r="K50" s="38">
        <v>5</v>
      </c>
      <c r="L50" s="38">
        <v>4</v>
      </c>
      <c r="M50" s="38">
        <v>3</v>
      </c>
      <c r="N50" s="38">
        <v>2</v>
      </c>
      <c r="O50" s="38">
        <v>1</v>
      </c>
      <c r="P50" s="39"/>
      <c r="Q50" s="40">
        <f t="shared" si="5"/>
        <v>0</v>
      </c>
      <c r="R50" s="41">
        <f t="shared" si="6"/>
        <v>0</v>
      </c>
    </row>
    <row r="51" spans="1:18" s="42" customFormat="1" ht="147" customHeight="1" x14ac:dyDescent="0.25">
      <c r="A51" s="128"/>
      <c r="B51" s="131"/>
      <c r="C51" s="134"/>
      <c r="D51" s="131"/>
      <c r="E51" s="33">
        <v>0.8</v>
      </c>
      <c r="F51" s="33">
        <f t="shared" si="2"/>
        <v>4.2563972637446161</v>
      </c>
      <c r="G51" s="34" t="s">
        <v>109</v>
      </c>
      <c r="H51" s="44">
        <v>0.2</v>
      </c>
      <c r="I51" s="36" t="s">
        <v>45</v>
      </c>
      <c r="J51" s="37" t="s">
        <v>76</v>
      </c>
      <c r="K51" s="38">
        <v>20</v>
      </c>
      <c r="L51" s="38">
        <v>15</v>
      </c>
      <c r="M51" s="38">
        <v>10</v>
      </c>
      <c r="N51" s="38">
        <v>5</v>
      </c>
      <c r="O51" s="38" t="s">
        <v>77</v>
      </c>
      <c r="P51" s="39"/>
      <c r="Q51" s="40">
        <f t="shared" si="5"/>
        <v>0</v>
      </c>
      <c r="R51" s="41">
        <f t="shared" si="6"/>
        <v>0</v>
      </c>
    </row>
    <row r="52" spans="1:18" s="42" customFormat="1" ht="147" customHeight="1" x14ac:dyDescent="0.25">
      <c r="A52" s="129"/>
      <c r="B52" s="132"/>
      <c r="C52" s="135"/>
      <c r="D52" s="132"/>
      <c r="E52" s="33">
        <v>0.8</v>
      </c>
      <c r="F52" s="33">
        <f t="shared" si="2"/>
        <v>4.2563972637446161</v>
      </c>
      <c r="G52" s="34" t="s">
        <v>110</v>
      </c>
      <c r="H52" s="44">
        <v>0.8</v>
      </c>
      <c r="I52" s="43" t="s">
        <v>45</v>
      </c>
      <c r="J52" s="37" t="s">
        <v>61</v>
      </c>
      <c r="K52" s="38">
        <v>80</v>
      </c>
      <c r="L52" s="38">
        <v>75</v>
      </c>
      <c r="M52" s="38">
        <v>70</v>
      </c>
      <c r="N52" s="38">
        <v>50</v>
      </c>
      <c r="O52" s="38" t="s">
        <v>56</v>
      </c>
      <c r="P52" s="39"/>
      <c r="Q52" s="40">
        <f t="shared" si="5"/>
        <v>0</v>
      </c>
      <c r="R52" s="41">
        <f t="shared" si="6"/>
        <v>0</v>
      </c>
    </row>
    <row r="53" spans="1:18" s="42" customFormat="1" ht="147" customHeight="1" x14ac:dyDescent="0.25">
      <c r="A53" s="124">
        <v>7</v>
      </c>
      <c r="B53" s="125" t="s">
        <v>111</v>
      </c>
      <c r="C53" s="126">
        <f>SUM(E53:E54)</f>
        <v>0.16666666666666669</v>
      </c>
      <c r="D53" s="125" t="s">
        <v>112</v>
      </c>
      <c r="E53" s="33">
        <v>0.10000000000000002</v>
      </c>
      <c r="F53" s="33">
        <f t="shared" si="2"/>
        <v>0.53204965796807713</v>
      </c>
      <c r="G53" s="34" t="s">
        <v>113</v>
      </c>
      <c r="H53" s="44">
        <v>0.8</v>
      </c>
      <c r="I53" s="43" t="s">
        <v>45</v>
      </c>
      <c r="J53" s="37" t="s">
        <v>61</v>
      </c>
      <c r="K53" s="38">
        <v>80</v>
      </c>
      <c r="L53" s="38">
        <v>75</v>
      </c>
      <c r="M53" s="38">
        <v>70</v>
      </c>
      <c r="N53" s="38">
        <v>50</v>
      </c>
      <c r="O53" s="38" t="s">
        <v>56</v>
      </c>
      <c r="P53" s="39"/>
      <c r="Q53" s="40">
        <f t="shared" si="5"/>
        <v>0</v>
      </c>
      <c r="R53" s="41">
        <f t="shared" si="6"/>
        <v>0</v>
      </c>
    </row>
    <row r="54" spans="1:18" s="42" customFormat="1" ht="147" customHeight="1" x14ac:dyDescent="0.25">
      <c r="A54" s="124"/>
      <c r="B54" s="125"/>
      <c r="C54" s="126"/>
      <c r="D54" s="125"/>
      <c r="E54" s="33">
        <v>6.6666666666666666E-2</v>
      </c>
      <c r="F54" s="33">
        <f t="shared" si="2"/>
        <v>0.35469977197871805</v>
      </c>
      <c r="G54" s="34" t="s">
        <v>114</v>
      </c>
      <c r="H54" s="44">
        <v>0.8</v>
      </c>
      <c r="I54" s="43" t="s">
        <v>45</v>
      </c>
      <c r="J54" s="37" t="s">
        <v>61</v>
      </c>
      <c r="K54" s="38">
        <v>80</v>
      </c>
      <c r="L54" s="38">
        <v>75</v>
      </c>
      <c r="M54" s="38">
        <v>70</v>
      </c>
      <c r="N54" s="38">
        <v>50</v>
      </c>
      <c r="O54" s="38" t="s">
        <v>56</v>
      </c>
      <c r="P54" s="39"/>
      <c r="Q54" s="40">
        <f t="shared" si="5"/>
        <v>0</v>
      </c>
      <c r="R54" s="41">
        <f t="shared" si="6"/>
        <v>0</v>
      </c>
    </row>
    <row r="55" spans="1:18" s="42" customFormat="1" ht="147" customHeight="1" x14ac:dyDescent="0.25">
      <c r="A55" s="121">
        <v>8</v>
      </c>
      <c r="B55" s="122" t="s">
        <v>115</v>
      </c>
      <c r="C55" s="123">
        <f>E55</f>
        <v>0.42857142857142855</v>
      </c>
      <c r="D55" s="122" t="s">
        <v>116</v>
      </c>
      <c r="E55" s="33">
        <v>0.42857142857142855</v>
      </c>
      <c r="F55" s="33">
        <f t="shared" si="2"/>
        <v>2.2802128198631872</v>
      </c>
      <c r="G55" s="34" t="s">
        <v>117</v>
      </c>
      <c r="H55" s="44">
        <v>1</v>
      </c>
      <c r="I55" s="36" t="s">
        <v>45</v>
      </c>
      <c r="J55" s="37">
        <v>100</v>
      </c>
      <c r="K55" s="38">
        <v>95</v>
      </c>
      <c r="L55" s="38">
        <v>90</v>
      </c>
      <c r="M55" s="38">
        <v>85</v>
      </c>
      <c r="N55" s="38">
        <v>80</v>
      </c>
      <c r="O55" s="38" t="s">
        <v>46</v>
      </c>
      <c r="P55" s="39"/>
      <c r="Q55" s="40">
        <f t="shared" si="5"/>
        <v>0</v>
      </c>
      <c r="R55" s="41">
        <f t="shared" si="6"/>
        <v>0</v>
      </c>
    </row>
    <row r="56" spans="1:18" s="42" customFormat="1" ht="147" customHeight="1" x14ac:dyDescent="0.25">
      <c r="A56" s="124">
        <v>9</v>
      </c>
      <c r="B56" s="125" t="s">
        <v>118</v>
      </c>
      <c r="C56" s="126">
        <f>SUM(E56:E57)</f>
        <v>0.13333333333333333</v>
      </c>
      <c r="D56" s="34" t="s">
        <v>119</v>
      </c>
      <c r="E56" s="33">
        <v>6.6666666666666666E-2</v>
      </c>
      <c r="F56" s="33">
        <f t="shared" si="2"/>
        <v>0.35469977197871805</v>
      </c>
      <c r="G56" s="34" t="s">
        <v>120</v>
      </c>
      <c r="H56" s="35">
        <v>0.7</v>
      </c>
      <c r="I56" s="43" t="s">
        <v>45</v>
      </c>
      <c r="J56" s="37" t="s">
        <v>121</v>
      </c>
      <c r="K56" s="38">
        <v>70</v>
      </c>
      <c r="L56" s="38">
        <v>60</v>
      </c>
      <c r="M56" s="38">
        <v>50</v>
      </c>
      <c r="N56" s="38">
        <v>40</v>
      </c>
      <c r="O56" s="38" t="s">
        <v>122</v>
      </c>
      <c r="P56" s="39"/>
      <c r="Q56" s="40">
        <f t="shared" si="5"/>
        <v>0</v>
      </c>
      <c r="R56" s="41">
        <f t="shared" si="6"/>
        <v>0</v>
      </c>
    </row>
    <row r="57" spans="1:18" s="42" customFormat="1" ht="147" customHeight="1" x14ac:dyDescent="0.25">
      <c r="A57" s="124"/>
      <c r="B57" s="125"/>
      <c r="C57" s="126"/>
      <c r="D57" s="34" t="s">
        <v>123</v>
      </c>
      <c r="E57" s="33">
        <v>6.6666666666666666E-2</v>
      </c>
      <c r="F57" s="33">
        <f t="shared" si="2"/>
        <v>0.35469977197871805</v>
      </c>
      <c r="G57" s="34" t="s">
        <v>124</v>
      </c>
      <c r="H57" s="35">
        <v>0.5</v>
      </c>
      <c r="I57" s="36" t="s">
        <v>45</v>
      </c>
      <c r="J57" s="37" t="s">
        <v>51</v>
      </c>
      <c r="K57" s="38">
        <v>50</v>
      </c>
      <c r="L57" s="38">
        <v>45</v>
      </c>
      <c r="M57" s="38">
        <v>40</v>
      </c>
      <c r="N57" s="38">
        <v>25</v>
      </c>
      <c r="O57" s="38" t="s">
        <v>52</v>
      </c>
      <c r="P57" s="39"/>
      <c r="Q57" s="40">
        <f t="shared" si="5"/>
        <v>0</v>
      </c>
      <c r="R57" s="41">
        <f t="shared" si="6"/>
        <v>0</v>
      </c>
    </row>
    <row r="58" spans="1:18" s="56" customFormat="1" ht="44.25" x14ac:dyDescent="0.25">
      <c r="A58" s="46"/>
      <c r="B58" s="47" t="s">
        <v>125</v>
      </c>
      <c r="C58" s="48">
        <f>SUM(C19:C57)</f>
        <v>18.795238095238094</v>
      </c>
      <c r="D58" s="47"/>
      <c r="E58" s="48">
        <f>SUM(E19:E57)</f>
        <v>18.795238095238094</v>
      </c>
      <c r="F58" s="48">
        <f>SUM(F19:F57)</f>
        <v>99.999999999999943</v>
      </c>
      <c r="G58" s="49"/>
      <c r="H58" s="50"/>
      <c r="I58" s="51"/>
      <c r="J58" s="52"/>
      <c r="K58" s="52"/>
      <c r="L58" s="52"/>
      <c r="M58" s="52"/>
      <c r="N58" s="52"/>
      <c r="O58" s="52"/>
      <c r="P58" s="53"/>
      <c r="Q58" s="54"/>
      <c r="R58" s="55">
        <f>SUM(R19:R57)</f>
        <v>0</v>
      </c>
    </row>
    <row r="59" spans="1:18" s="58" customFormat="1" ht="66" customHeight="1" x14ac:dyDescent="0.7">
      <c r="A59" s="57"/>
      <c r="G59" s="59"/>
      <c r="H59" s="59"/>
      <c r="I59" s="218" t="s">
        <v>175</v>
      </c>
      <c r="J59" s="219"/>
      <c r="K59" s="219"/>
      <c r="L59" s="219"/>
      <c r="M59" s="219"/>
      <c r="N59" s="219"/>
      <c r="O59" s="219"/>
      <c r="P59" s="219"/>
      <c r="Q59" s="220"/>
      <c r="R59" s="60">
        <f>R58/100 * 70</f>
        <v>0</v>
      </c>
    </row>
    <row r="60" spans="1:18" s="65" customFormat="1" ht="36" x14ac:dyDescent="0.55000000000000004">
      <c r="A60" s="221" t="s">
        <v>126</v>
      </c>
      <c r="B60" s="222"/>
      <c r="C60" s="222"/>
      <c r="D60" s="222"/>
      <c r="E60" s="222"/>
      <c r="F60" s="222"/>
      <c r="G60" s="223"/>
      <c r="H60" s="224"/>
      <c r="I60" s="224"/>
      <c r="J60" s="224"/>
      <c r="K60" s="224"/>
      <c r="L60" s="225" t="s">
        <v>131</v>
      </c>
      <c r="M60" s="61" t="s">
        <v>127</v>
      </c>
      <c r="N60" s="61"/>
      <c r="O60" s="61"/>
      <c r="P60" s="62"/>
      <c r="Q60" s="63"/>
      <c r="R60" s="64"/>
    </row>
    <row r="61" spans="1:18" s="65" customFormat="1" ht="31.5" customHeight="1" x14ac:dyDescent="0.55000000000000004">
      <c r="A61" s="66"/>
      <c r="B61" s="67"/>
      <c r="C61" s="227" t="s">
        <v>128</v>
      </c>
      <c r="D61" s="227"/>
      <c r="E61" s="227"/>
      <c r="F61" s="227"/>
      <c r="G61" s="227"/>
      <c r="H61" s="68" t="s">
        <v>176</v>
      </c>
      <c r="I61" s="68" t="s">
        <v>177</v>
      </c>
      <c r="J61" s="68"/>
      <c r="K61" s="69"/>
      <c r="L61" s="226"/>
      <c r="M61" s="70"/>
      <c r="N61" s="70"/>
      <c r="O61" s="70"/>
      <c r="P61" s="71"/>
      <c r="Q61" s="63"/>
      <c r="R61" s="64"/>
    </row>
    <row r="62" spans="1:18" s="65" customFormat="1" ht="36" customHeight="1" x14ac:dyDescent="0.55000000000000004">
      <c r="A62" s="72">
        <v>1</v>
      </c>
      <c r="B62" s="73" t="s">
        <v>132</v>
      </c>
      <c r="C62" s="213"/>
      <c r="D62" s="214"/>
      <c r="E62" s="214"/>
      <c r="F62" s="214"/>
      <c r="G62" s="215"/>
      <c r="H62" s="74"/>
      <c r="I62" s="74"/>
      <c r="J62" s="74"/>
      <c r="K62" s="74"/>
      <c r="L62" s="75"/>
      <c r="M62" s="76" t="s">
        <v>36</v>
      </c>
      <c r="N62" s="211" t="s">
        <v>133</v>
      </c>
      <c r="O62" s="212"/>
      <c r="P62" s="71"/>
      <c r="Q62" s="63"/>
      <c r="R62" s="64"/>
    </row>
    <row r="63" spans="1:18" s="65" customFormat="1" ht="84.75" customHeight="1" x14ac:dyDescent="0.55000000000000004">
      <c r="A63" s="77" t="s">
        <v>134</v>
      </c>
      <c r="B63" s="78" t="s">
        <v>178</v>
      </c>
      <c r="C63" s="208"/>
      <c r="D63" s="209"/>
      <c r="E63" s="209"/>
      <c r="F63" s="209"/>
      <c r="G63" s="210"/>
      <c r="H63" s="79">
        <v>4</v>
      </c>
      <c r="I63" s="80"/>
      <c r="J63" s="79"/>
      <c r="K63" s="79"/>
      <c r="L63" s="75"/>
      <c r="M63" s="76" t="s">
        <v>37</v>
      </c>
      <c r="N63" s="211" t="s">
        <v>135</v>
      </c>
      <c r="O63" s="212"/>
      <c r="P63" s="71"/>
      <c r="Q63" s="63"/>
      <c r="R63" s="64"/>
    </row>
    <row r="64" spans="1:18" s="65" customFormat="1" ht="82.5" customHeight="1" x14ac:dyDescent="0.55000000000000004">
      <c r="A64" s="77" t="s">
        <v>136</v>
      </c>
      <c r="B64" s="78" t="s">
        <v>179</v>
      </c>
      <c r="C64" s="208"/>
      <c r="D64" s="209"/>
      <c r="E64" s="209"/>
      <c r="F64" s="209"/>
      <c r="G64" s="210"/>
      <c r="H64" s="79">
        <v>2</v>
      </c>
      <c r="I64" s="80"/>
      <c r="J64" s="79"/>
      <c r="K64" s="79"/>
      <c r="L64" s="75"/>
      <c r="M64" s="76" t="s">
        <v>38</v>
      </c>
      <c r="N64" s="211" t="s">
        <v>137</v>
      </c>
      <c r="O64" s="212"/>
      <c r="P64" s="71"/>
      <c r="Q64" s="63"/>
      <c r="R64" s="64"/>
    </row>
    <row r="65" spans="1:18" s="65" customFormat="1" ht="78.75" customHeight="1" x14ac:dyDescent="0.55000000000000004">
      <c r="A65" s="77" t="s">
        <v>138</v>
      </c>
      <c r="B65" s="78" t="s">
        <v>139</v>
      </c>
      <c r="C65" s="208"/>
      <c r="D65" s="209"/>
      <c r="E65" s="209"/>
      <c r="F65" s="209"/>
      <c r="G65" s="210"/>
      <c r="H65" s="79">
        <v>2</v>
      </c>
      <c r="I65" s="80"/>
      <c r="J65" s="79"/>
      <c r="K65" s="79"/>
      <c r="L65" s="75"/>
      <c r="M65" s="76" t="s">
        <v>39</v>
      </c>
      <c r="N65" s="211" t="s">
        <v>140</v>
      </c>
      <c r="O65" s="212"/>
      <c r="P65" s="71"/>
      <c r="Q65" s="63"/>
      <c r="R65" s="64"/>
    </row>
    <row r="66" spans="1:18" s="65" customFormat="1" ht="36" x14ac:dyDescent="0.55000000000000004">
      <c r="A66" s="81">
        <v>2</v>
      </c>
      <c r="B66" s="82" t="s">
        <v>141</v>
      </c>
      <c r="C66" s="202"/>
      <c r="D66" s="203"/>
      <c r="E66" s="203"/>
      <c r="F66" s="203"/>
      <c r="G66" s="204"/>
      <c r="H66" s="79"/>
      <c r="I66" s="80"/>
      <c r="J66" s="79"/>
      <c r="K66" s="79"/>
      <c r="L66" s="75"/>
      <c r="M66" s="76" t="s">
        <v>40</v>
      </c>
      <c r="N66" s="211" t="s">
        <v>142</v>
      </c>
      <c r="O66" s="212"/>
      <c r="P66" s="71"/>
      <c r="Q66" s="63"/>
      <c r="R66" s="64"/>
    </row>
    <row r="67" spans="1:18" s="65" customFormat="1" ht="82.5" customHeight="1" x14ac:dyDescent="0.55000000000000004">
      <c r="A67" s="77" t="s">
        <v>134</v>
      </c>
      <c r="B67" s="83" t="s">
        <v>180</v>
      </c>
      <c r="C67" s="194"/>
      <c r="D67" s="195"/>
      <c r="E67" s="195"/>
      <c r="F67" s="195"/>
      <c r="G67" s="196"/>
      <c r="H67" s="79">
        <v>2</v>
      </c>
      <c r="I67" s="80"/>
      <c r="J67" s="79"/>
      <c r="K67" s="79"/>
      <c r="L67" s="75"/>
      <c r="M67" s="76" t="s">
        <v>41</v>
      </c>
      <c r="N67" s="211" t="s">
        <v>143</v>
      </c>
      <c r="O67" s="212"/>
      <c r="P67" s="84"/>
      <c r="Q67" s="63"/>
      <c r="R67" s="64"/>
    </row>
    <row r="68" spans="1:18" s="65" customFormat="1" ht="114.75" customHeight="1" x14ac:dyDescent="0.55000000000000004">
      <c r="A68" s="77" t="s">
        <v>136</v>
      </c>
      <c r="B68" s="83" t="s">
        <v>181</v>
      </c>
      <c r="C68" s="194"/>
      <c r="D68" s="195"/>
      <c r="E68" s="195"/>
      <c r="F68" s="195"/>
      <c r="G68" s="196"/>
      <c r="H68" s="79">
        <v>2</v>
      </c>
      <c r="I68" s="80"/>
      <c r="J68" s="79"/>
      <c r="K68" s="79"/>
      <c r="L68" s="75"/>
      <c r="M68" s="71" t="s">
        <v>131</v>
      </c>
      <c r="N68" s="85" t="s">
        <v>144</v>
      </c>
      <c r="O68" s="86"/>
      <c r="P68" s="84"/>
      <c r="Q68" s="63"/>
      <c r="R68" s="64"/>
    </row>
    <row r="69" spans="1:18" s="65" customFormat="1" ht="72" customHeight="1" x14ac:dyDescent="0.55000000000000004">
      <c r="A69" s="77" t="s">
        <v>138</v>
      </c>
      <c r="B69" s="83" t="s">
        <v>182</v>
      </c>
      <c r="C69" s="194"/>
      <c r="D69" s="195"/>
      <c r="E69" s="195"/>
      <c r="F69" s="195"/>
      <c r="G69" s="196"/>
      <c r="H69" s="79">
        <v>2</v>
      </c>
      <c r="I69" s="80"/>
      <c r="J69" s="79"/>
      <c r="K69" s="79"/>
      <c r="L69" s="75"/>
      <c r="M69" s="71" t="s">
        <v>145</v>
      </c>
      <c r="N69" s="85" t="s">
        <v>146</v>
      </c>
      <c r="O69" s="86"/>
      <c r="P69" s="84"/>
      <c r="Q69" s="63"/>
      <c r="R69" s="64"/>
    </row>
    <row r="70" spans="1:18" s="65" customFormat="1" ht="66" customHeight="1" x14ac:dyDescent="0.55000000000000004">
      <c r="A70" s="81">
        <v>3</v>
      </c>
      <c r="B70" s="82" t="s">
        <v>147</v>
      </c>
      <c r="C70" s="202"/>
      <c r="D70" s="203"/>
      <c r="E70" s="203"/>
      <c r="F70" s="203"/>
      <c r="G70" s="204"/>
      <c r="H70" s="79"/>
      <c r="I70" s="80"/>
      <c r="J70" s="79"/>
      <c r="K70" s="79"/>
      <c r="L70" s="75"/>
      <c r="M70" s="71" t="s">
        <v>129</v>
      </c>
      <c r="N70" s="85" t="s">
        <v>148</v>
      </c>
      <c r="O70" s="86"/>
      <c r="P70" s="84"/>
      <c r="Q70" s="63"/>
      <c r="R70" s="64"/>
    </row>
    <row r="71" spans="1:18" s="65" customFormat="1" ht="72" customHeight="1" x14ac:dyDescent="0.55000000000000004">
      <c r="A71" s="77" t="s">
        <v>134</v>
      </c>
      <c r="B71" s="83" t="s">
        <v>149</v>
      </c>
      <c r="C71" s="205"/>
      <c r="D71" s="206"/>
      <c r="E71" s="206"/>
      <c r="F71" s="206"/>
      <c r="G71" s="207"/>
      <c r="H71" s="79">
        <v>2</v>
      </c>
      <c r="I71" s="80"/>
      <c r="J71" s="79"/>
      <c r="K71" s="79"/>
      <c r="L71" s="75"/>
      <c r="M71" s="71" t="s">
        <v>130</v>
      </c>
      <c r="N71" s="85" t="s">
        <v>150</v>
      </c>
      <c r="O71" s="86"/>
      <c r="P71" s="84"/>
      <c r="Q71" s="63"/>
      <c r="R71" s="64"/>
    </row>
    <row r="72" spans="1:18" s="65" customFormat="1" ht="72" customHeight="1" x14ac:dyDescent="0.55000000000000004">
      <c r="A72" s="77" t="s">
        <v>136</v>
      </c>
      <c r="B72" s="83" t="s">
        <v>183</v>
      </c>
      <c r="C72" s="205"/>
      <c r="D72" s="206"/>
      <c r="E72" s="206"/>
      <c r="F72" s="206"/>
      <c r="G72" s="207"/>
      <c r="H72" s="79">
        <v>2</v>
      </c>
      <c r="I72" s="80"/>
      <c r="J72" s="79"/>
      <c r="K72" s="79"/>
      <c r="L72" s="75"/>
      <c r="M72" s="71" t="s">
        <v>151</v>
      </c>
      <c r="N72" s="85" t="s">
        <v>152</v>
      </c>
      <c r="O72" s="86"/>
      <c r="P72" s="84"/>
      <c r="Q72" s="63"/>
      <c r="R72" s="64"/>
    </row>
    <row r="73" spans="1:18" s="65" customFormat="1" ht="44.25" customHeight="1" x14ac:dyDescent="0.55000000000000004">
      <c r="A73" s="77" t="s">
        <v>138</v>
      </c>
      <c r="B73" s="83" t="s">
        <v>184</v>
      </c>
      <c r="C73" s="205"/>
      <c r="D73" s="206"/>
      <c r="E73" s="206"/>
      <c r="F73" s="206"/>
      <c r="G73" s="207"/>
      <c r="H73" s="79">
        <v>2</v>
      </c>
      <c r="I73" s="80"/>
      <c r="J73" s="79"/>
      <c r="K73" s="79"/>
      <c r="L73" s="75"/>
      <c r="M73" s="87"/>
      <c r="N73" s="87"/>
      <c r="O73" s="87"/>
      <c r="P73" s="88"/>
      <c r="Q73" s="63"/>
      <c r="R73" s="64"/>
    </row>
    <row r="74" spans="1:18" s="65" customFormat="1" ht="31.5" customHeight="1" x14ac:dyDescent="0.55000000000000004">
      <c r="A74" s="192" t="s">
        <v>153</v>
      </c>
      <c r="B74" s="193"/>
      <c r="C74" s="193"/>
      <c r="D74" s="193"/>
      <c r="E74" s="193"/>
      <c r="F74" s="193"/>
      <c r="G74" s="193"/>
      <c r="H74" s="89">
        <f>SUM(H63:H73)</f>
        <v>20</v>
      </c>
      <c r="I74" s="89">
        <f>SUM(I63:I73)</f>
        <v>0</v>
      </c>
      <c r="J74" s="89"/>
      <c r="K74" s="90"/>
      <c r="L74" s="75"/>
      <c r="M74" s="87"/>
      <c r="N74" s="87"/>
      <c r="O74" s="87"/>
      <c r="P74" s="88"/>
      <c r="Q74" s="63"/>
      <c r="R74" s="64"/>
    </row>
    <row r="75" spans="1:18" s="65" customFormat="1" ht="36" customHeight="1" x14ac:dyDescent="0.55000000000000004">
      <c r="A75" s="91" t="s">
        <v>134</v>
      </c>
      <c r="B75" s="92" t="s">
        <v>154</v>
      </c>
      <c r="C75" s="194" t="s">
        <v>155</v>
      </c>
      <c r="D75" s="195"/>
      <c r="E75" s="195"/>
      <c r="F75" s="195"/>
      <c r="G75" s="196"/>
      <c r="H75" s="93">
        <v>4</v>
      </c>
      <c r="I75" s="94"/>
      <c r="J75" s="93"/>
      <c r="K75" s="95"/>
      <c r="L75" s="75"/>
      <c r="M75" s="87"/>
      <c r="N75" s="87"/>
      <c r="O75" s="87"/>
      <c r="P75" s="88"/>
      <c r="Q75" s="63"/>
      <c r="R75" s="64"/>
    </row>
    <row r="76" spans="1:18" s="65" customFormat="1" ht="129" customHeight="1" x14ac:dyDescent="0.55000000000000004">
      <c r="A76" s="91" t="s">
        <v>136</v>
      </c>
      <c r="B76" s="92" t="s">
        <v>156</v>
      </c>
      <c r="C76" s="194" t="s">
        <v>157</v>
      </c>
      <c r="D76" s="195"/>
      <c r="E76" s="195"/>
      <c r="F76" s="195"/>
      <c r="G76" s="196"/>
      <c r="H76" s="93">
        <v>3</v>
      </c>
      <c r="I76" s="94"/>
      <c r="J76" s="93"/>
      <c r="K76" s="95"/>
      <c r="L76" s="75"/>
      <c r="M76" s="87"/>
      <c r="N76" s="87"/>
      <c r="O76" s="87"/>
      <c r="P76" s="88"/>
      <c r="Q76" s="63"/>
      <c r="R76" s="64"/>
    </row>
    <row r="77" spans="1:18" s="65" customFormat="1" ht="69" customHeight="1" x14ac:dyDescent="0.55000000000000004">
      <c r="A77" s="91" t="s">
        <v>136</v>
      </c>
      <c r="B77" s="92" t="s">
        <v>158</v>
      </c>
      <c r="C77" s="194" t="s">
        <v>159</v>
      </c>
      <c r="D77" s="195"/>
      <c r="E77" s="195"/>
      <c r="F77" s="195"/>
      <c r="G77" s="196"/>
      <c r="H77" s="93">
        <v>3</v>
      </c>
      <c r="I77" s="94"/>
      <c r="J77" s="93"/>
      <c r="K77" s="95"/>
      <c r="L77" s="75"/>
      <c r="M77" s="87"/>
      <c r="N77" s="87"/>
      <c r="O77" s="87"/>
      <c r="P77" s="88"/>
      <c r="Q77" s="63"/>
      <c r="R77" s="64"/>
    </row>
    <row r="78" spans="1:18" s="65" customFormat="1" ht="46.5" customHeight="1" x14ac:dyDescent="0.55000000000000004">
      <c r="A78" s="96"/>
      <c r="B78" s="197" t="s">
        <v>160</v>
      </c>
      <c r="C78" s="197"/>
      <c r="D78" s="197"/>
      <c r="E78" s="97"/>
      <c r="F78" s="97"/>
      <c r="G78" s="97"/>
      <c r="H78" s="89">
        <f>SUM(H75:H77)</f>
        <v>10</v>
      </c>
      <c r="I78" s="89">
        <f>SUM(I75:I77)</f>
        <v>0</v>
      </c>
      <c r="J78" s="97"/>
      <c r="K78" s="98"/>
      <c r="L78" s="87"/>
      <c r="M78" s="87"/>
      <c r="N78" s="87"/>
      <c r="O78" s="87"/>
      <c r="P78" s="88"/>
      <c r="Q78" s="63"/>
      <c r="R78" s="64"/>
    </row>
    <row r="79" spans="1:18" s="101" customFormat="1" ht="45" customHeight="1" x14ac:dyDescent="0.7">
      <c r="A79" s="99"/>
      <c r="B79" s="198"/>
      <c r="C79" s="100"/>
      <c r="D79" s="100"/>
      <c r="E79" s="100"/>
      <c r="F79" s="201"/>
      <c r="G79" s="201"/>
      <c r="H79" s="201"/>
      <c r="I79" s="201"/>
      <c r="J79" s="201"/>
      <c r="K79" s="100"/>
      <c r="L79" s="100"/>
      <c r="M79" s="100"/>
      <c r="N79" s="100"/>
      <c r="O79" s="183" t="s">
        <v>185</v>
      </c>
      <c r="P79" s="184"/>
      <c r="Q79" s="183" t="s">
        <v>186</v>
      </c>
      <c r="R79" s="185"/>
    </row>
    <row r="80" spans="1:18" s="101" customFormat="1" ht="45" customHeight="1" x14ac:dyDescent="0.7">
      <c r="A80" s="99"/>
      <c r="B80" s="199"/>
      <c r="C80" s="179" t="s">
        <v>187</v>
      </c>
      <c r="D80" s="180"/>
      <c r="E80" s="180"/>
      <c r="F80" s="180"/>
      <c r="G80" s="180"/>
      <c r="H80" s="180"/>
      <c r="I80" s="180"/>
      <c r="J80" s="180"/>
      <c r="K80" s="181"/>
      <c r="L80" s="174"/>
      <c r="M80" s="175"/>
      <c r="N80" s="176"/>
      <c r="O80" s="177">
        <f>R59</f>
        <v>0</v>
      </c>
      <c r="P80" s="178"/>
      <c r="Q80" s="186">
        <f>O83/100 * 20</f>
        <v>0</v>
      </c>
      <c r="R80" s="187"/>
    </row>
    <row r="81" spans="1:18" s="101" customFormat="1" ht="45" customHeight="1" x14ac:dyDescent="0.7">
      <c r="A81" s="99"/>
      <c r="B81" s="199"/>
      <c r="C81" s="180" t="s">
        <v>188</v>
      </c>
      <c r="D81" s="180"/>
      <c r="E81" s="180"/>
      <c r="F81" s="180"/>
      <c r="G81" s="180"/>
      <c r="H81" s="180"/>
      <c r="I81" s="180"/>
      <c r="J81" s="180"/>
      <c r="K81" s="180"/>
      <c r="L81" s="175"/>
      <c r="M81" s="175"/>
      <c r="N81" s="176"/>
      <c r="O81" s="177">
        <f>I74</f>
        <v>0</v>
      </c>
      <c r="P81" s="178"/>
      <c r="Q81" s="188"/>
      <c r="R81" s="189"/>
    </row>
    <row r="82" spans="1:18" s="101" customFormat="1" ht="45" customHeight="1" x14ac:dyDescent="0.7">
      <c r="A82" s="99"/>
      <c r="B82" s="199"/>
      <c r="C82" s="179" t="s">
        <v>189</v>
      </c>
      <c r="D82" s="180"/>
      <c r="E82" s="180"/>
      <c r="F82" s="180"/>
      <c r="G82" s="180"/>
      <c r="H82" s="180"/>
      <c r="I82" s="180"/>
      <c r="J82" s="180"/>
      <c r="K82" s="181"/>
      <c r="L82" s="174"/>
      <c r="M82" s="175"/>
      <c r="N82" s="176"/>
      <c r="O82" s="177">
        <f>I78</f>
        <v>0</v>
      </c>
      <c r="P82" s="178"/>
      <c r="Q82" s="188"/>
      <c r="R82" s="189"/>
    </row>
    <row r="83" spans="1:18" s="101" customFormat="1" ht="45" customHeight="1" x14ac:dyDescent="0.7">
      <c r="A83" s="99"/>
      <c r="B83" s="200"/>
      <c r="C83" s="179" t="s">
        <v>190</v>
      </c>
      <c r="D83" s="180"/>
      <c r="E83" s="180"/>
      <c r="F83" s="180"/>
      <c r="G83" s="180"/>
      <c r="H83" s="180"/>
      <c r="I83" s="180"/>
      <c r="J83" s="180"/>
      <c r="K83" s="181"/>
      <c r="L83" s="174"/>
      <c r="M83" s="175"/>
      <c r="N83" s="176"/>
      <c r="O83" s="177">
        <f>SUM(O80:P82)</f>
        <v>0</v>
      </c>
      <c r="P83" s="178"/>
      <c r="Q83" s="190"/>
      <c r="R83" s="191"/>
    </row>
    <row r="84" spans="1:18" s="101" customFormat="1" ht="64.900000000000006" customHeight="1" x14ac:dyDescent="0.7">
      <c r="A84" s="99"/>
      <c r="B84" s="182" t="s">
        <v>191</v>
      </c>
      <c r="C84" s="182"/>
      <c r="D84" s="182"/>
      <c r="E84" s="182"/>
      <c r="F84" s="182"/>
      <c r="G84" s="182"/>
      <c r="H84" s="102"/>
      <c r="I84" s="102"/>
      <c r="J84" s="102"/>
      <c r="K84" s="102"/>
      <c r="L84" s="102"/>
      <c r="M84" s="102"/>
      <c r="N84" s="102"/>
      <c r="O84" s="102"/>
      <c r="P84" s="102"/>
      <c r="Q84" s="102"/>
      <c r="R84" s="103"/>
    </row>
    <row r="85" spans="1:18" s="101" customFormat="1" ht="64.900000000000006" customHeight="1" x14ac:dyDescent="0.7">
      <c r="A85" s="99"/>
      <c r="B85" s="165" t="s">
        <v>192</v>
      </c>
      <c r="C85" s="165"/>
      <c r="D85" s="165"/>
      <c r="E85" s="165"/>
      <c r="F85" s="165"/>
      <c r="G85" s="165"/>
      <c r="H85" s="165"/>
      <c r="I85" s="165"/>
      <c r="J85" s="165"/>
      <c r="K85" s="165"/>
      <c r="L85" s="165"/>
      <c r="M85" s="165"/>
      <c r="N85" s="165"/>
      <c r="O85" s="165"/>
      <c r="P85" s="165"/>
      <c r="Q85" s="165"/>
      <c r="R85" s="166"/>
    </row>
    <row r="86" spans="1:18" s="101" customFormat="1" ht="48.75" customHeight="1" x14ac:dyDescent="0.7">
      <c r="A86" s="99"/>
      <c r="B86" s="167" t="s">
        <v>193</v>
      </c>
      <c r="C86" s="167"/>
      <c r="D86" s="167"/>
      <c r="E86" s="167"/>
      <c r="F86" s="167"/>
      <c r="G86" s="167"/>
      <c r="H86" s="104"/>
      <c r="I86" s="104"/>
      <c r="J86" s="104"/>
      <c r="K86" s="104"/>
      <c r="L86" s="104"/>
      <c r="M86" s="104"/>
      <c r="N86" s="104"/>
      <c r="O86" s="104"/>
      <c r="P86" s="104"/>
      <c r="Q86" s="104"/>
      <c r="R86" s="105"/>
    </row>
    <row r="87" spans="1:18" s="101" customFormat="1" ht="45.75" x14ac:dyDescent="0.7">
      <c r="A87" s="99"/>
      <c r="B87" s="165"/>
      <c r="C87" s="165"/>
      <c r="D87" s="165"/>
      <c r="E87" s="165"/>
      <c r="F87" s="165"/>
      <c r="G87" s="165"/>
      <c r="H87" s="165"/>
      <c r="I87" s="165"/>
      <c r="J87" s="165"/>
      <c r="K87" s="165"/>
      <c r="L87" s="165"/>
      <c r="M87" s="165"/>
      <c r="N87" s="165"/>
      <c r="O87" s="165"/>
      <c r="P87" s="165"/>
      <c r="Q87" s="165"/>
      <c r="R87" s="166"/>
    </row>
    <row r="88" spans="1:18" s="65" customFormat="1" ht="31.5" customHeight="1" x14ac:dyDescent="0.55000000000000004">
      <c r="A88" s="168" t="s">
        <v>194</v>
      </c>
      <c r="B88" s="152"/>
      <c r="C88" s="144"/>
      <c r="D88" s="145"/>
      <c r="E88" s="148" t="s">
        <v>195</v>
      </c>
      <c r="F88" s="150"/>
      <c r="G88" s="152" t="s">
        <v>196</v>
      </c>
      <c r="H88" s="144"/>
      <c r="I88" s="144"/>
      <c r="J88" s="144"/>
      <c r="K88" s="106"/>
      <c r="L88" s="75"/>
      <c r="M88" s="171"/>
      <c r="N88" s="171"/>
      <c r="O88" s="171"/>
      <c r="P88" s="171"/>
      <c r="Q88" s="171"/>
      <c r="R88" s="64"/>
    </row>
    <row r="89" spans="1:18" s="65" customFormat="1" ht="31.5" customHeight="1" x14ac:dyDescent="0.55000000000000004">
      <c r="A89" s="142"/>
      <c r="B89" s="143"/>
      <c r="C89" s="158"/>
      <c r="D89" s="159"/>
      <c r="E89" s="170"/>
      <c r="F89" s="163"/>
      <c r="G89" s="143"/>
      <c r="H89" s="158"/>
      <c r="I89" s="158"/>
      <c r="J89" s="158"/>
      <c r="K89" s="106"/>
      <c r="L89" s="75"/>
      <c r="M89" s="172"/>
      <c r="N89" s="172"/>
      <c r="O89" s="172"/>
      <c r="P89" s="172"/>
      <c r="Q89" s="172"/>
      <c r="R89" s="64"/>
    </row>
    <row r="90" spans="1:18" s="65" customFormat="1" ht="31.5" customHeight="1" x14ac:dyDescent="0.55000000000000004">
      <c r="A90" s="142"/>
      <c r="B90" s="143"/>
      <c r="C90" s="158"/>
      <c r="D90" s="159"/>
      <c r="E90" s="170"/>
      <c r="F90" s="163"/>
      <c r="G90" s="143"/>
      <c r="H90" s="158"/>
      <c r="I90" s="158"/>
      <c r="J90" s="158"/>
      <c r="K90" s="106"/>
      <c r="L90" s="75"/>
      <c r="M90" s="172"/>
      <c r="N90" s="172"/>
      <c r="O90" s="172"/>
      <c r="P90" s="172"/>
      <c r="Q90" s="172"/>
      <c r="R90" s="64"/>
    </row>
    <row r="91" spans="1:18" s="65" customFormat="1" ht="31.5" customHeight="1" x14ac:dyDescent="0.55000000000000004">
      <c r="A91" s="169"/>
      <c r="B91" s="153"/>
      <c r="C91" s="146"/>
      <c r="D91" s="147"/>
      <c r="E91" s="149"/>
      <c r="F91" s="151"/>
      <c r="G91" s="153"/>
      <c r="H91" s="146"/>
      <c r="I91" s="146"/>
      <c r="J91" s="146"/>
      <c r="K91" s="106"/>
      <c r="L91" s="75"/>
      <c r="M91" s="172"/>
      <c r="N91" s="172"/>
      <c r="O91" s="172"/>
      <c r="P91" s="172"/>
      <c r="Q91" s="172"/>
      <c r="R91" s="64"/>
    </row>
    <row r="92" spans="1:18" s="65" customFormat="1" ht="31.5" customHeight="1" x14ac:dyDescent="0.55000000000000004">
      <c r="A92" s="154" t="s">
        <v>161</v>
      </c>
      <c r="B92" s="155"/>
      <c r="C92" s="144"/>
      <c r="D92" s="145"/>
      <c r="E92" s="160" t="s">
        <v>197</v>
      </c>
      <c r="F92" s="150"/>
      <c r="G92" s="155" t="s">
        <v>197</v>
      </c>
      <c r="H92" s="144"/>
      <c r="I92" s="144"/>
      <c r="J92" s="144"/>
      <c r="K92" s="106"/>
      <c r="L92" s="75"/>
      <c r="M92" s="172"/>
      <c r="N92" s="172"/>
      <c r="O92" s="172"/>
      <c r="P92" s="172"/>
      <c r="Q92" s="172"/>
      <c r="R92" s="64"/>
    </row>
    <row r="93" spans="1:18" s="65" customFormat="1" ht="31.5" customHeight="1" x14ac:dyDescent="0.55000000000000004">
      <c r="A93" s="156"/>
      <c r="B93" s="157"/>
      <c r="C93" s="158"/>
      <c r="D93" s="159"/>
      <c r="E93" s="161"/>
      <c r="F93" s="163"/>
      <c r="G93" s="157"/>
      <c r="H93" s="158"/>
      <c r="I93" s="158"/>
      <c r="J93" s="158"/>
      <c r="K93" s="106"/>
      <c r="L93" s="75"/>
      <c r="M93" s="172"/>
      <c r="N93" s="172"/>
      <c r="O93" s="172"/>
      <c r="P93" s="172"/>
      <c r="Q93" s="172"/>
      <c r="R93" s="64"/>
    </row>
    <row r="94" spans="1:18" s="65" customFormat="1" ht="31.5" customHeight="1" x14ac:dyDescent="0.55000000000000004">
      <c r="A94" s="156"/>
      <c r="B94" s="157"/>
      <c r="C94" s="146"/>
      <c r="D94" s="147"/>
      <c r="E94" s="162"/>
      <c r="F94" s="151"/>
      <c r="G94" s="164"/>
      <c r="H94" s="146"/>
      <c r="I94" s="146"/>
      <c r="J94" s="146"/>
      <c r="K94" s="106"/>
      <c r="L94" s="75"/>
      <c r="M94" s="172"/>
      <c r="N94" s="172"/>
      <c r="O94" s="172"/>
      <c r="P94" s="172"/>
      <c r="Q94" s="172"/>
      <c r="R94" s="64"/>
    </row>
    <row r="95" spans="1:18" s="65" customFormat="1" ht="31.5" customHeight="1" x14ac:dyDescent="0.55000000000000004">
      <c r="A95" s="142" t="s">
        <v>162</v>
      </c>
      <c r="B95" s="143"/>
      <c r="C95" s="144"/>
      <c r="D95" s="145"/>
      <c r="E95" s="148" t="s">
        <v>198</v>
      </c>
      <c r="F95" s="150"/>
      <c r="G95" s="152" t="s">
        <v>198</v>
      </c>
      <c r="H95" s="144"/>
      <c r="I95" s="144"/>
      <c r="J95" s="144"/>
      <c r="K95" s="106"/>
      <c r="L95" s="75"/>
      <c r="M95" s="172"/>
      <c r="N95" s="172"/>
      <c r="O95" s="172"/>
      <c r="P95" s="172"/>
      <c r="Q95" s="172"/>
      <c r="R95" s="64"/>
    </row>
    <row r="96" spans="1:18" s="65" customFormat="1" ht="31.5" customHeight="1" x14ac:dyDescent="0.55000000000000004">
      <c r="A96" s="142"/>
      <c r="B96" s="143"/>
      <c r="C96" s="146"/>
      <c r="D96" s="147"/>
      <c r="E96" s="149"/>
      <c r="F96" s="151"/>
      <c r="G96" s="153"/>
      <c r="H96" s="146"/>
      <c r="I96" s="146"/>
      <c r="J96" s="146"/>
      <c r="K96" s="106"/>
      <c r="L96" s="75"/>
      <c r="M96" s="172"/>
      <c r="N96" s="172"/>
      <c r="O96" s="172"/>
      <c r="P96" s="172"/>
      <c r="Q96" s="172"/>
      <c r="R96" s="64"/>
    </row>
    <row r="97" spans="1:18" s="65" customFormat="1" ht="31.5" customHeight="1" thickBot="1" x14ac:dyDescent="0.6">
      <c r="A97" s="139"/>
      <c r="B97" s="140"/>
      <c r="C97" s="140"/>
      <c r="D97" s="140"/>
      <c r="E97" s="140"/>
      <c r="F97" s="140"/>
      <c r="G97" s="140"/>
      <c r="H97" s="140"/>
      <c r="I97" s="140"/>
      <c r="J97" s="140"/>
      <c r="K97" s="107"/>
      <c r="L97" s="108"/>
      <c r="M97" s="173"/>
      <c r="N97" s="173"/>
      <c r="O97" s="173"/>
      <c r="P97" s="173"/>
      <c r="Q97" s="173"/>
      <c r="R97" s="109"/>
    </row>
  </sheetData>
  <mergeCells count="139">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9:Q59"/>
    <mergeCell ref="A60:G60"/>
    <mergeCell ref="H60:K60"/>
    <mergeCell ref="L60:L61"/>
    <mergeCell ref="C61:G61"/>
    <mergeCell ref="D28:D29"/>
    <mergeCell ref="D30:D31"/>
    <mergeCell ref="D32:D33"/>
    <mergeCell ref="D34:D35"/>
    <mergeCell ref="G17:G18"/>
    <mergeCell ref="H17:H18"/>
    <mergeCell ref="I17:I18"/>
    <mergeCell ref="J17:O17"/>
    <mergeCell ref="P17:P18"/>
    <mergeCell ref="Q17:Q18"/>
    <mergeCell ref="C65:G65"/>
    <mergeCell ref="N65:O65"/>
    <mergeCell ref="C66:G66"/>
    <mergeCell ref="N66:O66"/>
    <mergeCell ref="C67:G67"/>
    <mergeCell ref="N67:O67"/>
    <mergeCell ref="C62:G62"/>
    <mergeCell ref="N62:O62"/>
    <mergeCell ref="C63:G63"/>
    <mergeCell ref="N63:O63"/>
    <mergeCell ref="C64:G64"/>
    <mergeCell ref="N64:O64"/>
    <mergeCell ref="A74:G74"/>
    <mergeCell ref="C75:G75"/>
    <mergeCell ref="C76:G76"/>
    <mergeCell ref="C77:G77"/>
    <mergeCell ref="B78:D78"/>
    <mergeCell ref="B79:B83"/>
    <mergeCell ref="F79:J79"/>
    <mergeCell ref="C68:G68"/>
    <mergeCell ref="C69:G69"/>
    <mergeCell ref="C70:G70"/>
    <mergeCell ref="C71:G71"/>
    <mergeCell ref="C72:G72"/>
    <mergeCell ref="C73:G73"/>
    <mergeCell ref="O79:P79"/>
    <mergeCell ref="Q79:R79"/>
    <mergeCell ref="C80:K80"/>
    <mergeCell ref="L80:N80"/>
    <mergeCell ref="O80:P80"/>
    <mergeCell ref="Q80:R83"/>
    <mergeCell ref="C81:K81"/>
    <mergeCell ref="L81:N81"/>
    <mergeCell ref="O81:P81"/>
    <mergeCell ref="C82:K82"/>
    <mergeCell ref="A88:B91"/>
    <mergeCell ref="C88:D91"/>
    <mergeCell ref="E88:E91"/>
    <mergeCell ref="F88:F91"/>
    <mergeCell ref="G88:G91"/>
    <mergeCell ref="H88:J91"/>
    <mergeCell ref="M88:Q97"/>
    <mergeCell ref="L82:N82"/>
    <mergeCell ref="O82:P82"/>
    <mergeCell ref="C83:K83"/>
    <mergeCell ref="L83:N83"/>
    <mergeCell ref="O83:P83"/>
    <mergeCell ref="B84:G84"/>
    <mergeCell ref="A19:A24"/>
    <mergeCell ref="B19:B24"/>
    <mergeCell ref="C19:C24"/>
    <mergeCell ref="D19:D21"/>
    <mergeCell ref="D22:D24"/>
    <mergeCell ref="A25:A35"/>
    <mergeCell ref="B25:B35"/>
    <mergeCell ref="C25:C35"/>
    <mergeCell ref="D25:D27"/>
    <mergeCell ref="A36:A45"/>
    <mergeCell ref="B36:B45"/>
    <mergeCell ref="C36:C45"/>
    <mergeCell ref="D36:D37"/>
    <mergeCell ref="D38:D39"/>
    <mergeCell ref="D40:D41"/>
    <mergeCell ref="D42:D43"/>
    <mergeCell ref="D44:D45"/>
    <mergeCell ref="A97:J97"/>
    <mergeCell ref="A95:B96"/>
    <mergeCell ref="C95:D96"/>
    <mergeCell ref="E95:E96"/>
    <mergeCell ref="F95:F96"/>
    <mergeCell ref="G95:G96"/>
    <mergeCell ref="H95:J96"/>
    <mergeCell ref="A92:B94"/>
    <mergeCell ref="C92:D94"/>
    <mergeCell ref="E92:E94"/>
    <mergeCell ref="F92:F94"/>
    <mergeCell ref="G92:G94"/>
    <mergeCell ref="H92:J94"/>
    <mergeCell ref="B85:R85"/>
    <mergeCell ref="B86:G86"/>
    <mergeCell ref="B87:R87"/>
    <mergeCell ref="A53:A54"/>
    <mergeCell ref="B53:B54"/>
    <mergeCell ref="C53:C54"/>
    <mergeCell ref="D53:D54"/>
    <mergeCell ref="A56:A57"/>
    <mergeCell ref="B56:B57"/>
    <mergeCell ref="C56:C57"/>
    <mergeCell ref="A46:A48"/>
    <mergeCell ref="B46:B48"/>
    <mergeCell ref="C46:C48"/>
    <mergeCell ref="D46:D48"/>
    <mergeCell ref="A50:A52"/>
    <mergeCell ref="B50:B52"/>
    <mergeCell ref="C50:C52"/>
    <mergeCell ref="D50:D52"/>
  </mergeCells>
  <hyperlinks>
    <hyperlink ref="E8" r:id="rId1" display="jakinbodewa@gmail.com" xr:uid="{777C055A-9D87-4AD1-96AE-F511C39B9225}"/>
  </hyperlinks>
  <pageMargins left="0.7" right="0.7" top="0.75" bottom="0.75" header="0.3" footer="0.3"/>
  <pageSetup scale="14"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 USER</cp:lastModifiedBy>
  <dcterms:created xsi:type="dcterms:W3CDTF">2026-04-09T20:55:51Z</dcterms:created>
  <dcterms:modified xsi:type="dcterms:W3CDTF">2026-05-05T14:09:44Z</dcterms:modified>
</cp:coreProperties>
</file>