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mc:AlternateContent xmlns:mc="http://schemas.openxmlformats.org/markup-compatibility/2006">
    <mc:Choice Requires="x15">
      <x15ac:absPath xmlns:x15ac="http://schemas.microsoft.com/office/spreadsheetml/2010/11/ac" url="C:\Users\HP USER\Desktop\SERVICOM_2026\APPRAISAL\NC\"/>
    </mc:Choice>
  </mc:AlternateContent>
  <xr:revisionPtr revIDLastSave="0" documentId="13_ncr:1_{0B426C28-2F52-4D12-B519-210DDDA6CF57}" xr6:coauthVersionLast="44" xr6:coauthVersionMax="47" xr10:uidLastSave="{00000000-0000-0000-0000-000000000000}"/>
  <bookViews>
    <workbookView xWindow="-120" yWindow="-120" windowWidth="29040" windowHeight="15720" firstSheet="2" activeTab="3" xr2:uid="{AF0741DE-E34C-4C14-B9C9-2F63D847005A}"/>
  </bookViews>
  <sheets>
    <sheet name="FIRST QUARTER APPRAISAL" sheetId="2" r:id="rId1"/>
    <sheet name="SECOND QUARTER APPRAISAL" sheetId="3" r:id="rId2"/>
    <sheet name="THIRD QUARTER APPRAISAL" sheetId="4" r:id="rId3"/>
    <sheet name="FOURTH QUARTER APPRAISAL" sheetId="5" r:id="rId4"/>
  </sheets>
  <definedNames>
    <definedName name="_xlnm.Print_Area" localSheetId="0">'FIRST QUARTER APPRAISAL'!$A$1:$R$187</definedName>
    <definedName name="_xlnm.Print_Area" localSheetId="3">'FOURTH QUARTER APPRAISAL'!$A$1:$R$187</definedName>
    <definedName name="_xlnm.Print_Area" localSheetId="1">'SECOND QUARTER APPRAISAL'!$A$1:$R$187</definedName>
    <definedName name="_xlnm.Print_Area" localSheetId="2">'THIRD QUARTER APPRAISAL'!$A$1:$R$187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I168" i="5" l="1"/>
  <c r="O172" i="5" s="1"/>
  <c r="H168" i="5"/>
  <c r="I164" i="5"/>
  <c r="O171" i="5" s="1"/>
  <c r="H164" i="5"/>
  <c r="E148" i="5"/>
  <c r="Q147" i="5"/>
  <c r="R147" i="5" s="1"/>
  <c r="F147" i="5"/>
  <c r="Q146" i="5"/>
  <c r="F146" i="5"/>
  <c r="R146" i="5" s="1"/>
  <c r="Q145" i="5"/>
  <c r="F145" i="5"/>
  <c r="R145" i="5" s="1"/>
  <c r="R144" i="5"/>
  <c r="Q144" i="5"/>
  <c r="F144" i="5"/>
  <c r="Q143" i="5"/>
  <c r="R143" i="5" s="1"/>
  <c r="F143" i="5"/>
  <c r="Q142" i="5"/>
  <c r="F142" i="5"/>
  <c r="R142" i="5" s="1"/>
  <c r="C142" i="5"/>
  <c r="Q141" i="5"/>
  <c r="F141" i="5"/>
  <c r="R141" i="5" s="1"/>
  <c r="Q140" i="5"/>
  <c r="F140" i="5"/>
  <c r="R140" i="5" s="1"/>
  <c r="R139" i="5"/>
  <c r="Q139" i="5"/>
  <c r="F139" i="5"/>
  <c r="Q138" i="5"/>
  <c r="R138" i="5" s="1"/>
  <c r="F138" i="5"/>
  <c r="Q137" i="5"/>
  <c r="F137" i="5"/>
  <c r="R137" i="5" s="1"/>
  <c r="C137" i="5"/>
  <c r="Q136" i="5"/>
  <c r="F136" i="5"/>
  <c r="R136" i="5" s="1"/>
  <c r="Q135" i="5"/>
  <c r="F135" i="5"/>
  <c r="R135" i="5" s="1"/>
  <c r="R134" i="5"/>
  <c r="Q134" i="5"/>
  <c r="F134" i="5"/>
  <c r="C134" i="5"/>
  <c r="R133" i="5"/>
  <c r="Q133" i="5"/>
  <c r="F133" i="5"/>
  <c r="Q132" i="5"/>
  <c r="R132" i="5" s="1"/>
  <c r="F132" i="5"/>
  <c r="C132" i="5"/>
  <c r="Q131" i="5"/>
  <c r="R131" i="5" s="1"/>
  <c r="F131" i="5"/>
  <c r="Q130" i="5"/>
  <c r="F130" i="5"/>
  <c r="R130" i="5" s="1"/>
  <c r="Q129" i="5"/>
  <c r="F129" i="5"/>
  <c r="R129" i="5" s="1"/>
  <c r="C129" i="5"/>
  <c r="Q128" i="5"/>
  <c r="F128" i="5"/>
  <c r="R128" i="5" s="1"/>
  <c r="R127" i="5"/>
  <c r="Q127" i="5"/>
  <c r="F127" i="5"/>
  <c r="Q126" i="5"/>
  <c r="R126" i="5" s="1"/>
  <c r="F126" i="5"/>
  <c r="Q125" i="5"/>
  <c r="F125" i="5"/>
  <c r="R125" i="5" s="1"/>
  <c r="Q124" i="5"/>
  <c r="F124" i="5"/>
  <c r="R124" i="5" s="1"/>
  <c r="R123" i="5"/>
  <c r="Q123" i="5"/>
  <c r="F123" i="5"/>
  <c r="Q122" i="5"/>
  <c r="R122" i="5" s="1"/>
  <c r="F122" i="5"/>
  <c r="Q121" i="5"/>
  <c r="F121" i="5"/>
  <c r="R121" i="5" s="1"/>
  <c r="C121" i="5"/>
  <c r="Q120" i="5"/>
  <c r="F120" i="5"/>
  <c r="R120" i="5" s="1"/>
  <c r="Q119" i="5"/>
  <c r="F119" i="5"/>
  <c r="R119" i="5" s="1"/>
  <c r="R118" i="5"/>
  <c r="Q118" i="5"/>
  <c r="F118" i="5"/>
  <c r="Q117" i="5"/>
  <c r="R117" i="5" s="1"/>
  <c r="F117" i="5"/>
  <c r="Q116" i="5"/>
  <c r="F116" i="5"/>
  <c r="R116" i="5" s="1"/>
  <c r="Q115" i="5"/>
  <c r="F115" i="5"/>
  <c r="R115" i="5" s="1"/>
  <c r="R114" i="5"/>
  <c r="Q114" i="5"/>
  <c r="F114" i="5"/>
  <c r="Q113" i="5"/>
  <c r="R113" i="5" s="1"/>
  <c r="F113" i="5"/>
  <c r="Q112" i="5"/>
  <c r="F112" i="5"/>
  <c r="R112" i="5" s="1"/>
  <c r="Q111" i="5"/>
  <c r="F111" i="5"/>
  <c r="R111" i="5" s="1"/>
  <c r="R110" i="5"/>
  <c r="Q110" i="5"/>
  <c r="F110" i="5"/>
  <c r="Q109" i="5"/>
  <c r="R109" i="5" s="1"/>
  <c r="F109" i="5"/>
  <c r="Q108" i="5"/>
  <c r="F108" i="5"/>
  <c r="R108" i="5" s="1"/>
  <c r="Q107" i="5"/>
  <c r="F107" i="5"/>
  <c r="R107" i="5" s="1"/>
  <c r="R106" i="5"/>
  <c r="Q106" i="5"/>
  <c r="F106" i="5"/>
  <c r="Q105" i="5"/>
  <c r="R105" i="5" s="1"/>
  <c r="F105" i="5"/>
  <c r="Q104" i="5"/>
  <c r="F104" i="5"/>
  <c r="R104" i="5" s="1"/>
  <c r="Q103" i="5"/>
  <c r="F103" i="5"/>
  <c r="R103" i="5" s="1"/>
  <c r="R102" i="5"/>
  <c r="Q102" i="5"/>
  <c r="F102" i="5"/>
  <c r="Q101" i="5"/>
  <c r="R101" i="5" s="1"/>
  <c r="F101" i="5"/>
  <c r="C101" i="5"/>
  <c r="Q100" i="5"/>
  <c r="R100" i="5" s="1"/>
  <c r="F100" i="5"/>
  <c r="Q99" i="5"/>
  <c r="F99" i="5"/>
  <c r="R99" i="5" s="1"/>
  <c r="Q98" i="5"/>
  <c r="F98" i="5"/>
  <c r="R98" i="5" s="1"/>
  <c r="R97" i="5"/>
  <c r="Q97" i="5"/>
  <c r="F97" i="5"/>
  <c r="Q96" i="5"/>
  <c r="R96" i="5" s="1"/>
  <c r="F96" i="5"/>
  <c r="Q95" i="5"/>
  <c r="F95" i="5"/>
  <c r="R95" i="5" s="1"/>
  <c r="Q94" i="5"/>
  <c r="F94" i="5"/>
  <c r="R94" i="5" s="1"/>
  <c r="R93" i="5"/>
  <c r="Q93" i="5"/>
  <c r="F93" i="5"/>
  <c r="Q92" i="5"/>
  <c r="R92" i="5" s="1"/>
  <c r="F92" i="5"/>
  <c r="Q91" i="5"/>
  <c r="F91" i="5"/>
  <c r="R91" i="5" s="1"/>
  <c r="Q90" i="5"/>
  <c r="F90" i="5"/>
  <c r="R90" i="5" s="1"/>
  <c r="C90" i="5"/>
  <c r="Q89" i="5"/>
  <c r="F89" i="5"/>
  <c r="R89" i="5" s="1"/>
  <c r="R88" i="5"/>
  <c r="Q88" i="5"/>
  <c r="F88" i="5"/>
  <c r="Q87" i="5"/>
  <c r="R87" i="5" s="1"/>
  <c r="F87" i="5"/>
  <c r="Q86" i="5"/>
  <c r="F86" i="5"/>
  <c r="R86" i="5" s="1"/>
  <c r="Q85" i="5"/>
  <c r="F85" i="5"/>
  <c r="R85" i="5" s="1"/>
  <c r="R84" i="5"/>
  <c r="Q84" i="5"/>
  <c r="F84" i="5"/>
  <c r="Q83" i="5"/>
  <c r="R83" i="5" s="1"/>
  <c r="F83" i="5"/>
  <c r="Q82" i="5"/>
  <c r="F82" i="5"/>
  <c r="R82" i="5" s="1"/>
  <c r="Q81" i="5"/>
  <c r="F81" i="5"/>
  <c r="R81" i="5" s="1"/>
  <c r="R80" i="5"/>
  <c r="Q80" i="5"/>
  <c r="F80" i="5"/>
  <c r="Q79" i="5"/>
  <c r="R79" i="5" s="1"/>
  <c r="F79" i="5"/>
  <c r="Q78" i="5"/>
  <c r="F78" i="5"/>
  <c r="R78" i="5" s="1"/>
  <c r="Q77" i="5"/>
  <c r="F77" i="5"/>
  <c r="R77" i="5" s="1"/>
  <c r="R76" i="5"/>
  <c r="Q76" i="5"/>
  <c r="F76" i="5"/>
  <c r="Q75" i="5"/>
  <c r="R75" i="5" s="1"/>
  <c r="F75" i="5"/>
  <c r="Q74" i="5"/>
  <c r="F74" i="5"/>
  <c r="R74" i="5" s="1"/>
  <c r="Q73" i="5"/>
  <c r="F73" i="5"/>
  <c r="R73" i="5" s="1"/>
  <c r="R72" i="5"/>
  <c r="Q72" i="5"/>
  <c r="F72" i="5"/>
  <c r="Q71" i="5"/>
  <c r="R71" i="5" s="1"/>
  <c r="F71" i="5"/>
  <c r="Q70" i="5"/>
  <c r="F70" i="5"/>
  <c r="R70" i="5" s="1"/>
  <c r="Q69" i="5"/>
  <c r="F69" i="5"/>
  <c r="R69" i="5" s="1"/>
  <c r="R68" i="5"/>
  <c r="Q68" i="5"/>
  <c r="F68" i="5"/>
  <c r="Q67" i="5"/>
  <c r="R67" i="5" s="1"/>
  <c r="F67" i="5"/>
  <c r="Q66" i="5"/>
  <c r="F66" i="5"/>
  <c r="R66" i="5" s="1"/>
  <c r="Q65" i="5"/>
  <c r="F65" i="5"/>
  <c r="R65" i="5" s="1"/>
  <c r="R64" i="5"/>
  <c r="Q64" i="5"/>
  <c r="F64" i="5"/>
  <c r="Q63" i="5"/>
  <c r="R63" i="5" s="1"/>
  <c r="F63" i="5"/>
  <c r="Q62" i="5"/>
  <c r="F62" i="5"/>
  <c r="R62" i="5" s="1"/>
  <c r="C62" i="5"/>
  <c r="Q61" i="5"/>
  <c r="F61" i="5"/>
  <c r="R61" i="5" s="1"/>
  <c r="Q60" i="5"/>
  <c r="F60" i="5"/>
  <c r="R60" i="5" s="1"/>
  <c r="R59" i="5"/>
  <c r="Q59" i="5"/>
  <c r="F59" i="5"/>
  <c r="Q58" i="5"/>
  <c r="R58" i="5" s="1"/>
  <c r="F58" i="5"/>
  <c r="Q57" i="5"/>
  <c r="F57" i="5"/>
  <c r="R57" i="5" s="1"/>
  <c r="Q56" i="5"/>
  <c r="F56" i="5"/>
  <c r="R56" i="5" s="1"/>
  <c r="R55" i="5"/>
  <c r="Q55" i="5"/>
  <c r="F55" i="5"/>
  <c r="Q54" i="5"/>
  <c r="R54" i="5" s="1"/>
  <c r="F54" i="5"/>
  <c r="C54" i="5"/>
  <c r="Q53" i="5"/>
  <c r="R53" i="5" s="1"/>
  <c r="F53" i="5"/>
  <c r="Q52" i="5"/>
  <c r="F52" i="5"/>
  <c r="R52" i="5" s="1"/>
  <c r="Q51" i="5"/>
  <c r="F51" i="5"/>
  <c r="R51" i="5" s="1"/>
  <c r="R50" i="5"/>
  <c r="Q50" i="5"/>
  <c r="F50" i="5"/>
  <c r="Q49" i="5"/>
  <c r="R49" i="5" s="1"/>
  <c r="F49" i="5"/>
  <c r="Q48" i="5"/>
  <c r="F48" i="5"/>
  <c r="R48" i="5" s="1"/>
  <c r="Q47" i="5"/>
  <c r="F47" i="5"/>
  <c r="R47" i="5" s="1"/>
  <c r="R46" i="5"/>
  <c r="Q46" i="5"/>
  <c r="F46" i="5"/>
  <c r="Q45" i="5"/>
  <c r="R45" i="5" s="1"/>
  <c r="F45" i="5"/>
  <c r="Q44" i="5"/>
  <c r="F44" i="5"/>
  <c r="R44" i="5" s="1"/>
  <c r="Q43" i="5"/>
  <c r="F43" i="5"/>
  <c r="R43" i="5" s="1"/>
  <c r="R42" i="5"/>
  <c r="Q42" i="5"/>
  <c r="F42" i="5"/>
  <c r="Q41" i="5"/>
  <c r="R41" i="5" s="1"/>
  <c r="F41" i="5"/>
  <c r="Q40" i="5"/>
  <c r="F40" i="5"/>
  <c r="R40" i="5" s="1"/>
  <c r="C40" i="5"/>
  <c r="Q39" i="5"/>
  <c r="F39" i="5"/>
  <c r="R39" i="5" s="1"/>
  <c r="Q38" i="5"/>
  <c r="F38" i="5"/>
  <c r="R38" i="5" s="1"/>
  <c r="R37" i="5"/>
  <c r="Q37" i="5"/>
  <c r="F37" i="5"/>
  <c r="Q36" i="5"/>
  <c r="R36" i="5" s="1"/>
  <c r="F36" i="5"/>
  <c r="Q35" i="5"/>
  <c r="F35" i="5"/>
  <c r="R35" i="5" s="1"/>
  <c r="Q34" i="5"/>
  <c r="F34" i="5"/>
  <c r="R34" i="5" s="1"/>
  <c r="R33" i="5"/>
  <c r="Q33" i="5"/>
  <c r="F33" i="5"/>
  <c r="Q32" i="5"/>
  <c r="R32" i="5" s="1"/>
  <c r="F32" i="5"/>
  <c r="Q31" i="5"/>
  <c r="F31" i="5"/>
  <c r="R31" i="5" s="1"/>
  <c r="Q30" i="5"/>
  <c r="F30" i="5"/>
  <c r="R30" i="5" s="1"/>
  <c r="R29" i="5"/>
  <c r="Q29" i="5"/>
  <c r="F29" i="5"/>
  <c r="Q28" i="5"/>
  <c r="R28" i="5" s="1"/>
  <c r="F28" i="5"/>
  <c r="Q27" i="5"/>
  <c r="F27" i="5"/>
  <c r="R27" i="5" s="1"/>
  <c r="Q26" i="5"/>
  <c r="F26" i="5"/>
  <c r="R26" i="5" s="1"/>
  <c r="R25" i="5"/>
  <c r="Q25" i="5"/>
  <c r="F25" i="5"/>
  <c r="Q24" i="5"/>
  <c r="R24" i="5" s="1"/>
  <c r="F24" i="5"/>
  <c r="Q23" i="5"/>
  <c r="F23" i="5"/>
  <c r="R23" i="5" s="1"/>
  <c r="Q22" i="5"/>
  <c r="F22" i="5"/>
  <c r="R22" i="5" s="1"/>
  <c r="R21" i="5"/>
  <c r="Q21" i="5"/>
  <c r="F21" i="5"/>
  <c r="Q20" i="5"/>
  <c r="R20" i="5" s="1"/>
  <c r="F20" i="5"/>
  <c r="Q19" i="5"/>
  <c r="F19" i="5"/>
  <c r="R19" i="5" s="1"/>
  <c r="R148" i="5" s="1"/>
  <c r="R149" i="5" s="1"/>
  <c r="O170" i="5" s="1"/>
  <c r="O173" i="5" s="1"/>
  <c r="C19" i="5"/>
  <c r="C148" i="5" s="1"/>
  <c r="I168" i="4"/>
  <c r="O172" i="4" s="1"/>
  <c r="H168" i="4"/>
  <c r="I164" i="4"/>
  <c r="O171" i="4" s="1"/>
  <c r="H164" i="4"/>
  <c r="E148" i="4"/>
  <c r="Q147" i="4"/>
  <c r="R147" i="4" s="1"/>
  <c r="F147" i="4"/>
  <c r="Q146" i="4"/>
  <c r="F146" i="4"/>
  <c r="R146" i="4" s="1"/>
  <c r="Q145" i="4"/>
  <c r="F145" i="4"/>
  <c r="R145" i="4" s="1"/>
  <c r="R144" i="4"/>
  <c r="Q144" i="4"/>
  <c r="F144" i="4"/>
  <c r="Q143" i="4"/>
  <c r="R143" i="4" s="1"/>
  <c r="F143" i="4"/>
  <c r="Q142" i="4"/>
  <c r="F142" i="4"/>
  <c r="R142" i="4" s="1"/>
  <c r="C142" i="4"/>
  <c r="Q141" i="4"/>
  <c r="F141" i="4"/>
  <c r="R141" i="4" s="1"/>
  <c r="Q140" i="4"/>
  <c r="F140" i="4"/>
  <c r="R140" i="4" s="1"/>
  <c r="R139" i="4"/>
  <c r="Q139" i="4"/>
  <c r="F139" i="4"/>
  <c r="Q138" i="4"/>
  <c r="R138" i="4" s="1"/>
  <c r="F138" i="4"/>
  <c r="Q137" i="4"/>
  <c r="F137" i="4"/>
  <c r="R137" i="4" s="1"/>
  <c r="C137" i="4"/>
  <c r="Q136" i="4"/>
  <c r="F136" i="4"/>
  <c r="R136" i="4" s="1"/>
  <c r="Q135" i="4"/>
  <c r="F135" i="4"/>
  <c r="R135" i="4" s="1"/>
  <c r="R134" i="4"/>
  <c r="Q134" i="4"/>
  <c r="F134" i="4"/>
  <c r="C134" i="4"/>
  <c r="R133" i="4"/>
  <c r="Q133" i="4"/>
  <c r="F133" i="4"/>
  <c r="Q132" i="4"/>
  <c r="R132" i="4" s="1"/>
  <c r="F132" i="4"/>
  <c r="C132" i="4"/>
  <c r="Q131" i="4"/>
  <c r="R131" i="4" s="1"/>
  <c r="F131" i="4"/>
  <c r="Q130" i="4"/>
  <c r="F130" i="4"/>
  <c r="R130" i="4" s="1"/>
  <c r="Q129" i="4"/>
  <c r="F129" i="4"/>
  <c r="R129" i="4" s="1"/>
  <c r="C129" i="4"/>
  <c r="Q128" i="4"/>
  <c r="F128" i="4"/>
  <c r="R128" i="4" s="1"/>
  <c r="R127" i="4"/>
  <c r="Q127" i="4"/>
  <c r="F127" i="4"/>
  <c r="Q126" i="4"/>
  <c r="R126" i="4" s="1"/>
  <c r="F126" i="4"/>
  <c r="Q125" i="4"/>
  <c r="F125" i="4"/>
  <c r="R125" i="4" s="1"/>
  <c r="Q124" i="4"/>
  <c r="F124" i="4"/>
  <c r="R124" i="4" s="1"/>
  <c r="R123" i="4"/>
  <c r="Q123" i="4"/>
  <c r="F123" i="4"/>
  <c r="Q122" i="4"/>
  <c r="R122" i="4" s="1"/>
  <c r="F122" i="4"/>
  <c r="Q121" i="4"/>
  <c r="F121" i="4"/>
  <c r="R121" i="4" s="1"/>
  <c r="C121" i="4"/>
  <c r="Q120" i="4"/>
  <c r="F120" i="4"/>
  <c r="R120" i="4" s="1"/>
  <c r="Q119" i="4"/>
  <c r="F119" i="4"/>
  <c r="R119" i="4" s="1"/>
  <c r="R118" i="4"/>
  <c r="Q118" i="4"/>
  <c r="F118" i="4"/>
  <c r="Q117" i="4"/>
  <c r="R117" i="4" s="1"/>
  <c r="F117" i="4"/>
  <c r="Q116" i="4"/>
  <c r="F116" i="4"/>
  <c r="R116" i="4" s="1"/>
  <c r="Q115" i="4"/>
  <c r="F115" i="4"/>
  <c r="R115" i="4" s="1"/>
  <c r="R114" i="4"/>
  <c r="Q114" i="4"/>
  <c r="F114" i="4"/>
  <c r="Q113" i="4"/>
  <c r="R113" i="4" s="1"/>
  <c r="F113" i="4"/>
  <c r="Q112" i="4"/>
  <c r="F112" i="4"/>
  <c r="R112" i="4" s="1"/>
  <c r="Q111" i="4"/>
  <c r="F111" i="4"/>
  <c r="R111" i="4" s="1"/>
  <c r="R110" i="4"/>
  <c r="Q110" i="4"/>
  <c r="F110" i="4"/>
  <c r="Q109" i="4"/>
  <c r="R109" i="4" s="1"/>
  <c r="F109" i="4"/>
  <c r="Q108" i="4"/>
  <c r="F108" i="4"/>
  <c r="R108" i="4" s="1"/>
  <c r="Q107" i="4"/>
  <c r="F107" i="4"/>
  <c r="R107" i="4" s="1"/>
  <c r="R106" i="4"/>
  <c r="Q106" i="4"/>
  <c r="F106" i="4"/>
  <c r="Q105" i="4"/>
  <c r="R105" i="4" s="1"/>
  <c r="F105" i="4"/>
  <c r="Q104" i="4"/>
  <c r="F104" i="4"/>
  <c r="R104" i="4" s="1"/>
  <c r="Q103" i="4"/>
  <c r="F103" i="4"/>
  <c r="R103" i="4" s="1"/>
  <c r="R102" i="4"/>
  <c r="Q102" i="4"/>
  <c r="F102" i="4"/>
  <c r="Q101" i="4"/>
  <c r="R101" i="4" s="1"/>
  <c r="F101" i="4"/>
  <c r="C101" i="4"/>
  <c r="Q100" i="4"/>
  <c r="R100" i="4" s="1"/>
  <c r="F100" i="4"/>
  <c r="Q99" i="4"/>
  <c r="F99" i="4"/>
  <c r="R99" i="4" s="1"/>
  <c r="Q98" i="4"/>
  <c r="F98" i="4"/>
  <c r="R98" i="4" s="1"/>
  <c r="R97" i="4"/>
  <c r="Q97" i="4"/>
  <c r="F97" i="4"/>
  <c r="Q96" i="4"/>
  <c r="R96" i="4" s="1"/>
  <c r="F96" i="4"/>
  <c r="Q95" i="4"/>
  <c r="F95" i="4"/>
  <c r="R95" i="4" s="1"/>
  <c r="Q94" i="4"/>
  <c r="F94" i="4"/>
  <c r="R94" i="4" s="1"/>
  <c r="R93" i="4"/>
  <c r="Q93" i="4"/>
  <c r="F93" i="4"/>
  <c r="Q92" i="4"/>
  <c r="R92" i="4" s="1"/>
  <c r="F92" i="4"/>
  <c r="Q91" i="4"/>
  <c r="F91" i="4"/>
  <c r="R91" i="4" s="1"/>
  <c r="Q90" i="4"/>
  <c r="F90" i="4"/>
  <c r="R90" i="4" s="1"/>
  <c r="C90" i="4"/>
  <c r="Q89" i="4"/>
  <c r="F89" i="4"/>
  <c r="R89" i="4" s="1"/>
  <c r="R88" i="4"/>
  <c r="Q88" i="4"/>
  <c r="F88" i="4"/>
  <c r="Q87" i="4"/>
  <c r="R87" i="4" s="1"/>
  <c r="F87" i="4"/>
  <c r="Q86" i="4"/>
  <c r="F86" i="4"/>
  <c r="R86" i="4" s="1"/>
  <c r="Q85" i="4"/>
  <c r="F85" i="4"/>
  <c r="R85" i="4" s="1"/>
  <c r="R84" i="4"/>
  <c r="Q84" i="4"/>
  <c r="F84" i="4"/>
  <c r="Q83" i="4"/>
  <c r="R83" i="4" s="1"/>
  <c r="F83" i="4"/>
  <c r="Q82" i="4"/>
  <c r="F82" i="4"/>
  <c r="R82" i="4" s="1"/>
  <c r="Q81" i="4"/>
  <c r="F81" i="4"/>
  <c r="R81" i="4" s="1"/>
  <c r="R80" i="4"/>
  <c r="Q80" i="4"/>
  <c r="F80" i="4"/>
  <c r="Q79" i="4"/>
  <c r="R79" i="4" s="1"/>
  <c r="F79" i="4"/>
  <c r="Q78" i="4"/>
  <c r="F78" i="4"/>
  <c r="R78" i="4" s="1"/>
  <c r="Q77" i="4"/>
  <c r="F77" i="4"/>
  <c r="R77" i="4" s="1"/>
  <c r="R76" i="4"/>
  <c r="Q76" i="4"/>
  <c r="F76" i="4"/>
  <c r="Q75" i="4"/>
  <c r="R75" i="4" s="1"/>
  <c r="F75" i="4"/>
  <c r="Q74" i="4"/>
  <c r="F74" i="4"/>
  <c r="R74" i="4" s="1"/>
  <c r="Q73" i="4"/>
  <c r="F73" i="4"/>
  <c r="R73" i="4" s="1"/>
  <c r="R72" i="4"/>
  <c r="Q72" i="4"/>
  <c r="F72" i="4"/>
  <c r="Q71" i="4"/>
  <c r="R71" i="4" s="1"/>
  <c r="F71" i="4"/>
  <c r="Q70" i="4"/>
  <c r="F70" i="4"/>
  <c r="R70" i="4" s="1"/>
  <c r="Q69" i="4"/>
  <c r="F69" i="4"/>
  <c r="R69" i="4" s="1"/>
  <c r="R68" i="4"/>
  <c r="Q68" i="4"/>
  <c r="F68" i="4"/>
  <c r="Q67" i="4"/>
  <c r="R67" i="4" s="1"/>
  <c r="F67" i="4"/>
  <c r="Q66" i="4"/>
  <c r="F66" i="4"/>
  <c r="R66" i="4" s="1"/>
  <c r="Q65" i="4"/>
  <c r="F65" i="4"/>
  <c r="R65" i="4" s="1"/>
  <c r="R64" i="4"/>
  <c r="Q64" i="4"/>
  <c r="F64" i="4"/>
  <c r="Q63" i="4"/>
  <c r="R63" i="4" s="1"/>
  <c r="F63" i="4"/>
  <c r="Q62" i="4"/>
  <c r="F62" i="4"/>
  <c r="R62" i="4" s="1"/>
  <c r="C62" i="4"/>
  <c r="Q61" i="4"/>
  <c r="F61" i="4"/>
  <c r="R61" i="4" s="1"/>
  <c r="Q60" i="4"/>
  <c r="F60" i="4"/>
  <c r="R60" i="4" s="1"/>
  <c r="R59" i="4"/>
  <c r="Q59" i="4"/>
  <c r="F59" i="4"/>
  <c r="Q58" i="4"/>
  <c r="R58" i="4" s="1"/>
  <c r="F58" i="4"/>
  <c r="Q57" i="4"/>
  <c r="F57" i="4"/>
  <c r="R57" i="4" s="1"/>
  <c r="Q56" i="4"/>
  <c r="F56" i="4"/>
  <c r="R56" i="4" s="1"/>
  <c r="R55" i="4"/>
  <c r="Q55" i="4"/>
  <c r="F55" i="4"/>
  <c r="Q54" i="4"/>
  <c r="R54" i="4" s="1"/>
  <c r="F54" i="4"/>
  <c r="C54" i="4"/>
  <c r="Q53" i="4"/>
  <c r="R53" i="4" s="1"/>
  <c r="F53" i="4"/>
  <c r="Q52" i="4"/>
  <c r="F52" i="4"/>
  <c r="R52" i="4" s="1"/>
  <c r="Q51" i="4"/>
  <c r="F51" i="4"/>
  <c r="R51" i="4" s="1"/>
  <c r="R50" i="4"/>
  <c r="Q50" i="4"/>
  <c r="F50" i="4"/>
  <c r="Q49" i="4"/>
  <c r="R49" i="4" s="1"/>
  <c r="F49" i="4"/>
  <c r="Q48" i="4"/>
  <c r="F48" i="4"/>
  <c r="R48" i="4" s="1"/>
  <c r="Q47" i="4"/>
  <c r="F47" i="4"/>
  <c r="R47" i="4" s="1"/>
  <c r="R46" i="4"/>
  <c r="Q46" i="4"/>
  <c r="F46" i="4"/>
  <c r="Q45" i="4"/>
  <c r="R45" i="4" s="1"/>
  <c r="F45" i="4"/>
  <c r="Q44" i="4"/>
  <c r="F44" i="4"/>
  <c r="R44" i="4" s="1"/>
  <c r="Q43" i="4"/>
  <c r="F43" i="4"/>
  <c r="R43" i="4" s="1"/>
  <c r="R42" i="4"/>
  <c r="Q42" i="4"/>
  <c r="F42" i="4"/>
  <c r="Q41" i="4"/>
  <c r="R41" i="4" s="1"/>
  <c r="F41" i="4"/>
  <c r="Q40" i="4"/>
  <c r="F40" i="4"/>
  <c r="R40" i="4" s="1"/>
  <c r="C40" i="4"/>
  <c r="Q39" i="4"/>
  <c r="F39" i="4"/>
  <c r="R39" i="4" s="1"/>
  <c r="Q38" i="4"/>
  <c r="F38" i="4"/>
  <c r="R38" i="4" s="1"/>
  <c r="R37" i="4"/>
  <c r="Q37" i="4"/>
  <c r="F37" i="4"/>
  <c r="Q36" i="4"/>
  <c r="R36" i="4" s="1"/>
  <c r="F36" i="4"/>
  <c r="Q35" i="4"/>
  <c r="F35" i="4"/>
  <c r="R35" i="4" s="1"/>
  <c r="Q34" i="4"/>
  <c r="F34" i="4"/>
  <c r="R34" i="4" s="1"/>
  <c r="R33" i="4"/>
  <c r="Q33" i="4"/>
  <c r="F33" i="4"/>
  <c r="Q32" i="4"/>
  <c r="R32" i="4" s="1"/>
  <c r="F32" i="4"/>
  <c r="Q31" i="4"/>
  <c r="F31" i="4"/>
  <c r="R31" i="4" s="1"/>
  <c r="Q30" i="4"/>
  <c r="F30" i="4"/>
  <c r="R30" i="4" s="1"/>
  <c r="R29" i="4"/>
  <c r="Q29" i="4"/>
  <c r="F29" i="4"/>
  <c r="Q28" i="4"/>
  <c r="R28" i="4" s="1"/>
  <c r="F28" i="4"/>
  <c r="Q27" i="4"/>
  <c r="F27" i="4"/>
  <c r="R27" i="4" s="1"/>
  <c r="Q26" i="4"/>
  <c r="F26" i="4"/>
  <c r="R26" i="4" s="1"/>
  <c r="R25" i="4"/>
  <c r="Q25" i="4"/>
  <c r="F25" i="4"/>
  <c r="Q24" i="4"/>
  <c r="R24" i="4" s="1"/>
  <c r="F24" i="4"/>
  <c r="Q23" i="4"/>
  <c r="F23" i="4"/>
  <c r="R23" i="4" s="1"/>
  <c r="Q22" i="4"/>
  <c r="F22" i="4"/>
  <c r="R22" i="4" s="1"/>
  <c r="R21" i="4"/>
  <c r="Q21" i="4"/>
  <c r="F21" i="4"/>
  <c r="Q20" i="4"/>
  <c r="R20" i="4" s="1"/>
  <c r="F20" i="4"/>
  <c r="Q19" i="4"/>
  <c r="F19" i="4"/>
  <c r="F148" i="4" s="1"/>
  <c r="C19" i="4"/>
  <c r="C148" i="4" s="1"/>
  <c r="I168" i="3"/>
  <c r="O172" i="3" s="1"/>
  <c r="H168" i="3"/>
  <c r="I164" i="3"/>
  <c r="O171" i="3" s="1"/>
  <c r="H164" i="3"/>
  <c r="E148" i="3"/>
  <c r="Q147" i="3"/>
  <c r="R147" i="3" s="1"/>
  <c r="F147" i="3"/>
  <c r="Q146" i="3"/>
  <c r="F146" i="3"/>
  <c r="R146" i="3" s="1"/>
  <c r="Q145" i="3"/>
  <c r="F145" i="3"/>
  <c r="R145" i="3" s="1"/>
  <c r="R144" i="3"/>
  <c r="Q144" i="3"/>
  <c r="F144" i="3"/>
  <c r="Q143" i="3"/>
  <c r="R143" i="3" s="1"/>
  <c r="F143" i="3"/>
  <c r="Q142" i="3"/>
  <c r="F142" i="3"/>
  <c r="R142" i="3" s="1"/>
  <c r="C142" i="3"/>
  <c r="Q141" i="3"/>
  <c r="F141" i="3"/>
  <c r="R141" i="3" s="1"/>
  <c r="Q140" i="3"/>
  <c r="F140" i="3"/>
  <c r="R140" i="3" s="1"/>
  <c r="R139" i="3"/>
  <c r="Q139" i="3"/>
  <c r="F139" i="3"/>
  <c r="Q138" i="3"/>
  <c r="R138" i="3" s="1"/>
  <c r="F138" i="3"/>
  <c r="Q137" i="3"/>
  <c r="F137" i="3"/>
  <c r="R137" i="3" s="1"/>
  <c r="C137" i="3"/>
  <c r="Q136" i="3"/>
  <c r="F136" i="3"/>
  <c r="R136" i="3" s="1"/>
  <c r="Q135" i="3"/>
  <c r="F135" i="3"/>
  <c r="R135" i="3" s="1"/>
  <c r="R134" i="3"/>
  <c r="Q134" i="3"/>
  <c r="F134" i="3"/>
  <c r="C134" i="3"/>
  <c r="R133" i="3"/>
  <c r="Q133" i="3"/>
  <c r="F133" i="3"/>
  <c r="Q132" i="3"/>
  <c r="R132" i="3" s="1"/>
  <c r="F132" i="3"/>
  <c r="C132" i="3"/>
  <c r="Q131" i="3"/>
  <c r="R131" i="3" s="1"/>
  <c r="F131" i="3"/>
  <c r="Q130" i="3"/>
  <c r="F130" i="3"/>
  <c r="R130" i="3" s="1"/>
  <c r="Q129" i="3"/>
  <c r="F129" i="3"/>
  <c r="R129" i="3" s="1"/>
  <c r="C129" i="3"/>
  <c r="Q128" i="3"/>
  <c r="F128" i="3"/>
  <c r="R128" i="3" s="1"/>
  <c r="R127" i="3"/>
  <c r="Q127" i="3"/>
  <c r="F127" i="3"/>
  <c r="Q126" i="3"/>
  <c r="R126" i="3" s="1"/>
  <c r="F126" i="3"/>
  <c r="Q125" i="3"/>
  <c r="F125" i="3"/>
  <c r="R125" i="3" s="1"/>
  <c r="Q124" i="3"/>
  <c r="F124" i="3"/>
  <c r="R124" i="3" s="1"/>
  <c r="R123" i="3"/>
  <c r="Q123" i="3"/>
  <c r="F123" i="3"/>
  <c r="Q122" i="3"/>
  <c r="R122" i="3" s="1"/>
  <c r="F122" i="3"/>
  <c r="Q121" i="3"/>
  <c r="F121" i="3"/>
  <c r="R121" i="3" s="1"/>
  <c r="C121" i="3"/>
  <c r="Q120" i="3"/>
  <c r="F120" i="3"/>
  <c r="R120" i="3" s="1"/>
  <c r="Q119" i="3"/>
  <c r="F119" i="3"/>
  <c r="R119" i="3" s="1"/>
  <c r="R118" i="3"/>
  <c r="Q118" i="3"/>
  <c r="F118" i="3"/>
  <c r="Q117" i="3"/>
  <c r="R117" i="3" s="1"/>
  <c r="F117" i="3"/>
  <c r="Q116" i="3"/>
  <c r="F116" i="3"/>
  <c r="R116" i="3" s="1"/>
  <c r="Q115" i="3"/>
  <c r="F115" i="3"/>
  <c r="R115" i="3" s="1"/>
  <c r="R114" i="3"/>
  <c r="Q114" i="3"/>
  <c r="F114" i="3"/>
  <c r="Q113" i="3"/>
  <c r="R113" i="3" s="1"/>
  <c r="F113" i="3"/>
  <c r="Q112" i="3"/>
  <c r="F112" i="3"/>
  <c r="R112" i="3" s="1"/>
  <c r="Q111" i="3"/>
  <c r="F111" i="3"/>
  <c r="R111" i="3" s="1"/>
  <c r="R110" i="3"/>
  <c r="Q110" i="3"/>
  <c r="F110" i="3"/>
  <c r="Q109" i="3"/>
  <c r="R109" i="3" s="1"/>
  <c r="F109" i="3"/>
  <c r="Q108" i="3"/>
  <c r="F108" i="3"/>
  <c r="R108" i="3" s="1"/>
  <c r="Q107" i="3"/>
  <c r="F107" i="3"/>
  <c r="R107" i="3" s="1"/>
  <c r="R106" i="3"/>
  <c r="Q106" i="3"/>
  <c r="F106" i="3"/>
  <c r="Q105" i="3"/>
  <c r="R105" i="3" s="1"/>
  <c r="F105" i="3"/>
  <c r="Q104" i="3"/>
  <c r="F104" i="3"/>
  <c r="R104" i="3" s="1"/>
  <c r="Q103" i="3"/>
  <c r="F103" i="3"/>
  <c r="R103" i="3" s="1"/>
  <c r="R102" i="3"/>
  <c r="Q102" i="3"/>
  <c r="F102" i="3"/>
  <c r="Q101" i="3"/>
  <c r="R101" i="3" s="1"/>
  <c r="F101" i="3"/>
  <c r="C101" i="3"/>
  <c r="Q100" i="3"/>
  <c r="R100" i="3" s="1"/>
  <c r="F100" i="3"/>
  <c r="Q99" i="3"/>
  <c r="F99" i="3"/>
  <c r="R99" i="3" s="1"/>
  <c r="Q98" i="3"/>
  <c r="F98" i="3"/>
  <c r="R98" i="3" s="1"/>
  <c r="R97" i="3"/>
  <c r="Q97" i="3"/>
  <c r="F97" i="3"/>
  <c r="Q96" i="3"/>
  <c r="R96" i="3" s="1"/>
  <c r="F96" i="3"/>
  <c r="Q95" i="3"/>
  <c r="F95" i="3"/>
  <c r="R95" i="3" s="1"/>
  <c r="Q94" i="3"/>
  <c r="F94" i="3"/>
  <c r="R94" i="3" s="1"/>
  <c r="R93" i="3"/>
  <c r="Q93" i="3"/>
  <c r="F93" i="3"/>
  <c r="Q92" i="3"/>
  <c r="R92" i="3" s="1"/>
  <c r="F92" i="3"/>
  <c r="Q91" i="3"/>
  <c r="F91" i="3"/>
  <c r="R91" i="3" s="1"/>
  <c r="Q90" i="3"/>
  <c r="F90" i="3"/>
  <c r="R90" i="3" s="1"/>
  <c r="C90" i="3"/>
  <c r="Q89" i="3"/>
  <c r="F89" i="3"/>
  <c r="R89" i="3" s="1"/>
  <c r="R88" i="3"/>
  <c r="Q88" i="3"/>
  <c r="F88" i="3"/>
  <c r="Q87" i="3"/>
  <c r="R87" i="3" s="1"/>
  <c r="F87" i="3"/>
  <c r="Q86" i="3"/>
  <c r="F86" i="3"/>
  <c r="R86" i="3" s="1"/>
  <c r="Q85" i="3"/>
  <c r="F85" i="3"/>
  <c r="R85" i="3" s="1"/>
  <c r="R84" i="3"/>
  <c r="Q84" i="3"/>
  <c r="F84" i="3"/>
  <c r="Q83" i="3"/>
  <c r="R83" i="3" s="1"/>
  <c r="F83" i="3"/>
  <c r="Q82" i="3"/>
  <c r="F82" i="3"/>
  <c r="R82" i="3" s="1"/>
  <c r="Q81" i="3"/>
  <c r="F81" i="3"/>
  <c r="R81" i="3" s="1"/>
  <c r="R80" i="3"/>
  <c r="Q80" i="3"/>
  <c r="F80" i="3"/>
  <c r="Q79" i="3"/>
  <c r="R79" i="3" s="1"/>
  <c r="F79" i="3"/>
  <c r="Q78" i="3"/>
  <c r="F78" i="3"/>
  <c r="R78" i="3" s="1"/>
  <c r="Q77" i="3"/>
  <c r="F77" i="3"/>
  <c r="R77" i="3" s="1"/>
  <c r="R76" i="3"/>
  <c r="Q76" i="3"/>
  <c r="F76" i="3"/>
  <c r="Q75" i="3"/>
  <c r="R75" i="3" s="1"/>
  <c r="F75" i="3"/>
  <c r="Q74" i="3"/>
  <c r="F74" i="3"/>
  <c r="R74" i="3" s="1"/>
  <c r="Q73" i="3"/>
  <c r="F73" i="3"/>
  <c r="R73" i="3" s="1"/>
  <c r="R72" i="3"/>
  <c r="Q72" i="3"/>
  <c r="F72" i="3"/>
  <c r="Q71" i="3"/>
  <c r="R71" i="3" s="1"/>
  <c r="F71" i="3"/>
  <c r="Q70" i="3"/>
  <c r="F70" i="3"/>
  <c r="R70" i="3" s="1"/>
  <c r="Q69" i="3"/>
  <c r="F69" i="3"/>
  <c r="R69" i="3" s="1"/>
  <c r="R68" i="3"/>
  <c r="Q68" i="3"/>
  <c r="F68" i="3"/>
  <c r="Q67" i="3"/>
  <c r="R67" i="3" s="1"/>
  <c r="F67" i="3"/>
  <c r="Q66" i="3"/>
  <c r="F66" i="3"/>
  <c r="R66" i="3" s="1"/>
  <c r="Q65" i="3"/>
  <c r="F65" i="3"/>
  <c r="R65" i="3" s="1"/>
  <c r="R64" i="3"/>
  <c r="Q64" i="3"/>
  <c r="F64" i="3"/>
  <c r="Q63" i="3"/>
  <c r="R63" i="3" s="1"/>
  <c r="F63" i="3"/>
  <c r="Q62" i="3"/>
  <c r="F62" i="3"/>
  <c r="R62" i="3" s="1"/>
  <c r="C62" i="3"/>
  <c r="Q61" i="3"/>
  <c r="F61" i="3"/>
  <c r="R61" i="3" s="1"/>
  <c r="Q60" i="3"/>
  <c r="F60" i="3"/>
  <c r="R60" i="3" s="1"/>
  <c r="R59" i="3"/>
  <c r="Q59" i="3"/>
  <c r="F59" i="3"/>
  <c r="Q58" i="3"/>
  <c r="R58" i="3" s="1"/>
  <c r="F58" i="3"/>
  <c r="Q57" i="3"/>
  <c r="F57" i="3"/>
  <c r="R57" i="3" s="1"/>
  <c r="Q56" i="3"/>
  <c r="F56" i="3"/>
  <c r="R56" i="3" s="1"/>
  <c r="R55" i="3"/>
  <c r="Q55" i="3"/>
  <c r="F55" i="3"/>
  <c r="Q54" i="3"/>
  <c r="R54" i="3" s="1"/>
  <c r="F54" i="3"/>
  <c r="C54" i="3"/>
  <c r="Q53" i="3"/>
  <c r="R53" i="3" s="1"/>
  <c r="F53" i="3"/>
  <c r="Q52" i="3"/>
  <c r="F52" i="3"/>
  <c r="R52" i="3" s="1"/>
  <c r="Q51" i="3"/>
  <c r="F51" i="3"/>
  <c r="R51" i="3" s="1"/>
  <c r="R50" i="3"/>
  <c r="Q50" i="3"/>
  <c r="F50" i="3"/>
  <c r="Q49" i="3"/>
  <c r="R49" i="3" s="1"/>
  <c r="F49" i="3"/>
  <c r="Q48" i="3"/>
  <c r="F48" i="3"/>
  <c r="R48" i="3" s="1"/>
  <c r="Q47" i="3"/>
  <c r="F47" i="3"/>
  <c r="R47" i="3" s="1"/>
  <c r="R46" i="3"/>
  <c r="Q46" i="3"/>
  <c r="F46" i="3"/>
  <c r="Q45" i="3"/>
  <c r="R45" i="3" s="1"/>
  <c r="F45" i="3"/>
  <c r="Q44" i="3"/>
  <c r="F44" i="3"/>
  <c r="R44" i="3" s="1"/>
  <c r="Q43" i="3"/>
  <c r="F43" i="3"/>
  <c r="R43" i="3" s="1"/>
  <c r="R42" i="3"/>
  <c r="Q42" i="3"/>
  <c r="F42" i="3"/>
  <c r="Q41" i="3"/>
  <c r="R41" i="3" s="1"/>
  <c r="F41" i="3"/>
  <c r="Q40" i="3"/>
  <c r="F40" i="3"/>
  <c r="R40" i="3" s="1"/>
  <c r="C40" i="3"/>
  <c r="Q39" i="3"/>
  <c r="F39" i="3"/>
  <c r="R39" i="3" s="1"/>
  <c r="Q38" i="3"/>
  <c r="F38" i="3"/>
  <c r="R38" i="3" s="1"/>
  <c r="R37" i="3"/>
  <c r="Q37" i="3"/>
  <c r="F37" i="3"/>
  <c r="Q36" i="3"/>
  <c r="R36" i="3" s="1"/>
  <c r="F36" i="3"/>
  <c r="Q35" i="3"/>
  <c r="F35" i="3"/>
  <c r="R35" i="3" s="1"/>
  <c r="Q34" i="3"/>
  <c r="F34" i="3"/>
  <c r="R34" i="3" s="1"/>
  <c r="R33" i="3"/>
  <c r="Q33" i="3"/>
  <c r="F33" i="3"/>
  <c r="Q32" i="3"/>
  <c r="R32" i="3" s="1"/>
  <c r="F32" i="3"/>
  <c r="Q31" i="3"/>
  <c r="F31" i="3"/>
  <c r="R31" i="3" s="1"/>
  <c r="Q30" i="3"/>
  <c r="F30" i="3"/>
  <c r="R30" i="3" s="1"/>
  <c r="R29" i="3"/>
  <c r="Q29" i="3"/>
  <c r="F29" i="3"/>
  <c r="Q28" i="3"/>
  <c r="R28" i="3" s="1"/>
  <c r="F28" i="3"/>
  <c r="Q27" i="3"/>
  <c r="F27" i="3"/>
  <c r="R27" i="3" s="1"/>
  <c r="Q26" i="3"/>
  <c r="F26" i="3"/>
  <c r="R26" i="3" s="1"/>
  <c r="R25" i="3"/>
  <c r="Q25" i="3"/>
  <c r="F25" i="3"/>
  <c r="Q24" i="3"/>
  <c r="R24" i="3" s="1"/>
  <c r="F24" i="3"/>
  <c r="Q23" i="3"/>
  <c r="F23" i="3"/>
  <c r="R23" i="3" s="1"/>
  <c r="Q22" i="3"/>
  <c r="F22" i="3"/>
  <c r="R22" i="3" s="1"/>
  <c r="R21" i="3"/>
  <c r="Q21" i="3"/>
  <c r="F21" i="3"/>
  <c r="Q20" i="3"/>
  <c r="R20" i="3" s="1"/>
  <c r="F20" i="3"/>
  <c r="Q19" i="3"/>
  <c r="F19" i="3"/>
  <c r="R19" i="3" s="1"/>
  <c r="R148" i="3" s="1"/>
  <c r="R149" i="3" s="1"/>
  <c r="O170" i="3" s="1"/>
  <c r="O173" i="3" s="1"/>
  <c r="Q170" i="3" s="1"/>
  <c r="C19" i="3"/>
  <c r="C148" i="3" s="1"/>
  <c r="Q20" i="2"/>
  <c r="R20" i="2" s="1"/>
  <c r="Q21" i="2"/>
  <c r="R21" i="2"/>
  <c r="Q22" i="2"/>
  <c r="R22" i="2" s="1"/>
  <c r="Q23" i="2"/>
  <c r="R23" i="2"/>
  <c r="Q24" i="2"/>
  <c r="R24" i="2" s="1"/>
  <c r="Q25" i="2"/>
  <c r="R25" i="2"/>
  <c r="Q26" i="2"/>
  <c r="R26" i="2" s="1"/>
  <c r="Q27" i="2"/>
  <c r="R27" i="2"/>
  <c r="Q28" i="2"/>
  <c r="R28" i="2" s="1"/>
  <c r="Q29" i="2"/>
  <c r="R29" i="2"/>
  <c r="Q30" i="2"/>
  <c r="R30" i="2" s="1"/>
  <c r="Q31" i="2"/>
  <c r="R31" i="2"/>
  <c r="Q32" i="2"/>
  <c r="R32" i="2" s="1"/>
  <c r="Q33" i="2"/>
  <c r="R33" i="2"/>
  <c r="Q34" i="2"/>
  <c r="R34" i="2" s="1"/>
  <c r="Q35" i="2"/>
  <c r="R35" i="2"/>
  <c r="Q36" i="2"/>
  <c r="R36" i="2" s="1"/>
  <c r="Q37" i="2"/>
  <c r="R37" i="2"/>
  <c r="Q38" i="2"/>
  <c r="R38" i="2" s="1"/>
  <c r="Q39" i="2"/>
  <c r="R39" i="2"/>
  <c r="Q40" i="2"/>
  <c r="R40" i="2" s="1"/>
  <c r="Q41" i="2"/>
  <c r="R41" i="2"/>
  <c r="Q42" i="2"/>
  <c r="R42" i="2" s="1"/>
  <c r="Q43" i="2"/>
  <c r="R43" i="2"/>
  <c r="Q44" i="2"/>
  <c r="R44" i="2" s="1"/>
  <c r="Q45" i="2"/>
  <c r="R45" i="2"/>
  <c r="Q46" i="2"/>
  <c r="R46" i="2" s="1"/>
  <c r="Q47" i="2"/>
  <c r="R47" i="2"/>
  <c r="Q48" i="2"/>
  <c r="R48" i="2" s="1"/>
  <c r="Q49" i="2"/>
  <c r="R49" i="2"/>
  <c r="Q50" i="2"/>
  <c r="R50" i="2" s="1"/>
  <c r="Q51" i="2"/>
  <c r="R51" i="2"/>
  <c r="Q52" i="2"/>
  <c r="R52" i="2" s="1"/>
  <c r="Q53" i="2"/>
  <c r="R53" i="2"/>
  <c r="Q54" i="2"/>
  <c r="R54" i="2" s="1"/>
  <c r="Q55" i="2"/>
  <c r="R55" i="2"/>
  <c r="Q56" i="2"/>
  <c r="R56" i="2" s="1"/>
  <c r="Q57" i="2"/>
  <c r="R57" i="2"/>
  <c r="Q58" i="2"/>
  <c r="R58" i="2" s="1"/>
  <c r="Q59" i="2"/>
  <c r="R59" i="2"/>
  <c r="Q60" i="2"/>
  <c r="R60" i="2" s="1"/>
  <c r="Q61" i="2"/>
  <c r="R61" i="2"/>
  <c r="Q62" i="2"/>
  <c r="R62" i="2" s="1"/>
  <c r="Q63" i="2"/>
  <c r="R63" i="2"/>
  <c r="Q64" i="2"/>
  <c r="R64" i="2" s="1"/>
  <c r="Q65" i="2"/>
  <c r="R65" i="2"/>
  <c r="Q66" i="2"/>
  <c r="R66" i="2" s="1"/>
  <c r="Q67" i="2"/>
  <c r="R67" i="2"/>
  <c r="Q68" i="2"/>
  <c r="R68" i="2" s="1"/>
  <c r="Q69" i="2"/>
  <c r="R69" i="2"/>
  <c r="Q70" i="2"/>
  <c r="R70" i="2" s="1"/>
  <c r="Q71" i="2"/>
  <c r="R71" i="2"/>
  <c r="Q72" i="2"/>
  <c r="R72" i="2" s="1"/>
  <c r="Q73" i="2"/>
  <c r="R73" i="2"/>
  <c r="Q74" i="2"/>
  <c r="R74" i="2" s="1"/>
  <c r="Q75" i="2"/>
  <c r="R75" i="2"/>
  <c r="Q76" i="2"/>
  <c r="R76" i="2" s="1"/>
  <c r="Q77" i="2"/>
  <c r="R77" i="2"/>
  <c r="Q78" i="2"/>
  <c r="R78" i="2" s="1"/>
  <c r="Q79" i="2"/>
  <c r="R79" i="2"/>
  <c r="Q80" i="2"/>
  <c r="R80" i="2" s="1"/>
  <c r="Q81" i="2"/>
  <c r="R81" i="2"/>
  <c r="Q82" i="2"/>
  <c r="R82" i="2" s="1"/>
  <c r="Q83" i="2"/>
  <c r="R83" i="2"/>
  <c r="Q84" i="2"/>
  <c r="R84" i="2" s="1"/>
  <c r="Q85" i="2"/>
  <c r="R85" i="2"/>
  <c r="Q86" i="2"/>
  <c r="R86" i="2" s="1"/>
  <c r="Q87" i="2"/>
  <c r="R87" i="2"/>
  <c r="Q88" i="2"/>
  <c r="R88" i="2" s="1"/>
  <c r="Q89" i="2"/>
  <c r="R89" i="2"/>
  <c r="Q90" i="2"/>
  <c r="R90" i="2" s="1"/>
  <c r="Q91" i="2"/>
  <c r="R91" i="2"/>
  <c r="Q92" i="2"/>
  <c r="R92" i="2" s="1"/>
  <c r="Q93" i="2"/>
  <c r="R93" i="2"/>
  <c r="Q94" i="2"/>
  <c r="R94" i="2" s="1"/>
  <c r="Q95" i="2"/>
  <c r="R95" i="2"/>
  <c r="Q96" i="2"/>
  <c r="R96" i="2" s="1"/>
  <c r="Q97" i="2"/>
  <c r="R97" i="2"/>
  <c r="Q98" i="2"/>
  <c r="R98" i="2" s="1"/>
  <c r="Q99" i="2"/>
  <c r="R99" i="2"/>
  <c r="Q100" i="2"/>
  <c r="R100" i="2" s="1"/>
  <c r="Q101" i="2"/>
  <c r="R101" i="2"/>
  <c r="Q102" i="2"/>
  <c r="R102" i="2" s="1"/>
  <c r="Q103" i="2"/>
  <c r="R103" i="2"/>
  <c r="Q104" i="2"/>
  <c r="R104" i="2" s="1"/>
  <c r="Q105" i="2"/>
  <c r="R105" i="2"/>
  <c r="Q106" i="2"/>
  <c r="R106" i="2" s="1"/>
  <c r="Q107" i="2"/>
  <c r="R107" i="2"/>
  <c r="Q108" i="2"/>
  <c r="R108" i="2" s="1"/>
  <c r="Q109" i="2"/>
  <c r="R109" i="2"/>
  <c r="Q110" i="2"/>
  <c r="R110" i="2" s="1"/>
  <c r="Q111" i="2"/>
  <c r="R111" i="2"/>
  <c r="Q112" i="2"/>
  <c r="R112" i="2" s="1"/>
  <c r="Q113" i="2"/>
  <c r="R113" i="2"/>
  <c r="Q114" i="2"/>
  <c r="R114" i="2" s="1"/>
  <c r="Q115" i="2"/>
  <c r="R115" i="2"/>
  <c r="Q116" i="2"/>
  <c r="R116" i="2" s="1"/>
  <c r="Q117" i="2"/>
  <c r="R117" i="2"/>
  <c r="Q118" i="2"/>
  <c r="R118" i="2" s="1"/>
  <c r="Q119" i="2"/>
  <c r="R119" i="2"/>
  <c r="Q120" i="2"/>
  <c r="R120" i="2" s="1"/>
  <c r="Q121" i="2"/>
  <c r="R121" i="2"/>
  <c r="Q122" i="2"/>
  <c r="R122" i="2"/>
  <c r="Q123" i="2"/>
  <c r="R123" i="2"/>
  <c r="Q124" i="2"/>
  <c r="R124" i="2"/>
  <c r="Q125" i="2"/>
  <c r="R125" i="2"/>
  <c r="Q126" i="2"/>
  <c r="R126" i="2"/>
  <c r="Q127" i="2"/>
  <c r="R127" i="2"/>
  <c r="Q128" i="2"/>
  <c r="R128" i="2"/>
  <c r="Q129" i="2"/>
  <c r="R129" i="2"/>
  <c r="Q130" i="2"/>
  <c r="R130" i="2"/>
  <c r="Q131" i="2"/>
  <c r="R131" i="2"/>
  <c r="Q132" i="2"/>
  <c r="R132" i="2"/>
  <c r="Q133" i="2"/>
  <c r="R133" i="2"/>
  <c r="Q134" i="2"/>
  <c r="R134" i="2"/>
  <c r="Q135" i="2"/>
  <c r="R135" i="2"/>
  <c r="Q136" i="2"/>
  <c r="R136" i="2"/>
  <c r="Q137" i="2"/>
  <c r="R137" i="2"/>
  <c r="Q138" i="2"/>
  <c r="R138" i="2"/>
  <c r="Q139" i="2"/>
  <c r="R139" i="2"/>
  <c r="Q140" i="2"/>
  <c r="R140" i="2"/>
  <c r="Q141" i="2"/>
  <c r="R141" i="2"/>
  <c r="Q142" i="2"/>
  <c r="R142" i="2"/>
  <c r="Q143" i="2"/>
  <c r="R143" i="2"/>
  <c r="Q144" i="2"/>
  <c r="R144" i="2"/>
  <c r="Q145" i="2"/>
  <c r="R145" i="2"/>
  <c r="Q146" i="2"/>
  <c r="R146" i="2"/>
  <c r="Q147" i="2"/>
  <c r="R147" i="2"/>
  <c r="F144" i="2"/>
  <c r="C142" i="2"/>
  <c r="F141" i="2"/>
  <c r="F137" i="2"/>
  <c r="C137" i="2"/>
  <c r="F134" i="2"/>
  <c r="C134" i="2"/>
  <c r="C132" i="2"/>
  <c r="C129" i="2"/>
  <c r="F125" i="2"/>
  <c r="F121" i="2"/>
  <c r="C121" i="2"/>
  <c r="F118" i="2"/>
  <c r="F114" i="2"/>
  <c r="F110" i="2"/>
  <c r="F106" i="2"/>
  <c r="F102" i="2"/>
  <c r="C101" i="2"/>
  <c r="F99" i="2"/>
  <c r="F95" i="2"/>
  <c r="F91" i="2"/>
  <c r="C90" i="2"/>
  <c r="F88" i="2"/>
  <c r="F84" i="2"/>
  <c r="F80" i="2"/>
  <c r="F76" i="2"/>
  <c r="F72" i="2"/>
  <c r="F68" i="2"/>
  <c r="F64" i="2"/>
  <c r="C62" i="2"/>
  <c r="F61" i="2"/>
  <c r="F57" i="2"/>
  <c r="C54" i="2"/>
  <c r="C148" i="2" s="1"/>
  <c r="F50" i="2"/>
  <c r="F46" i="2"/>
  <c r="F42" i="2"/>
  <c r="C40" i="2"/>
  <c r="F39" i="2"/>
  <c r="F35" i="2"/>
  <c r="F31" i="2"/>
  <c r="F27" i="2"/>
  <c r="F23" i="2"/>
  <c r="F19" i="2"/>
  <c r="C19" i="2"/>
  <c r="I168" i="2"/>
  <c r="O172" i="2" s="1"/>
  <c r="H168" i="2"/>
  <c r="I164" i="2"/>
  <c r="O171" i="2" s="1"/>
  <c r="H164" i="2"/>
  <c r="Q19" i="2"/>
  <c r="E148" i="2"/>
  <c r="F147" i="2" s="1"/>
  <c r="F148" i="5" l="1"/>
  <c r="R19" i="4"/>
  <c r="R148" i="4" s="1"/>
  <c r="R149" i="4" s="1"/>
  <c r="O170" i="4" s="1"/>
  <c r="O173" i="4" s="1"/>
  <c r="Q170" i="4" s="1"/>
  <c r="F148" i="3"/>
  <c r="F20" i="2"/>
  <c r="F24" i="2"/>
  <c r="F28" i="2"/>
  <c r="F32" i="2"/>
  <c r="F36" i="2"/>
  <c r="F43" i="2"/>
  <c r="F47" i="2"/>
  <c r="F51" i="2"/>
  <c r="F54" i="2"/>
  <c r="F58" i="2"/>
  <c r="F65" i="2"/>
  <c r="F69" i="2"/>
  <c r="F73" i="2"/>
  <c r="F77" i="2"/>
  <c r="F81" i="2"/>
  <c r="F85" i="2"/>
  <c r="F89" i="2"/>
  <c r="F92" i="2"/>
  <c r="F96" i="2"/>
  <c r="F100" i="2"/>
  <c r="F103" i="2"/>
  <c r="F107" i="2"/>
  <c r="F111" i="2"/>
  <c r="F115" i="2"/>
  <c r="F119" i="2"/>
  <c r="F122" i="2"/>
  <c r="F126" i="2"/>
  <c r="F129" i="2"/>
  <c r="F132" i="2"/>
  <c r="F135" i="2"/>
  <c r="F138" i="2"/>
  <c r="F145" i="2"/>
  <c r="F21" i="2"/>
  <c r="F25" i="2"/>
  <c r="F29" i="2"/>
  <c r="F33" i="2"/>
  <c r="F37" i="2"/>
  <c r="F40" i="2"/>
  <c r="F44" i="2"/>
  <c r="F48" i="2"/>
  <c r="F52" i="2"/>
  <c r="F55" i="2"/>
  <c r="F59" i="2"/>
  <c r="F62" i="2"/>
  <c r="F66" i="2"/>
  <c r="F70" i="2"/>
  <c r="F74" i="2"/>
  <c r="F78" i="2"/>
  <c r="F82" i="2"/>
  <c r="F86" i="2"/>
  <c r="F93" i="2"/>
  <c r="F97" i="2"/>
  <c r="F104" i="2"/>
  <c r="F108" i="2"/>
  <c r="F112" i="2"/>
  <c r="F116" i="2"/>
  <c r="F120" i="2"/>
  <c r="F123" i="2"/>
  <c r="F127" i="2"/>
  <c r="F130" i="2"/>
  <c r="F133" i="2"/>
  <c r="F136" i="2"/>
  <c r="F139" i="2"/>
  <c r="F142" i="2"/>
  <c r="F146" i="2"/>
  <c r="F22" i="2"/>
  <c r="F26" i="2"/>
  <c r="F30" i="2"/>
  <c r="F34" i="2"/>
  <c r="F38" i="2"/>
  <c r="F41" i="2"/>
  <c r="F45" i="2"/>
  <c r="F49" i="2"/>
  <c r="F53" i="2"/>
  <c r="F56" i="2"/>
  <c r="F60" i="2"/>
  <c r="F63" i="2"/>
  <c r="F67" i="2"/>
  <c r="F71" i="2"/>
  <c r="F75" i="2"/>
  <c r="F79" i="2"/>
  <c r="F83" i="2"/>
  <c r="F87" i="2"/>
  <c r="F90" i="2"/>
  <c r="F94" i="2"/>
  <c r="F98" i="2"/>
  <c r="F101" i="2"/>
  <c r="F105" i="2"/>
  <c r="F109" i="2"/>
  <c r="F113" i="2"/>
  <c r="F117" i="2"/>
  <c r="F124" i="2"/>
  <c r="F128" i="2"/>
  <c r="F131" i="2"/>
  <c r="F140" i="2"/>
  <c r="F143" i="2"/>
  <c r="R19" i="2" l="1"/>
  <c r="R148" i="2" s="1"/>
  <c r="R149" i="2" s="1"/>
  <c r="O170" i="2" s="1"/>
  <c r="O173" i="2" s="1"/>
  <c r="Q170" i="2" s="1"/>
  <c r="F148" i="2"/>
</calcChain>
</file>

<file path=xl/sharedStrings.xml><?xml version="1.0" encoding="utf-8"?>
<sst xmlns="http://schemas.openxmlformats.org/spreadsheetml/2006/main" count="2600" uniqueCount="338">
  <si>
    <t>PERFORMANCE APPRAISAL PERIOD:</t>
  </si>
  <si>
    <t>FROM</t>
  </si>
  <si>
    <t>JANUARY 2026</t>
  </si>
  <si>
    <t>To</t>
  </si>
  <si>
    <t>DECEMBER 2026</t>
  </si>
  <si>
    <t>SECTION 1: EMPLOYEE INFORMATION</t>
  </si>
  <si>
    <t>Surname:</t>
  </si>
  <si>
    <t>Firstname</t>
  </si>
  <si>
    <t>Othername</t>
  </si>
  <si>
    <t>Designation</t>
  </si>
  <si>
    <t>IPPIS No.</t>
  </si>
  <si>
    <t>Email</t>
  </si>
  <si>
    <t>Phone No.</t>
  </si>
  <si>
    <t>Department</t>
  </si>
  <si>
    <t>SECTION 2: SUPERVISOR INFORMATION</t>
  </si>
  <si>
    <t>LAWAL</t>
  </si>
  <si>
    <t>HELEN</t>
  </si>
  <si>
    <t>OBEHI</t>
  </si>
  <si>
    <t xml:space="preserve">DEPUTY DIRECTOR </t>
  </si>
  <si>
    <t>helenlawal6a@gmail.com</t>
  </si>
  <si>
    <t>SERVICOM</t>
  </si>
  <si>
    <t>SECTION 3: COUNTER-SIGNING OFFICER'S INFORMATION</t>
  </si>
  <si>
    <t xml:space="preserve">SECTION 4: EMPLOYEE'S TASKS </t>
  </si>
  <si>
    <t>S/N</t>
  </si>
  <si>
    <t>Key Result Areas</t>
  </si>
  <si>
    <t>Weight</t>
  </si>
  <si>
    <t>Objectives</t>
  </si>
  <si>
    <t>Graded
Weight</t>
  </si>
  <si>
    <t>KPIs</t>
  </si>
  <si>
    <t>Target
Set</t>
  </si>
  <si>
    <t>Unit of
Measurement</t>
  </si>
  <si>
    <t>Criteria Values</t>
  </si>
  <si>
    <t>O</t>
  </si>
  <si>
    <t>E</t>
  </si>
  <si>
    <t>VG</t>
  </si>
  <si>
    <t>G</t>
  </si>
  <si>
    <t>F</t>
  </si>
  <si>
    <t>P</t>
  </si>
  <si>
    <t>Governance &amp; Service Delivery</t>
  </si>
  <si>
    <t>Strengthen and institutionalize the effective utilization of the Performance Management System (PMS) to enhance accountability, performance tracking, and service delivery outcomes across SERVICOM.</t>
  </si>
  <si>
    <t xml:space="preserve">PMS Implementation Rate across Units </t>
  </si>
  <si>
    <t>PERCENTAGE</t>
  </si>
  <si>
    <t>&lt;80</t>
  </si>
  <si>
    <t>Percentage of staff with completed and approved performance contract aligned to SERVICOM objectives.</t>
  </si>
  <si>
    <t>Percentage of performance reviews and appraisals completed within approved PMS timelines.</t>
  </si>
  <si>
    <t>Initiate and institutionalize the digitization of records and work processes to improve information management, workflow efficiency, and readiness for the  adoption of an Enterprise Content Management (ECM) system.</t>
  </si>
  <si>
    <t>Percentage of Staff Trained on Digital Records and Workflow Management</t>
  </si>
  <si>
    <t>&gt;50</t>
  </si>
  <si>
    <t>&lt;25</t>
  </si>
  <si>
    <t>Percentage increase in the use of digital documentation and approval processes compared to baseline.</t>
  </si>
  <si>
    <t>Percentage of Transactions Processed Digitally</t>
  </si>
  <si>
    <t>&gt;75</t>
  </si>
  <si>
    <t>&lt;50</t>
  </si>
  <si>
    <t>Initiate and implement quarterly citizens and stakeholder engagement sessions to communicate SERVICOM activities and serve as a feedback mechanism.</t>
  </si>
  <si>
    <t>Total number of quarterly  engagement sessions held with citizens and stakeholders</t>
  </si>
  <si>
    <t>NUMBER</t>
  </si>
  <si>
    <t>&gt;4</t>
  </si>
  <si>
    <t>Promote disability inclusion and accessibility awareness within SERVICOM to ensure inclusive internal service processes, communication, and staff conduct.</t>
  </si>
  <si>
    <t>Percentage of SERVICOM Staff Trained on Accessibility Practices and Disability Awareness</t>
  </si>
  <si>
    <t>Percentage of SERVICOM public-facing information materials (service charters, feedback forms, website content, notices) available in accessible formats.</t>
  </si>
  <si>
    <t>Administrative Services, Staff Welfare, and Office Support</t>
  </si>
  <si>
    <t>Strengthen staff and nodal officers' engagements, planning, and organizational alignment</t>
  </si>
  <si>
    <t>Percentage of scheduled staff retreat conducted annually</t>
  </si>
  <si>
    <t>&gt;80</t>
  </si>
  <si>
    <t>Percentage of nodal officers’ meetings held as scheduled</t>
  </si>
  <si>
    <t>Ensure availability and effective management of office logistics and assets</t>
  </si>
  <si>
    <t>Percentage of office vehicles in functional condition</t>
  </si>
  <si>
    <t>Percentage of office equipment serviceable as at when due</t>
  </si>
  <si>
    <t>Average response time to maintenance requests</t>
  </si>
  <si>
    <t>Ensure efficient records management and file movement</t>
  </si>
  <si>
    <t>Percentage of file requests attended to without delay</t>
  </si>
  <si>
    <t>Accuracy of file tracking and movement records</t>
  </si>
  <si>
    <t>Ensure effective handling of office correspondence and mail dispatch</t>
  </si>
  <si>
    <t>Percentage of incoming correspondence received and registered same day</t>
  </si>
  <si>
    <t>&gt;90</t>
  </si>
  <si>
    <t>Percentage of outgoing correspondence dispatched within timelines</t>
  </si>
  <si>
    <t>Ensure efficient, transparent, and timely management of stores and inventory through proper custody, issuance, and replenishment of consumables and assets in support of uninterrupted administrative and operational activities within SERVICOM</t>
  </si>
  <si>
    <t>Percentage of store items accurately recorded in the store ledger/inventory system</t>
  </si>
  <si>
    <t>Percentage of items restocked within approved timelines after reaching reorder level</t>
  </si>
  <si>
    <t>Percentage of store items with updated bin cards or inventory records</t>
  </si>
  <si>
    <t>Service Innovation And Improvement</t>
  </si>
  <si>
    <t>Strengthen a culture of innovation and technology adoption within SERVICOM by identifying, piloting, and implementing service-improvement initiatives, while actively promoting staff participation in the OHCSF Innovation Challenge.</t>
  </si>
  <si>
    <t>Number of Innovation, Initiative, and Technology Ideas Generated</t>
  </si>
  <si>
    <t>&gt;5</t>
  </si>
  <si>
    <t>Percentage of Identified Innovations and Initiatives Implemented or Piloted</t>
  </si>
  <si>
    <t>&gt;10</t>
  </si>
  <si>
    <t>&lt;5</t>
  </si>
  <si>
    <t>Number of SERVICOM Staff Participating in the OHCSF Innovation Challenge</t>
  </si>
  <si>
    <t>&gt;2</t>
  </si>
  <si>
    <t>Number of structured inter-unit meetings, workshops, or knowledge-sharing sessions held during the year.</t>
  </si>
  <si>
    <t>Number of Cross-Unit Collaboration Initiatives Implemented</t>
  </si>
  <si>
    <t>Automated Service Delivery</t>
  </si>
  <si>
    <t>Identify, prioritize, and automate key service delivery processes, forms, and routine tasks, while standardizing the use of official email communication to improve efficiency, accuracy, transparency, and accountability across SERVICOM.</t>
  </si>
  <si>
    <t>Number of Processes, Forms, and Tasks Identified for Automation</t>
  </si>
  <si>
    <t>Percentage of Identified Processes and Forms Automated or Digitized</t>
  </si>
  <si>
    <t>&gt;20</t>
  </si>
  <si>
    <t>Percentage of Staff Actively Using Official Email for Work-Related Communication</t>
  </si>
  <si>
    <t>Capacity Building</t>
  </si>
  <si>
    <t>Enhance the skills, competencies, and knowledge of SERVICOM staff through training, induction, and orientation, ensuring excellent service delivery, adoption of best practices, and seamless integration of new, transferred, and promoted staff within their respective units.</t>
  </si>
  <si>
    <t>Percentage of all staff trained on service delivery standards, best practices, and functional skills</t>
  </si>
  <si>
    <t>Percentage of new, transferred, and promoted staff successfully inducted/oriented within 30 days of joining, transfer, or promotion</t>
  </si>
  <si>
    <t>Support For Service Delivery</t>
  </si>
  <si>
    <t>Percentage compliance with financial regulations and government policies</t>
  </si>
  <si>
    <t>Percentage of payments and staff claims processed within the required timeline</t>
  </si>
  <si>
    <t>Staff Welfare</t>
  </si>
  <si>
    <t>Promote staff welfare, motivation, and recognition</t>
  </si>
  <si>
    <t>Percentage of staff benefiting from welfare packages</t>
  </si>
  <si>
    <t>Timely delivery of welfare items and cash tokens</t>
  </si>
  <si>
    <t>Number of recognition and award programmes conducted</t>
  </si>
  <si>
    <t>Staff satisfaction level with welfare and recognition initiatives</t>
  </si>
  <si>
    <t>&gt;70</t>
  </si>
  <si>
    <t>&lt;40</t>
  </si>
  <si>
    <t>Promote work-life balance, wellness, and staff health</t>
  </si>
  <si>
    <t>Staff participation rate in wellness programmes</t>
  </si>
  <si>
    <t>Number of wellness and fitness sessions conducted</t>
  </si>
  <si>
    <t>TOTAL</t>
  </si>
  <si>
    <t>SECTION 5: COMPETENCIES</t>
  </si>
  <si>
    <t>LEGEND</t>
  </si>
  <si>
    <t>Describe Expectations</t>
  </si>
  <si>
    <t>Q2</t>
  </si>
  <si>
    <t>Q3</t>
  </si>
  <si>
    <t>A</t>
  </si>
  <si>
    <t>Generic Compentencies</t>
  </si>
  <si>
    <t>Outstanding</t>
  </si>
  <si>
    <t>i</t>
  </si>
  <si>
    <t>Excellent</t>
  </si>
  <si>
    <t>ii</t>
  </si>
  <si>
    <t>Very Good</t>
  </si>
  <si>
    <t>iii</t>
  </si>
  <si>
    <t>Effective Communication</t>
  </si>
  <si>
    <t>Good</t>
  </si>
  <si>
    <t>Functional Competencies</t>
  </si>
  <si>
    <t>Fair</t>
  </si>
  <si>
    <t>Poor</t>
  </si>
  <si>
    <t>Aggregrate</t>
  </si>
  <si>
    <t>Q1</t>
  </si>
  <si>
    <t>First Quarter</t>
  </si>
  <si>
    <t>Ethic and value</t>
  </si>
  <si>
    <t>Second Quarter</t>
  </si>
  <si>
    <t>Integrity</t>
  </si>
  <si>
    <t>Third Quarter</t>
  </si>
  <si>
    <t>Q4</t>
  </si>
  <si>
    <t>Fourth Quarter</t>
  </si>
  <si>
    <t>SECTION 6: OPERATIONS AND PROCESSES</t>
  </si>
  <si>
    <t>Punctuality/Attendance</t>
  </si>
  <si>
    <t>Get to work at the specified time and days</t>
  </si>
  <si>
    <t>Work turn around time</t>
  </si>
  <si>
    <t>Display efficiency and effectiveness in service delivery</t>
  </si>
  <si>
    <t>Innovation on the job</t>
  </si>
  <si>
    <t>Introduce improvements in work processes as may be required</t>
  </si>
  <si>
    <t>SECTION 7: COMMENTS</t>
  </si>
  <si>
    <t>Signature</t>
  </si>
  <si>
    <t>Date</t>
  </si>
  <si>
    <t>Service Delivery Monitoring, Evaluation, and Compliance</t>
  </si>
  <si>
    <t>Conduct SERVICOM Compliance Evaluations (SCE) across MDAs to assess service delivery performance</t>
  </si>
  <si>
    <t>Number of MDAs evaluated through SCE annually</t>
  </si>
  <si>
    <t>&gt;30</t>
  </si>
  <si>
    <t>&lt;15</t>
  </si>
  <si>
    <t>Percentage of planned SCE exercises conducted as scheduled</t>
  </si>
  <si>
    <t>Timeliness of completion of SCE assessments and reports</t>
  </si>
  <si>
    <t>Present evaluation findings to MDAs to drive service improvement</t>
  </si>
  <si>
    <t>Percentage of SCE reports presented to evaluated MDAs</t>
  </si>
  <si>
    <t>Timeliness of presentation after completion of evaluations</t>
  </si>
  <si>
    <t>Promote continuous performance improvement and accountability through engagement platforms</t>
  </si>
  <si>
    <t>Number of breakfast meetings and networking seminars held</t>
  </si>
  <si>
    <t>Level of participation by MDAs and service heads</t>
  </si>
  <si>
    <t>Assess functionality and effectiveness of SERVICOM structures within MDAs</t>
  </si>
  <si>
    <t>Number of MSU functionality evaluations conducted</t>
  </si>
  <si>
    <t>&lt;3</t>
  </si>
  <si>
    <t>Percentage of evaluated MSUs meeting minimum functionality standards</t>
  </si>
  <si>
    <t>Sensitize MDAs and stakeholders on grievance redress and service standards</t>
  </si>
  <si>
    <t>Number of GRM sensitization programmes conducted</t>
  </si>
  <si>
    <t>&gt;6</t>
  </si>
  <si>
    <t>Level of MDA participation in Customer Service Week</t>
  </si>
  <si>
    <t>Support year-end performance review and institutional learning</t>
  </si>
  <si>
    <t>Timely completion of end-of-year operational reports</t>
  </si>
  <si>
    <t>Percentage of operational activities reviewed and documented</t>
  </si>
  <si>
    <t>Facilitate  Service Chatered development</t>
  </si>
  <si>
    <t>Percentage of MDAs with implementable Chatered</t>
  </si>
  <si>
    <t>Legal Advisory and Compliance Services</t>
  </si>
  <si>
    <t>Provide legal advisory services and ensure compliance with applicable laws and regulations to safeguard SERVICOM’s operations and interests.</t>
  </si>
  <si>
    <t>Percentage of requests for legal advice responded to within specified timelines</t>
  </si>
  <si>
    <t>Percentage of contracts and agreements reviewed before execution</t>
  </si>
  <si>
    <t>Percentage of SERVICOM activities compliant with applicable legal and regulatory requirements</t>
  </si>
  <si>
    <t>Percentage of legal documents prepared accurately and within required timelines</t>
  </si>
  <si>
    <t>Percentage of legal records properly maintained and easily retrievable</t>
  </si>
  <si>
    <t>Percentage of procurement and administrative processes reviewed for legal compliance</t>
  </si>
  <si>
    <t>Percentage of identified legal risks addressed with appropriate legal advice</t>
  </si>
  <si>
    <t>Percentage of legal issues handled in accordance with legal procedures and timelines</t>
  </si>
  <si>
    <t>Procurement and Contract Management</t>
  </si>
  <si>
    <t>Ensure transparent, efficient, and compliant procurement processes that support timely acquisition of goods, works, and services to enhance effective service delivery in SERVICOM.</t>
  </si>
  <si>
    <t>Percentage of annual procurement plan developed and approved within first quarter</t>
  </si>
  <si>
    <t>Percentage of procurement processes compliant with procurement regulations</t>
  </si>
  <si>
    <t>Percentage of procurement requests processed within approved timelines</t>
  </si>
  <si>
    <t>Percentage of procurement processes conducted using approved procurement methods</t>
  </si>
  <si>
    <t>Percentage of procurement records properly documented and retrievable</t>
  </si>
  <si>
    <t>Percentage of contracts executed in accordance with agreed terms and timelines</t>
  </si>
  <si>
    <t>Percentage of procurement requests supported with appropriate procurement guidance</t>
  </si>
  <si>
    <t>Percentage of procurement activities conducted without audit queries or compliance issues</t>
  </si>
  <si>
    <t>Financial Management, Budgeting, and Accounting Services</t>
  </si>
  <si>
    <t>Prepare and manage SERVICOM’s annual budget in line with approved financial regulations</t>
  </si>
  <si>
    <t>Timely preparation and submission of annual budget</t>
  </si>
  <si>
    <t>Percentage of budget estimates prepared in line with approved guidelines</t>
  </si>
  <si>
    <t>Ensure accurate financial record-keeping and proper retirement of advances</t>
  </si>
  <si>
    <t>Percentage of advances retired within approved timelines</t>
  </si>
  <si>
    <t>Percentage of vouchers with complete and accurate supporting documents</t>
  </si>
  <si>
    <t>Ensure proper verification, processing, and payment of financial transactions</t>
  </si>
  <si>
    <t>Percentage of payment vouchers verified and processed in line with approval</t>
  </si>
  <si>
    <t>Percentage of payments effected based on duly approved memos</t>
  </si>
  <si>
    <t>Average turnaround time for processing payment vouchers</t>
  </si>
  <si>
    <t>Strengthen financial reporting and compliance with IPSAS (Accrual Basis)</t>
  </si>
  <si>
    <t>Timely preparation and submission of annual financial statements</t>
  </si>
  <si>
    <t>Level of compliance with IPSAS (Accrual) requirements</t>
  </si>
  <si>
    <t>Internal Audit, Financial Control, and Compliance Assurance</t>
  </si>
  <si>
    <t>Ensure timely audit, certification, and reporting of SERVICOM financial statements</t>
  </si>
  <si>
    <t>Timely submission of annual, half-yearly, quarterly, and monthly audit reports</t>
  </si>
  <si>
    <t>Percentage of statutory audit reports submitted within approved timelines</t>
  </si>
  <si>
    <t>Compliance rate with reporting requirements of OAuGF and OAGF</t>
  </si>
  <si>
    <t>Strengthen pre-payment and post-payment audit controls</t>
  </si>
  <si>
    <t>Percentage of payment vouchers subjected to pre-payment audit</t>
  </si>
  <si>
    <t>Percentage of post-payment audits conducted as scheduled</t>
  </si>
  <si>
    <t>Conduct routine and periodic audit of financial records and transactions</t>
  </si>
  <si>
    <t>Percentage of monthly audits completed as planned</t>
  </si>
  <si>
    <t>Number of quarterly audit reviews conducted across departments</t>
  </si>
  <si>
    <t>Evaluate the effectiveness of internal controls and safeguard government assets</t>
  </si>
  <si>
    <t>Percentage of capital assets audited quarterly</t>
  </si>
  <si>
    <t>Percentage of audit recommendations implemented by management</t>
  </si>
  <si>
    <t>Ensure proper auditing of revenue collection and remittance</t>
  </si>
  <si>
    <t>Percentage of revenue collections audited</t>
  </si>
  <si>
    <t>Percentage of revenue remitted in full and on time</t>
  </si>
  <si>
    <t>ICT Governance, Digital Transformation, &amp; Information Security</t>
  </si>
  <si>
    <t>Strengthen ICT governance and policy alignment in line with national frameworks
(NDES, NITDA Guidelines, NDPR, Civil Service Reform &amp; e-Government Agenda)</t>
  </si>
  <si>
    <t>Level of compliance with NITDA and NDPR requirements</t>
  </si>
  <si>
    <t>Percentage completion of ICT asset verification and inventory update</t>
  </si>
  <si>
    <t>Percentage of ICT and data protection policies reviewed, updated, and approved</t>
  </si>
  <si>
    <t>Upgrade and maintain reliable ICT infrastructure to support operations
(Networks, equipment, servers, power, backups)</t>
  </si>
  <si>
    <t>System and network uptime percentage</t>
  </si>
  <si>
    <t>Percentage of planned ICT infrastructure upgrades completed</t>
  </si>
  <si>
    <t>Enhance ICT service delivery and user support through an effective helpdesk</t>
  </si>
  <si>
    <t>Percentage of ICT service requests resolved within agreed SLA</t>
  </si>
  <si>
    <t>User satisfaction rate with ICT support services</t>
  </si>
  <si>
    <t>Strengthen cybersecurity and data protection compliance</t>
  </si>
  <si>
    <t>Percentage of cybersecurity audits and vulnerability assessments conducted</t>
  </si>
  <si>
    <t>Percentage compliance with NDPR requirements</t>
  </si>
  <si>
    <t>Monitor, evaluate, and sustain ICT performance</t>
  </si>
  <si>
    <t>Timely production of annual ICT performance report</t>
  </si>
  <si>
    <t>Percentage of ICT deliverables achieved against annual workplan</t>
  </si>
  <si>
    <t>MDA-wide Staff Development, Training, and Capacity Enhancement</t>
  </si>
  <si>
    <t>Percentage of MDAs/staff covered by the Training Needs Assessment (TNA)</t>
  </si>
  <si>
    <t>Timely completion of Annual Training Needs Assessment Report</t>
  </si>
  <si>
    <t>Strengthen foundational competencies and ensure compliance with public service standards</t>
  </si>
  <si>
    <t>Percentage of newly recruited or transferred MDA staff inducted</t>
  </si>
  <si>
    <t>Percentage of eligible officers completing supervisory/leadership training</t>
  </si>
  <si>
    <t>Build specialized, technical, and performance-driven competencies</t>
  </si>
  <si>
    <t>Number of specialized and technical training programmes conducted across MDAs</t>
  </si>
  <si>
    <t>Percentage of targeted MDA staff completing specialized/professional training</t>
  </si>
  <si>
    <t>Institutionalize learning, knowledge sharing, and best practice dissemination</t>
  </si>
  <si>
    <t>Number of training manuals and learning materials developed or updated</t>
  </si>
  <si>
    <t>Number of knowledge-sharing workshops conducted across MDAs</t>
  </si>
  <si>
    <t>Evaluate training impact and measure improvement in service delivery</t>
  </si>
  <si>
    <t>Percentage of training programmes evaluated post-delivery</t>
  </si>
  <si>
    <t>Percentage improvement in staff performance indicators after training</t>
  </si>
  <si>
    <t>Public Awareness, Advocacy, and Citizen Engagement</t>
  </si>
  <si>
    <t>Enhance public awareness and visibility of SERVICOM’s mandate, programmes, and achievements</t>
  </si>
  <si>
    <t>Number of press interviews, media appearances, and programme features conducted (TV, radio, print)</t>
  </si>
  <si>
    <t>Number of documentaries, jingles, and awareness materials produced and disseminated</t>
  </si>
  <si>
    <t>Leverage digital platforms and social media to expand SERVICOM’s outreach and impact</t>
  </si>
  <si>
    <t>Growth rate of followers and engagement across SERVICOM social media platforms</t>
  </si>
  <si>
    <t>Number of audio-visual advocacy materials produced and shared online</t>
  </si>
  <si>
    <t>Promote transparency and accountability through publication of SERVICOM reports and evaluations</t>
  </si>
  <si>
    <t>Number of SERVICOM evaluation reports published in national dailies</t>
  </si>
  <si>
    <t>Timeliness of report dissemination</t>
  </si>
  <si>
    <t>Improve internal capacity and productivity for effective media and publicity operations</t>
  </si>
  <si>
    <t>Percentage Turnaround time for media coverage and content production</t>
  </si>
  <si>
    <t>Availability and functionality of media and digital equipment</t>
  </si>
  <si>
    <t>Support national and global service delivery initiatives and campaigns</t>
  </si>
  <si>
    <t>Percentage of planned national and global service delivery campaigns successfully implemented</t>
  </si>
  <si>
    <t>Percentage of MDAs that actively participated in Customer Service Week and related campaigns under SERVICOM’s coordination</t>
  </si>
  <si>
    <t>&lt;10</t>
  </si>
  <si>
    <t>Executive Administration, Secretariat and Strategic Support</t>
  </si>
  <si>
    <t>Provide effective administrative and secretarial support to the National Coordinator</t>
  </si>
  <si>
    <t>Percentage of correspondence (incoming and outgoing) processed within approved timelines</t>
  </si>
  <si>
    <t>Percentage of meetings supported with complete documentation (agenda, minutes, briefs)</t>
  </si>
  <si>
    <t>Ensure efficient coordination and scheduling of the National Coordinator’s official activities</t>
  </si>
  <si>
    <t>Percentage of official engagements properly scheduled and documented</t>
  </si>
  <si>
    <t>Percentage of meetings/events attended as scheduled</t>
  </si>
  <si>
    <t>Strengthen records management and document control for executive decisions</t>
  </si>
  <si>
    <t>Percentage of executive files properly registered, tracked, and archived</t>
  </si>
  <si>
    <t>Percentage of documents retrievable within agreed time standards</t>
  </si>
  <si>
    <t>Support effective internal coordination between the National Coordinator and SERVICOM units</t>
  </si>
  <si>
    <t>Percentage of directives from the National Coordinator communicated to relevant units within timelines</t>
  </si>
  <si>
    <t>Provide clerical and logistical support for high-level meetings, engagements, and events</t>
  </si>
  <si>
    <t>Percentage of high-level meetings/events supported without logistical lapses</t>
  </si>
  <si>
    <r>
      <t xml:space="preserve">Identify capacity gaps and establish training priorities across </t>
    </r>
    <r>
      <rPr>
        <sz val="40"/>
        <color rgb="FFFF0000"/>
        <rFont val="Century Gothic"/>
        <family val="2"/>
      </rPr>
      <t>SERVICOM</t>
    </r>
    <r>
      <rPr>
        <sz val="40"/>
        <color theme="1"/>
        <rFont val="Century Gothic"/>
        <family val="2"/>
      </rPr>
      <t xml:space="preserve"> </t>
    </r>
    <r>
      <rPr>
        <sz val="40"/>
        <color rgb="FFFF0000"/>
        <rFont val="Century Gothic"/>
        <family val="2"/>
      </rPr>
      <t>and</t>
    </r>
    <r>
      <rPr>
        <sz val="40"/>
        <color theme="1"/>
        <rFont val="Century Gothic"/>
        <family val="2"/>
      </rPr>
      <t xml:space="preserve"> MDAs</t>
    </r>
  </si>
  <si>
    <t>Strengthen internal stakeholders engagement within SERVICOM by improving communication, collaboration, and coordination among units to enhance teamwork and organizational effectiveness.</t>
  </si>
  <si>
    <t>Stakeholders Engagement (MDA)</t>
  </si>
  <si>
    <t>Strengthen regulatory compliance within the SERVICOM Office by implementing robust financial control measures to prevent and eliminate cases of fraud, irregularities, and non-adherence to financial regulations and government policies.</t>
  </si>
  <si>
    <t xml:space="preserve">PERFORMANCE APPRAISAL </t>
  </si>
  <si>
    <t>ACHIEVEMENT</t>
  </si>
  <si>
    <t>RAW SCORE</t>
  </si>
  <si>
    <t>WEIGHTED RAW SCORE</t>
  </si>
  <si>
    <t>O -100%</t>
  </si>
  <si>
    <t>E -90%</t>
  </si>
  <si>
    <t>VG-80%</t>
  </si>
  <si>
    <t>G -70%</t>
  </si>
  <si>
    <t>F- 60%</t>
  </si>
  <si>
    <t>P - 50%</t>
  </si>
  <si>
    <t>COMPOSITE SCORE (SUM OF WEIGHTED SCORE CONVERTED TO 70%)</t>
  </si>
  <si>
    <t>TARGET</t>
  </si>
  <si>
    <t>SCORE</t>
  </si>
  <si>
    <t>Drive for Results</t>
  </si>
  <si>
    <t>Collaborating &amp; Partnering</t>
  </si>
  <si>
    <t>Policy Management</t>
  </si>
  <si>
    <t>Public Relations Management</t>
  </si>
  <si>
    <t>Information &amp; Records Management</t>
  </si>
  <si>
    <t xml:space="preserve">Inclusiveness </t>
  </si>
  <si>
    <t xml:space="preserve">Transparency &amp; Accountability </t>
  </si>
  <si>
    <t>APPRAISER RATING</t>
  </si>
  <si>
    <t>APPRAISER SCORE</t>
  </si>
  <si>
    <t xml:space="preserve">SUB-TOTAL RATING OF APPRAISEE PERFORMANCE (EXPECTATIONS AND GOALS FROM )SECTION 4 </t>
  </si>
  <si>
    <t>SUB-TOTAL RATING OF APPRAISEE PERFORMANCE (COMPETENCIES) IN SECTION 5</t>
  </si>
  <si>
    <t>SUB-TOTAL RATING OF APPRAISEE PERFORMANCE (OPERATIONS AND PROCESSES) SECTION 6</t>
  </si>
  <si>
    <t>OVERALL RATING (SECTION 4 + 5 + 6)</t>
  </si>
  <si>
    <t>What are the employee’s strengths?</t>
  </si>
  <si>
    <t>AUTOMATED SERVICE DELIVERY</t>
  </si>
  <si>
    <t>What are the employee’s areas for improvement?</t>
  </si>
  <si>
    <t>Appraisee's
 Comments:</t>
  </si>
  <si>
    <t>Supervisor's Comment</t>
  </si>
  <si>
    <t>Counter Supervisor's Comment</t>
  </si>
  <si>
    <t>Signature:</t>
  </si>
  <si>
    <t>Date:</t>
  </si>
  <si>
    <t>MARCH 2026</t>
  </si>
  <si>
    <t>APRIL 2026</t>
  </si>
  <si>
    <t>JUNE 2026</t>
  </si>
  <si>
    <t>JULY 2026</t>
  </si>
  <si>
    <t>SEPTEMBER 2026</t>
  </si>
  <si>
    <t>NOVEMBER 2026</t>
  </si>
  <si>
    <t>helenlawal69@gmail.com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</si>
</sst>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0" x14ac:knownFonts="1">
    <font>
      <sz val="11"/>
      <color theme="1"/>
      <name val="Calibri"/>
      <family val="2"/>
      <scheme val="minor"/>
    </font>
    <font>
      <sz val="11"/>
      <color theme="1"/>
      <name val="Calibri"/>
      <family val="2"/>
      <scheme val="minor"/>
    </font>
    <font>
      <sz val="40"/>
      <color theme="1"/>
      <name val="Calibri"/>
      <family val="2"/>
      <scheme val="minor"/>
    </font>
    <font>
      <sz val="28"/>
      <color theme="1"/>
      <name val="Calibri"/>
      <family val="2"/>
      <scheme val="minor"/>
    </font>
    <font>
      <b/>
      <sz val="40"/>
      <color theme="1"/>
      <name val="Calibri"/>
      <family val="2"/>
      <scheme val="minor"/>
    </font>
    <font>
      <u/>
      <sz val="11"/>
      <color theme="10"/>
      <name val="Calibri"/>
      <family val="2"/>
      <scheme val="minor"/>
    </font>
    <font>
      <sz val="40"/>
      <color theme="1"/>
      <name val="Century Gothic"/>
      <family val="2"/>
    </font>
    <font>
      <b/>
      <sz val="26"/>
      <name val="Century Gothic"/>
      <family val="2"/>
    </font>
    <font>
      <sz val="26"/>
      <name val="Century Gothic"/>
      <family val="2"/>
    </font>
    <font>
      <sz val="16"/>
      <color theme="1"/>
      <name val="Century Gothic"/>
      <family val="2"/>
    </font>
    <font>
      <sz val="40"/>
      <color rgb="FFFF0000"/>
      <name val="Century Gothic"/>
      <family val="2"/>
    </font>
    <font>
      <b/>
      <sz val="80"/>
      <color theme="1"/>
      <name val="Century Gothic"/>
      <family val="2"/>
    </font>
    <font>
      <b/>
      <sz val="35"/>
      <name val="Century Gothic"/>
      <family val="2"/>
    </font>
    <font>
      <b/>
      <sz val="18"/>
      <name val="Century Gothic"/>
      <family val="2"/>
    </font>
    <font>
      <sz val="35"/>
      <color theme="1"/>
      <name val="Calibri"/>
      <family val="2"/>
      <scheme val="minor"/>
    </font>
    <font>
      <b/>
      <sz val="24"/>
      <name val="Century Gothic"/>
      <family val="2"/>
    </font>
    <font>
      <sz val="24"/>
      <name val="Century Gothic"/>
      <family val="2"/>
    </font>
    <font>
      <sz val="24"/>
      <color theme="1"/>
      <name val="Calibri"/>
      <family val="2"/>
      <scheme val="minor"/>
    </font>
    <font>
      <b/>
      <sz val="28"/>
      <name val="Century Gothic"/>
      <family val="2"/>
    </font>
    <font>
      <u/>
      <sz val="11"/>
      <color theme="10"/>
      <name val="Calibri"/>
      <family val="2"/>
      <charset val="1"/>
      <scheme val="minor"/>
    </font>
    <font>
      <sz val="35"/>
      <name val="Calibri"/>
      <family val="2"/>
      <scheme val="minor"/>
    </font>
    <font>
      <sz val="35"/>
      <name val="Century Gothic"/>
      <family val="2"/>
    </font>
    <font>
      <sz val="35"/>
      <color theme="1"/>
      <name val="Century Gothic"/>
      <family val="2"/>
    </font>
    <font>
      <b/>
      <sz val="28"/>
      <name val="Candara"/>
      <family val="2"/>
    </font>
    <font>
      <sz val="18"/>
      <color theme="1"/>
      <name val="Calibri"/>
      <family val="2"/>
      <scheme val="minor"/>
    </font>
    <font>
      <sz val="11"/>
      <color theme="1"/>
      <name val="Calibri"/>
      <family val="2"/>
      <charset val="1"/>
      <scheme val="minor"/>
    </font>
    <font>
      <sz val="25"/>
      <color theme="1"/>
      <name val="Century Gothic"/>
      <family val="2"/>
    </font>
    <font>
      <sz val="16"/>
      <color theme="1"/>
      <name val="Calibri"/>
      <family val="2"/>
      <scheme val="minor"/>
    </font>
    <font>
      <sz val="34"/>
      <color theme="1"/>
      <name val="Century Gothic"/>
      <family val="2"/>
    </font>
    <font>
      <b/>
      <sz val="34"/>
      <color theme="1" tint="4.9989318521683403E-2"/>
      <name val="Century Gothic"/>
      <family val="2"/>
    </font>
    <font>
      <sz val="34"/>
      <color theme="1" tint="4.9989318521683403E-2"/>
      <name val="Century Gothic"/>
      <family val="2"/>
    </font>
    <font>
      <b/>
      <sz val="34"/>
      <color theme="1"/>
      <name val="Calibri"/>
      <family val="2"/>
      <scheme val="minor"/>
    </font>
    <font>
      <sz val="28"/>
      <color theme="1" tint="4.9989318521683403E-2"/>
      <name val="Century Gothic"/>
      <family val="2"/>
    </font>
    <font>
      <b/>
      <sz val="16"/>
      <color theme="1"/>
      <name val="Calibri"/>
      <family val="2"/>
      <scheme val="minor"/>
    </font>
    <font>
      <b/>
      <sz val="28"/>
      <color theme="1" tint="4.9989318521683403E-2"/>
      <name val="Century Gothic"/>
      <family val="2"/>
    </font>
    <font>
      <b/>
      <sz val="35"/>
      <color theme="0"/>
      <name val="Calibri"/>
      <family val="2"/>
      <scheme val="minor"/>
    </font>
    <font>
      <b/>
      <sz val="32"/>
      <color theme="1"/>
      <name val="Calibri"/>
      <family val="2"/>
      <scheme val="minor"/>
    </font>
    <font>
      <sz val="28"/>
      <name val="Century Gothic"/>
      <family val="2"/>
    </font>
    <font>
      <b/>
      <sz val="28"/>
      <color theme="1"/>
      <name val="Calibri"/>
      <family val="2"/>
      <scheme val="minor"/>
    </font>
    <font>
      <sz val="28"/>
      <color theme="1"/>
      <name val="Century Gothic"/>
      <family val="2"/>
    </font>
    <font>
      <b/>
      <sz val="28"/>
      <name val="Bahnschrift"/>
      <family val="2"/>
    </font>
    <font>
      <b/>
      <sz val="28"/>
      <color theme="0"/>
      <name val="Century Gothic"/>
      <family val="2"/>
    </font>
    <font>
      <b/>
      <sz val="35"/>
      <name val="Calibri"/>
      <family val="2"/>
    </font>
    <font>
      <b/>
      <sz val="60"/>
      <name val="Calibri"/>
      <family val="2"/>
    </font>
    <font>
      <sz val="35"/>
      <name val="Calibri"/>
      <family val="2"/>
    </font>
    <font>
      <b/>
      <sz val="30"/>
      <color theme="1"/>
      <name val="Century Gothic"/>
      <family val="2"/>
    </font>
    <font>
      <b/>
      <sz val="30"/>
      <color theme="1"/>
      <name val="Calibri"/>
      <family val="2"/>
      <scheme val="minor"/>
    </font>
    <font>
      <u/>
      <sz val="30"/>
      <color theme="1"/>
      <name val="Calibri"/>
      <family val="2"/>
      <scheme val="minor"/>
    </font>
    <font>
      <sz val="30"/>
      <color theme="1"/>
      <name val="Calibri"/>
      <family val="2"/>
      <scheme val="minor"/>
    </font>
    <font>
      <sz val="30"/>
      <color theme="1"/>
      <name val="Century Gothic"/>
      <family val="2"/>
    </font>
  </fonts>
  <fills count="9">
    <fill>
      <patternFill patternType="none"/>
    </fill>
    <fill>
      <patternFill patternType="gray125"/>
    </fill>
    <fill>
      <patternFill patternType="solid">
        <fgColor rgb="FFFFC000"/>
        <bgColor indexed="64"/>
      </patternFill>
    </fill>
    <fill>
      <patternFill patternType="solid">
        <fgColor theme="9" tint="-0.249977111117893"/>
        <bgColor indexed="64"/>
      </patternFill>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theme="9" tint="-0.499984740745262"/>
        <bgColor indexed="64"/>
      </patternFill>
    </fill>
    <fill>
      <patternFill patternType="solid">
        <fgColor rgb="FF00B0F0"/>
        <bgColor indexed="64"/>
      </patternFill>
    </fill>
  </fills>
  <borders count="38">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n">
        <color auto="1"/>
      </left>
      <right style="medium">
        <color indexed="64"/>
      </right>
      <top style="thin">
        <color auto="1"/>
      </top>
      <bottom/>
      <diagonal/>
    </border>
    <border>
      <left style="medium">
        <color indexed="64"/>
      </left>
      <right style="thin">
        <color auto="1"/>
      </right>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auto="1"/>
      </right>
      <top style="thin">
        <color auto="1"/>
      </top>
      <bottom style="thin">
        <color auto="1"/>
      </bottom>
      <diagonal/>
    </border>
    <border>
      <left/>
      <right style="medium">
        <color indexed="64"/>
      </right>
      <top style="thin">
        <color indexed="64"/>
      </top>
      <bottom/>
      <diagonal/>
    </border>
    <border>
      <left/>
      <right style="medium">
        <color auto="1"/>
      </right>
      <top/>
      <bottom style="thin">
        <color auto="1"/>
      </bottom>
      <diagonal/>
    </border>
    <border>
      <left style="medium">
        <color auto="1"/>
      </left>
      <right/>
      <top/>
      <bottom style="thin">
        <color auto="1"/>
      </bottom>
      <diagonal/>
    </border>
  </borders>
  <cellStyleXfs count="14">
    <xf numFmtId="0" fontId="0" fillId="0" borderId="0"/>
    <xf numFmtId="0" fontId="1" fillId="0" borderId="0"/>
    <xf numFmtId="0" fontId="5"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9" fillId="0" borderId="0" applyNumberFormat="0" applyFill="0" applyBorder="0" applyAlignment="0" applyProtection="0"/>
    <xf numFmtId="0" fontId="25" fillId="0" borderId="0"/>
    <xf numFmtId="0" fontId="25" fillId="0" borderId="0"/>
    <xf numFmtId="0" fontId="25" fillId="0" borderId="0"/>
    <xf numFmtId="0" fontId="1" fillId="0" borderId="0"/>
    <xf numFmtId="9" fontId="1" fillId="0" borderId="0" applyFont="0" applyFill="0" applyBorder="0" applyAlignment="0" applyProtection="0"/>
  </cellStyleXfs>
  <cellXfs count="286">
    <xf numFmtId="0" fontId="0" fillId="0" borderId="0" xfId="0"/>
    <xf numFmtId="0" fontId="6" fillId="0" borderId="10" xfId="1" applyFont="1" applyBorder="1" applyAlignment="1">
      <alignment horizontal="center" vertical="center"/>
    </xf>
    <xf numFmtId="0" fontId="6" fillId="0" borderId="10" xfId="1" applyFont="1" applyBorder="1" applyAlignment="1">
      <alignment horizontal="left" vertical="center" wrapText="1"/>
    </xf>
    <xf numFmtId="2" fontId="6" fillId="0" borderId="10" xfId="0" applyNumberFormat="1" applyFont="1" applyBorder="1" applyAlignment="1">
      <alignment horizontal="center" vertical="center"/>
    </xf>
    <xf numFmtId="9" fontId="6" fillId="0" borderId="10" xfId="1" applyNumberFormat="1" applyFont="1" applyBorder="1" applyAlignment="1">
      <alignment horizontal="center" vertical="center" wrapText="1"/>
    </xf>
    <xf numFmtId="0" fontId="6" fillId="0" borderId="10" xfId="5" applyFont="1" applyBorder="1" applyAlignment="1">
      <alignment horizontal="center" vertical="center" wrapText="1"/>
    </xf>
    <xf numFmtId="0" fontId="6" fillId="0" borderId="10" xfId="6" applyFont="1" applyBorder="1" applyAlignment="1">
      <alignment horizontal="center" vertical="center" wrapText="1"/>
    </xf>
    <xf numFmtId="0" fontId="2" fillId="0" borderId="10" xfId="6" applyFont="1" applyBorder="1" applyAlignment="1">
      <alignment horizontal="center" vertical="center"/>
    </xf>
    <xf numFmtId="0" fontId="6" fillId="0" borderId="10" xfId="1" applyFont="1" applyBorder="1" applyAlignment="1">
      <alignment vertical="center" wrapText="1"/>
    </xf>
    <xf numFmtId="0" fontId="6" fillId="0" borderId="16" xfId="0" applyFont="1" applyBorder="1" applyAlignment="1">
      <alignment horizontal="center" vertical="center" wrapText="1"/>
    </xf>
    <xf numFmtId="9" fontId="6" fillId="0" borderId="10" xfId="1" applyNumberFormat="1" applyFont="1" applyBorder="1" applyAlignment="1">
      <alignment horizontal="center" vertical="center"/>
    </xf>
    <xf numFmtId="1" fontId="6" fillId="0" borderId="10" xfId="1" applyNumberFormat="1" applyFont="1" applyBorder="1" applyAlignment="1">
      <alignment horizontal="center" vertical="center" wrapText="1"/>
    </xf>
    <xf numFmtId="0" fontId="6" fillId="0" borderId="10" xfId="0" applyFont="1" applyBorder="1" applyAlignment="1">
      <alignment horizontal="center" vertical="center"/>
    </xf>
    <xf numFmtId="0" fontId="6" fillId="0" borderId="10" xfId="0" applyFont="1" applyBorder="1" applyAlignment="1">
      <alignment vertical="top"/>
    </xf>
    <xf numFmtId="0" fontId="6" fillId="0" borderId="10" xfId="0" applyFont="1" applyBorder="1" applyAlignment="1">
      <alignment vertical="center"/>
    </xf>
    <xf numFmtId="0" fontId="6" fillId="0" borderId="10" xfId="0" applyFont="1" applyBorder="1" applyAlignment="1">
      <alignment vertical="top" wrapText="1"/>
    </xf>
    <xf numFmtId="0" fontId="1" fillId="0" borderId="0" xfId="6" applyAlignment="1">
      <alignment vertical="top"/>
    </xf>
    <xf numFmtId="0" fontId="14" fillId="0" borderId="0" xfId="6" applyFont="1" applyAlignment="1">
      <alignment vertical="top"/>
    </xf>
    <xf numFmtId="0" fontId="15" fillId="3" borderId="20" xfId="1" applyFont="1" applyFill="1" applyBorder="1" applyAlignment="1">
      <alignment vertical="center"/>
    </xf>
    <xf numFmtId="49" fontId="15" fillId="4" borderId="0" xfId="1" applyNumberFormat="1" applyFont="1" applyFill="1" applyAlignment="1">
      <alignment vertical="center"/>
    </xf>
    <xf numFmtId="0" fontId="15" fillId="3" borderId="0" xfId="1" applyFont="1" applyFill="1" applyAlignment="1">
      <alignment horizontal="center" vertical="center"/>
    </xf>
    <xf numFmtId="49" fontId="15" fillId="0" borderId="9" xfId="1" applyNumberFormat="1" applyFont="1" applyBorder="1" applyAlignment="1">
      <alignment horizontal="center"/>
    </xf>
    <xf numFmtId="0" fontId="16" fillId="2" borderId="0" xfId="1" applyFont="1" applyFill="1" applyAlignment="1">
      <alignment horizontal="center"/>
    </xf>
    <xf numFmtId="0" fontId="17" fillId="2" borderId="0" xfId="1" applyFont="1" applyFill="1"/>
    <xf numFmtId="0" fontId="17" fillId="0" borderId="0" xfId="1" applyFont="1"/>
    <xf numFmtId="0" fontId="18" fillId="2" borderId="0" xfId="7" applyFont="1" applyFill="1" applyAlignment="1">
      <alignment horizontal="left"/>
    </xf>
    <xf numFmtId="0" fontId="3" fillId="2" borderId="0" xfId="7" applyFont="1" applyFill="1"/>
    <xf numFmtId="0" fontId="3" fillId="0" borderId="0" xfId="7" applyFont="1"/>
    <xf numFmtId="0" fontId="21" fillId="2" borderId="0" xfId="1" applyFont="1" applyFill="1" applyAlignment="1">
      <alignment horizontal="center"/>
    </xf>
    <xf numFmtId="0" fontId="14" fillId="0" borderId="0" xfId="1" applyFont="1"/>
    <xf numFmtId="0" fontId="12" fillId="3" borderId="0" xfId="1" applyFont="1" applyFill="1" applyAlignment="1">
      <alignment horizontal="left"/>
    </xf>
    <xf numFmtId="0" fontId="21" fillId="3" borderId="0" xfId="1" applyFont="1" applyFill="1"/>
    <xf numFmtId="0" fontId="22" fillId="3" borderId="0" xfId="1" applyFont="1" applyFill="1"/>
    <xf numFmtId="0" fontId="14" fillId="3" borderId="0" xfId="1" applyFont="1" applyFill="1"/>
    <xf numFmtId="0" fontId="14" fillId="3" borderId="21" xfId="1" applyFont="1" applyFill="1" applyBorder="1"/>
    <xf numFmtId="0" fontId="23" fillId="2" borderId="14" xfId="6" applyFont="1" applyFill="1" applyBorder="1" applyAlignment="1">
      <alignment horizontal="center" vertical="center" wrapText="1"/>
    </xf>
    <xf numFmtId="0" fontId="24" fillId="0" borderId="0" xfId="6" applyFont="1" applyAlignment="1">
      <alignment vertical="top"/>
    </xf>
    <xf numFmtId="0" fontId="23" fillId="2" borderId="14" xfId="6" applyFont="1" applyFill="1" applyBorder="1" applyAlignment="1">
      <alignment horizontal="center" vertical="center"/>
    </xf>
    <xf numFmtId="0" fontId="26" fillId="0" borderId="10" xfId="9" applyFont="1" applyBorder="1" applyAlignment="1">
      <alignment horizontal="center" vertical="center"/>
    </xf>
    <xf numFmtId="0" fontId="4" fillId="2" borderId="10" xfId="6" applyFont="1" applyFill="1" applyBorder="1" applyAlignment="1">
      <alignment horizontal="center" vertical="center"/>
    </xf>
    <xf numFmtId="2" fontId="4" fillId="2" borderId="10" xfId="6" applyNumberFormat="1" applyFont="1" applyFill="1" applyBorder="1" applyAlignment="1">
      <alignment horizontal="center" vertical="center"/>
    </xf>
    <xf numFmtId="0" fontId="27" fillId="0" borderId="0" xfId="6" applyFont="1" applyAlignment="1">
      <alignment horizontal="left" vertical="top" wrapText="1"/>
    </xf>
    <xf numFmtId="0" fontId="28" fillId="0" borderId="31" xfId="11" applyFont="1" applyBorder="1" applyAlignment="1">
      <alignment horizontal="center" vertical="center"/>
    </xf>
    <xf numFmtId="0" fontId="29" fillId="0" borderId="11" xfId="6" applyFont="1" applyBorder="1" applyAlignment="1">
      <alignment horizontal="center" vertical="center" wrapText="1"/>
    </xf>
    <xf numFmtId="2" fontId="29" fillId="0" borderId="11" xfId="6" applyNumberFormat="1" applyFont="1" applyBorder="1" applyAlignment="1">
      <alignment horizontal="center" vertical="center" wrapText="1"/>
    </xf>
    <xf numFmtId="2" fontId="28" fillId="0" borderId="11" xfId="11" applyNumberFormat="1" applyFont="1" applyBorder="1" applyAlignment="1">
      <alignment horizontal="left" vertical="center" wrapText="1"/>
    </xf>
    <xf numFmtId="9" fontId="28" fillId="0" borderId="11" xfId="11" applyNumberFormat="1" applyFont="1" applyBorder="1" applyAlignment="1">
      <alignment horizontal="center" vertical="center"/>
    </xf>
    <xf numFmtId="0" fontId="30" fillId="0" borderId="6" xfId="7" applyFont="1" applyBorder="1" applyAlignment="1">
      <alignment vertical="center"/>
    </xf>
    <xf numFmtId="49" fontId="30" fillId="0" borderId="7" xfId="7" applyNumberFormat="1" applyFont="1" applyBorder="1" applyAlignment="1">
      <alignment horizontal="center" vertical="center"/>
    </xf>
    <xf numFmtId="0" fontId="29" fillId="0" borderId="13" xfId="6" applyFont="1" applyBorder="1" applyAlignment="1" applyProtection="1">
      <alignment horizontal="center" vertical="center"/>
      <protection locked="0"/>
    </xf>
    <xf numFmtId="2" fontId="31" fillId="2" borderId="10" xfId="6" applyNumberFormat="1" applyFont="1" applyFill="1" applyBorder="1" applyAlignment="1">
      <alignment horizontal="center" vertical="center"/>
    </xf>
    <xf numFmtId="2" fontId="31" fillId="2" borderId="32" xfId="6" applyNumberFormat="1" applyFont="1" applyFill="1" applyBorder="1" applyAlignment="1">
      <alignment horizontal="center" vertical="center"/>
    </xf>
    <xf numFmtId="0" fontId="27" fillId="0" borderId="0" xfId="12" applyFont="1" applyAlignment="1">
      <alignment horizontal="left" vertical="top" wrapText="1"/>
    </xf>
    <xf numFmtId="0" fontId="32" fillId="0" borderId="22" xfId="6" applyFont="1" applyBorder="1" applyAlignment="1">
      <alignment vertical="center" wrapText="1"/>
    </xf>
    <xf numFmtId="0" fontId="33" fillId="0" borderId="0" xfId="6" applyFont="1" applyAlignment="1">
      <alignment vertical="top" wrapText="1"/>
    </xf>
    <xf numFmtId="0" fontId="34" fillId="0" borderId="11" xfId="6" applyFont="1" applyBorder="1" applyAlignment="1">
      <alignment horizontal="center" vertical="center" wrapText="1"/>
    </xf>
    <xf numFmtId="164" fontId="36" fillId="6" borderId="32" xfId="13" applyNumberFormat="1" applyFont="1" applyFill="1" applyBorder="1" applyAlignment="1" applyProtection="1">
      <alignment horizontal="center"/>
    </xf>
    <xf numFmtId="0" fontId="23" fillId="2" borderId="2" xfId="6" applyFont="1" applyFill="1" applyBorder="1" applyAlignment="1">
      <alignment horizontal="center" vertical="top" wrapText="1"/>
    </xf>
    <xf numFmtId="0" fontId="23" fillId="2" borderId="8" xfId="6" applyFont="1" applyFill="1" applyBorder="1" applyAlignment="1">
      <alignment horizontal="center" vertical="top" wrapText="1"/>
    </xf>
    <xf numFmtId="0" fontId="3" fillId="3" borderId="0" xfId="6" applyFont="1" applyFill="1" applyAlignment="1">
      <alignment horizontal="center"/>
    </xf>
    <xf numFmtId="2" fontId="3" fillId="3" borderId="21" xfId="6" applyNumberFormat="1" applyFont="1" applyFill="1" applyBorder="1" applyAlignment="1">
      <alignment horizontal="center"/>
    </xf>
    <xf numFmtId="0" fontId="27" fillId="0" borderId="0" xfId="6" applyFont="1" applyAlignment="1">
      <alignment vertical="top" wrapText="1"/>
    </xf>
    <xf numFmtId="0" fontId="3" fillId="2" borderId="20" xfId="6" applyFont="1" applyFill="1" applyBorder="1" applyAlignment="1">
      <alignment horizontal="right" vertical="top" wrapText="1"/>
    </xf>
    <xf numFmtId="0" fontId="37" fillId="2" borderId="0" xfId="6" applyFont="1" applyFill="1" applyAlignment="1">
      <alignment horizontal="right" vertical="top" wrapText="1"/>
    </xf>
    <xf numFmtId="0" fontId="18" fillId="2" borderId="0" xfId="6" applyFont="1" applyFill="1" applyAlignment="1">
      <alignment horizontal="center" vertical="top" wrapText="1"/>
    </xf>
    <xf numFmtId="0" fontId="18" fillId="2" borderId="5" xfId="6" applyFont="1" applyFill="1" applyBorder="1" applyAlignment="1">
      <alignment horizontal="center" vertical="top" wrapText="1"/>
    </xf>
    <xf numFmtId="0" fontId="23" fillId="2" borderId="7" xfId="6" applyFont="1" applyFill="1" applyBorder="1" applyAlignment="1">
      <alignment horizontal="center" vertical="top" wrapText="1"/>
    </xf>
    <xf numFmtId="0" fontId="38" fillId="2" borderId="10" xfId="6" applyFont="1" applyFill="1" applyBorder="1" applyAlignment="1">
      <alignment horizontal="center" vertical="top" wrapText="1"/>
    </xf>
    <xf numFmtId="0" fontId="7" fillId="0" borderId="31" xfId="1" applyFont="1" applyBorder="1" applyAlignment="1">
      <alignment horizontal="center" vertical="center"/>
    </xf>
    <xf numFmtId="0" fontId="7" fillId="0" borderId="10" xfId="1" applyFont="1" applyBorder="1" applyAlignment="1">
      <alignment horizontal="left" vertical="center"/>
    </xf>
    <xf numFmtId="0" fontId="39" fillId="0" borderId="11" xfId="6" applyFont="1" applyBorder="1" applyAlignment="1">
      <alignment horizontal="center" vertical="top" wrapText="1"/>
    </xf>
    <xf numFmtId="0" fontId="3" fillId="3" borderId="0" xfId="6" applyFont="1" applyFill="1" applyAlignment="1">
      <alignment horizontal="center" vertical="top" wrapText="1"/>
    </xf>
    <xf numFmtId="0" fontId="40" fillId="2" borderId="10" xfId="6" applyFont="1" applyFill="1" applyBorder="1" applyAlignment="1">
      <alignment horizontal="center" vertical="top" wrapText="1"/>
    </xf>
    <xf numFmtId="0" fontId="38" fillId="2" borderId="9" xfId="6" applyFont="1" applyFill="1" applyBorder="1" applyAlignment="1">
      <alignment horizontal="left" vertical="top" wrapText="1"/>
    </xf>
    <xf numFmtId="0" fontId="38" fillId="2" borderId="12" xfId="6" applyFont="1" applyFill="1" applyBorder="1" applyAlignment="1">
      <alignment horizontal="left" vertical="top" wrapText="1"/>
    </xf>
    <xf numFmtId="0" fontId="8" fillId="0" borderId="22" xfId="1" applyFont="1" applyBorder="1" applyAlignment="1">
      <alignment horizontal="center" vertical="center"/>
    </xf>
    <xf numFmtId="0" fontId="8" fillId="0" borderId="10" xfId="1" applyFont="1" applyBorder="1" applyAlignment="1">
      <alignment vertical="center" wrapText="1"/>
    </xf>
    <xf numFmtId="0" fontId="39" fillId="0" borderId="10" xfId="6" applyFont="1" applyBorder="1" applyAlignment="1">
      <alignment horizontal="center" vertical="top" wrapText="1"/>
    </xf>
    <xf numFmtId="0" fontId="39" fillId="0" borderId="10" xfId="6" applyFont="1" applyBorder="1" applyAlignment="1" applyProtection="1">
      <alignment horizontal="center" vertical="top" wrapText="1"/>
      <protection locked="0"/>
    </xf>
    <xf numFmtId="0" fontId="7" fillId="0" borderId="22" xfId="1" applyFont="1" applyBorder="1" applyAlignment="1">
      <alignment horizontal="center" vertical="center"/>
    </xf>
    <xf numFmtId="0" fontId="7" fillId="0" borderId="10" xfId="1" applyFont="1" applyBorder="1" applyAlignment="1">
      <alignment horizontal="left" vertical="center" wrapText="1"/>
    </xf>
    <xf numFmtId="0" fontId="8" fillId="0" borderId="10" xfId="1" applyFont="1" applyBorder="1" applyAlignment="1">
      <alignment horizontal="left" vertical="center" wrapText="1"/>
    </xf>
    <xf numFmtId="0" fontId="38" fillId="2" borderId="12" xfId="6" applyFont="1" applyFill="1" applyBorder="1" applyAlignment="1">
      <alignment horizontal="center" vertical="top" wrapText="1"/>
    </xf>
    <xf numFmtId="0" fontId="3" fillId="2" borderId="0" xfId="6" applyFont="1" applyFill="1" applyAlignment="1">
      <alignment horizontal="center" vertical="top" wrapText="1"/>
    </xf>
    <xf numFmtId="0" fontId="18" fillId="2" borderId="5" xfId="6" applyFont="1" applyFill="1" applyBorder="1" applyAlignment="1">
      <alignment horizontal="center" vertical="center" wrapText="1"/>
    </xf>
    <xf numFmtId="0" fontId="18" fillId="2" borderId="13" xfId="6" applyFont="1" applyFill="1" applyBorder="1" applyAlignment="1">
      <alignment horizontal="center" vertical="top" wrapText="1"/>
    </xf>
    <xf numFmtId="0" fontId="18" fillId="2" borderId="12" xfId="6" applyFont="1" applyFill="1" applyBorder="1" applyAlignment="1">
      <alignment horizontal="center" vertical="top" wrapText="1"/>
    </xf>
    <xf numFmtId="0" fontId="8" fillId="0" borderId="22" xfId="1" applyFont="1" applyBorder="1" applyAlignment="1">
      <alignment vertical="center"/>
    </xf>
    <xf numFmtId="0" fontId="7" fillId="0" borderId="9" xfId="1" applyFont="1" applyBorder="1" applyAlignment="1">
      <alignment vertical="center"/>
    </xf>
    <xf numFmtId="0" fontId="37" fillId="0" borderId="10" xfId="6" applyFont="1" applyBorder="1" applyAlignment="1">
      <alignment horizontal="center" vertical="top" wrapText="1"/>
    </xf>
    <xf numFmtId="0" fontId="18" fillId="0" borderId="10" xfId="6" applyFont="1" applyBorder="1" applyAlignment="1" applyProtection="1">
      <alignment horizontal="center" vertical="top" wrapText="1"/>
      <protection locked="0"/>
    </xf>
    <xf numFmtId="0" fontId="18" fillId="0" borderId="10" xfId="6" applyFont="1" applyBorder="1" applyAlignment="1">
      <alignment horizontal="center" vertical="top" wrapText="1"/>
    </xf>
    <xf numFmtId="0" fontId="18" fillId="2" borderId="33" xfId="6" applyFont="1" applyFill="1" applyBorder="1" applyAlignment="1">
      <alignment vertical="top" wrapText="1"/>
    </xf>
    <xf numFmtId="0" fontId="18" fillId="2" borderId="13" xfId="6" applyFont="1" applyFill="1" applyBorder="1" applyAlignment="1">
      <alignment vertical="top" wrapText="1"/>
    </xf>
    <xf numFmtId="0" fontId="41" fillId="2" borderId="0" xfId="6" applyFont="1" applyFill="1" applyAlignment="1">
      <alignment horizontal="center" vertical="top" wrapText="1"/>
    </xf>
    <xf numFmtId="0" fontId="14" fillId="7" borderId="20" xfId="6" applyFont="1" applyFill="1" applyBorder="1"/>
    <xf numFmtId="0" fontId="42" fillId="2" borderId="2" xfId="6" applyFont="1" applyFill="1" applyBorder="1" applyAlignment="1">
      <alignment vertical="center" wrapText="1"/>
    </xf>
    <xf numFmtId="0" fontId="14" fillId="0" borderId="0" xfId="6" applyFont="1"/>
    <xf numFmtId="0" fontId="42" fillId="4" borderId="10" xfId="6" applyFont="1" applyFill="1" applyBorder="1" applyAlignment="1">
      <alignment vertical="center" wrapText="1"/>
    </xf>
    <xf numFmtId="0" fontId="42" fillId="4" borderId="32" xfId="6" applyFont="1" applyFill="1" applyBorder="1" applyAlignment="1">
      <alignment vertical="center" wrapText="1"/>
    </xf>
    <xf numFmtId="0" fontId="42" fillId="0" borderId="10" xfId="6" applyFont="1" applyBorder="1" applyAlignment="1">
      <alignment vertical="center" wrapText="1"/>
    </xf>
    <xf numFmtId="0" fontId="42" fillId="0" borderId="32" xfId="6" applyFont="1" applyBorder="1" applyAlignment="1">
      <alignment vertical="center" wrapText="1"/>
    </xf>
    <xf numFmtId="0" fontId="39" fillId="3" borderId="0" xfId="6" applyFont="1" applyFill="1" applyAlignment="1">
      <alignment horizontal="center" vertical="top" wrapText="1"/>
    </xf>
    <xf numFmtId="0" fontId="9" fillId="3" borderId="24" xfId="6" applyFont="1" applyFill="1" applyBorder="1" applyAlignment="1">
      <alignment horizontal="center" vertical="top" wrapText="1"/>
    </xf>
    <xf numFmtId="0" fontId="27" fillId="3" borderId="24" xfId="6" applyFont="1" applyFill="1" applyBorder="1" applyAlignment="1">
      <alignment horizontal="center" vertical="top" wrapText="1"/>
    </xf>
    <xf numFmtId="2" fontId="3" fillId="3" borderId="25" xfId="6" applyNumberFormat="1" applyFont="1" applyFill="1" applyBorder="1" applyAlignment="1">
      <alignment horizontal="center"/>
    </xf>
    <xf numFmtId="0" fontId="1" fillId="0" borderId="0" xfId="6" applyAlignment="1">
      <alignment horizontal="center" vertical="top"/>
    </xf>
    <xf numFmtId="0" fontId="3" fillId="0" borderId="0" xfId="6" applyFont="1" applyAlignment="1">
      <alignment horizontal="center"/>
    </xf>
    <xf numFmtId="2" fontId="3" fillId="0" borderId="0" xfId="6" applyNumberFormat="1" applyFont="1" applyAlignment="1">
      <alignment horizontal="center"/>
    </xf>
    <xf numFmtId="0" fontId="45" fillId="0" borderId="8" xfId="3" applyFont="1" applyBorder="1" applyAlignment="1">
      <alignment horizontal="left"/>
    </xf>
    <xf numFmtId="0" fontId="45" fillId="3" borderId="11" xfId="1" applyFont="1" applyFill="1" applyBorder="1" applyAlignment="1">
      <alignment horizontal="left"/>
    </xf>
    <xf numFmtId="0" fontId="45" fillId="3" borderId="6" xfId="1" applyFont="1" applyFill="1" applyBorder="1" applyAlignment="1">
      <alignment horizontal="left"/>
    </xf>
    <xf numFmtId="0" fontId="45" fillId="0" borderId="6" xfId="3" applyFont="1" applyBorder="1" applyAlignment="1">
      <alignment horizontal="left"/>
    </xf>
    <xf numFmtId="0" fontId="46" fillId="0" borderId="0" xfId="1" applyFont="1" applyAlignment="1">
      <alignment horizontal="left"/>
    </xf>
    <xf numFmtId="0" fontId="45" fillId="3" borderId="10" xfId="1" applyFont="1" applyFill="1" applyBorder="1" applyAlignment="1">
      <alignment horizontal="left"/>
    </xf>
    <xf numFmtId="0" fontId="45" fillId="0" borderId="12" xfId="3" applyFont="1" applyBorder="1" applyAlignment="1">
      <alignment horizontal="left"/>
    </xf>
    <xf numFmtId="0" fontId="47" fillId="0" borderId="12" xfId="2" quotePrefix="1" applyFont="1" applyBorder="1" applyAlignment="1">
      <alignment horizontal="left"/>
    </xf>
    <xf numFmtId="0" fontId="45" fillId="3" borderId="9" xfId="1" applyFont="1" applyFill="1" applyBorder="1" applyAlignment="1">
      <alignment horizontal="left"/>
    </xf>
    <xf numFmtId="0" fontId="45" fillId="0" borderId="9" xfId="1" quotePrefix="1" applyFont="1" applyBorder="1" applyAlignment="1">
      <alignment horizontal="left"/>
    </xf>
    <xf numFmtId="0" fontId="45" fillId="2" borderId="0" xfId="1" applyFont="1" applyFill="1" applyAlignment="1">
      <alignment horizontal="left"/>
    </xf>
    <xf numFmtId="0" fontId="45" fillId="3" borderId="11" xfId="3" applyFont="1" applyFill="1" applyBorder="1" applyAlignment="1">
      <alignment horizontal="left"/>
    </xf>
    <xf numFmtId="0" fontId="45" fillId="3" borderId="6" xfId="3" applyFont="1" applyFill="1" applyBorder="1" applyAlignment="1">
      <alignment horizontal="left"/>
    </xf>
    <xf numFmtId="0" fontId="48" fillId="0" borderId="0" xfId="3" applyFont="1"/>
    <xf numFmtId="0" fontId="45" fillId="3" borderId="10" xfId="3" applyFont="1" applyFill="1" applyBorder="1" applyAlignment="1">
      <alignment horizontal="left"/>
    </xf>
    <xf numFmtId="0" fontId="45" fillId="3" borderId="9" xfId="3" applyFont="1" applyFill="1" applyBorder="1" applyAlignment="1">
      <alignment horizontal="left"/>
    </xf>
    <xf numFmtId="0" fontId="49" fillId="0" borderId="9" xfId="3" applyFont="1" applyBorder="1" applyAlignment="1">
      <alignment horizontal="left"/>
    </xf>
    <xf numFmtId="0" fontId="47" fillId="0" borderId="12" xfId="2" applyFont="1" applyBorder="1" applyAlignment="1">
      <alignment horizontal="left"/>
    </xf>
    <xf numFmtId="0" fontId="6" fillId="0" borderId="14" xfId="1" applyFont="1" applyBorder="1" applyAlignment="1">
      <alignment horizontal="center" vertical="center"/>
    </xf>
    <xf numFmtId="0" fontId="6" fillId="0" borderId="15" xfId="1" applyFont="1" applyBorder="1" applyAlignment="1">
      <alignment horizontal="center" vertical="center"/>
    </xf>
    <xf numFmtId="0" fontId="6" fillId="0" borderId="11" xfId="1" applyFont="1" applyBorder="1" applyAlignment="1">
      <alignment horizontal="center" vertical="center"/>
    </xf>
    <xf numFmtId="0" fontId="6" fillId="0" borderId="14" xfId="1" applyFont="1" applyBorder="1" applyAlignment="1">
      <alignment vertical="center" wrapText="1"/>
    </xf>
    <xf numFmtId="0" fontId="6" fillId="0" borderId="15" xfId="1" applyFont="1" applyBorder="1" applyAlignment="1">
      <alignment vertical="center" wrapText="1"/>
    </xf>
    <xf numFmtId="0" fontId="6" fillId="0" borderId="11" xfId="1" applyFont="1" applyBorder="1" applyAlignment="1">
      <alignment vertical="center" wrapText="1"/>
    </xf>
    <xf numFmtId="2" fontId="6" fillId="0" borderId="14" xfId="1" applyNumberFormat="1" applyFont="1" applyBorder="1" applyAlignment="1">
      <alignment horizontal="center" vertical="center" wrapText="1"/>
    </xf>
    <xf numFmtId="2" fontId="6" fillId="0" borderId="15" xfId="1" applyNumberFormat="1" applyFont="1" applyBorder="1" applyAlignment="1">
      <alignment horizontal="center" vertical="center" wrapText="1"/>
    </xf>
    <xf numFmtId="2" fontId="6" fillId="0" borderId="11" xfId="1" applyNumberFormat="1" applyFont="1" applyBorder="1" applyAlignment="1">
      <alignment horizontal="center" vertical="center" wrapText="1"/>
    </xf>
    <xf numFmtId="0" fontId="6" fillId="0" borderId="14" xfId="1" applyFont="1" applyBorder="1" applyAlignment="1">
      <alignment horizontal="left" vertical="center" wrapText="1"/>
    </xf>
    <xf numFmtId="0" fontId="6" fillId="0" borderId="15" xfId="1" applyFont="1" applyBorder="1" applyAlignment="1">
      <alignment horizontal="left" vertical="center" wrapText="1"/>
    </xf>
    <xf numFmtId="0" fontId="6" fillId="0" borderId="11" xfId="1" applyFont="1" applyBorder="1" applyAlignment="1">
      <alignment horizontal="left" vertical="center" wrapText="1"/>
    </xf>
    <xf numFmtId="0" fontId="6" fillId="0" borderId="10" xfId="1" applyFont="1" applyBorder="1" applyAlignment="1">
      <alignment horizontal="center" vertical="center"/>
    </xf>
    <xf numFmtId="0" fontId="6" fillId="0" borderId="10" xfId="1" applyFont="1" applyBorder="1" applyAlignment="1">
      <alignment horizontal="left" vertical="center" wrapText="1"/>
    </xf>
    <xf numFmtId="2" fontId="6" fillId="0" borderId="10" xfId="1" applyNumberFormat="1" applyFont="1" applyBorder="1" applyAlignment="1">
      <alignment horizontal="center" vertical="center" wrapText="1"/>
    </xf>
    <xf numFmtId="2" fontId="6" fillId="0" borderId="10" xfId="1" applyNumberFormat="1" applyFont="1" applyBorder="1" applyAlignment="1">
      <alignment horizontal="center" vertical="center"/>
    </xf>
    <xf numFmtId="2" fontId="6" fillId="0" borderId="14" xfId="1" applyNumberFormat="1" applyFont="1" applyBorder="1" applyAlignment="1">
      <alignment horizontal="center" vertical="center"/>
    </xf>
    <xf numFmtId="2" fontId="6" fillId="0" borderId="15" xfId="1" applyNumberFormat="1" applyFont="1" applyBorder="1" applyAlignment="1">
      <alignment horizontal="center" vertical="center"/>
    </xf>
    <xf numFmtId="2" fontId="6" fillId="0" borderId="11" xfId="1" applyNumberFormat="1" applyFont="1" applyBorder="1" applyAlignment="1">
      <alignment horizontal="center" vertical="center"/>
    </xf>
    <xf numFmtId="0" fontId="37" fillId="0" borderId="2" xfId="6" applyFont="1" applyBorder="1" applyAlignment="1">
      <alignment horizontal="center" vertical="center" wrapText="1"/>
    </xf>
    <xf numFmtId="0" fontId="37" fillId="0" borderId="0" xfId="6" applyFont="1" applyAlignment="1">
      <alignment horizontal="center" vertical="center" wrapText="1"/>
    </xf>
    <xf numFmtId="0" fontId="37" fillId="0" borderId="7" xfId="6" applyFont="1" applyBorder="1" applyAlignment="1">
      <alignment horizontal="center" vertical="center" wrapText="1"/>
    </xf>
    <xf numFmtId="0" fontId="18" fillId="3" borderId="3" xfId="6" applyFont="1" applyFill="1" applyBorder="1" applyAlignment="1">
      <alignment vertical="center" wrapText="1"/>
    </xf>
    <xf numFmtId="0" fontId="18" fillId="3" borderId="5" xfId="6" applyFont="1" applyFill="1" applyBorder="1" applyAlignment="1">
      <alignment vertical="center" wrapText="1"/>
    </xf>
    <xf numFmtId="0" fontId="18" fillId="3" borderId="8" xfId="6" applyFont="1" applyFill="1" applyBorder="1" applyAlignment="1">
      <alignment vertical="center" wrapText="1"/>
    </xf>
    <xf numFmtId="0" fontId="37" fillId="0" borderId="2" xfId="6" applyFont="1" applyBorder="1" applyAlignment="1">
      <alignment vertical="center" wrapText="1"/>
    </xf>
    <xf numFmtId="0" fontId="37" fillId="0" borderId="0" xfId="6" applyFont="1" applyAlignment="1">
      <alignment vertical="center" wrapText="1"/>
    </xf>
    <xf numFmtId="0" fontId="37" fillId="0" borderId="7" xfId="6" applyFont="1" applyBorder="1" applyAlignment="1">
      <alignment vertical="center" wrapText="1"/>
    </xf>
    <xf numFmtId="0" fontId="44" fillId="4" borderId="10" xfId="6" applyFont="1" applyFill="1" applyBorder="1" applyAlignment="1">
      <alignment horizontal="center" vertical="center" wrapText="1"/>
    </xf>
    <xf numFmtId="0" fontId="44" fillId="4" borderId="32" xfId="6" applyFont="1" applyFill="1" applyBorder="1" applyAlignment="1">
      <alignment horizontal="center" vertical="center" wrapText="1"/>
    </xf>
    <xf numFmtId="0" fontId="42" fillId="2" borderId="10" xfId="6" applyFont="1" applyFill="1" applyBorder="1" applyAlignment="1">
      <alignment horizontal="left" vertical="center" wrapText="1"/>
    </xf>
    <xf numFmtId="0" fontId="18" fillId="2" borderId="26" xfId="6" applyFont="1" applyFill="1" applyBorder="1" applyAlignment="1">
      <alignment vertical="center" wrapText="1"/>
    </xf>
    <xf numFmtId="0" fontId="18" fillId="2" borderId="3" xfId="6" applyFont="1" applyFill="1" applyBorder="1" applyAlignment="1">
      <alignment vertical="center" wrapText="1"/>
    </xf>
    <xf numFmtId="0" fontId="18" fillId="2" borderId="20" xfId="6" applyFont="1" applyFill="1" applyBorder="1" applyAlignment="1">
      <alignment vertical="center" wrapText="1"/>
    </xf>
    <xf numFmtId="0" fontId="18" fillId="2" borderId="5" xfId="6" applyFont="1" applyFill="1" applyBorder="1" applyAlignment="1">
      <alignment vertical="center" wrapText="1"/>
    </xf>
    <xf numFmtId="0" fontId="18" fillId="2" borderId="37" xfId="6" applyFont="1" applyFill="1" applyBorder="1" applyAlignment="1">
      <alignment vertical="center" wrapText="1"/>
    </xf>
    <xf numFmtId="0" fontId="18" fillId="2" borderId="8" xfId="6" applyFont="1" applyFill="1" applyBorder="1" applyAlignment="1">
      <alignment vertical="center" wrapText="1"/>
    </xf>
    <xf numFmtId="0" fontId="37" fillId="0" borderId="3" xfId="6" applyFont="1" applyBorder="1" applyAlignment="1">
      <alignment vertical="center" wrapText="1"/>
    </xf>
    <xf numFmtId="0" fontId="37" fillId="0" borderId="5" xfId="6" applyFont="1" applyBorder="1" applyAlignment="1">
      <alignment vertical="center" wrapText="1"/>
    </xf>
    <xf numFmtId="0" fontId="37" fillId="0" borderId="8" xfId="6" applyFont="1" applyBorder="1" applyAlignment="1">
      <alignment vertical="center" wrapText="1"/>
    </xf>
    <xf numFmtId="0" fontId="18" fillId="2" borderId="1" xfId="6" applyFont="1" applyFill="1" applyBorder="1" applyAlignment="1">
      <alignment vertical="center" wrapText="1"/>
    </xf>
    <xf numFmtId="0" fontId="18" fillId="2" borderId="4" xfId="6" applyFont="1" applyFill="1" applyBorder="1" applyAlignment="1">
      <alignment vertical="center" wrapText="1"/>
    </xf>
    <xf numFmtId="0" fontId="18" fillId="2" borderId="6" xfId="6" applyFont="1" applyFill="1" applyBorder="1" applyAlignment="1">
      <alignment vertical="center" wrapText="1"/>
    </xf>
    <xf numFmtId="0" fontId="3" fillId="3" borderId="2" xfId="6" applyFont="1" applyFill="1" applyBorder="1" applyAlignment="1">
      <alignment horizontal="center" vertical="top" wrapText="1"/>
    </xf>
    <xf numFmtId="0" fontId="3" fillId="3" borderId="0" xfId="6" applyFont="1" applyFill="1" applyAlignment="1">
      <alignment horizontal="center" vertical="top" wrapText="1"/>
    </xf>
    <xf numFmtId="0" fontId="3" fillId="3" borderId="24" xfId="6" applyFont="1" applyFill="1" applyBorder="1" applyAlignment="1">
      <alignment horizontal="center" vertical="top" wrapText="1"/>
    </xf>
    <xf numFmtId="0" fontId="42" fillId="0" borderId="9" xfId="6" applyFont="1" applyBorder="1" applyAlignment="1">
      <alignment horizontal="center" vertical="center" wrapText="1"/>
    </xf>
    <xf numFmtId="0" fontId="42" fillId="0" borderId="13" xfId="6" applyFont="1" applyBorder="1" applyAlignment="1">
      <alignment horizontal="center" vertical="center" wrapText="1"/>
    </xf>
    <xf numFmtId="0" fontId="42" fillId="0" borderId="12" xfId="6" applyFont="1" applyBorder="1" applyAlignment="1">
      <alignment horizontal="center" vertical="center" wrapText="1"/>
    </xf>
    <xf numFmtId="2" fontId="42" fillId="8" borderId="9" xfId="6" applyNumberFormat="1" applyFont="1" applyFill="1" applyBorder="1" applyAlignment="1">
      <alignment horizontal="center" vertical="center" wrapText="1"/>
    </xf>
    <xf numFmtId="2" fontId="42" fillId="8" borderId="12" xfId="6" applyNumberFormat="1" applyFont="1" applyFill="1" applyBorder="1" applyAlignment="1">
      <alignment horizontal="center" vertical="center" wrapText="1"/>
    </xf>
    <xf numFmtId="0" fontId="42" fillId="0" borderId="9" xfId="6" applyFont="1" applyBorder="1" applyAlignment="1">
      <alignment horizontal="left" vertical="center" wrapText="1"/>
    </xf>
    <xf numFmtId="0" fontId="42" fillId="0" borderId="13" xfId="6" applyFont="1" applyBorder="1" applyAlignment="1">
      <alignment horizontal="left" vertical="center" wrapText="1"/>
    </xf>
    <xf numFmtId="0" fontId="42" fillId="0" borderId="12" xfId="6" applyFont="1" applyBorder="1" applyAlignment="1">
      <alignment horizontal="left" vertical="center" wrapText="1"/>
    </xf>
    <xf numFmtId="0" fontId="42" fillId="2" borderId="10" xfId="6" applyFont="1" applyFill="1" applyBorder="1" applyAlignment="1">
      <alignment horizontal="center" vertical="center" wrapText="1"/>
    </xf>
    <xf numFmtId="0" fontId="27" fillId="3" borderId="23" xfId="6" applyFont="1" applyFill="1" applyBorder="1" applyAlignment="1">
      <alignment vertical="center" wrapText="1"/>
    </xf>
    <xf numFmtId="0" fontId="27" fillId="3" borderId="24" xfId="6" applyFont="1" applyFill="1" applyBorder="1" applyAlignment="1">
      <alignment vertical="center" wrapText="1"/>
    </xf>
    <xf numFmtId="0" fontId="18" fillId="3" borderId="26" xfId="6" applyFont="1" applyFill="1" applyBorder="1" applyAlignment="1">
      <alignment vertical="center" wrapText="1"/>
    </xf>
    <xf numFmtId="0" fontId="18" fillId="3" borderId="20" xfId="6" applyFont="1" applyFill="1" applyBorder="1" applyAlignment="1">
      <alignment vertical="center" wrapText="1"/>
    </xf>
    <xf numFmtId="0" fontId="18" fillId="3" borderId="1" xfId="6" applyFont="1" applyFill="1" applyBorder="1" applyAlignment="1">
      <alignment vertical="center" wrapText="1"/>
    </xf>
    <xf numFmtId="0" fontId="18" fillId="3" borderId="4" xfId="6" applyFont="1" applyFill="1" applyBorder="1" applyAlignment="1">
      <alignment vertical="center" wrapText="1"/>
    </xf>
    <xf numFmtId="0" fontId="18" fillId="3" borderId="6" xfId="6" applyFont="1" applyFill="1" applyBorder="1" applyAlignment="1">
      <alignment vertical="center" wrapText="1"/>
    </xf>
    <xf numFmtId="0" fontId="42" fillId="8" borderId="9" xfId="6" applyFont="1" applyFill="1" applyBorder="1" applyAlignment="1">
      <alignment horizontal="center" vertical="center" wrapText="1"/>
    </xf>
    <xf numFmtId="0" fontId="42" fillId="8" borderId="12" xfId="6" applyFont="1" applyFill="1" applyBorder="1" applyAlignment="1">
      <alignment horizontal="center" vertical="center" wrapText="1"/>
    </xf>
    <xf numFmtId="0" fontId="42" fillId="8" borderId="34" xfId="6" applyFont="1" applyFill="1" applyBorder="1" applyAlignment="1">
      <alignment horizontal="center" vertical="center" wrapText="1"/>
    </xf>
    <xf numFmtId="2" fontId="43" fillId="2" borderId="1" xfId="13" applyNumberFormat="1" applyFont="1" applyFill="1" applyBorder="1" applyAlignment="1" applyProtection="1">
      <alignment horizontal="center" vertical="center" wrapText="1"/>
    </xf>
    <xf numFmtId="2" fontId="43" fillId="2" borderId="35" xfId="13" applyNumberFormat="1" applyFont="1" applyFill="1" applyBorder="1" applyAlignment="1" applyProtection="1">
      <alignment horizontal="center" vertical="center" wrapText="1"/>
    </xf>
    <xf numFmtId="2" fontId="43" fillId="2" borderId="4" xfId="13" applyNumberFormat="1" applyFont="1" applyFill="1" applyBorder="1" applyAlignment="1" applyProtection="1">
      <alignment horizontal="center" vertical="center" wrapText="1"/>
    </xf>
    <xf numFmtId="2" fontId="43" fillId="2" borderId="21" xfId="13" applyNumberFormat="1" applyFont="1" applyFill="1" applyBorder="1" applyAlignment="1" applyProtection="1">
      <alignment horizontal="center" vertical="center" wrapText="1"/>
    </xf>
    <xf numFmtId="2" fontId="43" fillId="2" borderId="6" xfId="13" applyNumberFormat="1" applyFont="1" applyFill="1" applyBorder="1" applyAlignment="1" applyProtection="1">
      <alignment horizontal="center" vertical="center" wrapText="1"/>
    </xf>
    <xf numFmtId="2" fontId="43" fillId="2" borderId="36" xfId="13" applyNumberFormat="1" applyFont="1" applyFill="1" applyBorder="1" applyAlignment="1" applyProtection="1">
      <alignment horizontal="center" vertical="center" wrapText="1"/>
    </xf>
    <xf numFmtId="0" fontId="7" fillId="2" borderId="33" xfId="1" applyFont="1" applyFill="1" applyBorder="1" applyAlignment="1">
      <alignment horizontal="left" vertical="center"/>
    </xf>
    <xf numFmtId="0" fontId="7" fillId="2" borderId="13" xfId="1" applyFont="1" applyFill="1" applyBorder="1" applyAlignment="1">
      <alignment horizontal="left" vertical="center"/>
    </xf>
    <xf numFmtId="0" fontId="37" fillId="0" borderId="9" xfId="9" applyFont="1" applyBorder="1" applyAlignment="1">
      <alignment vertical="center" wrapText="1"/>
    </xf>
    <xf numFmtId="0" fontId="37" fillId="0" borderId="13" xfId="9" applyFont="1" applyBorder="1" applyAlignment="1">
      <alignment vertical="center" wrapText="1"/>
    </xf>
    <xf numFmtId="0" fontId="37" fillId="0" borderId="12" xfId="9" applyFont="1" applyBorder="1" applyAlignment="1">
      <alignment vertical="center" wrapText="1"/>
    </xf>
    <xf numFmtId="0" fontId="18" fillId="2" borderId="13" xfId="6" applyFont="1" applyFill="1" applyBorder="1" applyAlignment="1">
      <alignment horizontal="left" vertical="top" wrapText="1"/>
    </xf>
    <xf numFmtId="0" fontId="14" fillId="7" borderId="2" xfId="6" applyFont="1" applyFill="1" applyBorder="1" applyAlignment="1">
      <alignment horizontal="center"/>
    </xf>
    <xf numFmtId="0" fontId="14" fillId="7" borderId="0" xfId="6" applyFont="1" applyFill="1" applyAlignment="1">
      <alignment horizontal="center"/>
    </xf>
    <xf numFmtId="0" fontId="14" fillId="7" borderId="7" xfId="6" applyFont="1" applyFill="1" applyBorder="1" applyAlignment="1">
      <alignment horizontal="center"/>
    </xf>
    <xf numFmtId="0" fontId="42" fillId="2" borderId="13" xfId="6" applyFont="1" applyFill="1" applyBorder="1" applyAlignment="1">
      <alignment horizontal="center" vertical="center" wrapText="1"/>
    </xf>
    <xf numFmtId="0" fontId="8" fillId="0" borderId="9" xfId="1" applyFont="1" applyBorder="1" applyAlignment="1">
      <alignment vertical="center"/>
    </xf>
    <xf numFmtId="0" fontId="8" fillId="0" borderId="13" xfId="1" applyFont="1" applyBorder="1" applyAlignment="1">
      <alignment vertical="center"/>
    </xf>
    <xf numFmtId="0" fontId="8" fillId="0" borderId="12" xfId="1" applyFont="1" applyBorder="1" applyAlignment="1">
      <alignment vertical="center"/>
    </xf>
    <xf numFmtId="0" fontId="8" fillId="0" borderId="9" xfId="1" applyFont="1" applyBorder="1" applyAlignment="1">
      <alignment horizontal="left" vertical="center" wrapText="1"/>
    </xf>
    <xf numFmtId="0" fontId="8" fillId="0" borderId="13" xfId="1" applyFont="1" applyBorder="1" applyAlignment="1">
      <alignment horizontal="left" vertical="center" wrapText="1"/>
    </xf>
    <xf numFmtId="0" fontId="8" fillId="0" borderId="12" xfId="1" applyFont="1" applyBorder="1" applyAlignment="1">
      <alignment horizontal="left" vertical="center" wrapText="1"/>
    </xf>
    <xf numFmtId="0" fontId="38" fillId="2" borderId="9" xfId="6" applyFont="1" applyFill="1" applyBorder="1" applyAlignment="1">
      <alignment horizontal="left" vertical="top" wrapText="1"/>
    </xf>
    <xf numFmtId="0" fontId="38" fillId="2" borderId="12" xfId="6" applyFont="1" applyFill="1" applyBorder="1" applyAlignment="1">
      <alignment horizontal="left" vertical="top" wrapText="1"/>
    </xf>
    <xf numFmtId="0" fontId="8" fillId="0" borderId="6" xfId="1" applyFont="1" applyBorder="1" applyAlignment="1">
      <alignment vertical="center"/>
    </xf>
    <xf numFmtId="0" fontId="8" fillId="0" borderId="7" xfId="1" applyFont="1" applyBorder="1" applyAlignment="1">
      <alignment vertical="center"/>
    </xf>
    <xf numFmtId="0" fontId="8" fillId="0" borderId="8" xfId="1" applyFont="1" applyBorder="1" applyAlignment="1">
      <alignment vertical="center"/>
    </xf>
    <xf numFmtId="0" fontId="37" fillId="0" borderId="9" xfId="9" applyFont="1" applyBorder="1" applyAlignment="1">
      <alignment horizontal="left" vertical="center" wrapText="1"/>
    </xf>
    <xf numFmtId="0" fontId="37" fillId="0" borderId="13" xfId="9" applyFont="1" applyBorder="1" applyAlignment="1">
      <alignment horizontal="left" vertical="center" wrapText="1"/>
    </xf>
    <xf numFmtId="0" fontId="37" fillId="0" borderId="12" xfId="9" applyFont="1" applyBorder="1" applyAlignment="1">
      <alignment horizontal="left" vertical="center" wrapText="1"/>
    </xf>
    <xf numFmtId="2" fontId="23" fillId="2" borderId="28" xfId="6" applyNumberFormat="1" applyFont="1" applyFill="1" applyBorder="1" applyAlignment="1">
      <alignment horizontal="center" vertical="center" wrapText="1"/>
    </xf>
    <xf numFmtId="2" fontId="23" fillId="2" borderId="30" xfId="6" applyNumberFormat="1" applyFont="1" applyFill="1" applyBorder="1" applyAlignment="1">
      <alignment horizontal="center" vertical="center" wrapText="1"/>
    </xf>
    <xf numFmtId="0" fontId="7" fillId="2" borderId="14" xfId="1" applyFont="1" applyFill="1" applyBorder="1" applyAlignment="1">
      <alignment horizontal="center" vertical="center" wrapText="1"/>
    </xf>
    <xf numFmtId="0" fontId="7" fillId="2" borderId="15" xfId="1" applyFont="1" applyFill="1" applyBorder="1" applyAlignment="1">
      <alignment horizontal="center" vertical="center" wrapText="1"/>
    </xf>
    <xf numFmtId="0" fontId="7" fillId="2" borderId="1" xfId="1" applyFont="1" applyFill="1" applyBorder="1" applyAlignment="1">
      <alignment horizontal="center" vertical="center" wrapText="1"/>
    </xf>
    <xf numFmtId="0" fontId="7" fillId="2" borderId="4" xfId="1" applyFont="1" applyFill="1" applyBorder="1" applyAlignment="1">
      <alignment horizontal="center" vertical="center"/>
    </xf>
    <xf numFmtId="0" fontId="23" fillId="2" borderId="9" xfId="6" applyFont="1" applyFill="1" applyBorder="1" applyAlignment="1">
      <alignment horizontal="center" vertical="center" wrapText="1"/>
    </xf>
    <xf numFmtId="0" fontId="23" fillId="2" borderId="13" xfId="6" applyFont="1" applyFill="1" applyBorder="1" applyAlignment="1">
      <alignment horizontal="center" vertical="center" wrapText="1"/>
    </xf>
    <xf numFmtId="0" fontId="23" fillId="2" borderId="12" xfId="6" applyFont="1" applyFill="1" applyBorder="1" applyAlignment="1">
      <alignment horizontal="center" vertical="center" wrapText="1"/>
    </xf>
    <xf numFmtId="0" fontId="23" fillId="2" borderId="14" xfId="6" applyFont="1" applyFill="1" applyBorder="1" applyAlignment="1">
      <alignment horizontal="center" vertical="center" wrapText="1"/>
    </xf>
    <xf numFmtId="0" fontId="23" fillId="2" borderId="11" xfId="6" applyFont="1" applyFill="1" applyBorder="1" applyAlignment="1">
      <alignment horizontal="center" vertical="center" wrapText="1"/>
    </xf>
    <xf numFmtId="0" fontId="12" fillId="3" borderId="26" xfId="1" applyFont="1" applyFill="1" applyBorder="1" applyAlignment="1">
      <alignment horizontal="left"/>
    </xf>
    <xf numFmtId="0" fontId="12" fillId="3" borderId="2" xfId="1" applyFont="1" applyFill="1" applyBorder="1" applyAlignment="1">
      <alignment horizontal="left"/>
    </xf>
    <xf numFmtId="0" fontId="7" fillId="2" borderId="27" xfId="1" applyFont="1" applyFill="1" applyBorder="1" applyAlignment="1">
      <alignment horizontal="center" vertical="center"/>
    </xf>
    <xf numFmtId="0" fontId="7" fillId="2" borderId="29" xfId="1" applyFont="1" applyFill="1" applyBorder="1" applyAlignment="1">
      <alignment horizontal="center" vertical="center"/>
    </xf>
    <xf numFmtId="0" fontId="7" fillId="2" borderId="15" xfId="1" applyFont="1" applyFill="1" applyBorder="1" applyAlignment="1">
      <alignment horizontal="center" vertical="center"/>
    </xf>
    <xf numFmtId="0" fontId="7" fillId="2" borderId="14" xfId="1" applyFont="1" applyFill="1" applyBorder="1" applyAlignment="1">
      <alignment horizontal="center" vertical="center"/>
    </xf>
    <xf numFmtId="0" fontId="35" fillId="5" borderId="9" xfId="6" applyFont="1" applyFill="1" applyBorder="1" applyAlignment="1">
      <alignment horizontal="center"/>
    </xf>
    <xf numFmtId="0" fontId="35" fillId="5" borderId="13" xfId="6" applyFont="1" applyFill="1" applyBorder="1" applyAlignment="1">
      <alignment horizontal="center"/>
    </xf>
    <xf numFmtId="0" fontId="35" fillId="5" borderId="12" xfId="6" applyFont="1" applyFill="1" applyBorder="1" applyAlignment="1">
      <alignment horizontal="center"/>
    </xf>
    <xf numFmtId="0" fontId="18" fillId="2" borderId="26" xfId="6" applyFont="1" applyFill="1" applyBorder="1" applyAlignment="1">
      <alignment horizontal="right" vertical="top" wrapText="1"/>
    </xf>
    <xf numFmtId="0" fontId="18" fillId="2" borderId="2" xfId="6" applyFont="1" applyFill="1" applyBorder="1" applyAlignment="1">
      <alignment horizontal="right" vertical="top" wrapText="1"/>
    </xf>
    <xf numFmtId="0" fontId="18" fillId="2" borderId="3" xfId="6" applyFont="1" applyFill="1" applyBorder="1" applyAlignment="1">
      <alignment horizontal="right" vertical="top" wrapText="1"/>
    </xf>
    <xf numFmtId="0" fontId="18" fillId="2" borderId="10" xfId="6" applyFont="1" applyFill="1" applyBorder="1" applyAlignment="1">
      <alignment horizontal="center" vertical="top" wrapText="1"/>
    </xf>
    <xf numFmtId="0" fontId="18" fillId="3" borderId="0" xfId="6" applyFont="1" applyFill="1" applyAlignment="1">
      <alignment horizontal="right" vertical="top" wrapText="1"/>
    </xf>
    <xf numFmtId="0" fontId="45" fillId="3" borderId="0" xfId="3" applyFont="1" applyFill="1" applyAlignment="1">
      <alignment horizontal="left" vertical="center"/>
    </xf>
    <xf numFmtId="0" fontId="45" fillId="3" borderId="5" xfId="3" applyFont="1" applyFill="1" applyBorder="1" applyAlignment="1">
      <alignment horizontal="left" vertical="center"/>
    </xf>
    <xf numFmtId="0" fontId="45" fillId="0" borderId="7" xfId="4" applyFont="1" applyBorder="1" applyAlignment="1">
      <alignment horizontal="left"/>
    </xf>
    <xf numFmtId="0" fontId="45" fillId="0" borderId="8" xfId="4" applyFont="1" applyBorder="1" applyAlignment="1">
      <alignment horizontal="left"/>
    </xf>
    <xf numFmtId="0" fontId="45" fillId="3" borderId="0" xfId="3" applyFont="1" applyFill="1" applyAlignment="1">
      <alignment horizontal="left"/>
    </xf>
    <xf numFmtId="0" fontId="45" fillId="3" borderId="5" xfId="3" applyFont="1" applyFill="1" applyBorder="1" applyAlignment="1">
      <alignment horizontal="left"/>
    </xf>
    <xf numFmtId="0" fontId="45" fillId="0" borderId="9" xfId="4" applyFont="1" applyBorder="1" applyAlignment="1">
      <alignment horizontal="left"/>
    </xf>
    <xf numFmtId="0" fontId="45" fillId="0" borderId="12" xfId="4" applyFont="1" applyBorder="1" applyAlignment="1">
      <alignment horizontal="left"/>
    </xf>
    <xf numFmtId="0" fontId="45" fillId="2" borderId="0" xfId="1" applyFont="1" applyFill="1" applyAlignment="1">
      <alignment horizontal="left"/>
    </xf>
    <xf numFmtId="0" fontId="45" fillId="3" borderId="10" xfId="3" applyFont="1" applyFill="1" applyBorder="1" applyAlignment="1">
      <alignment horizontal="left" vertical="center"/>
    </xf>
    <xf numFmtId="0" fontId="45" fillId="0" borderId="7" xfId="1" applyFont="1" applyBorder="1" applyAlignment="1">
      <alignment horizontal="left"/>
    </xf>
    <xf numFmtId="0" fontId="45" fillId="0" borderId="8" xfId="1" applyFont="1" applyBorder="1" applyAlignment="1">
      <alignment horizontal="left"/>
    </xf>
    <xf numFmtId="0" fontId="11" fillId="0" borderId="17" xfId="6" applyFont="1" applyBorder="1" applyAlignment="1">
      <alignment horizontal="center" vertical="center"/>
    </xf>
    <xf numFmtId="0" fontId="11" fillId="0" borderId="18" xfId="6" applyFont="1" applyBorder="1" applyAlignment="1">
      <alignment horizontal="center" vertical="center"/>
    </xf>
    <xf numFmtId="0" fontId="11" fillId="0" borderId="19" xfId="6" applyFont="1" applyBorder="1" applyAlignment="1">
      <alignment horizontal="center" vertical="center"/>
    </xf>
    <xf numFmtId="0" fontId="11" fillId="0" borderId="20" xfId="6" applyFont="1" applyBorder="1" applyAlignment="1">
      <alignment horizontal="center" vertical="center"/>
    </xf>
    <xf numFmtId="0" fontId="11" fillId="0" borderId="0" xfId="6" applyFont="1" applyAlignment="1">
      <alignment horizontal="center" vertical="center"/>
    </xf>
    <xf numFmtId="0" fontId="11" fillId="0" borderId="21" xfId="6" applyFont="1" applyBorder="1" applyAlignment="1">
      <alignment horizontal="center" vertical="center"/>
    </xf>
    <xf numFmtId="0" fontId="12" fillId="2" borderId="17" xfId="6" applyFont="1" applyFill="1" applyBorder="1" applyAlignment="1">
      <alignment horizontal="left" vertical="top" wrapText="1"/>
    </xf>
    <xf numFmtId="0" fontId="12" fillId="2" borderId="18" xfId="6" applyFont="1" applyFill="1" applyBorder="1" applyAlignment="1">
      <alignment horizontal="left" vertical="top" wrapText="1"/>
    </xf>
    <xf numFmtId="0" fontId="13" fillId="2" borderId="17" xfId="6" applyFont="1" applyFill="1" applyBorder="1" applyAlignment="1">
      <alignment horizontal="center" vertical="top" wrapText="1"/>
    </xf>
    <xf numFmtId="0" fontId="13" fillId="2" borderId="18" xfId="6" applyFont="1" applyFill="1" applyBorder="1" applyAlignment="1">
      <alignment horizontal="center" vertical="top" wrapText="1"/>
    </xf>
    <xf numFmtId="0" fontId="13" fillId="2" borderId="19" xfId="6" applyFont="1" applyFill="1" applyBorder="1" applyAlignment="1">
      <alignment horizontal="center" vertical="top" wrapText="1"/>
    </xf>
    <xf numFmtId="0" fontId="13" fillId="2" borderId="20" xfId="6" applyFont="1" applyFill="1" applyBorder="1" applyAlignment="1">
      <alignment horizontal="center" vertical="top" wrapText="1"/>
    </xf>
    <xf numFmtId="0" fontId="13" fillId="2" borderId="0" xfId="6" applyFont="1" applyFill="1" applyAlignment="1">
      <alignment horizontal="center" vertical="top" wrapText="1"/>
    </xf>
    <xf numFmtId="0" fontId="13" fillId="2" borderId="21" xfId="6" applyFont="1" applyFill="1" applyBorder="1" applyAlignment="1">
      <alignment horizontal="center" vertical="top" wrapText="1"/>
    </xf>
    <xf numFmtId="0" fontId="13" fillId="2" borderId="23" xfId="6" applyFont="1" applyFill="1" applyBorder="1" applyAlignment="1">
      <alignment horizontal="center" vertical="top" wrapText="1"/>
    </xf>
    <xf numFmtId="0" fontId="13" fillId="2" borderId="24" xfId="6" applyFont="1" applyFill="1" applyBorder="1" applyAlignment="1">
      <alignment horizontal="center" vertical="top" wrapText="1"/>
    </xf>
    <xf numFmtId="0" fontId="13" fillId="2" borderId="25" xfId="6" applyFont="1" applyFill="1" applyBorder="1" applyAlignment="1">
      <alignment horizontal="center" vertical="top" wrapText="1"/>
    </xf>
    <xf numFmtId="0" fontId="16" fillId="2" borderId="0" xfId="1" applyFont="1" applyFill="1" applyAlignment="1">
      <alignment horizontal="center"/>
    </xf>
    <xf numFmtId="0" fontId="18" fillId="2" borderId="20" xfId="7" applyFont="1" applyFill="1" applyBorder="1" applyAlignment="1">
      <alignment horizontal="left"/>
    </xf>
    <xf numFmtId="0" fontId="18" fillId="2" borderId="0" xfId="7" applyFont="1" applyFill="1" applyAlignment="1">
      <alignment horizontal="left"/>
    </xf>
    <xf numFmtId="0" fontId="45" fillId="3" borderId="10" xfId="1" applyFont="1" applyFill="1" applyBorder="1" applyAlignment="1">
      <alignment horizontal="left" vertical="center"/>
    </xf>
    <xf numFmtId="0" fontId="45" fillId="3" borderId="10" xfId="1" applyFont="1" applyFill="1" applyBorder="1" applyAlignment="1">
      <alignment horizontal="left"/>
    </xf>
    <xf numFmtId="0" fontId="45" fillId="3" borderId="10" xfId="3" applyFont="1" applyFill="1" applyBorder="1" applyAlignment="1">
      <alignment horizontal="left"/>
    </xf>
    <xf numFmtId="0" fontId="45" fillId="0" borderId="13" xfId="1" applyFont="1" applyBorder="1" applyAlignment="1">
      <alignment horizontal="left"/>
    </xf>
    <xf numFmtId="0" fontId="45" fillId="0" borderId="12" xfId="1" applyFont="1" applyBorder="1" applyAlignment="1">
      <alignment horizontal="left"/>
    </xf>
    <xf numFmtId="0" fontId="20" fillId="2" borderId="20" xfId="1" applyFont="1" applyFill="1" applyBorder="1"/>
    <xf numFmtId="0" fontId="20" fillId="2" borderId="0" xfId="1" applyFont="1" applyFill="1"/>
  </cellXfs>
  <cellStyles count="14">
    <cellStyle name="Hyperlink" xfId="2" builtinId="8"/>
    <cellStyle name="Hyperlink 2" xfId="8" xr:uid="{852E4E6B-22C7-4698-8724-5E06141008E8}"/>
    <cellStyle name="Normal" xfId="0" builtinId="0"/>
    <cellStyle name="Normal 2" xfId="9" xr:uid="{5030D0B4-59C1-4D8A-859E-0A0FB41E1D24}"/>
    <cellStyle name="Normal 2 2" xfId="10" xr:uid="{AA98484B-8A12-4998-9F3D-E09258192E71}"/>
    <cellStyle name="Normal 2 2 3 2" xfId="12" xr:uid="{75D55889-9CFB-410E-8A43-3F1F2FE685C8}"/>
    <cellStyle name="Normal 2 3" xfId="1" xr:uid="{89DFC91A-BDB3-4325-931F-DF23E1BF9006}"/>
    <cellStyle name="Normal 2 3 2" xfId="4" xr:uid="{2C071EEF-4B17-44FF-BF53-C08F2AD39F07}"/>
    <cellStyle name="Normal 2 4 2" xfId="3" xr:uid="{A66A82DE-F2C8-4C01-B01C-3480372B7B62}"/>
    <cellStyle name="Normal 2 5 2 2" xfId="7" xr:uid="{A9EE744E-44B9-4E35-8F0A-197B0F779DA7}"/>
    <cellStyle name="Normal 2 7" xfId="11" xr:uid="{902AF55E-1AD6-455F-924D-7718C9BBAE3F}"/>
    <cellStyle name="Normal 4 2 2 2 2" xfId="6" xr:uid="{738B8090-D43A-4C0C-B880-726FD9C3378D}"/>
    <cellStyle name="Normal 5 2 2" xfId="5" xr:uid="{C9CDDE8E-B6D2-4832-9977-6CB4BF245081}"/>
    <cellStyle name="Percent 2 2" xfId="13" xr:uid="{F2949CB2-FAAA-40C8-B6F3-835D188B79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711199</xdr:colOff>
      <xdr:row>0</xdr:row>
      <xdr:rowOff>114300</xdr:rowOff>
    </xdr:from>
    <xdr:ext cx="1216479" cy="949887"/>
    <xdr:pic>
      <xdr:nvPicPr>
        <xdr:cNvPr id="2" name="Picture 1">
          <a:extLst>
            <a:ext uri="{FF2B5EF4-FFF2-40B4-BE49-F238E27FC236}">
              <a16:creationId xmlns:a16="http://schemas.microsoft.com/office/drawing/2014/main" id="{5B713223-9367-4D52-B843-DD1A931B7D3E}"/>
            </a:ext>
          </a:extLst>
        </xdr:cNvPr>
        <xdr:cNvPicPr>
          <a:picLocks noChangeAspect="1"/>
        </xdr:cNvPicPr>
      </xdr:nvPicPr>
      <xdr:blipFill>
        <a:blip xmlns:r="http://schemas.openxmlformats.org/officeDocument/2006/relationships" r:embed="rId1"/>
        <a:stretch>
          <a:fillRect/>
        </a:stretch>
      </xdr:blipFill>
      <xdr:spPr>
        <a:xfrm>
          <a:off x="7445374" y="114300"/>
          <a:ext cx="1216479" cy="949887"/>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711199</xdr:colOff>
      <xdr:row>0</xdr:row>
      <xdr:rowOff>114300</xdr:rowOff>
    </xdr:from>
    <xdr:ext cx="1216479" cy="949887"/>
    <xdr:pic>
      <xdr:nvPicPr>
        <xdr:cNvPr id="2" name="Picture 1">
          <a:extLst>
            <a:ext uri="{FF2B5EF4-FFF2-40B4-BE49-F238E27FC236}">
              <a16:creationId xmlns:a16="http://schemas.microsoft.com/office/drawing/2014/main" id="{22850B0D-802C-44C0-83E7-A4D77CA7FCFF}"/>
            </a:ext>
          </a:extLst>
        </xdr:cNvPr>
        <xdr:cNvPicPr>
          <a:picLocks noChangeAspect="1"/>
        </xdr:cNvPicPr>
      </xdr:nvPicPr>
      <xdr:blipFill>
        <a:blip xmlns:r="http://schemas.openxmlformats.org/officeDocument/2006/relationships" r:embed="rId1"/>
        <a:stretch>
          <a:fillRect/>
        </a:stretch>
      </xdr:blipFill>
      <xdr:spPr>
        <a:xfrm>
          <a:off x="7721599" y="114300"/>
          <a:ext cx="1216479" cy="94988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711199</xdr:colOff>
      <xdr:row>0</xdr:row>
      <xdr:rowOff>114300</xdr:rowOff>
    </xdr:from>
    <xdr:ext cx="1216479" cy="949887"/>
    <xdr:pic>
      <xdr:nvPicPr>
        <xdr:cNvPr id="2" name="Picture 1">
          <a:extLst>
            <a:ext uri="{FF2B5EF4-FFF2-40B4-BE49-F238E27FC236}">
              <a16:creationId xmlns:a16="http://schemas.microsoft.com/office/drawing/2014/main" id="{F6660A26-874E-4805-BA0E-AA2E0BE89312}"/>
            </a:ext>
          </a:extLst>
        </xdr:cNvPr>
        <xdr:cNvPicPr>
          <a:picLocks noChangeAspect="1"/>
        </xdr:cNvPicPr>
      </xdr:nvPicPr>
      <xdr:blipFill>
        <a:blip xmlns:r="http://schemas.openxmlformats.org/officeDocument/2006/relationships" r:embed="rId1"/>
        <a:stretch>
          <a:fillRect/>
        </a:stretch>
      </xdr:blipFill>
      <xdr:spPr>
        <a:xfrm>
          <a:off x="7721599" y="114300"/>
          <a:ext cx="1216479" cy="949887"/>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711199</xdr:colOff>
      <xdr:row>0</xdr:row>
      <xdr:rowOff>114300</xdr:rowOff>
    </xdr:from>
    <xdr:ext cx="1216479" cy="949887"/>
    <xdr:pic>
      <xdr:nvPicPr>
        <xdr:cNvPr id="2" name="Picture 1">
          <a:extLst>
            <a:ext uri="{FF2B5EF4-FFF2-40B4-BE49-F238E27FC236}">
              <a16:creationId xmlns:a16="http://schemas.microsoft.com/office/drawing/2014/main" id="{95D6DF0F-FEB8-4D57-A715-BF90C0620F12}"/>
            </a:ext>
          </a:extLst>
        </xdr:cNvPr>
        <xdr:cNvPicPr>
          <a:picLocks noChangeAspect="1"/>
        </xdr:cNvPicPr>
      </xdr:nvPicPr>
      <xdr:blipFill>
        <a:blip xmlns:r="http://schemas.openxmlformats.org/officeDocument/2006/relationships" r:embed="rId1"/>
        <a:stretch>
          <a:fillRect/>
        </a:stretch>
      </xdr:blipFill>
      <xdr:spPr>
        <a:xfrm>
          <a:off x="7721599" y="114300"/>
          <a:ext cx="1216479" cy="949887"/>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D4144-A6EF-438F-B4B9-BF3EDAF7F421}">
  <sheetPr>
    <pageSetUpPr fitToPage="1"/>
  </sheetPr>
  <dimension ref="A1:R187"/>
  <sheetViews>
    <sheetView topLeftCell="A2" zoomScale="30" zoomScaleNormal="30" workbookViewId="0">
      <selection activeCell="P19" sqref="P19"/>
    </sheetView>
  </sheetViews>
  <sheetFormatPr defaultRowHeight="31.5" customHeight="1" x14ac:dyDescent="0.55000000000000004"/>
  <cols>
    <col min="1" max="1" width="19.7109375" style="106" bestFit="1" customWidth="1"/>
    <col min="2" max="2" width="85.42578125" style="16" bestFit="1" customWidth="1"/>
    <col min="3" max="3" width="39.5703125" style="16" bestFit="1" customWidth="1"/>
    <col min="4" max="4" width="114.85546875" style="16" customWidth="1"/>
    <col min="5" max="5" width="64.7109375" style="106" bestFit="1" customWidth="1"/>
    <col min="6" max="6" width="42" style="106" customWidth="1"/>
    <col min="7" max="7" width="255.7109375" style="16" bestFit="1" customWidth="1"/>
    <col min="8" max="8" width="33" style="106" customWidth="1"/>
    <col min="9" max="9" width="62.42578125" style="106" customWidth="1"/>
    <col min="10" max="10" width="45.140625" style="106" customWidth="1"/>
    <col min="11" max="13" width="35.28515625" style="106" bestFit="1" customWidth="1"/>
    <col min="14" max="14" width="40.7109375" style="106" bestFit="1" customWidth="1"/>
    <col min="15" max="15" width="36.85546875" style="106" bestFit="1" customWidth="1"/>
    <col min="16" max="17" width="36.85546875" style="107" customWidth="1"/>
    <col min="18" max="18" width="36.85546875" style="108" customWidth="1"/>
    <col min="19" max="16384" width="9.140625" style="16"/>
  </cols>
  <sheetData>
    <row r="1" spans="1:18" ht="31.5" customHeight="1" x14ac:dyDescent="0.25">
      <c r="A1" s="259" t="s">
        <v>297</v>
      </c>
      <c r="B1" s="260"/>
      <c r="C1" s="260"/>
      <c r="D1" s="260"/>
      <c r="E1" s="260"/>
      <c r="F1" s="260"/>
      <c r="G1" s="260"/>
      <c r="H1" s="260"/>
      <c r="I1" s="260"/>
      <c r="J1" s="260"/>
      <c r="K1" s="260"/>
      <c r="L1" s="260"/>
      <c r="M1" s="260"/>
      <c r="N1" s="260"/>
      <c r="O1" s="260"/>
      <c r="P1" s="260"/>
      <c r="Q1" s="260"/>
      <c r="R1" s="261"/>
    </row>
    <row r="2" spans="1:18" ht="31.5" customHeight="1" x14ac:dyDescent="0.25">
      <c r="A2" s="262"/>
      <c r="B2" s="263"/>
      <c r="C2" s="263"/>
      <c r="D2" s="263"/>
      <c r="E2" s="263"/>
      <c r="F2" s="263"/>
      <c r="G2" s="263"/>
      <c r="H2" s="263"/>
      <c r="I2" s="263"/>
      <c r="J2" s="263"/>
      <c r="K2" s="263"/>
      <c r="L2" s="263"/>
      <c r="M2" s="263"/>
      <c r="N2" s="263"/>
      <c r="O2" s="263"/>
      <c r="P2" s="263"/>
      <c r="Q2" s="263"/>
      <c r="R2" s="264"/>
    </row>
    <row r="3" spans="1:18" ht="31.5" customHeight="1" thickBot="1" x14ac:dyDescent="0.3">
      <c r="A3" s="262"/>
      <c r="B3" s="263"/>
      <c r="C3" s="263"/>
      <c r="D3" s="263"/>
      <c r="E3" s="263"/>
      <c r="F3" s="263"/>
      <c r="G3" s="263"/>
      <c r="H3" s="263"/>
      <c r="I3" s="263"/>
      <c r="J3" s="263"/>
      <c r="K3" s="263"/>
      <c r="L3" s="263"/>
      <c r="M3" s="263"/>
      <c r="N3" s="263"/>
      <c r="O3" s="263"/>
      <c r="P3" s="263"/>
      <c r="Q3" s="263"/>
      <c r="R3" s="264"/>
    </row>
    <row r="4" spans="1:18" s="17" customFormat="1" ht="45.75" x14ac:dyDescent="0.25">
      <c r="A4" s="265" t="s">
        <v>0</v>
      </c>
      <c r="B4" s="266"/>
      <c r="C4" s="266"/>
      <c r="D4" s="266"/>
      <c r="E4" s="266"/>
      <c r="F4" s="266"/>
      <c r="G4" s="266"/>
      <c r="H4" s="266"/>
      <c r="I4" s="266"/>
      <c r="J4" s="266"/>
      <c r="K4" s="267"/>
      <c r="L4" s="268"/>
      <c r="M4" s="268"/>
      <c r="N4" s="268"/>
      <c r="O4" s="268"/>
      <c r="P4" s="268"/>
      <c r="Q4" s="268"/>
      <c r="R4" s="269"/>
    </row>
    <row r="5" spans="1:18" s="24" customFormat="1" ht="32.25" x14ac:dyDescent="0.5">
      <c r="A5" s="18" t="s">
        <v>1</v>
      </c>
      <c r="B5" s="19" t="s">
        <v>2</v>
      </c>
      <c r="C5" s="20" t="s">
        <v>3</v>
      </c>
      <c r="D5" s="21" t="s">
        <v>331</v>
      </c>
      <c r="E5" s="276"/>
      <c r="F5" s="276"/>
      <c r="G5" s="276"/>
      <c r="H5" s="276"/>
      <c r="I5" s="22"/>
      <c r="J5" s="23"/>
      <c r="K5" s="270"/>
      <c r="L5" s="271"/>
      <c r="M5" s="271"/>
      <c r="N5" s="271"/>
      <c r="O5" s="271"/>
      <c r="P5" s="271"/>
      <c r="Q5" s="271"/>
      <c r="R5" s="272"/>
    </row>
    <row r="6" spans="1:18" s="27" customFormat="1" ht="38.25" customHeight="1" x14ac:dyDescent="0.55000000000000004">
      <c r="A6" s="277" t="s">
        <v>5</v>
      </c>
      <c r="B6" s="278"/>
      <c r="C6" s="278"/>
      <c r="D6" s="278"/>
      <c r="E6" s="278"/>
      <c r="F6" s="278"/>
      <c r="G6" s="278"/>
      <c r="H6" s="278"/>
      <c r="I6" s="25"/>
      <c r="J6" s="26"/>
      <c r="K6" s="270"/>
      <c r="L6" s="271"/>
      <c r="M6" s="271"/>
      <c r="N6" s="271"/>
      <c r="O6" s="271"/>
      <c r="P6" s="271"/>
      <c r="Q6" s="271"/>
      <c r="R6" s="272"/>
    </row>
    <row r="7" spans="1:18" s="113" customFormat="1" ht="48.75" customHeight="1" x14ac:dyDescent="0.6">
      <c r="A7" s="279" t="s">
        <v>6</v>
      </c>
      <c r="B7" s="279"/>
      <c r="C7" s="109" t="s">
        <v>15</v>
      </c>
      <c r="D7" s="110" t="s">
        <v>7</v>
      </c>
      <c r="E7" s="109" t="s">
        <v>16</v>
      </c>
      <c r="F7" s="111" t="s">
        <v>8</v>
      </c>
      <c r="G7" s="112" t="s">
        <v>17</v>
      </c>
      <c r="H7" s="110" t="s">
        <v>9</v>
      </c>
      <c r="I7" s="249" t="s">
        <v>18</v>
      </c>
      <c r="J7" s="250"/>
      <c r="K7" s="270"/>
      <c r="L7" s="271"/>
      <c r="M7" s="271"/>
      <c r="N7" s="271"/>
      <c r="O7" s="271"/>
      <c r="P7" s="271"/>
      <c r="Q7" s="271"/>
      <c r="R7" s="272"/>
    </row>
    <row r="8" spans="1:18" s="113" customFormat="1" ht="57" customHeight="1" x14ac:dyDescent="0.6">
      <c r="A8" s="280" t="s">
        <v>10</v>
      </c>
      <c r="B8" s="280"/>
      <c r="C8" s="115">
        <v>60529</v>
      </c>
      <c r="D8" s="114" t="s">
        <v>11</v>
      </c>
      <c r="E8" s="116" t="s">
        <v>19</v>
      </c>
      <c r="F8" s="117" t="s">
        <v>12</v>
      </c>
      <c r="G8" s="118"/>
      <c r="H8" s="114" t="s">
        <v>13</v>
      </c>
      <c r="I8" s="253" t="s">
        <v>20</v>
      </c>
      <c r="J8" s="254"/>
      <c r="K8" s="270"/>
      <c r="L8" s="271"/>
      <c r="M8" s="271"/>
      <c r="N8" s="271"/>
      <c r="O8" s="271"/>
      <c r="P8" s="271"/>
      <c r="Q8" s="271"/>
      <c r="R8" s="272"/>
    </row>
    <row r="9" spans="1:18" s="113" customFormat="1" ht="62.25" customHeight="1" x14ac:dyDescent="0.6">
      <c r="A9" s="255" t="s">
        <v>14</v>
      </c>
      <c r="B9" s="255"/>
      <c r="C9" s="255"/>
      <c r="D9" s="255"/>
      <c r="E9" s="255"/>
      <c r="F9" s="255"/>
      <c r="G9" s="255"/>
      <c r="H9" s="255"/>
      <c r="I9" s="255"/>
      <c r="J9" s="119"/>
      <c r="K9" s="270"/>
      <c r="L9" s="271"/>
      <c r="M9" s="271"/>
      <c r="N9" s="271"/>
      <c r="O9" s="271"/>
      <c r="P9" s="271"/>
      <c r="Q9" s="271"/>
      <c r="R9" s="272"/>
    </row>
    <row r="10" spans="1:18" s="122" customFormat="1" ht="39" x14ac:dyDescent="0.6">
      <c r="A10" s="247" t="s">
        <v>6</v>
      </c>
      <c r="B10" s="248"/>
      <c r="C10" s="109"/>
      <c r="D10" s="120" t="s">
        <v>7</v>
      </c>
      <c r="E10" s="109"/>
      <c r="F10" s="121" t="s">
        <v>8</v>
      </c>
      <c r="G10" s="112"/>
      <c r="H10" s="120" t="s">
        <v>9</v>
      </c>
      <c r="I10" s="249"/>
      <c r="J10" s="250"/>
      <c r="K10" s="270"/>
      <c r="L10" s="271"/>
      <c r="M10" s="271"/>
      <c r="N10" s="271"/>
      <c r="O10" s="271"/>
      <c r="P10" s="271"/>
      <c r="Q10" s="271"/>
      <c r="R10" s="272"/>
    </row>
    <row r="11" spans="1:18" s="122" customFormat="1" ht="39.75" x14ac:dyDescent="0.6">
      <c r="A11" s="251" t="s">
        <v>10</v>
      </c>
      <c r="B11" s="252"/>
      <c r="C11" s="115"/>
      <c r="D11" s="123" t="s">
        <v>11</v>
      </c>
      <c r="E11" s="116"/>
      <c r="F11" s="124" t="s">
        <v>12</v>
      </c>
      <c r="G11" s="125"/>
      <c r="H11" s="123" t="s">
        <v>13</v>
      </c>
      <c r="I11" s="253"/>
      <c r="J11" s="254"/>
      <c r="K11" s="270"/>
      <c r="L11" s="271"/>
      <c r="M11" s="271"/>
      <c r="N11" s="271"/>
      <c r="O11" s="271"/>
      <c r="P11" s="271"/>
      <c r="Q11" s="271"/>
      <c r="R11" s="272"/>
    </row>
    <row r="12" spans="1:18" s="113" customFormat="1" ht="39" x14ac:dyDescent="0.6">
      <c r="A12" s="255" t="s">
        <v>21</v>
      </c>
      <c r="B12" s="255"/>
      <c r="C12" s="255"/>
      <c r="D12" s="255"/>
      <c r="E12" s="255"/>
      <c r="F12" s="255"/>
      <c r="G12" s="255"/>
      <c r="H12" s="255"/>
      <c r="I12" s="255"/>
      <c r="J12" s="119"/>
      <c r="K12" s="270"/>
      <c r="L12" s="271"/>
      <c r="M12" s="271"/>
      <c r="N12" s="271"/>
      <c r="O12" s="271"/>
      <c r="P12" s="271"/>
      <c r="Q12" s="271"/>
      <c r="R12" s="272"/>
    </row>
    <row r="13" spans="1:18" s="122" customFormat="1" ht="56.25" customHeight="1" x14ac:dyDescent="0.6">
      <c r="A13" s="256" t="s">
        <v>6</v>
      </c>
      <c r="B13" s="256"/>
      <c r="C13" s="109"/>
      <c r="D13" s="120" t="s">
        <v>7</v>
      </c>
      <c r="E13" s="109"/>
      <c r="F13" s="121" t="s">
        <v>8</v>
      </c>
      <c r="G13" s="112"/>
      <c r="H13" s="120" t="s">
        <v>9</v>
      </c>
      <c r="I13" s="257"/>
      <c r="J13" s="258"/>
      <c r="K13" s="270"/>
      <c r="L13" s="271"/>
      <c r="M13" s="271"/>
      <c r="N13" s="271"/>
      <c r="O13" s="271"/>
      <c r="P13" s="271"/>
      <c r="Q13" s="271"/>
      <c r="R13" s="272"/>
    </row>
    <row r="14" spans="1:18" s="122" customFormat="1" ht="57" customHeight="1" x14ac:dyDescent="0.6">
      <c r="A14" s="281" t="s">
        <v>10</v>
      </c>
      <c r="B14" s="281"/>
      <c r="C14" s="115"/>
      <c r="D14" s="123" t="s">
        <v>11</v>
      </c>
      <c r="E14" s="126"/>
      <c r="F14" s="124" t="s">
        <v>12</v>
      </c>
      <c r="G14" s="125"/>
      <c r="H14" s="123" t="s">
        <v>13</v>
      </c>
      <c r="I14" s="282"/>
      <c r="J14" s="283"/>
      <c r="K14" s="270"/>
      <c r="L14" s="271"/>
      <c r="M14" s="271"/>
      <c r="N14" s="271"/>
      <c r="O14" s="271"/>
      <c r="P14" s="271"/>
      <c r="Q14" s="271"/>
      <c r="R14" s="272"/>
    </row>
    <row r="15" spans="1:18" s="29" customFormat="1" ht="20.25" customHeight="1" thickBot="1" x14ac:dyDescent="0.75">
      <c r="A15" s="284"/>
      <c r="B15" s="285"/>
      <c r="C15" s="285"/>
      <c r="D15" s="285"/>
      <c r="E15" s="285"/>
      <c r="F15" s="285"/>
      <c r="G15" s="285"/>
      <c r="H15" s="285"/>
      <c r="I15" s="285"/>
      <c r="J15" s="28"/>
      <c r="K15" s="273"/>
      <c r="L15" s="274"/>
      <c r="M15" s="274"/>
      <c r="N15" s="274"/>
      <c r="O15" s="274"/>
      <c r="P15" s="274"/>
      <c r="Q15" s="274"/>
      <c r="R15" s="275"/>
    </row>
    <row r="16" spans="1:18" s="29" customFormat="1" ht="47.25" x14ac:dyDescent="0.7">
      <c r="A16" s="233" t="s">
        <v>22</v>
      </c>
      <c r="B16" s="234"/>
      <c r="C16" s="234"/>
      <c r="D16" s="234"/>
      <c r="E16" s="234"/>
      <c r="F16" s="234"/>
      <c r="G16" s="234"/>
      <c r="H16" s="234"/>
      <c r="I16" s="234"/>
      <c r="J16" s="30"/>
      <c r="K16" s="31"/>
      <c r="L16" s="32"/>
      <c r="M16" s="32"/>
      <c r="N16" s="32"/>
      <c r="O16" s="32"/>
      <c r="P16" s="33"/>
      <c r="Q16" s="33"/>
      <c r="R16" s="34"/>
    </row>
    <row r="17" spans="1:18" s="36" customFormat="1" ht="31.5" customHeight="1" x14ac:dyDescent="0.25">
      <c r="A17" s="235" t="s">
        <v>23</v>
      </c>
      <c r="B17" s="237" t="s">
        <v>24</v>
      </c>
      <c r="C17" s="238" t="s">
        <v>25</v>
      </c>
      <c r="D17" s="238" t="s">
        <v>26</v>
      </c>
      <c r="E17" s="238" t="s">
        <v>25</v>
      </c>
      <c r="F17" s="224" t="s">
        <v>27</v>
      </c>
      <c r="G17" s="224" t="s">
        <v>28</v>
      </c>
      <c r="H17" s="226" t="s">
        <v>29</v>
      </c>
      <c r="I17" s="224" t="s">
        <v>30</v>
      </c>
      <c r="J17" s="228" t="s">
        <v>31</v>
      </c>
      <c r="K17" s="229"/>
      <c r="L17" s="229"/>
      <c r="M17" s="229"/>
      <c r="N17" s="229"/>
      <c r="O17" s="230"/>
      <c r="P17" s="231" t="s">
        <v>298</v>
      </c>
      <c r="Q17" s="231" t="s">
        <v>299</v>
      </c>
      <c r="R17" s="222" t="s">
        <v>300</v>
      </c>
    </row>
    <row r="18" spans="1:18" s="36" customFormat="1" ht="36" x14ac:dyDescent="0.25">
      <c r="A18" s="236"/>
      <c r="B18" s="237"/>
      <c r="C18" s="237"/>
      <c r="D18" s="237"/>
      <c r="E18" s="237"/>
      <c r="F18" s="225"/>
      <c r="G18" s="225"/>
      <c r="H18" s="227"/>
      <c r="I18" s="225"/>
      <c r="J18" s="37" t="s">
        <v>301</v>
      </c>
      <c r="K18" s="35" t="s">
        <v>302</v>
      </c>
      <c r="L18" s="35" t="s">
        <v>303</v>
      </c>
      <c r="M18" s="37" t="s">
        <v>304</v>
      </c>
      <c r="N18" s="37" t="s">
        <v>305</v>
      </c>
      <c r="O18" s="37" t="s">
        <v>306</v>
      </c>
      <c r="P18" s="232"/>
      <c r="Q18" s="232"/>
      <c r="R18" s="223"/>
    </row>
    <row r="19" spans="1:18" s="41" customFormat="1" ht="147" customHeight="1" x14ac:dyDescent="0.25">
      <c r="A19" s="139">
        <v>1</v>
      </c>
      <c r="B19" s="140" t="s">
        <v>38</v>
      </c>
      <c r="C19" s="142">
        <f>SUM(E19:E27)</f>
        <v>13</v>
      </c>
      <c r="D19" s="136" t="s">
        <v>39</v>
      </c>
      <c r="E19" s="3">
        <v>1</v>
      </c>
      <c r="F19" s="3">
        <f>E19/$E$148 * 100</f>
        <v>1.0000000000000002</v>
      </c>
      <c r="G19" s="2" t="s">
        <v>40</v>
      </c>
      <c r="H19" s="4">
        <v>1</v>
      </c>
      <c r="I19" s="5" t="s">
        <v>41</v>
      </c>
      <c r="J19" s="6">
        <v>100</v>
      </c>
      <c r="K19" s="7">
        <v>95</v>
      </c>
      <c r="L19" s="7">
        <v>90</v>
      </c>
      <c r="M19" s="7">
        <v>85</v>
      </c>
      <c r="N19" s="7">
        <v>80</v>
      </c>
      <c r="O19" s="7" t="s">
        <v>42</v>
      </c>
      <c r="P19" s="38"/>
      <c r="Q19" s="39">
        <f t="shared" ref="Q19" si="0">IF(OR(TRIM(P19)="",P19=0),0,
IF(P19&lt;N19,50,
IF(P19&lt;M19,60,
IF(P19&lt;L19,70,
IF(P19&lt;K19,80,
IF(ISNUMBER(J19),
    IF(P19&lt;J19,IF(P19&gt;=K19,90,80),100),
    IF(P19=K19,90,100)
))))))</f>
        <v>0</v>
      </c>
      <c r="R19" s="40">
        <f t="shared" ref="R19" si="1">F19*Q19/100</f>
        <v>0</v>
      </c>
    </row>
    <row r="20" spans="1:18" s="41" customFormat="1" ht="147" customHeight="1" x14ac:dyDescent="0.25">
      <c r="A20" s="139"/>
      <c r="B20" s="140"/>
      <c r="C20" s="142"/>
      <c r="D20" s="137"/>
      <c r="E20" s="3">
        <v>1</v>
      </c>
      <c r="F20" s="3">
        <f t="shared" ref="F20:F83" si="2">E20/$E$148 * 100</f>
        <v>1.0000000000000002</v>
      </c>
      <c r="G20" s="2" t="s">
        <v>43</v>
      </c>
      <c r="H20" s="4">
        <v>1</v>
      </c>
      <c r="I20" s="5" t="s">
        <v>41</v>
      </c>
      <c r="J20" s="6">
        <v>100</v>
      </c>
      <c r="K20" s="7">
        <v>95</v>
      </c>
      <c r="L20" s="7">
        <v>90</v>
      </c>
      <c r="M20" s="7">
        <v>85</v>
      </c>
      <c r="N20" s="7">
        <v>80</v>
      </c>
      <c r="O20" s="7" t="s">
        <v>42</v>
      </c>
      <c r="P20" s="38"/>
      <c r="Q20" s="39">
        <f t="shared" ref="Q20:Q83" si="3">IF(OR(TRIM(P20)="",P20=0),0,
IF(P20&lt;N20,50,
IF(P20&lt;M20,60,
IF(P20&lt;L20,70,
IF(P20&lt;K20,80,
IF(ISNUMBER(J20),
    IF(P20&lt;J20,IF(P20&gt;=K20,90,80),100),
    IF(P20=K20,90,100)
))))))</f>
        <v>0</v>
      </c>
      <c r="R20" s="40">
        <f t="shared" ref="R20:R83" si="4">F20*Q20/100</f>
        <v>0</v>
      </c>
    </row>
    <row r="21" spans="1:18" s="41" customFormat="1" ht="147" customHeight="1" x14ac:dyDescent="0.25">
      <c r="A21" s="139"/>
      <c r="B21" s="140"/>
      <c r="C21" s="142"/>
      <c r="D21" s="138"/>
      <c r="E21" s="3">
        <v>2</v>
      </c>
      <c r="F21" s="3">
        <f t="shared" si="2"/>
        <v>2.0000000000000004</v>
      </c>
      <c r="G21" s="2" t="s">
        <v>44</v>
      </c>
      <c r="H21" s="4">
        <v>1</v>
      </c>
      <c r="I21" s="5" t="s">
        <v>41</v>
      </c>
      <c r="J21" s="6">
        <v>100</v>
      </c>
      <c r="K21" s="7">
        <v>95</v>
      </c>
      <c r="L21" s="7">
        <v>90</v>
      </c>
      <c r="M21" s="7">
        <v>85</v>
      </c>
      <c r="N21" s="7">
        <v>80</v>
      </c>
      <c r="O21" s="7" t="s">
        <v>42</v>
      </c>
      <c r="P21" s="38"/>
      <c r="Q21" s="39">
        <f t="shared" si="3"/>
        <v>0</v>
      </c>
      <c r="R21" s="40">
        <f t="shared" si="4"/>
        <v>0</v>
      </c>
    </row>
    <row r="22" spans="1:18" s="41" customFormat="1" ht="147" customHeight="1" x14ac:dyDescent="0.25">
      <c r="A22" s="139"/>
      <c r="B22" s="140"/>
      <c r="C22" s="142"/>
      <c r="D22" s="140" t="s">
        <v>45</v>
      </c>
      <c r="E22" s="3">
        <v>2</v>
      </c>
      <c r="F22" s="3">
        <f t="shared" si="2"/>
        <v>2.0000000000000004</v>
      </c>
      <c r="G22" s="2" t="s">
        <v>46</v>
      </c>
      <c r="H22" s="4">
        <v>0.5</v>
      </c>
      <c r="I22" s="5" t="s">
        <v>41</v>
      </c>
      <c r="J22" s="6" t="s">
        <v>47</v>
      </c>
      <c r="K22" s="7">
        <v>50</v>
      </c>
      <c r="L22" s="7">
        <v>45</v>
      </c>
      <c r="M22" s="7">
        <v>40</v>
      </c>
      <c r="N22" s="7">
        <v>25</v>
      </c>
      <c r="O22" s="7" t="s">
        <v>48</v>
      </c>
      <c r="P22" s="38"/>
      <c r="Q22" s="39">
        <f t="shared" si="3"/>
        <v>0</v>
      </c>
      <c r="R22" s="40">
        <f t="shared" si="4"/>
        <v>0</v>
      </c>
    </row>
    <row r="23" spans="1:18" s="41" customFormat="1" ht="147" customHeight="1" x14ac:dyDescent="0.25">
      <c r="A23" s="139"/>
      <c r="B23" s="140"/>
      <c r="C23" s="142"/>
      <c r="D23" s="140"/>
      <c r="E23" s="3">
        <v>1</v>
      </c>
      <c r="F23" s="3">
        <f t="shared" si="2"/>
        <v>1.0000000000000002</v>
      </c>
      <c r="G23" s="2" t="s">
        <v>49</v>
      </c>
      <c r="H23" s="4">
        <v>0.5</v>
      </c>
      <c r="I23" s="5" t="s">
        <v>41</v>
      </c>
      <c r="J23" s="6" t="s">
        <v>47</v>
      </c>
      <c r="K23" s="7">
        <v>50</v>
      </c>
      <c r="L23" s="7">
        <v>45</v>
      </c>
      <c r="M23" s="7">
        <v>40</v>
      </c>
      <c r="N23" s="7">
        <v>25</v>
      </c>
      <c r="O23" s="7" t="s">
        <v>48</v>
      </c>
      <c r="P23" s="38"/>
      <c r="Q23" s="39">
        <f t="shared" si="3"/>
        <v>0</v>
      </c>
      <c r="R23" s="40">
        <f t="shared" si="4"/>
        <v>0</v>
      </c>
    </row>
    <row r="24" spans="1:18" s="41" customFormat="1" ht="147" customHeight="1" x14ac:dyDescent="0.25">
      <c r="A24" s="139"/>
      <c r="B24" s="140"/>
      <c r="C24" s="142"/>
      <c r="D24" s="140"/>
      <c r="E24" s="3">
        <v>1</v>
      </c>
      <c r="F24" s="3">
        <f t="shared" si="2"/>
        <v>1.0000000000000002</v>
      </c>
      <c r="G24" s="2" t="s">
        <v>50</v>
      </c>
      <c r="H24" s="4">
        <v>0.75</v>
      </c>
      <c r="I24" s="5" t="s">
        <v>41</v>
      </c>
      <c r="J24" s="6" t="s">
        <v>51</v>
      </c>
      <c r="K24" s="7">
        <v>75</v>
      </c>
      <c r="L24" s="7">
        <v>70</v>
      </c>
      <c r="M24" s="7">
        <v>60</v>
      </c>
      <c r="N24" s="7">
        <v>50</v>
      </c>
      <c r="O24" s="7" t="s">
        <v>52</v>
      </c>
      <c r="P24" s="38"/>
      <c r="Q24" s="39">
        <f t="shared" si="3"/>
        <v>0</v>
      </c>
      <c r="R24" s="40">
        <f t="shared" si="4"/>
        <v>0</v>
      </c>
    </row>
    <row r="25" spans="1:18" s="41" customFormat="1" ht="147" customHeight="1" thickBot="1" x14ac:dyDescent="0.3">
      <c r="A25" s="139"/>
      <c r="B25" s="140"/>
      <c r="C25" s="142"/>
      <c r="D25" s="8" t="s">
        <v>53</v>
      </c>
      <c r="E25" s="3">
        <v>4</v>
      </c>
      <c r="F25" s="3">
        <f t="shared" si="2"/>
        <v>4.0000000000000009</v>
      </c>
      <c r="G25" s="2" t="s">
        <v>54</v>
      </c>
      <c r="H25" s="9">
        <v>4</v>
      </c>
      <c r="I25" s="5" t="s">
        <v>55</v>
      </c>
      <c r="J25" s="6" t="s">
        <v>56</v>
      </c>
      <c r="K25" s="7">
        <v>4</v>
      </c>
      <c r="L25" s="7">
        <v>3</v>
      </c>
      <c r="M25" s="7">
        <v>2</v>
      </c>
      <c r="N25" s="7">
        <v>1</v>
      </c>
      <c r="O25" s="7">
        <v>0</v>
      </c>
      <c r="P25" s="38"/>
      <c r="Q25" s="39">
        <f t="shared" si="3"/>
        <v>0</v>
      </c>
      <c r="R25" s="40">
        <f t="shared" si="4"/>
        <v>0</v>
      </c>
    </row>
    <row r="26" spans="1:18" s="41" customFormat="1" ht="147" customHeight="1" x14ac:dyDescent="0.25">
      <c r="A26" s="139"/>
      <c r="B26" s="140"/>
      <c r="C26" s="142"/>
      <c r="D26" s="140" t="s">
        <v>57</v>
      </c>
      <c r="E26" s="3">
        <v>0.5</v>
      </c>
      <c r="F26" s="3">
        <f t="shared" si="2"/>
        <v>0.50000000000000011</v>
      </c>
      <c r="G26" s="2" t="s">
        <v>58</v>
      </c>
      <c r="H26" s="4">
        <v>0.5</v>
      </c>
      <c r="I26" s="5" t="s">
        <v>41</v>
      </c>
      <c r="J26" s="6" t="s">
        <v>47</v>
      </c>
      <c r="K26" s="7">
        <v>50</v>
      </c>
      <c r="L26" s="7">
        <v>45</v>
      </c>
      <c r="M26" s="7">
        <v>40</v>
      </c>
      <c r="N26" s="7">
        <v>25</v>
      </c>
      <c r="O26" s="7" t="s">
        <v>48</v>
      </c>
      <c r="P26" s="38"/>
      <c r="Q26" s="39">
        <f t="shared" si="3"/>
        <v>0</v>
      </c>
      <c r="R26" s="40">
        <f t="shared" si="4"/>
        <v>0</v>
      </c>
    </row>
    <row r="27" spans="1:18" s="41" customFormat="1" ht="147" customHeight="1" x14ac:dyDescent="0.25">
      <c r="A27" s="139"/>
      <c r="B27" s="140"/>
      <c r="C27" s="142"/>
      <c r="D27" s="140"/>
      <c r="E27" s="3">
        <v>0.5</v>
      </c>
      <c r="F27" s="3">
        <f t="shared" si="2"/>
        <v>0.50000000000000011</v>
      </c>
      <c r="G27" s="2" t="s">
        <v>59</v>
      </c>
      <c r="H27" s="4">
        <v>0.75</v>
      </c>
      <c r="I27" s="5" t="s">
        <v>41</v>
      </c>
      <c r="J27" s="6" t="s">
        <v>51</v>
      </c>
      <c r="K27" s="7">
        <v>75</v>
      </c>
      <c r="L27" s="7">
        <v>70</v>
      </c>
      <c r="M27" s="7">
        <v>60</v>
      </c>
      <c r="N27" s="7">
        <v>50</v>
      </c>
      <c r="O27" s="7" t="s">
        <v>52</v>
      </c>
      <c r="P27" s="38"/>
      <c r="Q27" s="39">
        <f t="shared" si="3"/>
        <v>0</v>
      </c>
      <c r="R27" s="40">
        <f t="shared" si="4"/>
        <v>0</v>
      </c>
    </row>
    <row r="28" spans="1:18" s="41" customFormat="1" ht="147" customHeight="1" x14ac:dyDescent="0.25">
      <c r="A28" s="127">
        <v>2</v>
      </c>
      <c r="B28" s="136" t="s">
        <v>60</v>
      </c>
      <c r="C28" s="143">
        <v>7</v>
      </c>
      <c r="D28" s="136" t="s">
        <v>61</v>
      </c>
      <c r="E28" s="3">
        <v>1</v>
      </c>
      <c r="F28" s="3">
        <f t="shared" si="2"/>
        <v>1.0000000000000002</v>
      </c>
      <c r="G28" s="2" t="s">
        <v>62</v>
      </c>
      <c r="H28" s="10">
        <v>0.8</v>
      </c>
      <c r="I28" s="1" t="s">
        <v>41</v>
      </c>
      <c r="J28" s="6" t="s">
        <v>63</v>
      </c>
      <c r="K28" s="7">
        <v>80</v>
      </c>
      <c r="L28" s="7">
        <v>75</v>
      </c>
      <c r="M28" s="7">
        <v>70</v>
      </c>
      <c r="N28" s="7">
        <v>50</v>
      </c>
      <c r="O28" s="7" t="s">
        <v>52</v>
      </c>
      <c r="P28" s="38"/>
      <c r="Q28" s="39">
        <f t="shared" si="3"/>
        <v>0</v>
      </c>
      <c r="R28" s="40">
        <f t="shared" si="4"/>
        <v>0</v>
      </c>
    </row>
    <row r="29" spans="1:18" s="41" customFormat="1" ht="147" customHeight="1" x14ac:dyDescent="0.25">
      <c r="A29" s="128"/>
      <c r="B29" s="137"/>
      <c r="C29" s="144"/>
      <c r="D29" s="138"/>
      <c r="E29" s="3">
        <v>1</v>
      </c>
      <c r="F29" s="3">
        <f t="shared" si="2"/>
        <v>1.0000000000000002</v>
      </c>
      <c r="G29" s="2" t="s">
        <v>64</v>
      </c>
      <c r="H29" s="10">
        <v>0.8</v>
      </c>
      <c r="I29" s="1" t="s">
        <v>41</v>
      </c>
      <c r="J29" s="6" t="s">
        <v>63</v>
      </c>
      <c r="K29" s="7">
        <v>80</v>
      </c>
      <c r="L29" s="7">
        <v>75</v>
      </c>
      <c r="M29" s="7">
        <v>70</v>
      </c>
      <c r="N29" s="7">
        <v>50</v>
      </c>
      <c r="O29" s="7" t="s">
        <v>52</v>
      </c>
      <c r="P29" s="38"/>
      <c r="Q29" s="39">
        <f t="shared" si="3"/>
        <v>0</v>
      </c>
      <c r="R29" s="40">
        <f t="shared" si="4"/>
        <v>0</v>
      </c>
    </row>
    <row r="30" spans="1:18" s="41" customFormat="1" ht="147" customHeight="1" x14ac:dyDescent="0.25">
      <c r="A30" s="128"/>
      <c r="B30" s="137"/>
      <c r="C30" s="144"/>
      <c r="D30" s="136" t="s">
        <v>65</v>
      </c>
      <c r="E30" s="3">
        <v>0.66666666666666663</v>
      </c>
      <c r="F30" s="3">
        <f t="shared" si="2"/>
        <v>0.66666666666666674</v>
      </c>
      <c r="G30" s="2" t="s">
        <v>66</v>
      </c>
      <c r="H30" s="10">
        <v>0.8</v>
      </c>
      <c r="I30" s="1" t="s">
        <v>41</v>
      </c>
      <c r="J30" s="6" t="s">
        <v>63</v>
      </c>
      <c r="K30" s="7">
        <v>80</v>
      </c>
      <c r="L30" s="7">
        <v>75</v>
      </c>
      <c r="M30" s="7">
        <v>70</v>
      </c>
      <c r="N30" s="7">
        <v>50</v>
      </c>
      <c r="O30" s="7" t="s">
        <v>52</v>
      </c>
      <c r="P30" s="38"/>
      <c r="Q30" s="39">
        <f t="shared" si="3"/>
        <v>0</v>
      </c>
      <c r="R30" s="40">
        <f t="shared" si="4"/>
        <v>0</v>
      </c>
    </row>
    <row r="31" spans="1:18" s="41" customFormat="1" ht="147" customHeight="1" x14ac:dyDescent="0.25">
      <c r="A31" s="128"/>
      <c r="B31" s="137"/>
      <c r="C31" s="144"/>
      <c r="D31" s="137"/>
      <c r="E31" s="3">
        <v>0.66666666666666663</v>
      </c>
      <c r="F31" s="3">
        <f t="shared" si="2"/>
        <v>0.66666666666666674</v>
      </c>
      <c r="G31" s="2" t="s">
        <v>67</v>
      </c>
      <c r="H31" s="10">
        <v>0.8</v>
      </c>
      <c r="I31" s="1" t="s">
        <v>41</v>
      </c>
      <c r="J31" s="6" t="s">
        <v>63</v>
      </c>
      <c r="K31" s="7">
        <v>80</v>
      </c>
      <c r="L31" s="7">
        <v>75</v>
      </c>
      <c r="M31" s="7">
        <v>70</v>
      </c>
      <c r="N31" s="7">
        <v>50</v>
      </c>
      <c r="O31" s="7" t="s">
        <v>52</v>
      </c>
      <c r="P31" s="38"/>
      <c r="Q31" s="39">
        <f t="shared" si="3"/>
        <v>0</v>
      </c>
      <c r="R31" s="40">
        <f t="shared" si="4"/>
        <v>0</v>
      </c>
    </row>
    <row r="32" spans="1:18" s="41" customFormat="1" ht="147" customHeight="1" x14ac:dyDescent="0.25">
      <c r="A32" s="128"/>
      <c r="B32" s="137"/>
      <c r="C32" s="144"/>
      <c r="D32" s="138"/>
      <c r="E32" s="3">
        <v>0.66666666666666663</v>
      </c>
      <c r="F32" s="3">
        <f t="shared" si="2"/>
        <v>0.66666666666666674</v>
      </c>
      <c r="G32" s="2" t="s">
        <v>68</v>
      </c>
      <c r="H32" s="10">
        <v>0.8</v>
      </c>
      <c r="I32" s="1" t="s">
        <v>41</v>
      </c>
      <c r="J32" s="6" t="s">
        <v>63</v>
      </c>
      <c r="K32" s="7">
        <v>80</v>
      </c>
      <c r="L32" s="7">
        <v>75</v>
      </c>
      <c r="M32" s="7">
        <v>70</v>
      </c>
      <c r="N32" s="7">
        <v>50</v>
      </c>
      <c r="O32" s="7" t="s">
        <v>52</v>
      </c>
      <c r="P32" s="38"/>
      <c r="Q32" s="39">
        <f t="shared" si="3"/>
        <v>0</v>
      </c>
      <c r="R32" s="40">
        <f t="shared" si="4"/>
        <v>0</v>
      </c>
    </row>
    <row r="33" spans="1:18" s="41" customFormat="1" ht="147" customHeight="1" x14ac:dyDescent="0.25">
      <c r="A33" s="128"/>
      <c r="B33" s="137"/>
      <c r="C33" s="144"/>
      <c r="D33" s="136" t="s">
        <v>69</v>
      </c>
      <c r="E33" s="3">
        <v>0.5</v>
      </c>
      <c r="F33" s="3">
        <f t="shared" si="2"/>
        <v>0.50000000000000011</v>
      </c>
      <c r="G33" s="2" t="s">
        <v>70</v>
      </c>
      <c r="H33" s="10">
        <v>0.8</v>
      </c>
      <c r="I33" s="1" t="s">
        <v>41</v>
      </c>
      <c r="J33" s="6" t="s">
        <v>63</v>
      </c>
      <c r="K33" s="7">
        <v>80</v>
      </c>
      <c r="L33" s="7">
        <v>75</v>
      </c>
      <c r="M33" s="7">
        <v>70</v>
      </c>
      <c r="N33" s="7">
        <v>50</v>
      </c>
      <c r="O33" s="7" t="s">
        <v>52</v>
      </c>
      <c r="P33" s="38"/>
      <c r="Q33" s="39">
        <f t="shared" si="3"/>
        <v>0</v>
      </c>
      <c r="R33" s="40">
        <f t="shared" si="4"/>
        <v>0</v>
      </c>
    </row>
    <row r="34" spans="1:18" s="41" customFormat="1" ht="147" customHeight="1" x14ac:dyDescent="0.25">
      <c r="A34" s="128"/>
      <c r="B34" s="137"/>
      <c r="C34" s="144"/>
      <c r="D34" s="138"/>
      <c r="E34" s="3">
        <v>0.5</v>
      </c>
      <c r="F34" s="3">
        <f t="shared" si="2"/>
        <v>0.50000000000000011</v>
      </c>
      <c r="G34" s="2" t="s">
        <v>71</v>
      </c>
      <c r="H34" s="10">
        <v>1</v>
      </c>
      <c r="I34" s="5" t="s">
        <v>41</v>
      </c>
      <c r="J34" s="6">
        <v>100</v>
      </c>
      <c r="K34" s="7">
        <v>95</v>
      </c>
      <c r="L34" s="7">
        <v>90</v>
      </c>
      <c r="M34" s="7">
        <v>85</v>
      </c>
      <c r="N34" s="7">
        <v>80</v>
      </c>
      <c r="O34" s="7" t="s">
        <v>42</v>
      </c>
      <c r="P34" s="38"/>
      <c r="Q34" s="39">
        <f t="shared" si="3"/>
        <v>0</v>
      </c>
      <c r="R34" s="40">
        <f t="shared" si="4"/>
        <v>0</v>
      </c>
    </row>
    <row r="35" spans="1:18" s="41" customFormat="1" ht="147" customHeight="1" x14ac:dyDescent="0.25">
      <c r="A35" s="128"/>
      <c r="B35" s="137"/>
      <c r="C35" s="144"/>
      <c r="D35" s="136" t="s">
        <v>72</v>
      </c>
      <c r="E35" s="3">
        <v>0.5</v>
      </c>
      <c r="F35" s="3">
        <f t="shared" si="2"/>
        <v>0.50000000000000011</v>
      </c>
      <c r="G35" s="2" t="s">
        <v>73</v>
      </c>
      <c r="H35" s="10">
        <v>0.9</v>
      </c>
      <c r="I35" s="1" t="s">
        <v>41</v>
      </c>
      <c r="J35" s="6" t="s">
        <v>74</v>
      </c>
      <c r="K35" s="7">
        <v>90</v>
      </c>
      <c r="L35" s="7">
        <v>80</v>
      </c>
      <c r="M35" s="7">
        <v>70</v>
      </c>
      <c r="N35" s="7">
        <v>50</v>
      </c>
      <c r="O35" s="7" t="s">
        <v>52</v>
      </c>
      <c r="P35" s="38"/>
      <c r="Q35" s="39">
        <f t="shared" si="3"/>
        <v>0</v>
      </c>
      <c r="R35" s="40">
        <f t="shared" si="4"/>
        <v>0</v>
      </c>
    </row>
    <row r="36" spans="1:18" s="41" customFormat="1" ht="147" customHeight="1" x14ac:dyDescent="0.25">
      <c r="A36" s="128"/>
      <c r="B36" s="137"/>
      <c r="C36" s="144"/>
      <c r="D36" s="138"/>
      <c r="E36" s="3">
        <v>0.5</v>
      </c>
      <c r="F36" s="3">
        <f t="shared" si="2"/>
        <v>0.50000000000000011</v>
      </c>
      <c r="G36" s="2" t="s">
        <v>75</v>
      </c>
      <c r="H36" s="10">
        <v>0.8</v>
      </c>
      <c r="I36" s="1" t="s">
        <v>41</v>
      </c>
      <c r="J36" s="6" t="s">
        <v>63</v>
      </c>
      <c r="K36" s="7">
        <v>80</v>
      </c>
      <c r="L36" s="7">
        <v>75</v>
      </c>
      <c r="M36" s="7">
        <v>70</v>
      </c>
      <c r="N36" s="7">
        <v>50</v>
      </c>
      <c r="O36" s="7" t="s">
        <v>52</v>
      </c>
      <c r="P36" s="38"/>
      <c r="Q36" s="39">
        <f t="shared" si="3"/>
        <v>0</v>
      </c>
      <c r="R36" s="40">
        <f t="shared" si="4"/>
        <v>0</v>
      </c>
    </row>
    <row r="37" spans="1:18" s="41" customFormat="1" ht="147" customHeight="1" x14ac:dyDescent="0.25">
      <c r="A37" s="128"/>
      <c r="B37" s="137"/>
      <c r="C37" s="144"/>
      <c r="D37" s="136" t="s">
        <v>76</v>
      </c>
      <c r="E37" s="3">
        <v>0.5</v>
      </c>
      <c r="F37" s="3">
        <f t="shared" si="2"/>
        <v>0.50000000000000011</v>
      </c>
      <c r="G37" s="2" t="s">
        <v>77</v>
      </c>
      <c r="H37" s="10">
        <v>1</v>
      </c>
      <c r="I37" s="5" t="s">
        <v>41</v>
      </c>
      <c r="J37" s="6">
        <v>100</v>
      </c>
      <c r="K37" s="7">
        <v>95</v>
      </c>
      <c r="L37" s="7">
        <v>90</v>
      </c>
      <c r="M37" s="7">
        <v>85</v>
      </c>
      <c r="N37" s="7">
        <v>80</v>
      </c>
      <c r="O37" s="7" t="s">
        <v>42</v>
      </c>
      <c r="P37" s="38"/>
      <c r="Q37" s="39">
        <f t="shared" si="3"/>
        <v>0</v>
      </c>
      <c r="R37" s="40">
        <f t="shared" si="4"/>
        <v>0</v>
      </c>
    </row>
    <row r="38" spans="1:18" s="41" customFormat="1" ht="147" customHeight="1" x14ac:dyDescent="0.25">
      <c r="A38" s="128"/>
      <c r="B38" s="137"/>
      <c r="C38" s="144"/>
      <c r="D38" s="137"/>
      <c r="E38" s="3">
        <v>0.25</v>
      </c>
      <c r="F38" s="3">
        <f t="shared" si="2"/>
        <v>0.25000000000000006</v>
      </c>
      <c r="G38" s="2" t="s">
        <v>78</v>
      </c>
      <c r="H38" s="10">
        <v>0.8</v>
      </c>
      <c r="I38" s="1" t="s">
        <v>41</v>
      </c>
      <c r="J38" s="6" t="s">
        <v>63</v>
      </c>
      <c r="K38" s="7">
        <v>80</v>
      </c>
      <c r="L38" s="7">
        <v>75</v>
      </c>
      <c r="M38" s="7">
        <v>70</v>
      </c>
      <c r="N38" s="7">
        <v>50</v>
      </c>
      <c r="O38" s="7" t="s">
        <v>52</v>
      </c>
      <c r="P38" s="38"/>
      <c r="Q38" s="39">
        <f t="shared" si="3"/>
        <v>0</v>
      </c>
      <c r="R38" s="40">
        <f t="shared" si="4"/>
        <v>0</v>
      </c>
    </row>
    <row r="39" spans="1:18" s="41" customFormat="1" ht="147" customHeight="1" x14ac:dyDescent="0.25">
      <c r="A39" s="129"/>
      <c r="B39" s="138"/>
      <c r="C39" s="145"/>
      <c r="D39" s="138"/>
      <c r="E39" s="3">
        <v>0.25</v>
      </c>
      <c r="F39" s="3">
        <f t="shared" si="2"/>
        <v>0.25000000000000006</v>
      </c>
      <c r="G39" s="2" t="s">
        <v>79</v>
      </c>
      <c r="H39" s="10">
        <v>1</v>
      </c>
      <c r="I39" s="5" t="s">
        <v>41</v>
      </c>
      <c r="J39" s="6">
        <v>100</v>
      </c>
      <c r="K39" s="7">
        <v>95</v>
      </c>
      <c r="L39" s="7">
        <v>90</v>
      </c>
      <c r="M39" s="7">
        <v>85</v>
      </c>
      <c r="N39" s="7">
        <v>80</v>
      </c>
      <c r="O39" s="7" t="s">
        <v>42</v>
      </c>
      <c r="P39" s="38"/>
      <c r="Q39" s="39">
        <f t="shared" si="3"/>
        <v>0</v>
      </c>
      <c r="R39" s="40">
        <f t="shared" si="4"/>
        <v>0</v>
      </c>
    </row>
    <row r="40" spans="1:18" s="41" customFormat="1" ht="147" customHeight="1" x14ac:dyDescent="0.25">
      <c r="A40" s="127">
        <v>3</v>
      </c>
      <c r="B40" s="140" t="s">
        <v>153</v>
      </c>
      <c r="C40" s="143">
        <f>SUM(E40:E53)</f>
        <v>10</v>
      </c>
      <c r="D40" s="140" t="s">
        <v>154</v>
      </c>
      <c r="E40" s="3">
        <v>0.5</v>
      </c>
      <c r="F40" s="3">
        <f t="shared" si="2"/>
        <v>0.50000000000000011</v>
      </c>
      <c r="G40" s="8" t="s">
        <v>155</v>
      </c>
      <c r="H40" s="1">
        <v>30</v>
      </c>
      <c r="I40" s="5" t="s">
        <v>55</v>
      </c>
      <c r="J40" s="6" t="s">
        <v>156</v>
      </c>
      <c r="K40" s="7">
        <v>30</v>
      </c>
      <c r="L40" s="7">
        <v>25</v>
      </c>
      <c r="M40" s="7">
        <v>20</v>
      </c>
      <c r="N40" s="7">
        <v>15</v>
      </c>
      <c r="O40" s="7" t="s">
        <v>157</v>
      </c>
      <c r="P40" s="38"/>
      <c r="Q40" s="39">
        <f t="shared" si="3"/>
        <v>0</v>
      </c>
      <c r="R40" s="40">
        <f t="shared" si="4"/>
        <v>0</v>
      </c>
    </row>
    <row r="41" spans="1:18" s="41" customFormat="1" ht="147" customHeight="1" x14ac:dyDescent="0.25">
      <c r="A41" s="128"/>
      <c r="B41" s="140"/>
      <c r="C41" s="144"/>
      <c r="D41" s="140"/>
      <c r="E41" s="3">
        <v>0.5</v>
      </c>
      <c r="F41" s="3">
        <f t="shared" si="2"/>
        <v>0.50000000000000011</v>
      </c>
      <c r="G41" s="8" t="s">
        <v>158</v>
      </c>
      <c r="H41" s="10">
        <v>1</v>
      </c>
      <c r="I41" s="5" t="s">
        <v>41</v>
      </c>
      <c r="J41" s="6">
        <v>100</v>
      </c>
      <c r="K41" s="7">
        <v>95</v>
      </c>
      <c r="L41" s="7">
        <v>90</v>
      </c>
      <c r="M41" s="7">
        <v>85</v>
      </c>
      <c r="N41" s="7">
        <v>80</v>
      </c>
      <c r="O41" s="7" t="s">
        <v>42</v>
      </c>
      <c r="P41" s="38"/>
      <c r="Q41" s="39">
        <f t="shared" si="3"/>
        <v>0</v>
      </c>
      <c r="R41" s="40">
        <f t="shared" si="4"/>
        <v>0</v>
      </c>
    </row>
    <row r="42" spans="1:18" s="41" customFormat="1" ht="147" customHeight="1" x14ac:dyDescent="0.25">
      <c r="A42" s="128"/>
      <c r="B42" s="140"/>
      <c r="C42" s="144"/>
      <c r="D42" s="140"/>
      <c r="E42" s="3">
        <v>0.5</v>
      </c>
      <c r="F42" s="3">
        <f t="shared" si="2"/>
        <v>0.50000000000000011</v>
      </c>
      <c r="G42" s="8" t="s">
        <v>159</v>
      </c>
      <c r="H42" s="10">
        <v>0.9</v>
      </c>
      <c r="I42" s="1" t="s">
        <v>41</v>
      </c>
      <c r="J42" s="6" t="s">
        <v>74</v>
      </c>
      <c r="K42" s="7">
        <v>90</v>
      </c>
      <c r="L42" s="7">
        <v>80</v>
      </c>
      <c r="M42" s="7">
        <v>70</v>
      </c>
      <c r="N42" s="7">
        <v>50</v>
      </c>
      <c r="O42" s="7" t="s">
        <v>52</v>
      </c>
      <c r="P42" s="38"/>
      <c r="Q42" s="39">
        <f t="shared" si="3"/>
        <v>0</v>
      </c>
      <c r="R42" s="40">
        <f t="shared" si="4"/>
        <v>0</v>
      </c>
    </row>
    <row r="43" spans="1:18" s="41" customFormat="1" ht="147" customHeight="1" x14ac:dyDescent="0.25">
      <c r="A43" s="128"/>
      <c r="B43" s="140"/>
      <c r="C43" s="144"/>
      <c r="D43" s="140" t="s">
        <v>160</v>
      </c>
      <c r="E43" s="3">
        <v>0.5</v>
      </c>
      <c r="F43" s="3">
        <f t="shared" si="2"/>
        <v>0.50000000000000011</v>
      </c>
      <c r="G43" s="8" t="s">
        <v>161</v>
      </c>
      <c r="H43" s="10">
        <v>1</v>
      </c>
      <c r="I43" s="5" t="s">
        <v>41</v>
      </c>
      <c r="J43" s="6">
        <v>100</v>
      </c>
      <c r="K43" s="7">
        <v>95</v>
      </c>
      <c r="L43" s="7">
        <v>90</v>
      </c>
      <c r="M43" s="7">
        <v>85</v>
      </c>
      <c r="N43" s="7">
        <v>80</v>
      </c>
      <c r="O43" s="7" t="s">
        <v>42</v>
      </c>
      <c r="P43" s="38"/>
      <c r="Q43" s="39">
        <f t="shared" si="3"/>
        <v>0</v>
      </c>
      <c r="R43" s="40">
        <f t="shared" si="4"/>
        <v>0</v>
      </c>
    </row>
    <row r="44" spans="1:18" s="41" customFormat="1" ht="147" customHeight="1" x14ac:dyDescent="0.25">
      <c r="A44" s="128"/>
      <c r="B44" s="140"/>
      <c r="C44" s="144"/>
      <c r="D44" s="140"/>
      <c r="E44" s="3">
        <v>0.5</v>
      </c>
      <c r="F44" s="3">
        <f t="shared" si="2"/>
        <v>0.50000000000000011</v>
      </c>
      <c r="G44" s="8" t="s">
        <v>162</v>
      </c>
      <c r="H44" s="10">
        <v>0.9</v>
      </c>
      <c r="I44" s="1" t="s">
        <v>41</v>
      </c>
      <c r="J44" s="6" t="s">
        <v>74</v>
      </c>
      <c r="K44" s="7">
        <v>90</v>
      </c>
      <c r="L44" s="7">
        <v>80</v>
      </c>
      <c r="M44" s="7">
        <v>70</v>
      </c>
      <c r="N44" s="7">
        <v>50</v>
      </c>
      <c r="O44" s="7" t="s">
        <v>52</v>
      </c>
      <c r="P44" s="38"/>
      <c r="Q44" s="39">
        <f t="shared" si="3"/>
        <v>0</v>
      </c>
      <c r="R44" s="40">
        <f t="shared" si="4"/>
        <v>0</v>
      </c>
    </row>
    <row r="45" spans="1:18" s="41" customFormat="1" ht="147" customHeight="1" x14ac:dyDescent="0.25">
      <c r="A45" s="128"/>
      <c r="B45" s="140"/>
      <c r="C45" s="144"/>
      <c r="D45" s="140" t="s">
        <v>163</v>
      </c>
      <c r="E45" s="3">
        <v>1</v>
      </c>
      <c r="F45" s="3">
        <f t="shared" si="2"/>
        <v>1.0000000000000002</v>
      </c>
      <c r="G45" s="8" t="s">
        <v>164</v>
      </c>
      <c r="H45" s="1">
        <v>4</v>
      </c>
      <c r="I45" s="5" t="s">
        <v>56</v>
      </c>
      <c r="J45" s="6">
        <v>4</v>
      </c>
      <c r="K45" s="7">
        <v>3</v>
      </c>
      <c r="L45" s="7">
        <v>2</v>
      </c>
      <c r="M45" s="7">
        <v>1</v>
      </c>
      <c r="N45" s="7">
        <v>0</v>
      </c>
      <c r="O45" s="7"/>
      <c r="P45" s="38"/>
      <c r="Q45" s="39">
        <f t="shared" si="3"/>
        <v>0</v>
      </c>
      <c r="R45" s="40">
        <f t="shared" si="4"/>
        <v>0</v>
      </c>
    </row>
    <row r="46" spans="1:18" s="41" customFormat="1" ht="147" customHeight="1" x14ac:dyDescent="0.25">
      <c r="A46" s="128"/>
      <c r="B46" s="140"/>
      <c r="C46" s="144"/>
      <c r="D46" s="140"/>
      <c r="E46" s="3">
        <v>1</v>
      </c>
      <c r="F46" s="3">
        <f t="shared" si="2"/>
        <v>1.0000000000000002</v>
      </c>
      <c r="G46" s="8" t="s">
        <v>165</v>
      </c>
      <c r="H46" s="10">
        <v>0.9</v>
      </c>
      <c r="I46" s="1" t="s">
        <v>41</v>
      </c>
      <c r="J46" s="6" t="s">
        <v>74</v>
      </c>
      <c r="K46" s="7">
        <v>90</v>
      </c>
      <c r="L46" s="7">
        <v>80</v>
      </c>
      <c r="M46" s="7">
        <v>70</v>
      </c>
      <c r="N46" s="7">
        <v>50</v>
      </c>
      <c r="O46" s="7" t="s">
        <v>52</v>
      </c>
      <c r="P46" s="38"/>
      <c r="Q46" s="39">
        <f t="shared" si="3"/>
        <v>0</v>
      </c>
      <c r="R46" s="40">
        <f t="shared" si="4"/>
        <v>0</v>
      </c>
    </row>
    <row r="47" spans="1:18" s="41" customFormat="1" ht="147" customHeight="1" x14ac:dyDescent="0.25">
      <c r="A47" s="128"/>
      <c r="B47" s="140"/>
      <c r="C47" s="144"/>
      <c r="D47" s="140" t="s">
        <v>166</v>
      </c>
      <c r="E47" s="3">
        <v>1</v>
      </c>
      <c r="F47" s="3">
        <f t="shared" si="2"/>
        <v>1.0000000000000002</v>
      </c>
      <c r="G47" s="8" t="s">
        <v>167</v>
      </c>
      <c r="H47" s="1">
        <v>20</v>
      </c>
      <c r="I47" s="5" t="s">
        <v>95</v>
      </c>
      <c r="J47" s="6">
        <v>20</v>
      </c>
      <c r="K47" s="7">
        <v>15</v>
      </c>
      <c r="L47" s="7">
        <v>10</v>
      </c>
      <c r="M47" s="7">
        <v>5</v>
      </c>
      <c r="N47" s="7">
        <v>3</v>
      </c>
      <c r="O47" s="7" t="s">
        <v>168</v>
      </c>
      <c r="P47" s="38"/>
      <c r="Q47" s="39">
        <f t="shared" si="3"/>
        <v>0</v>
      </c>
      <c r="R47" s="40">
        <f t="shared" si="4"/>
        <v>0</v>
      </c>
    </row>
    <row r="48" spans="1:18" s="41" customFormat="1" ht="147" customHeight="1" x14ac:dyDescent="0.25">
      <c r="A48" s="128"/>
      <c r="B48" s="140"/>
      <c r="C48" s="144"/>
      <c r="D48" s="140"/>
      <c r="E48" s="3">
        <v>1</v>
      </c>
      <c r="F48" s="3">
        <f t="shared" si="2"/>
        <v>1.0000000000000002</v>
      </c>
      <c r="G48" s="8" t="s">
        <v>169</v>
      </c>
      <c r="H48" s="1">
        <v>80</v>
      </c>
      <c r="I48" s="1" t="s">
        <v>41</v>
      </c>
      <c r="J48" s="6" t="s">
        <v>63</v>
      </c>
      <c r="K48" s="7">
        <v>80</v>
      </c>
      <c r="L48" s="7">
        <v>75</v>
      </c>
      <c r="M48" s="7">
        <v>70</v>
      </c>
      <c r="N48" s="7">
        <v>50</v>
      </c>
      <c r="O48" s="7" t="s">
        <v>52</v>
      </c>
      <c r="P48" s="38"/>
      <c r="Q48" s="39">
        <f t="shared" si="3"/>
        <v>0</v>
      </c>
      <c r="R48" s="40">
        <f t="shared" si="4"/>
        <v>0</v>
      </c>
    </row>
    <row r="49" spans="1:18" s="41" customFormat="1" ht="147" customHeight="1" x14ac:dyDescent="0.25">
      <c r="A49" s="128"/>
      <c r="B49" s="140"/>
      <c r="C49" s="144"/>
      <c r="D49" s="140" t="s">
        <v>170</v>
      </c>
      <c r="E49" s="3">
        <v>0.5</v>
      </c>
      <c r="F49" s="3">
        <f t="shared" si="2"/>
        <v>0.50000000000000011</v>
      </c>
      <c r="G49" s="8" t="s">
        <v>171</v>
      </c>
      <c r="H49" s="1">
        <v>6</v>
      </c>
      <c r="I49" s="5" t="s">
        <v>172</v>
      </c>
      <c r="J49" s="6">
        <v>6</v>
      </c>
      <c r="K49" s="7">
        <v>5</v>
      </c>
      <c r="L49" s="7">
        <v>4</v>
      </c>
      <c r="M49" s="7">
        <v>2</v>
      </c>
      <c r="N49" s="7">
        <v>1</v>
      </c>
      <c r="O49" s="7">
        <v>0</v>
      </c>
      <c r="P49" s="38"/>
      <c r="Q49" s="39">
        <f t="shared" si="3"/>
        <v>0</v>
      </c>
      <c r="R49" s="40">
        <f t="shared" si="4"/>
        <v>0</v>
      </c>
    </row>
    <row r="50" spans="1:18" s="41" customFormat="1" ht="147" customHeight="1" x14ac:dyDescent="0.25">
      <c r="A50" s="128"/>
      <c r="B50" s="140"/>
      <c r="C50" s="144"/>
      <c r="D50" s="140"/>
      <c r="E50" s="3">
        <v>0.5</v>
      </c>
      <c r="F50" s="3">
        <f t="shared" si="2"/>
        <v>0.50000000000000011</v>
      </c>
      <c r="G50" s="8" t="s">
        <v>173</v>
      </c>
      <c r="H50" s="10">
        <v>1</v>
      </c>
      <c r="I50" s="5" t="s">
        <v>41</v>
      </c>
      <c r="J50" s="6">
        <v>100</v>
      </c>
      <c r="K50" s="7">
        <v>95</v>
      </c>
      <c r="L50" s="7">
        <v>90</v>
      </c>
      <c r="M50" s="7">
        <v>85</v>
      </c>
      <c r="N50" s="7">
        <v>80</v>
      </c>
      <c r="O50" s="7" t="s">
        <v>42</v>
      </c>
      <c r="P50" s="38"/>
      <c r="Q50" s="39">
        <f t="shared" si="3"/>
        <v>0</v>
      </c>
      <c r="R50" s="40">
        <f t="shared" si="4"/>
        <v>0</v>
      </c>
    </row>
    <row r="51" spans="1:18" s="41" customFormat="1" ht="147" customHeight="1" x14ac:dyDescent="0.25">
      <c r="A51" s="128"/>
      <c r="B51" s="140"/>
      <c r="C51" s="144"/>
      <c r="D51" s="140" t="s">
        <v>174</v>
      </c>
      <c r="E51" s="3">
        <v>0.75</v>
      </c>
      <c r="F51" s="3">
        <f t="shared" si="2"/>
        <v>0.75000000000000011</v>
      </c>
      <c r="G51" s="8" t="s">
        <v>175</v>
      </c>
      <c r="H51" s="10">
        <v>1</v>
      </c>
      <c r="I51" s="5" t="s">
        <v>41</v>
      </c>
      <c r="J51" s="6">
        <v>100</v>
      </c>
      <c r="K51" s="7">
        <v>95</v>
      </c>
      <c r="L51" s="7">
        <v>90</v>
      </c>
      <c r="M51" s="7">
        <v>85</v>
      </c>
      <c r="N51" s="7">
        <v>80</v>
      </c>
      <c r="O51" s="7" t="s">
        <v>42</v>
      </c>
      <c r="P51" s="38"/>
      <c r="Q51" s="39">
        <f t="shared" si="3"/>
        <v>0</v>
      </c>
      <c r="R51" s="40">
        <f t="shared" si="4"/>
        <v>0</v>
      </c>
    </row>
    <row r="52" spans="1:18" s="41" customFormat="1" ht="147" customHeight="1" x14ac:dyDescent="0.25">
      <c r="A52" s="128"/>
      <c r="B52" s="140"/>
      <c r="C52" s="144"/>
      <c r="D52" s="140"/>
      <c r="E52" s="3">
        <v>0.75</v>
      </c>
      <c r="F52" s="3">
        <f t="shared" si="2"/>
        <v>0.75000000000000011</v>
      </c>
      <c r="G52" s="8" t="s">
        <v>176</v>
      </c>
      <c r="H52" s="10">
        <v>1</v>
      </c>
      <c r="I52" s="5" t="s">
        <v>41</v>
      </c>
      <c r="J52" s="6">
        <v>100</v>
      </c>
      <c r="K52" s="7">
        <v>95</v>
      </c>
      <c r="L52" s="7">
        <v>90</v>
      </c>
      <c r="M52" s="7">
        <v>85</v>
      </c>
      <c r="N52" s="7">
        <v>80</v>
      </c>
      <c r="O52" s="7" t="s">
        <v>42</v>
      </c>
      <c r="P52" s="38"/>
      <c r="Q52" s="39">
        <f t="shared" si="3"/>
        <v>0</v>
      </c>
      <c r="R52" s="40">
        <f t="shared" si="4"/>
        <v>0</v>
      </c>
    </row>
    <row r="53" spans="1:18" s="41" customFormat="1" ht="147" customHeight="1" x14ac:dyDescent="0.25">
      <c r="A53" s="128"/>
      <c r="B53" s="140"/>
      <c r="C53" s="145"/>
      <c r="D53" s="2" t="s">
        <v>177</v>
      </c>
      <c r="E53" s="3">
        <v>1</v>
      </c>
      <c r="F53" s="3">
        <f t="shared" si="2"/>
        <v>1.0000000000000002</v>
      </c>
      <c r="G53" s="2" t="s">
        <v>178</v>
      </c>
      <c r="H53" s="10">
        <v>0.9</v>
      </c>
      <c r="I53" s="1" t="s">
        <v>41</v>
      </c>
      <c r="J53" s="6" t="s">
        <v>74</v>
      </c>
      <c r="K53" s="7">
        <v>90</v>
      </c>
      <c r="L53" s="7">
        <v>80</v>
      </c>
      <c r="M53" s="7">
        <v>70</v>
      </c>
      <c r="N53" s="7">
        <v>50</v>
      </c>
      <c r="O53" s="7" t="s">
        <v>52</v>
      </c>
      <c r="P53" s="38"/>
      <c r="Q53" s="39">
        <f t="shared" si="3"/>
        <v>0</v>
      </c>
      <c r="R53" s="40">
        <f t="shared" si="4"/>
        <v>0</v>
      </c>
    </row>
    <row r="54" spans="1:18" s="41" customFormat="1" ht="147" customHeight="1" x14ac:dyDescent="0.25">
      <c r="A54" s="139">
        <v>4</v>
      </c>
      <c r="B54" s="140" t="s">
        <v>179</v>
      </c>
      <c r="C54" s="142">
        <f>SUM(E54:E61)</f>
        <v>2</v>
      </c>
      <c r="D54" s="140" t="s">
        <v>180</v>
      </c>
      <c r="E54" s="3">
        <v>0.25</v>
      </c>
      <c r="F54" s="3">
        <f t="shared" si="2"/>
        <v>0.25000000000000006</v>
      </c>
      <c r="G54" s="8" t="s">
        <v>181</v>
      </c>
      <c r="H54" s="10">
        <v>1</v>
      </c>
      <c r="I54" s="5" t="s">
        <v>41</v>
      </c>
      <c r="J54" s="6">
        <v>100</v>
      </c>
      <c r="K54" s="7">
        <v>95</v>
      </c>
      <c r="L54" s="7">
        <v>90</v>
      </c>
      <c r="M54" s="7">
        <v>85</v>
      </c>
      <c r="N54" s="7">
        <v>80</v>
      </c>
      <c r="O54" s="7" t="s">
        <v>42</v>
      </c>
      <c r="P54" s="38"/>
      <c r="Q54" s="39">
        <f t="shared" si="3"/>
        <v>0</v>
      </c>
      <c r="R54" s="40">
        <f t="shared" si="4"/>
        <v>0</v>
      </c>
    </row>
    <row r="55" spans="1:18" s="41" customFormat="1" ht="147" customHeight="1" x14ac:dyDescent="0.25">
      <c r="A55" s="139"/>
      <c r="B55" s="140"/>
      <c r="C55" s="142"/>
      <c r="D55" s="140"/>
      <c r="E55" s="3">
        <v>0.25</v>
      </c>
      <c r="F55" s="3">
        <f t="shared" si="2"/>
        <v>0.25000000000000006</v>
      </c>
      <c r="G55" s="8" t="s">
        <v>182</v>
      </c>
      <c r="H55" s="10">
        <v>1</v>
      </c>
      <c r="I55" s="5" t="s">
        <v>41</v>
      </c>
      <c r="J55" s="6">
        <v>100</v>
      </c>
      <c r="K55" s="7">
        <v>95</v>
      </c>
      <c r="L55" s="7">
        <v>90</v>
      </c>
      <c r="M55" s="7">
        <v>85</v>
      </c>
      <c r="N55" s="7">
        <v>80</v>
      </c>
      <c r="O55" s="7" t="s">
        <v>42</v>
      </c>
      <c r="P55" s="38"/>
      <c r="Q55" s="39">
        <f t="shared" si="3"/>
        <v>0</v>
      </c>
      <c r="R55" s="40">
        <f t="shared" si="4"/>
        <v>0</v>
      </c>
    </row>
    <row r="56" spans="1:18" s="41" customFormat="1" ht="147" customHeight="1" x14ac:dyDescent="0.25">
      <c r="A56" s="139"/>
      <c r="B56" s="140"/>
      <c r="C56" s="142"/>
      <c r="D56" s="140"/>
      <c r="E56" s="3">
        <v>0.25</v>
      </c>
      <c r="F56" s="3">
        <f t="shared" si="2"/>
        <v>0.25000000000000006</v>
      </c>
      <c r="G56" s="8" t="s">
        <v>183</v>
      </c>
      <c r="H56" s="10">
        <v>0.9</v>
      </c>
      <c r="I56" s="1" t="s">
        <v>41</v>
      </c>
      <c r="J56" s="6" t="s">
        <v>74</v>
      </c>
      <c r="K56" s="7">
        <v>90</v>
      </c>
      <c r="L56" s="7">
        <v>80</v>
      </c>
      <c r="M56" s="7">
        <v>70</v>
      </c>
      <c r="N56" s="7">
        <v>50</v>
      </c>
      <c r="O56" s="7" t="s">
        <v>52</v>
      </c>
      <c r="P56" s="38"/>
      <c r="Q56" s="39">
        <f t="shared" si="3"/>
        <v>0</v>
      </c>
      <c r="R56" s="40">
        <f t="shared" si="4"/>
        <v>0</v>
      </c>
    </row>
    <row r="57" spans="1:18" s="41" customFormat="1" ht="147" customHeight="1" x14ac:dyDescent="0.25">
      <c r="A57" s="139"/>
      <c r="B57" s="140"/>
      <c r="C57" s="142"/>
      <c r="D57" s="140"/>
      <c r="E57" s="3">
        <v>0.25</v>
      </c>
      <c r="F57" s="3">
        <f t="shared" si="2"/>
        <v>0.25000000000000006</v>
      </c>
      <c r="G57" s="8" t="s">
        <v>184</v>
      </c>
      <c r="H57" s="10">
        <v>0.9</v>
      </c>
      <c r="I57" s="1" t="s">
        <v>41</v>
      </c>
      <c r="J57" s="6" t="s">
        <v>74</v>
      </c>
      <c r="K57" s="7">
        <v>90</v>
      </c>
      <c r="L57" s="7">
        <v>80</v>
      </c>
      <c r="M57" s="7">
        <v>70</v>
      </c>
      <c r="N57" s="7">
        <v>50</v>
      </c>
      <c r="O57" s="7" t="s">
        <v>52</v>
      </c>
      <c r="P57" s="38"/>
      <c r="Q57" s="39">
        <f t="shared" si="3"/>
        <v>0</v>
      </c>
      <c r="R57" s="40">
        <f t="shared" si="4"/>
        <v>0</v>
      </c>
    </row>
    <row r="58" spans="1:18" s="41" customFormat="1" ht="147" customHeight="1" x14ac:dyDescent="0.25">
      <c r="A58" s="139"/>
      <c r="B58" s="140"/>
      <c r="C58" s="142"/>
      <c r="D58" s="140"/>
      <c r="E58" s="3">
        <v>0.25</v>
      </c>
      <c r="F58" s="3">
        <f t="shared" si="2"/>
        <v>0.25000000000000006</v>
      </c>
      <c r="G58" s="8" t="s">
        <v>185</v>
      </c>
      <c r="H58" s="10">
        <v>0.8</v>
      </c>
      <c r="I58" s="1" t="s">
        <v>41</v>
      </c>
      <c r="J58" s="6" t="s">
        <v>63</v>
      </c>
      <c r="K58" s="7">
        <v>80</v>
      </c>
      <c r="L58" s="7">
        <v>75</v>
      </c>
      <c r="M58" s="7">
        <v>70</v>
      </c>
      <c r="N58" s="7">
        <v>50</v>
      </c>
      <c r="O58" s="7" t="s">
        <v>52</v>
      </c>
      <c r="P58" s="38"/>
      <c r="Q58" s="39">
        <f t="shared" si="3"/>
        <v>0</v>
      </c>
      <c r="R58" s="40">
        <f t="shared" si="4"/>
        <v>0</v>
      </c>
    </row>
    <row r="59" spans="1:18" s="41" customFormat="1" ht="147" customHeight="1" x14ac:dyDescent="0.25">
      <c r="A59" s="139"/>
      <c r="B59" s="140"/>
      <c r="C59" s="142"/>
      <c r="D59" s="140"/>
      <c r="E59" s="3">
        <v>0.25</v>
      </c>
      <c r="F59" s="3">
        <f t="shared" si="2"/>
        <v>0.25000000000000006</v>
      </c>
      <c r="G59" s="8" t="s">
        <v>186</v>
      </c>
      <c r="H59" s="10">
        <v>1</v>
      </c>
      <c r="I59" s="5" t="s">
        <v>41</v>
      </c>
      <c r="J59" s="6">
        <v>100</v>
      </c>
      <c r="K59" s="7">
        <v>95</v>
      </c>
      <c r="L59" s="7">
        <v>90</v>
      </c>
      <c r="M59" s="7">
        <v>85</v>
      </c>
      <c r="N59" s="7">
        <v>80</v>
      </c>
      <c r="O59" s="7" t="s">
        <v>42</v>
      </c>
      <c r="P59" s="38"/>
      <c r="Q59" s="39">
        <f t="shared" si="3"/>
        <v>0</v>
      </c>
      <c r="R59" s="40">
        <f t="shared" si="4"/>
        <v>0</v>
      </c>
    </row>
    <row r="60" spans="1:18" s="41" customFormat="1" ht="147" customHeight="1" x14ac:dyDescent="0.25">
      <c r="A60" s="139"/>
      <c r="B60" s="140"/>
      <c r="C60" s="142"/>
      <c r="D60" s="140"/>
      <c r="E60" s="3">
        <v>0.25</v>
      </c>
      <c r="F60" s="3">
        <f t="shared" si="2"/>
        <v>0.25000000000000006</v>
      </c>
      <c r="G60" s="8" t="s">
        <v>187</v>
      </c>
      <c r="H60" s="10">
        <v>1</v>
      </c>
      <c r="I60" s="5" t="s">
        <v>41</v>
      </c>
      <c r="J60" s="6">
        <v>100</v>
      </c>
      <c r="K60" s="7">
        <v>95</v>
      </c>
      <c r="L60" s="7">
        <v>90</v>
      </c>
      <c r="M60" s="7">
        <v>85</v>
      </c>
      <c r="N60" s="7">
        <v>80</v>
      </c>
      <c r="O60" s="7" t="s">
        <v>42</v>
      </c>
      <c r="P60" s="38"/>
      <c r="Q60" s="39">
        <f t="shared" si="3"/>
        <v>0</v>
      </c>
      <c r="R60" s="40">
        <f t="shared" si="4"/>
        <v>0</v>
      </c>
    </row>
    <row r="61" spans="1:18" s="41" customFormat="1" ht="147" customHeight="1" x14ac:dyDescent="0.25">
      <c r="A61" s="139"/>
      <c r="B61" s="140"/>
      <c r="C61" s="142"/>
      <c r="D61" s="140"/>
      <c r="E61" s="3">
        <v>0.25</v>
      </c>
      <c r="F61" s="3">
        <f t="shared" si="2"/>
        <v>0.25000000000000006</v>
      </c>
      <c r="G61" s="8" t="s">
        <v>188</v>
      </c>
      <c r="H61" s="10">
        <v>1</v>
      </c>
      <c r="I61" s="5" t="s">
        <v>41</v>
      </c>
      <c r="J61" s="6">
        <v>100</v>
      </c>
      <c r="K61" s="7">
        <v>95</v>
      </c>
      <c r="L61" s="7">
        <v>90</v>
      </c>
      <c r="M61" s="7">
        <v>85</v>
      </c>
      <c r="N61" s="7">
        <v>80</v>
      </c>
      <c r="O61" s="7" t="s">
        <v>42</v>
      </c>
      <c r="P61" s="38"/>
      <c r="Q61" s="39">
        <f t="shared" si="3"/>
        <v>0</v>
      </c>
      <c r="R61" s="40">
        <f t="shared" si="4"/>
        <v>0</v>
      </c>
    </row>
    <row r="62" spans="1:18" s="41" customFormat="1" ht="147" customHeight="1" x14ac:dyDescent="0.25">
      <c r="A62" s="139">
        <v>5</v>
      </c>
      <c r="B62" s="140" t="s">
        <v>189</v>
      </c>
      <c r="C62" s="142">
        <f>SUM(E62:E69)</f>
        <v>3</v>
      </c>
      <c r="D62" s="140" t="s">
        <v>190</v>
      </c>
      <c r="E62" s="3">
        <v>0.375</v>
      </c>
      <c r="F62" s="3">
        <f t="shared" si="2"/>
        <v>0.37500000000000006</v>
      </c>
      <c r="G62" s="8" t="s">
        <v>191</v>
      </c>
      <c r="H62" s="10">
        <v>1</v>
      </c>
      <c r="I62" s="5" t="s">
        <v>41</v>
      </c>
      <c r="J62" s="6">
        <v>100</v>
      </c>
      <c r="K62" s="7">
        <v>95</v>
      </c>
      <c r="L62" s="7">
        <v>90</v>
      </c>
      <c r="M62" s="7">
        <v>85</v>
      </c>
      <c r="N62" s="7">
        <v>80</v>
      </c>
      <c r="O62" s="7" t="s">
        <v>42</v>
      </c>
      <c r="P62" s="38"/>
      <c r="Q62" s="39">
        <f t="shared" si="3"/>
        <v>0</v>
      </c>
      <c r="R62" s="40">
        <f t="shared" si="4"/>
        <v>0</v>
      </c>
    </row>
    <row r="63" spans="1:18" s="41" customFormat="1" ht="147" customHeight="1" x14ac:dyDescent="0.25">
      <c r="A63" s="139"/>
      <c r="B63" s="140"/>
      <c r="C63" s="142"/>
      <c r="D63" s="140"/>
      <c r="E63" s="3">
        <v>0.375</v>
      </c>
      <c r="F63" s="3">
        <f t="shared" si="2"/>
        <v>0.37500000000000006</v>
      </c>
      <c r="G63" s="8" t="s">
        <v>192</v>
      </c>
      <c r="H63" s="10">
        <v>1</v>
      </c>
      <c r="I63" s="5" t="s">
        <v>41</v>
      </c>
      <c r="J63" s="6">
        <v>100</v>
      </c>
      <c r="K63" s="7">
        <v>95</v>
      </c>
      <c r="L63" s="7">
        <v>90</v>
      </c>
      <c r="M63" s="7">
        <v>85</v>
      </c>
      <c r="N63" s="7">
        <v>80</v>
      </c>
      <c r="O63" s="7" t="s">
        <v>42</v>
      </c>
      <c r="P63" s="38"/>
      <c r="Q63" s="39">
        <f t="shared" si="3"/>
        <v>0</v>
      </c>
      <c r="R63" s="40">
        <f t="shared" si="4"/>
        <v>0</v>
      </c>
    </row>
    <row r="64" spans="1:18" s="41" customFormat="1" ht="147" customHeight="1" x14ac:dyDescent="0.25">
      <c r="A64" s="139"/>
      <c r="B64" s="140"/>
      <c r="C64" s="142"/>
      <c r="D64" s="140"/>
      <c r="E64" s="3">
        <v>0.375</v>
      </c>
      <c r="F64" s="3">
        <f t="shared" si="2"/>
        <v>0.37500000000000006</v>
      </c>
      <c r="G64" s="8" t="s">
        <v>193</v>
      </c>
      <c r="H64" s="10">
        <v>0.9</v>
      </c>
      <c r="I64" s="1" t="s">
        <v>41</v>
      </c>
      <c r="J64" s="6" t="s">
        <v>74</v>
      </c>
      <c r="K64" s="7">
        <v>90</v>
      </c>
      <c r="L64" s="7">
        <v>80</v>
      </c>
      <c r="M64" s="7">
        <v>70</v>
      </c>
      <c r="N64" s="7">
        <v>50</v>
      </c>
      <c r="O64" s="7" t="s">
        <v>52</v>
      </c>
      <c r="P64" s="38"/>
      <c r="Q64" s="39">
        <f t="shared" si="3"/>
        <v>0</v>
      </c>
      <c r="R64" s="40">
        <f t="shared" si="4"/>
        <v>0</v>
      </c>
    </row>
    <row r="65" spans="1:18" s="41" customFormat="1" ht="147" customHeight="1" x14ac:dyDescent="0.25">
      <c r="A65" s="139"/>
      <c r="B65" s="140"/>
      <c r="C65" s="142"/>
      <c r="D65" s="140"/>
      <c r="E65" s="3">
        <v>0.375</v>
      </c>
      <c r="F65" s="3">
        <f t="shared" si="2"/>
        <v>0.37500000000000006</v>
      </c>
      <c r="G65" s="8" t="s">
        <v>194</v>
      </c>
      <c r="H65" s="10">
        <v>0.9</v>
      </c>
      <c r="I65" s="1" t="s">
        <v>41</v>
      </c>
      <c r="J65" s="6" t="s">
        <v>74</v>
      </c>
      <c r="K65" s="7">
        <v>90</v>
      </c>
      <c r="L65" s="7">
        <v>80</v>
      </c>
      <c r="M65" s="7">
        <v>70</v>
      </c>
      <c r="N65" s="7">
        <v>50</v>
      </c>
      <c r="O65" s="7" t="s">
        <v>52</v>
      </c>
      <c r="P65" s="38"/>
      <c r="Q65" s="39">
        <f t="shared" si="3"/>
        <v>0</v>
      </c>
      <c r="R65" s="40">
        <f t="shared" si="4"/>
        <v>0</v>
      </c>
    </row>
    <row r="66" spans="1:18" s="41" customFormat="1" ht="147" customHeight="1" x14ac:dyDescent="0.25">
      <c r="A66" s="139"/>
      <c r="B66" s="140"/>
      <c r="C66" s="142"/>
      <c r="D66" s="140"/>
      <c r="E66" s="3">
        <v>0.375</v>
      </c>
      <c r="F66" s="3">
        <f t="shared" si="2"/>
        <v>0.37500000000000006</v>
      </c>
      <c r="G66" s="8" t="s">
        <v>195</v>
      </c>
      <c r="H66" s="10">
        <v>0.8</v>
      </c>
      <c r="I66" s="1" t="s">
        <v>41</v>
      </c>
      <c r="J66" s="6" t="s">
        <v>63</v>
      </c>
      <c r="K66" s="7">
        <v>80</v>
      </c>
      <c r="L66" s="7">
        <v>75</v>
      </c>
      <c r="M66" s="7">
        <v>70</v>
      </c>
      <c r="N66" s="7">
        <v>50</v>
      </c>
      <c r="O66" s="7" t="s">
        <v>52</v>
      </c>
      <c r="P66" s="38"/>
      <c r="Q66" s="39">
        <f t="shared" si="3"/>
        <v>0</v>
      </c>
      <c r="R66" s="40">
        <f t="shared" si="4"/>
        <v>0</v>
      </c>
    </row>
    <row r="67" spans="1:18" s="41" customFormat="1" ht="147" customHeight="1" x14ac:dyDescent="0.25">
      <c r="A67" s="139"/>
      <c r="B67" s="140"/>
      <c r="C67" s="142"/>
      <c r="D67" s="140"/>
      <c r="E67" s="3">
        <v>0.375</v>
      </c>
      <c r="F67" s="3">
        <f t="shared" si="2"/>
        <v>0.37500000000000006</v>
      </c>
      <c r="G67" s="8" t="s">
        <v>196</v>
      </c>
      <c r="H67" s="10">
        <v>1</v>
      </c>
      <c r="I67" s="5" t="s">
        <v>41</v>
      </c>
      <c r="J67" s="6">
        <v>100</v>
      </c>
      <c r="K67" s="7">
        <v>95</v>
      </c>
      <c r="L67" s="7">
        <v>90</v>
      </c>
      <c r="M67" s="7">
        <v>85</v>
      </c>
      <c r="N67" s="7">
        <v>80</v>
      </c>
      <c r="O67" s="7" t="s">
        <v>42</v>
      </c>
      <c r="P67" s="38"/>
      <c r="Q67" s="39">
        <f t="shared" si="3"/>
        <v>0</v>
      </c>
      <c r="R67" s="40">
        <f t="shared" si="4"/>
        <v>0</v>
      </c>
    </row>
    <row r="68" spans="1:18" s="41" customFormat="1" ht="147" customHeight="1" x14ac:dyDescent="0.25">
      <c r="A68" s="139"/>
      <c r="B68" s="140"/>
      <c r="C68" s="142"/>
      <c r="D68" s="140"/>
      <c r="E68" s="3">
        <v>0.375</v>
      </c>
      <c r="F68" s="3">
        <f t="shared" si="2"/>
        <v>0.37500000000000006</v>
      </c>
      <c r="G68" s="8" t="s">
        <v>197</v>
      </c>
      <c r="H68" s="10">
        <v>1</v>
      </c>
      <c r="I68" s="5" t="s">
        <v>41</v>
      </c>
      <c r="J68" s="6">
        <v>100</v>
      </c>
      <c r="K68" s="7">
        <v>95</v>
      </c>
      <c r="L68" s="7">
        <v>90</v>
      </c>
      <c r="M68" s="7">
        <v>85</v>
      </c>
      <c r="N68" s="7">
        <v>80</v>
      </c>
      <c r="O68" s="7" t="s">
        <v>42</v>
      </c>
      <c r="P68" s="38"/>
      <c r="Q68" s="39">
        <f t="shared" si="3"/>
        <v>0</v>
      </c>
      <c r="R68" s="40">
        <f t="shared" si="4"/>
        <v>0</v>
      </c>
    </row>
    <row r="69" spans="1:18" s="41" customFormat="1" ht="147" customHeight="1" x14ac:dyDescent="0.25">
      <c r="A69" s="139"/>
      <c r="B69" s="140"/>
      <c r="C69" s="142"/>
      <c r="D69" s="140"/>
      <c r="E69" s="12">
        <v>0.375</v>
      </c>
      <c r="F69" s="3">
        <f t="shared" si="2"/>
        <v>0.37500000000000006</v>
      </c>
      <c r="G69" s="8" t="s">
        <v>198</v>
      </c>
      <c r="H69" s="10">
        <v>1</v>
      </c>
      <c r="I69" s="5" t="s">
        <v>41</v>
      </c>
      <c r="J69" s="6">
        <v>100</v>
      </c>
      <c r="K69" s="7">
        <v>95</v>
      </c>
      <c r="L69" s="7">
        <v>90</v>
      </c>
      <c r="M69" s="7">
        <v>85</v>
      </c>
      <c r="N69" s="7">
        <v>80</v>
      </c>
      <c r="O69" s="7" t="s">
        <v>42</v>
      </c>
      <c r="P69" s="38"/>
      <c r="Q69" s="39">
        <f t="shared" si="3"/>
        <v>0</v>
      </c>
      <c r="R69" s="40">
        <f t="shared" si="4"/>
        <v>0</v>
      </c>
    </row>
    <row r="70" spans="1:18" s="41" customFormat="1" ht="147" customHeight="1" x14ac:dyDescent="0.25">
      <c r="A70" s="127">
        <v>6</v>
      </c>
      <c r="B70" s="136" t="s">
        <v>199</v>
      </c>
      <c r="C70" s="143">
        <v>5</v>
      </c>
      <c r="D70" s="136" t="s">
        <v>200</v>
      </c>
      <c r="E70" s="3">
        <v>0.5</v>
      </c>
      <c r="F70" s="3">
        <f t="shared" si="2"/>
        <v>0.50000000000000011</v>
      </c>
      <c r="G70" s="2" t="s">
        <v>201</v>
      </c>
      <c r="H70" s="10">
        <v>1</v>
      </c>
      <c r="I70" s="5" t="s">
        <v>41</v>
      </c>
      <c r="J70" s="6">
        <v>100</v>
      </c>
      <c r="K70" s="7">
        <v>95</v>
      </c>
      <c r="L70" s="7">
        <v>90</v>
      </c>
      <c r="M70" s="7">
        <v>85</v>
      </c>
      <c r="N70" s="7">
        <v>80</v>
      </c>
      <c r="O70" s="7" t="s">
        <v>42</v>
      </c>
      <c r="P70" s="38"/>
      <c r="Q70" s="39">
        <f t="shared" si="3"/>
        <v>0</v>
      </c>
      <c r="R70" s="40">
        <f t="shared" si="4"/>
        <v>0</v>
      </c>
    </row>
    <row r="71" spans="1:18" s="41" customFormat="1" ht="147" customHeight="1" x14ac:dyDescent="0.25">
      <c r="A71" s="128"/>
      <c r="B71" s="137"/>
      <c r="C71" s="144"/>
      <c r="D71" s="138"/>
      <c r="E71" s="3">
        <v>0.5</v>
      </c>
      <c r="F71" s="3">
        <f t="shared" si="2"/>
        <v>0.50000000000000011</v>
      </c>
      <c r="G71" s="2" t="s">
        <v>202</v>
      </c>
      <c r="H71" s="10">
        <v>1</v>
      </c>
      <c r="I71" s="5" t="s">
        <v>41</v>
      </c>
      <c r="J71" s="6">
        <v>100</v>
      </c>
      <c r="K71" s="7">
        <v>95</v>
      </c>
      <c r="L71" s="7">
        <v>90</v>
      </c>
      <c r="M71" s="7">
        <v>85</v>
      </c>
      <c r="N71" s="7">
        <v>80</v>
      </c>
      <c r="O71" s="7" t="s">
        <v>42</v>
      </c>
      <c r="P71" s="38"/>
      <c r="Q71" s="39">
        <f t="shared" si="3"/>
        <v>0</v>
      </c>
      <c r="R71" s="40">
        <f t="shared" si="4"/>
        <v>0</v>
      </c>
    </row>
    <row r="72" spans="1:18" s="41" customFormat="1" ht="147" customHeight="1" x14ac:dyDescent="0.25">
      <c r="A72" s="128"/>
      <c r="B72" s="137"/>
      <c r="C72" s="144"/>
      <c r="D72" s="136" t="s">
        <v>203</v>
      </c>
      <c r="E72" s="3">
        <v>0.5</v>
      </c>
      <c r="F72" s="3">
        <f t="shared" si="2"/>
        <v>0.50000000000000011</v>
      </c>
      <c r="G72" s="2" t="s">
        <v>204</v>
      </c>
      <c r="H72" s="10">
        <v>1</v>
      </c>
      <c r="I72" s="5" t="s">
        <v>41</v>
      </c>
      <c r="J72" s="6">
        <v>100</v>
      </c>
      <c r="K72" s="7">
        <v>95</v>
      </c>
      <c r="L72" s="7">
        <v>90</v>
      </c>
      <c r="M72" s="7">
        <v>85</v>
      </c>
      <c r="N72" s="7">
        <v>80</v>
      </c>
      <c r="O72" s="7" t="s">
        <v>42</v>
      </c>
      <c r="P72" s="38"/>
      <c r="Q72" s="39">
        <f t="shared" si="3"/>
        <v>0</v>
      </c>
      <c r="R72" s="40">
        <f t="shared" si="4"/>
        <v>0</v>
      </c>
    </row>
    <row r="73" spans="1:18" s="41" customFormat="1" ht="147" customHeight="1" x14ac:dyDescent="0.25">
      <c r="A73" s="128"/>
      <c r="B73" s="137"/>
      <c r="C73" s="144"/>
      <c r="D73" s="138"/>
      <c r="E73" s="3">
        <v>0.5</v>
      </c>
      <c r="F73" s="3">
        <f t="shared" si="2"/>
        <v>0.50000000000000011</v>
      </c>
      <c r="G73" s="2" t="s">
        <v>205</v>
      </c>
      <c r="H73" s="10">
        <v>1</v>
      </c>
      <c r="I73" s="5" t="s">
        <v>41</v>
      </c>
      <c r="J73" s="6">
        <v>100</v>
      </c>
      <c r="K73" s="7">
        <v>95</v>
      </c>
      <c r="L73" s="7">
        <v>90</v>
      </c>
      <c r="M73" s="7">
        <v>85</v>
      </c>
      <c r="N73" s="7">
        <v>80</v>
      </c>
      <c r="O73" s="7" t="s">
        <v>42</v>
      </c>
      <c r="P73" s="38"/>
      <c r="Q73" s="39">
        <f t="shared" si="3"/>
        <v>0</v>
      </c>
      <c r="R73" s="40">
        <f t="shared" si="4"/>
        <v>0</v>
      </c>
    </row>
    <row r="74" spans="1:18" s="41" customFormat="1" ht="147" customHeight="1" x14ac:dyDescent="0.25">
      <c r="A74" s="128"/>
      <c r="B74" s="137"/>
      <c r="C74" s="144"/>
      <c r="D74" s="136" t="s">
        <v>206</v>
      </c>
      <c r="E74" s="3">
        <v>0.3</v>
      </c>
      <c r="F74" s="3">
        <f t="shared" si="2"/>
        <v>0.30000000000000004</v>
      </c>
      <c r="G74" s="2" t="s">
        <v>207</v>
      </c>
      <c r="H74" s="10">
        <v>1</v>
      </c>
      <c r="I74" s="5" t="s">
        <v>41</v>
      </c>
      <c r="J74" s="6">
        <v>100</v>
      </c>
      <c r="K74" s="7">
        <v>95</v>
      </c>
      <c r="L74" s="7">
        <v>90</v>
      </c>
      <c r="M74" s="7">
        <v>85</v>
      </c>
      <c r="N74" s="7">
        <v>80</v>
      </c>
      <c r="O74" s="7" t="s">
        <v>42</v>
      </c>
      <c r="P74" s="38"/>
      <c r="Q74" s="39">
        <f t="shared" si="3"/>
        <v>0</v>
      </c>
      <c r="R74" s="40">
        <f t="shared" si="4"/>
        <v>0</v>
      </c>
    </row>
    <row r="75" spans="1:18" s="41" customFormat="1" ht="147" customHeight="1" x14ac:dyDescent="0.25">
      <c r="A75" s="128"/>
      <c r="B75" s="137"/>
      <c r="C75" s="144"/>
      <c r="D75" s="137"/>
      <c r="E75" s="3">
        <v>0.3</v>
      </c>
      <c r="F75" s="3">
        <f t="shared" si="2"/>
        <v>0.30000000000000004</v>
      </c>
      <c r="G75" s="2" t="s">
        <v>208</v>
      </c>
      <c r="H75" s="10">
        <v>1</v>
      </c>
      <c r="I75" s="5" t="s">
        <v>41</v>
      </c>
      <c r="J75" s="6">
        <v>100</v>
      </c>
      <c r="K75" s="7">
        <v>95</v>
      </c>
      <c r="L75" s="7">
        <v>90</v>
      </c>
      <c r="M75" s="7">
        <v>85</v>
      </c>
      <c r="N75" s="7">
        <v>80</v>
      </c>
      <c r="O75" s="7" t="s">
        <v>42</v>
      </c>
      <c r="P75" s="38"/>
      <c r="Q75" s="39">
        <f t="shared" si="3"/>
        <v>0</v>
      </c>
      <c r="R75" s="40">
        <f t="shared" si="4"/>
        <v>0</v>
      </c>
    </row>
    <row r="76" spans="1:18" s="41" customFormat="1" ht="147" customHeight="1" x14ac:dyDescent="0.25">
      <c r="A76" s="128"/>
      <c r="B76" s="137"/>
      <c r="C76" s="144"/>
      <c r="D76" s="138"/>
      <c r="E76" s="3">
        <v>0.4</v>
      </c>
      <c r="F76" s="3">
        <f t="shared" si="2"/>
        <v>0.40000000000000008</v>
      </c>
      <c r="G76" s="2" t="s">
        <v>209</v>
      </c>
      <c r="H76" s="10">
        <v>1</v>
      </c>
      <c r="I76" s="5" t="s">
        <v>41</v>
      </c>
      <c r="J76" s="6">
        <v>100</v>
      </c>
      <c r="K76" s="7">
        <v>95</v>
      </c>
      <c r="L76" s="7">
        <v>90</v>
      </c>
      <c r="M76" s="7">
        <v>85</v>
      </c>
      <c r="N76" s="7">
        <v>80</v>
      </c>
      <c r="O76" s="7" t="s">
        <v>42</v>
      </c>
      <c r="P76" s="38"/>
      <c r="Q76" s="39">
        <f t="shared" si="3"/>
        <v>0</v>
      </c>
      <c r="R76" s="40">
        <f t="shared" si="4"/>
        <v>0</v>
      </c>
    </row>
    <row r="77" spans="1:18" s="41" customFormat="1" ht="147" customHeight="1" x14ac:dyDescent="0.25">
      <c r="A77" s="128"/>
      <c r="B77" s="137"/>
      <c r="C77" s="144"/>
      <c r="D77" s="136" t="s">
        <v>210</v>
      </c>
      <c r="E77" s="3">
        <v>1</v>
      </c>
      <c r="F77" s="3">
        <f t="shared" si="2"/>
        <v>1.0000000000000002</v>
      </c>
      <c r="G77" s="2" t="s">
        <v>211</v>
      </c>
      <c r="H77" s="10">
        <v>1</v>
      </c>
      <c r="I77" s="5" t="s">
        <v>41</v>
      </c>
      <c r="J77" s="6">
        <v>100</v>
      </c>
      <c r="K77" s="7">
        <v>95</v>
      </c>
      <c r="L77" s="7">
        <v>90</v>
      </c>
      <c r="M77" s="7">
        <v>85</v>
      </c>
      <c r="N77" s="7">
        <v>80</v>
      </c>
      <c r="O77" s="7" t="s">
        <v>42</v>
      </c>
      <c r="P77" s="38"/>
      <c r="Q77" s="39">
        <f t="shared" si="3"/>
        <v>0</v>
      </c>
      <c r="R77" s="40">
        <f t="shared" si="4"/>
        <v>0</v>
      </c>
    </row>
    <row r="78" spans="1:18" s="41" customFormat="1" ht="147" customHeight="1" x14ac:dyDescent="0.25">
      <c r="A78" s="129"/>
      <c r="B78" s="138"/>
      <c r="C78" s="145"/>
      <c r="D78" s="138"/>
      <c r="E78" s="3">
        <v>1</v>
      </c>
      <c r="F78" s="3">
        <f t="shared" si="2"/>
        <v>1.0000000000000002</v>
      </c>
      <c r="G78" s="2" t="s">
        <v>212</v>
      </c>
      <c r="H78" s="10">
        <v>1</v>
      </c>
      <c r="I78" s="5" t="s">
        <v>41</v>
      </c>
      <c r="J78" s="6">
        <v>100</v>
      </c>
      <c r="K78" s="7">
        <v>95</v>
      </c>
      <c r="L78" s="7">
        <v>90</v>
      </c>
      <c r="M78" s="7">
        <v>85</v>
      </c>
      <c r="N78" s="7">
        <v>80</v>
      </c>
      <c r="O78" s="7" t="s">
        <v>42</v>
      </c>
      <c r="P78" s="38"/>
      <c r="Q78" s="39">
        <f t="shared" si="3"/>
        <v>0</v>
      </c>
      <c r="R78" s="40">
        <f t="shared" si="4"/>
        <v>0</v>
      </c>
    </row>
    <row r="79" spans="1:18" s="41" customFormat="1" ht="147" customHeight="1" x14ac:dyDescent="0.25">
      <c r="A79" s="127">
        <v>7</v>
      </c>
      <c r="B79" s="136" t="s">
        <v>213</v>
      </c>
      <c r="C79" s="143">
        <v>3</v>
      </c>
      <c r="D79" s="136" t="s">
        <v>214</v>
      </c>
      <c r="E79" s="3">
        <v>0.3</v>
      </c>
      <c r="F79" s="3">
        <f t="shared" si="2"/>
        <v>0.30000000000000004</v>
      </c>
      <c r="G79" s="2" t="s">
        <v>215</v>
      </c>
      <c r="H79" s="10">
        <v>1</v>
      </c>
      <c r="I79" s="5" t="s">
        <v>41</v>
      </c>
      <c r="J79" s="6">
        <v>100</v>
      </c>
      <c r="K79" s="7">
        <v>95</v>
      </c>
      <c r="L79" s="7">
        <v>90</v>
      </c>
      <c r="M79" s="7">
        <v>85</v>
      </c>
      <c r="N79" s="7">
        <v>80</v>
      </c>
      <c r="O79" s="7" t="s">
        <v>42</v>
      </c>
      <c r="P79" s="38"/>
      <c r="Q79" s="39">
        <f t="shared" si="3"/>
        <v>0</v>
      </c>
      <c r="R79" s="40">
        <f t="shared" si="4"/>
        <v>0</v>
      </c>
    </row>
    <row r="80" spans="1:18" s="41" customFormat="1" ht="147" customHeight="1" x14ac:dyDescent="0.25">
      <c r="A80" s="128"/>
      <c r="B80" s="137"/>
      <c r="C80" s="144"/>
      <c r="D80" s="137"/>
      <c r="E80" s="3">
        <v>0.3</v>
      </c>
      <c r="F80" s="3">
        <f t="shared" si="2"/>
        <v>0.30000000000000004</v>
      </c>
      <c r="G80" s="2" t="s">
        <v>216</v>
      </c>
      <c r="H80" s="10">
        <v>1</v>
      </c>
      <c r="I80" s="5" t="s">
        <v>41</v>
      </c>
      <c r="J80" s="6">
        <v>100</v>
      </c>
      <c r="K80" s="7">
        <v>95</v>
      </c>
      <c r="L80" s="7">
        <v>90</v>
      </c>
      <c r="M80" s="7">
        <v>85</v>
      </c>
      <c r="N80" s="7">
        <v>80</v>
      </c>
      <c r="O80" s="7" t="s">
        <v>42</v>
      </c>
      <c r="P80" s="38"/>
      <c r="Q80" s="39">
        <f t="shared" si="3"/>
        <v>0</v>
      </c>
      <c r="R80" s="40">
        <f t="shared" si="4"/>
        <v>0</v>
      </c>
    </row>
    <row r="81" spans="1:18" s="41" customFormat="1" ht="147" customHeight="1" x14ac:dyDescent="0.25">
      <c r="A81" s="128"/>
      <c r="B81" s="137"/>
      <c r="C81" s="144"/>
      <c r="D81" s="138"/>
      <c r="E81" s="3">
        <v>0.4</v>
      </c>
      <c r="F81" s="3">
        <f t="shared" si="2"/>
        <v>0.40000000000000008</v>
      </c>
      <c r="G81" s="2" t="s">
        <v>217</v>
      </c>
      <c r="H81" s="10">
        <v>1</v>
      </c>
      <c r="I81" s="5" t="s">
        <v>41</v>
      </c>
      <c r="J81" s="6">
        <v>100</v>
      </c>
      <c r="K81" s="7">
        <v>95</v>
      </c>
      <c r="L81" s="7">
        <v>90</v>
      </c>
      <c r="M81" s="7">
        <v>85</v>
      </c>
      <c r="N81" s="7">
        <v>80</v>
      </c>
      <c r="O81" s="7" t="s">
        <v>42</v>
      </c>
      <c r="P81" s="38"/>
      <c r="Q81" s="39">
        <f t="shared" si="3"/>
        <v>0</v>
      </c>
      <c r="R81" s="40">
        <f t="shared" si="4"/>
        <v>0</v>
      </c>
    </row>
    <row r="82" spans="1:18" s="41" customFormat="1" ht="147" customHeight="1" x14ac:dyDescent="0.25">
      <c r="A82" s="128"/>
      <c r="B82" s="137"/>
      <c r="C82" s="144"/>
      <c r="D82" s="136" t="s">
        <v>218</v>
      </c>
      <c r="E82" s="3">
        <v>0.35</v>
      </c>
      <c r="F82" s="3">
        <f t="shared" si="2"/>
        <v>0.35000000000000003</v>
      </c>
      <c r="G82" s="2" t="s">
        <v>219</v>
      </c>
      <c r="H82" s="10">
        <v>1</v>
      </c>
      <c r="I82" s="5" t="s">
        <v>41</v>
      </c>
      <c r="J82" s="6">
        <v>100</v>
      </c>
      <c r="K82" s="7">
        <v>95</v>
      </c>
      <c r="L82" s="7">
        <v>90</v>
      </c>
      <c r="M82" s="7">
        <v>85</v>
      </c>
      <c r="N82" s="7">
        <v>80</v>
      </c>
      <c r="O82" s="7" t="s">
        <v>42</v>
      </c>
      <c r="P82" s="38"/>
      <c r="Q82" s="39">
        <f t="shared" si="3"/>
        <v>0</v>
      </c>
      <c r="R82" s="40">
        <f t="shared" si="4"/>
        <v>0</v>
      </c>
    </row>
    <row r="83" spans="1:18" s="41" customFormat="1" ht="147" customHeight="1" x14ac:dyDescent="0.25">
      <c r="A83" s="128"/>
      <c r="B83" s="137"/>
      <c r="C83" s="144"/>
      <c r="D83" s="138"/>
      <c r="E83" s="3">
        <v>0.35</v>
      </c>
      <c r="F83" s="3">
        <f t="shared" si="2"/>
        <v>0.35000000000000003</v>
      </c>
      <c r="G83" s="2" t="s">
        <v>220</v>
      </c>
      <c r="H83" s="10">
        <v>1</v>
      </c>
      <c r="I83" s="5" t="s">
        <v>41</v>
      </c>
      <c r="J83" s="6">
        <v>100</v>
      </c>
      <c r="K83" s="7">
        <v>95</v>
      </c>
      <c r="L83" s="7">
        <v>90</v>
      </c>
      <c r="M83" s="7">
        <v>85</v>
      </c>
      <c r="N83" s="7">
        <v>80</v>
      </c>
      <c r="O83" s="7" t="s">
        <v>42</v>
      </c>
      <c r="P83" s="38"/>
      <c r="Q83" s="39">
        <f t="shared" si="3"/>
        <v>0</v>
      </c>
      <c r="R83" s="40">
        <f t="shared" si="4"/>
        <v>0</v>
      </c>
    </row>
    <row r="84" spans="1:18" s="41" customFormat="1" ht="147" customHeight="1" x14ac:dyDescent="0.25">
      <c r="A84" s="128"/>
      <c r="B84" s="137"/>
      <c r="C84" s="144"/>
      <c r="D84" s="136" t="s">
        <v>221</v>
      </c>
      <c r="E84" s="3">
        <v>0.2</v>
      </c>
      <c r="F84" s="3">
        <f t="shared" ref="F84:F147" si="5">E84/$E$148 * 100</f>
        <v>0.20000000000000004</v>
      </c>
      <c r="G84" s="2" t="s">
        <v>222</v>
      </c>
      <c r="H84" s="10">
        <v>1</v>
      </c>
      <c r="I84" s="5" t="s">
        <v>41</v>
      </c>
      <c r="J84" s="6">
        <v>100</v>
      </c>
      <c r="K84" s="7">
        <v>95</v>
      </c>
      <c r="L84" s="7">
        <v>90</v>
      </c>
      <c r="M84" s="7">
        <v>85</v>
      </c>
      <c r="N84" s="7">
        <v>80</v>
      </c>
      <c r="O84" s="7" t="s">
        <v>42</v>
      </c>
      <c r="P84" s="38"/>
      <c r="Q84" s="39">
        <f t="shared" ref="Q84:Q147" si="6">IF(OR(TRIM(P84)="",P84=0),0,
IF(P84&lt;N84,50,
IF(P84&lt;M84,60,
IF(P84&lt;L84,70,
IF(P84&lt;K84,80,
IF(ISNUMBER(J84),
    IF(P84&lt;J84,IF(P84&gt;=K84,90,80),100),
    IF(P84=K84,90,100)
))))))</f>
        <v>0</v>
      </c>
      <c r="R84" s="40">
        <f t="shared" ref="R84:R147" si="7">F84*Q84/100</f>
        <v>0</v>
      </c>
    </row>
    <row r="85" spans="1:18" s="41" customFormat="1" ht="147" customHeight="1" x14ac:dyDescent="0.25">
      <c r="A85" s="128"/>
      <c r="B85" s="137"/>
      <c r="C85" s="144"/>
      <c r="D85" s="138"/>
      <c r="E85" s="3">
        <v>0.3</v>
      </c>
      <c r="F85" s="3">
        <f t="shared" si="5"/>
        <v>0.30000000000000004</v>
      </c>
      <c r="G85" s="2" t="s">
        <v>223</v>
      </c>
      <c r="H85" s="1">
        <v>4</v>
      </c>
      <c r="I85" s="5" t="s">
        <v>56</v>
      </c>
      <c r="J85" s="6">
        <v>4</v>
      </c>
      <c r="K85" s="7">
        <v>3</v>
      </c>
      <c r="L85" s="7">
        <v>2</v>
      </c>
      <c r="M85" s="7">
        <v>1</v>
      </c>
      <c r="N85" s="7">
        <v>0</v>
      </c>
      <c r="O85" s="7">
        <v>0</v>
      </c>
      <c r="P85" s="38"/>
      <c r="Q85" s="39">
        <f t="shared" si="6"/>
        <v>0</v>
      </c>
      <c r="R85" s="40">
        <f t="shared" si="7"/>
        <v>0</v>
      </c>
    </row>
    <row r="86" spans="1:18" s="41" customFormat="1" ht="147" customHeight="1" x14ac:dyDescent="0.25">
      <c r="A86" s="128"/>
      <c r="B86" s="137"/>
      <c r="C86" s="144"/>
      <c r="D86" s="136" t="s">
        <v>224</v>
      </c>
      <c r="E86" s="3">
        <v>0.25</v>
      </c>
      <c r="F86" s="3">
        <f t="shared" si="5"/>
        <v>0.25000000000000006</v>
      </c>
      <c r="G86" s="2" t="s">
        <v>225</v>
      </c>
      <c r="H86" s="10">
        <v>1</v>
      </c>
      <c r="I86" s="5" t="s">
        <v>41</v>
      </c>
      <c r="J86" s="6">
        <v>100</v>
      </c>
      <c r="K86" s="7">
        <v>95</v>
      </c>
      <c r="L86" s="7">
        <v>90</v>
      </c>
      <c r="M86" s="7">
        <v>85</v>
      </c>
      <c r="N86" s="7">
        <v>80</v>
      </c>
      <c r="O86" s="7" t="s">
        <v>42</v>
      </c>
      <c r="P86" s="38"/>
      <c r="Q86" s="39">
        <f t="shared" si="6"/>
        <v>0</v>
      </c>
      <c r="R86" s="40">
        <f t="shared" si="7"/>
        <v>0</v>
      </c>
    </row>
    <row r="87" spans="1:18" s="41" customFormat="1" ht="147" customHeight="1" x14ac:dyDescent="0.25">
      <c r="A87" s="128"/>
      <c r="B87" s="137"/>
      <c r="C87" s="144"/>
      <c r="D87" s="138"/>
      <c r="E87" s="3">
        <v>0.25</v>
      </c>
      <c r="F87" s="3">
        <f t="shared" si="5"/>
        <v>0.25000000000000006</v>
      </c>
      <c r="G87" s="2" t="s">
        <v>226</v>
      </c>
      <c r="H87" s="10">
        <v>1</v>
      </c>
      <c r="I87" s="5" t="s">
        <v>41</v>
      </c>
      <c r="J87" s="6">
        <v>100</v>
      </c>
      <c r="K87" s="7">
        <v>95</v>
      </c>
      <c r="L87" s="7">
        <v>90</v>
      </c>
      <c r="M87" s="7">
        <v>85</v>
      </c>
      <c r="N87" s="7">
        <v>80</v>
      </c>
      <c r="O87" s="7" t="s">
        <v>42</v>
      </c>
      <c r="P87" s="38"/>
      <c r="Q87" s="39">
        <f t="shared" si="6"/>
        <v>0</v>
      </c>
      <c r="R87" s="40">
        <f t="shared" si="7"/>
        <v>0</v>
      </c>
    </row>
    <row r="88" spans="1:18" s="41" customFormat="1" ht="147" customHeight="1" x14ac:dyDescent="0.25">
      <c r="A88" s="128"/>
      <c r="B88" s="137"/>
      <c r="C88" s="144"/>
      <c r="D88" s="136" t="s">
        <v>227</v>
      </c>
      <c r="E88" s="3">
        <v>0.15</v>
      </c>
      <c r="F88" s="3">
        <f t="shared" si="5"/>
        <v>0.15000000000000002</v>
      </c>
      <c r="G88" s="2" t="s">
        <v>228</v>
      </c>
      <c r="H88" s="10">
        <v>1</v>
      </c>
      <c r="I88" s="5" t="s">
        <v>41</v>
      </c>
      <c r="J88" s="6">
        <v>100</v>
      </c>
      <c r="K88" s="7">
        <v>95</v>
      </c>
      <c r="L88" s="7">
        <v>90</v>
      </c>
      <c r="M88" s="7">
        <v>85</v>
      </c>
      <c r="N88" s="7">
        <v>80</v>
      </c>
      <c r="O88" s="7" t="s">
        <v>42</v>
      </c>
      <c r="P88" s="38"/>
      <c r="Q88" s="39">
        <f t="shared" si="6"/>
        <v>0</v>
      </c>
      <c r="R88" s="40">
        <f t="shared" si="7"/>
        <v>0</v>
      </c>
    </row>
    <row r="89" spans="1:18" s="41" customFormat="1" ht="147" customHeight="1" x14ac:dyDescent="0.25">
      <c r="A89" s="129"/>
      <c r="B89" s="138"/>
      <c r="C89" s="145"/>
      <c r="D89" s="138"/>
      <c r="E89" s="12">
        <v>0.15</v>
      </c>
      <c r="F89" s="3">
        <f t="shared" si="5"/>
        <v>0.15000000000000002</v>
      </c>
      <c r="G89" s="14" t="s">
        <v>229</v>
      </c>
      <c r="H89" s="10">
        <v>1</v>
      </c>
      <c r="I89" s="5" t="s">
        <v>41</v>
      </c>
      <c r="J89" s="6">
        <v>100</v>
      </c>
      <c r="K89" s="7">
        <v>95</v>
      </c>
      <c r="L89" s="7">
        <v>90</v>
      </c>
      <c r="M89" s="7">
        <v>85</v>
      </c>
      <c r="N89" s="7">
        <v>80</v>
      </c>
      <c r="O89" s="7" t="s">
        <v>42</v>
      </c>
      <c r="P89" s="38"/>
      <c r="Q89" s="39">
        <f t="shared" si="6"/>
        <v>0</v>
      </c>
      <c r="R89" s="40">
        <f t="shared" si="7"/>
        <v>0</v>
      </c>
    </row>
    <row r="90" spans="1:18" s="41" customFormat="1" ht="147" customHeight="1" x14ac:dyDescent="0.25">
      <c r="A90" s="127">
        <v>8</v>
      </c>
      <c r="B90" s="136" t="s">
        <v>230</v>
      </c>
      <c r="C90" s="143">
        <f>SUM(E90:E100)</f>
        <v>5</v>
      </c>
      <c r="D90" s="136" t="s">
        <v>231</v>
      </c>
      <c r="E90" s="3">
        <v>0.3</v>
      </c>
      <c r="F90" s="3">
        <f t="shared" si="5"/>
        <v>0.30000000000000004</v>
      </c>
      <c r="G90" s="2" t="s">
        <v>232</v>
      </c>
      <c r="H90" s="10">
        <v>1</v>
      </c>
      <c r="I90" s="5" t="s">
        <v>41</v>
      </c>
      <c r="J90" s="6">
        <v>100</v>
      </c>
      <c r="K90" s="7">
        <v>95</v>
      </c>
      <c r="L90" s="7">
        <v>90</v>
      </c>
      <c r="M90" s="7">
        <v>85</v>
      </c>
      <c r="N90" s="7">
        <v>80</v>
      </c>
      <c r="O90" s="7" t="s">
        <v>42</v>
      </c>
      <c r="P90" s="38"/>
      <c r="Q90" s="39">
        <f t="shared" si="6"/>
        <v>0</v>
      </c>
      <c r="R90" s="40">
        <f t="shared" si="7"/>
        <v>0</v>
      </c>
    </row>
    <row r="91" spans="1:18" s="41" customFormat="1" ht="147" customHeight="1" x14ac:dyDescent="0.25">
      <c r="A91" s="128"/>
      <c r="B91" s="137"/>
      <c r="C91" s="144"/>
      <c r="D91" s="137"/>
      <c r="E91" s="3">
        <v>0.3</v>
      </c>
      <c r="F91" s="3">
        <f t="shared" si="5"/>
        <v>0.30000000000000004</v>
      </c>
      <c r="G91" s="2" t="s">
        <v>233</v>
      </c>
      <c r="H91" s="10">
        <v>0.8</v>
      </c>
      <c r="I91" s="1" t="s">
        <v>41</v>
      </c>
      <c r="J91" s="6" t="s">
        <v>63</v>
      </c>
      <c r="K91" s="7">
        <v>80</v>
      </c>
      <c r="L91" s="7">
        <v>75</v>
      </c>
      <c r="M91" s="7">
        <v>70</v>
      </c>
      <c r="N91" s="7">
        <v>50</v>
      </c>
      <c r="O91" s="7" t="s">
        <v>52</v>
      </c>
      <c r="P91" s="38"/>
      <c r="Q91" s="39">
        <f t="shared" si="6"/>
        <v>0</v>
      </c>
      <c r="R91" s="40">
        <f t="shared" si="7"/>
        <v>0</v>
      </c>
    </row>
    <row r="92" spans="1:18" s="41" customFormat="1" ht="147" customHeight="1" x14ac:dyDescent="0.25">
      <c r="A92" s="128"/>
      <c r="B92" s="137"/>
      <c r="C92" s="144"/>
      <c r="D92" s="138"/>
      <c r="E92" s="3">
        <v>0.4</v>
      </c>
      <c r="F92" s="3">
        <f t="shared" si="5"/>
        <v>0.40000000000000008</v>
      </c>
      <c r="G92" s="2" t="s">
        <v>234</v>
      </c>
      <c r="H92" s="10">
        <v>0.9</v>
      </c>
      <c r="I92" s="1" t="s">
        <v>41</v>
      </c>
      <c r="J92" s="6" t="s">
        <v>74</v>
      </c>
      <c r="K92" s="7">
        <v>90</v>
      </c>
      <c r="L92" s="7">
        <v>80</v>
      </c>
      <c r="M92" s="7">
        <v>70</v>
      </c>
      <c r="N92" s="7">
        <v>50</v>
      </c>
      <c r="O92" s="7" t="s">
        <v>52</v>
      </c>
      <c r="P92" s="38"/>
      <c r="Q92" s="39">
        <f t="shared" si="6"/>
        <v>0</v>
      </c>
      <c r="R92" s="40">
        <f t="shared" si="7"/>
        <v>0</v>
      </c>
    </row>
    <row r="93" spans="1:18" s="41" customFormat="1" ht="147" customHeight="1" x14ac:dyDescent="0.25">
      <c r="A93" s="128"/>
      <c r="B93" s="137"/>
      <c r="C93" s="144"/>
      <c r="D93" s="136" t="s">
        <v>235</v>
      </c>
      <c r="E93" s="3">
        <v>0.5</v>
      </c>
      <c r="F93" s="3">
        <f t="shared" si="5"/>
        <v>0.50000000000000011</v>
      </c>
      <c r="G93" s="2" t="s">
        <v>236</v>
      </c>
      <c r="H93" s="10">
        <v>0.75</v>
      </c>
      <c r="I93" s="5" t="s">
        <v>41</v>
      </c>
      <c r="J93" s="6" t="s">
        <v>51</v>
      </c>
      <c r="K93" s="7">
        <v>75</v>
      </c>
      <c r="L93" s="7">
        <v>70</v>
      </c>
      <c r="M93" s="7">
        <v>60</v>
      </c>
      <c r="N93" s="7">
        <v>50</v>
      </c>
      <c r="O93" s="7" t="s">
        <v>52</v>
      </c>
      <c r="P93" s="38"/>
      <c r="Q93" s="39">
        <f t="shared" si="6"/>
        <v>0</v>
      </c>
      <c r="R93" s="40">
        <f t="shared" si="7"/>
        <v>0</v>
      </c>
    </row>
    <row r="94" spans="1:18" s="41" customFormat="1" ht="147" customHeight="1" x14ac:dyDescent="0.25">
      <c r="A94" s="128"/>
      <c r="B94" s="137"/>
      <c r="C94" s="144"/>
      <c r="D94" s="138"/>
      <c r="E94" s="3">
        <v>0.5</v>
      </c>
      <c r="F94" s="3">
        <f t="shared" si="5"/>
        <v>0.50000000000000011</v>
      </c>
      <c r="G94" s="2" t="s">
        <v>237</v>
      </c>
      <c r="H94" s="10">
        <v>0.9</v>
      </c>
      <c r="I94" s="1" t="s">
        <v>41</v>
      </c>
      <c r="J94" s="6" t="s">
        <v>74</v>
      </c>
      <c r="K94" s="7">
        <v>90</v>
      </c>
      <c r="L94" s="7">
        <v>80</v>
      </c>
      <c r="M94" s="7">
        <v>70</v>
      </c>
      <c r="N94" s="7">
        <v>50</v>
      </c>
      <c r="O94" s="7" t="s">
        <v>52</v>
      </c>
      <c r="P94" s="38"/>
      <c r="Q94" s="39">
        <f t="shared" si="6"/>
        <v>0</v>
      </c>
      <c r="R94" s="40">
        <f t="shared" si="7"/>
        <v>0</v>
      </c>
    </row>
    <row r="95" spans="1:18" s="41" customFormat="1" ht="147" customHeight="1" x14ac:dyDescent="0.25">
      <c r="A95" s="128"/>
      <c r="B95" s="137"/>
      <c r="C95" s="144"/>
      <c r="D95" s="136" t="s">
        <v>238</v>
      </c>
      <c r="E95" s="3">
        <v>0.5</v>
      </c>
      <c r="F95" s="3">
        <f t="shared" si="5"/>
        <v>0.50000000000000011</v>
      </c>
      <c r="G95" s="2" t="s">
        <v>239</v>
      </c>
      <c r="H95" s="10">
        <v>0.8</v>
      </c>
      <c r="I95" s="1" t="s">
        <v>41</v>
      </c>
      <c r="J95" s="6" t="s">
        <v>63</v>
      </c>
      <c r="K95" s="7">
        <v>80</v>
      </c>
      <c r="L95" s="7">
        <v>75</v>
      </c>
      <c r="M95" s="7">
        <v>70</v>
      </c>
      <c r="N95" s="7">
        <v>50</v>
      </c>
      <c r="O95" s="7" t="s">
        <v>52</v>
      </c>
      <c r="P95" s="38"/>
      <c r="Q95" s="39">
        <f t="shared" si="6"/>
        <v>0</v>
      </c>
      <c r="R95" s="40">
        <f t="shared" si="7"/>
        <v>0</v>
      </c>
    </row>
    <row r="96" spans="1:18" s="41" customFormat="1" ht="147" customHeight="1" x14ac:dyDescent="0.25">
      <c r="A96" s="128"/>
      <c r="B96" s="137"/>
      <c r="C96" s="144"/>
      <c r="D96" s="138"/>
      <c r="E96" s="3">
        <v>0.5</v>
      </c>
      <c r="F96" s="3">
        <f t="shared" si="5"/>
        <v>0.50000000000000011</v>
      </c>
      <c r="G96" s="2" t="s">
        <v>240</v>
      </c>
      <c r="H96" s="10">
        <v>0.9</v>
      </c>
      <c r="I96" s="1" t="s">
        <v>41</v>
      </c>
      <c r="J96" s="6" t="s">
        <v>74</v>
      </c>
      <c r="K96" s="7">
        <v>90</v>
      </c>
      <c r="L96" s="7">
        <v>80</v>
      </c>
      <c r="M96" s="7">
        <v>70</v>
      </c>
      <c r="N96" s="7">
        <v>50</v>
      </c>
      <c r="O96" s="7" t="s">
        <v>52</v>
      </c>
      <c r="P96" s="38"/>
      <c r="Q96" s="39">
        <f t="shared" si="6"/>
        <v>0</v>
      </c>
      <c r="R96" s="40">
        <f t="shared" si="7"/>
        <v>0</v>
      </c>
    </row>
    <row r="97" spans="1:18" s="41" customFormat="1" ht="147" customHeight="1" x14ac:dyDescent="0.25">
      <c r="A97" s="128"/>
      <c r="B97" s="137"/>
      <c r="C97" s="144"/>
      <c r="D97" s="136" t="s">
        <v>241</v>
      </c>
      <c r="E97" s="3">
        <v>0.5</v>
      </c>
      <c r="F97" s="3">
        <f t="shared" si="5"/>
        <v>0.50000000000000011</v>
      </c>
      <c r="G97" s="2" t="s">
        <v>242</v>
      </c>
      <c r="H97" s="10">
        <v>1</v>
      </c>
      <c r="I97" s="5" t="s">
        <v>41</v>
      </c>
      <c r="J97" s="6">
        <v>100</v>
      </c>
      <c r="K97" s="7">
        <v>95</v>
      </c>
      <c r="L97" s="7">
        <v>90</v>
      </c>
      <c r="M97" s="7">
        <v>85</v>
      </c>
      <c r="N97" s="7">
        <v>80</v>
      </c>
      <c r="O97" s="7" t="s">
        <v>42</v>
      </c>
      <c r="P97" s="38"/>
      <c r="Q97" s="39">
        <f t="shared" si="6"/>
        <v>0</v>
      </c>
      <c r="R97" s="40">
        <f t="shared" si="7"/>
        <v>0</v>
      </c>
    </row>
    <row r="98" spans="1:18" s="41" customFormat="1" ht="147" customHeight="1" x14ac:dyDescent="0.25">
      <c r="A98" s="128"/>
      <c r="B98" s="137"/>
      <c r="C98" s="144"/>
      <c r="D98" s="138"/>
      <c r="E98" s="3">
        <v>0.5</v>
      </c>
      <c r="F98" s="3">
        <f t="shared" si="5"/>
        <v>0.50000000000000011</v>
      </c>
      <c r="G98" s="2" t="s">
        <v>243</v>
      </c>
      <c r="H98" s="10">
        <v>1</v>
      </c>
      <c r="I98" s="5" t="s">
        <v>41</v>
      </c>
      <c r="J98" s="6">
        <v>100</v>
      </c>
      <c r="K98" s="7">
        <v>95</v>
      </c>
      <c r="L98" s="7">
        <v>90</v>
      </c>
      <c r="M98" s="7">
        <v>85</v>
      </c>
      <c r="N98" s="7">
        <v>80</v>
      </c>
      <c r="O98" s="7" t="s">
        <v>42</v>
      </c>
      <c r="P98" s="38"/>
      <c r="Q98" s="39">
        <f t="shared" si="6"/>
        <v>0</v>
      </c>
      <c r="R98" s="40">
        <f t="shared" si="7"/>
        <v>0</v>
      </c>
    </row>
    <row r="99" spans="1:18" s="41" customFormat="1" ht="147" customHeight="1" x14ac:dyDescent="0.25">
      <c r="A99" s="128"/>
      <c r="B99" s="137"/>
      <c r="C99" s="144"/>
      <c r="D99" s="136" t="s">
        <v>244</v>
      </c>
      <c r="E99" s="3">
        <v>0.5</v>
      </c>
      <c r="F99" s="3">
        <f t="shared" si="5"/>
        <v>0.50000000000000011</v>
      </c>
      <c r="G99" s="2" t="s">
        <v>245</v>
      </c>
      <c r="H99" s="10">
        <v>0.8</v>
      </c>
      <c r="I99" s="1" t="s">
        <v>41</v>
      </c>
      <c r="J99" s="6" t="s">
        <v>63</v>
      </c>
      <c r="K99" s="7">
        <v>80</v>
      </c>
      <c r="L99" s="7">
        <v>75</v>
      </c>
      <c r="M99" s="7">
        <v>70</v>
      </c>
      <c r="N99" s="7">
        <v>50</v>
      </c>
      <c r="O99" s="7" t="s">
        <v>52</v>
      </c>
      <c r="P99" s="38"/>
      <c r="Q99" s="39">
        <f t="shared" si="6"/>
        <v>0</v>
      </c>
      <c r="R99" s="40">
        <f t="shared" si="7"/>
        <v>0</v>
      </c>
    </row>
    <row r="100" spans="1:18" s="41" customFormat="1" ht="147" customHeight="1" x14ac:dyDescent="0.25">
      <c r="A100" s="129"/>
      <c r="B100" s="138"/>
      <c r="C100" s="145"/>
      <c r="D100" s="138"/>
      <c r="E100" s="3">
        <v>0.5</v>
      </c>
      <c r="F100" s="3">
        <f t="shared" si="5"/>
        <v>0.50000000000000011</v>
      </c>
      <c r="G100" s="2" t="s">
        <v>246</v>
      </c>
      <c r="H100" s="4">
        <v>0.2</v>
      </c>
      <c r="I100" s="5" t="s">
        <v>41</v>
      </c>
      <c r="J100" s="6" t="s">
        <v>95</v>
      </c>
      <c r="K100" s="7">
        <v>20</v>
      </c>
      <c r="L100" s="7">
        <v>15</v>
      </c>
      <c r="M100" s="7">
        <v>10</v>
      </c>
      <c r="N100" s="7">
        <v>5</v>
      </c>
      <c r="O100" s="7" t="s">
        <v>86</v>
      </c>
      <c r="P100" s="38"/>
      <c r="Q100" s="39">
        <f t="shared" si="6"/>
        <v>0</v>
      </c>
      <c r="R100" s="40">
        <f t="shared" si="7"/>
        <v>0</v>
      </c>
    </row>
    <row r="101" spans="1:18" s="41" customFormat="1" ht="147" customHeight="1" x14ac:dyDescent="0.25">
      <c r="A101" s="127">
        <v>9</v>
      </c>
      <c r="B101" s="136" t="s">
        <v>247</v>
      </c>
      <c r="C101" s="143">
        <f>SUM(E101:E110)</f>
        <v>5</v>
      </c>
      <c r="D101" s="136" t="s">
        <v>293</v>
      </c>
      <c r="E101" s="3">
        <v>0.7</v>
      </c>
      <c r="F101" s="3">
        <f t="shared" si="5"/>
        <v>0.70000000000000007</v>
      </c>
      <c r="G101" s="2" t="s">
        <v>248</v>
      </c>
      <c r="H101" s="10">
        <v>0.8</v>
      </c>
      <c r="I101" s="1" t="s">
        <v>41</v>
      </c>
      <c r="J101" s="6" t="s">
        <v>63</v>
      </c>
      <c r="K101" s="7">
        <v>80</v>
      </c>
      <c r="L101" s="7">
        <v>75</v>
      </c>
      <c r="M101" s="7">
        <v>70</v>
      </c>
      <c r="N101" s="7">
        <v>50</v>
      </c>
      <c r="O101" s="7" t="s">
        <v>52</v>
      </c>
      <c r="P101" s="38"/>
      <c r="Q101" s="39">
        <f t="shared" si="6"/>
        <v>0</v>
      </c>
      <c r="R101" s="40">
        <f t="shared" si="7"/>
        <v>0</v>
      </c>
    </row>
    <row r="102" spans="1:18" s="41" customFormat="1" ht="147" customHeight="1" x14ac:dyDescent="0.25">
      <c r="A102" s="128"/>
      <c r="B102" s="137"/>
      <c r="C102" s="144"/>
      <c r="D102" s="138"/>
      <c r="E102" s="3">
        <v>0.3</v>
      </c>
      <c r="F102" s="3">
        <f t="shared" si="5"/>
        <v>0.30000000000000004</v>
      </c>
      <c r="G102" s="2" t="s">
        <v>249</v>
      </c>
      <c r="H102" s="10">
        <v>1</v>
      </c>
      <c r="I102" s="5" t="s">
        <v>41</v>
      </c>
      <c r="J102" s="6">
        <v>100</v>
      </c>
      <c r="K102" s="7">
        <v>95</v>
      </c>
      <c r="L102" s="7">
        <v>90</v>
      </c>
      <c r="M102" s="7">
        <v>85</v>
      </c>
      <c r="N102" s="7">
        <v>80</v>
      </c>
      <c r="O102" s="7" t="s">
        <v>42</v>
      </c>
      <c r="P102" s="38"/>
      <c r="Q102" s="39">
        <f t="shared" si="6"/>
        <v>0</v>
      </c>
      <c r="R102" s="40">
        <f t="shared" si="7"/>
        <v>0</v>
      </c>
    </row>
    <row r="103" spans="1:18" s="41" customFormat="1" ht="147" customHeight="1" x14ac:dyDescent="0.25">
      <c r="A103" s="128"/>
      <c r="B103" s="137"/>
      <c r="C103" s="144"/>
      <c r="D103" s="136" t="s">
        <v>250</v>
      </c>
      <c r="E103" s="3">
        <v>0.5</v>
      </c>
      <c r="F103" s="3">
        <f t="shared" si="5"/>
        <v>0.50000000000000011</v>
      </c>
      <c r="G103" s="2" t="s">
        <v>251</v>
      </c>
      <c r="H103" s="10">
        <v>1</v>
      </c>
      <c r="I103" s="5" t="s">
        <v>41</v>
      </c>
      <c r="J103" s="6">
        <v>100</v>
      </c>
      <c r="K103" s="7">
        <v>95</v>
      </c>
      <c r="L103" s="7">
        <v>90</v>
      </c>
      <c r="M103" s="7">
        <v>85</v>
      </c>
      <c r="N103" s="7">
        <v>80</v>
      </c>
      <c r="O103" s="7" t="s">
        <v>42</v>
      </c>
      <c r="P103" s="38"/>
      <c r="Q103" s="39">
        <f t="shared" si="6"/>
        <v>0</v>
      </c>
      <c r="R103" s="40">
        <f t="shared" si="7"/>
        <v>0</v>
      </c>
    </row>
    <row r="104" spans="1:18" s="41" customFormat="1" ht="147" customHeight="1" x14ac:dyDescent="0.25">
      <c r="A104" s="128"/>
      <c r="B104" s="137"/>
      <c r="C104" s="144"/>
      <c r="D104" s="138"/>
      <c r="E104" s="3">
        <v>0.5</v>
      </c>
      <c r="F104" s="3">
        <f t="shared" si="5"/>
        <v>0.50000000000000011</v>
      </c>
      <c r="G104" s="2" t="s">
        <v>252</v>
      </c>
      <c r="H104" s="10">
        <v>0.8</v>
      </c>
      <c r="I104" s="1" t="s">
        <v>41</v>
      </c>
      <c r="J104" s="6" t="s">
        <v>63</v>
      </c>
      <c r="K104" s="7">
        <v>80</v>
      </c>
      <c r="L104" s="7">
        <v>75</v>
      </c>
      <c r="M104" s="7">
        <v>70</v>
      </c>
      <c r="N104" s="7">
        <v>50</v>
      </c>
      <c r="O104" s="7" t="s">
        <v>52</v>
      </c>
      <c r="P104" s="38"/>
      <c r="Q104" s="39">
        <f t="shared" si="6"/>
        <v>0</v>
      </c>
      <c r="R104" s="40">
        <f t="shared" si="7"/>
        <v>0</v>
      </c>
    </row>
    <row r="105" spans="1:18" s="41" customFormat="1" ht="147" customHeight="1" x14ac:dyDescent="0.25">
      <c r="A105" s="128"/>
      <c r="B105" s="137"/>
      <c r="C105" s="144"/>
      <c r="D105" s="136" t="s">
        <v>253</v>
      </c>
      <c r="E105" s="3">
        <v>0.5</v>
      </c>
      <c r="F105" s="3">
        <f t="shared" si="5"/>
        <v>0.50000000000000011</v>
      </c>
      <c r="G105" s="2" t="s">
        <v>254</v>
      </c>
      <c r="H105" s="1">
        <v>10</v>
      </c>
      <c r="I105" s="5" t="s">
        <v>55</v>
      </c>
      <c r="J105" s="6" t="s">
        <v>85</v>
      </c>
      <c r="K105" s="7">
        <v>10</v>
      </c>
      <c r="L105" s="7">
        <v>8</v>
      </c>
      <c r="M105" s="7">
        <v>6</v>
      </c>
      <c r="N105" s="7">
        <v>5</v>
      </c>
      <c r="O105" s="7" t="s">
        <v>86</v>
      </c>
      <c r="P105" s="38"/>
      <c r="Q105" s="39">
        <f t="shared" si="6"/>
        <v>0</v>
      </c>
      <c r="R105" s="40">
        <f t="shared" si="7"/>
        <v>0</v>
      </c>
    </row>
    <row r="106" spans="1:18" s="41" customFormat="1" ht="147" customHeight="1" x14ac:dyDescent="0.25">
      <c r="A106" s="128"/>
      <c r="B106" s="137"/>
      <c r="C106" s="144"/>
      <c r="D106" s="138"/>
      <c r="E106" s="3">
        <v>0.5</v>
      </c>
      <c r="F106" s="3">
        <f t="shared" si="5"/>
        <v>0.50000000000000011</v>
      </c>
      <c r="G106" s="2" t="s">
        <v>255</v>
      </c>
      <c r="H106" s="10">
        <v>0.8</v>
      </c>
      <c r="I106" s="1" t="s">
        <v>41</v>
      </c>
      <c r="J106" s="6" t="s">
        <v>63</v>
      </c>
      <c r="K106" s="7">
        <v>80</v>
      </c>
      <c r="L106" s="7">
        <v>75</v>
      </c>
      <c r="M106" s="7">
        <v>70</v>
      </c>
      <c r="N106" s="7">
        <v>50</v>
      </c>
      <c r="O106" s="7" t="s">
        <v>52</v>
      </c>
      <c r="P106" s="38"/>
      <c r="Q106" s="39">
        <f t="shared" si="6"/>
        <v>0</v>
      </c>
      <c r="R106" s="40">
        <f t="shared" si="7"/>
        <v>0</v>
      </c>
    </row>
    <row r="107" spans="1:18" s="41" customFormat="1" ht="147" customHeight="1" x14ac:dyDescent="0.25">
      <c r="A107" s="128"/>
      <c r="B107" s="137"/>
      <c r="C107" s="144"/>
      <c r="D107" s="136" t="s">
        <v>256</v>
      </c>
      <c r="E107" s="3">
        <v>0.5</v>
      </c>
      <c r="F107" s="3">
        <f t="shared" si="5"/>
        <v>0.50000000000000011</v>
      </c>
      <c r="G107" s="2" t="s">
        <v>257</v>
      </c>
      <c r="H107" s="1">
        <v>5</v>
      </c>
      <c r="I107" s="5" t="s">
        <v>55</v>
      </c>
      <c r="J107" s="6" t="s">
        <v>83</v>
      </c>
      <c r="K107" s="7">
        <v>5</v>
      </c>
      <c r="L107" s="7">
        <v>4</v>
      </c>
      <c r="M107" s="7">
        <v>3</v>
      </c>
      <c r="N107" s="7">
        <v>2</v>
      </c>
      <c r="O107" s="7">
        <v>1</v>
      </c>
      <c r="P107" s="38"/>
      <c r="Q107" s="39">
        <f t="shared" si="6"/>
        <v>0</v>
      </c>
      <c r="R107" s="40">
        <f t="shared" si="7"/>
        <v>0</v>
      </c>
    </row>
    <row r="108" spans="1:18" s="41" customFormat="1" ht="147" customHeight="1" x14ac:dyDescent="0.25">
      <c r="A108" s="128"/>
      <c r="B108" s="137"/>
      <c r="C108" s="144"/>
      <c r="D108" s="138"/>
      <c r="E108" s="3">
        <v>0.5</v>
      </c>
      <c r="F108" s="3">
        <f t="shared" si="5"/>
        <v>0.50000000000000011</v>
      </c>
      <c r="G108" s="2" t="s">
        <v>258</v>
      </c>
      <c r="H108" s="1">
        <v>10</v>
      </c>
      <c r="I108" s="5" t="s">
        <v>55</v>
      </c>
      <c r="J108" s="6" t="s">
        <v>85</v>
      </c>
      <c r="K108" s="7">
        <v>10</v>
      </c>
      <c r="L108" s="7">
        <v>8</v>
      </c>
      <c r="M108" s="7">
        <v>6</v>
      </c>
      <c r="N108" s="7">
        <v>5</v>
      </c>
      <c r="O108" s="7" t="s">
        <v>86</v>
      </c>
      <c r="P108" s="38"/>
      <c r="Q108" s="39">
        <f t="shared" si="6"/>
        <v>0</v>
      </c>
      <c r="R108" s="40">
        <f t="shared" si="7"/>
        <v>0</v>
      </c>
    </row>
    <row r="109" spans="1:18" s="41" customFormat="1" ht="147" customHeight="1" x14ac:dyDescent="0.25">
      <c r="A109" s="128"/>
      <c r="B109" s="137"/>
      <c r="C109" s="144"/>
      <c r="D109" s="136" t="s">
        <v>259</v>
      </c>
      <c r="E109" s="3">
        <v>0.8</v>
      </c>
      <c r="F109" s="3">
        <f t="shared" si="5"/>
        <v>0.80000000000000016</v>
      </c>
      <c r="G109" s="2" t="s">
        <v>260</v>
      </c>
      <c r="H109" s="10">
        <v>0.8</v>
      </c>
      <c r="I109" s="1" t="s">
        <v>41</v>
      </c>
      <c r="J109" s="6" t="s">
        <v>63</v>
      </c>
      <c r="K109" s="7">
        <v>80</v>
      </c>
      <c r="L109" s="7">
        <v>75</v>
      </c>
      <c r="M109" s="7">
        <v>70</v>
      </c>
      <c r="N109" s="7">
        <v>50</v>
      </c>
      <c r="O109" s="7" t="s">
        <v>52</v>
      </c>
      <c r="P109" s="38"/>
      <c r="Q109" s="39">
        <f t="shared" si="6"/>
        <v>0</v>
      </c>
      <c r="R109" s="40">
        <f t="shared" si="7"/>
        <v>0</v>
      </c>
    </row>
    <row r="110" spans="1:18" s="41" customFormat="1" ht="147" customHeight="1" x14ac:dyDescent="0.25">
      <c r="A110" s="129"/>
      <c r="B110" s="138"/>
      <c r="C110" s="145"/>
      <c r="D110" s="138"/>
      <c r="E110" s="12">
        <v>0.2</v>
      </c>
      <c r="F110" s="3">
        <f t="shared" si="5"/>
        <v>0.20000000000000004</v>
      </c>
      <c r="G110" s="14" t="s">
        <v>261</v>
      </c>
      <c r="H110" s="10">
        <v>0.2</v>
      </c>
      <c r="I110" s="5" t="s">
        <v>41</v>
      </c>
      <c r="J110" s="6" t="s">
        <v>95</v>
      </c>
      <c r="K110" s="7">
        <v>20</v>
      </c>
      <c r="L110" s="7">
        <v>15</v>
      </c>
      <c r="M110" s="7">
        <v>10</v>
      </c>
      <c r="N110" s="7">
        <v>5</v>
      </c>
      <c r="O110" s="7" t="s">
        <v>86</v>
      </c>
      <c r="P110" s="38"/>
      <c r="Q110" s="39">
        <f t="shared" si="6"/>
        <v>0</v>
      </c>
      <c r="R110" s="40">
        <f t="shared" si="7"/>
        <v>0</v>
      </c>
    </row>
    <row r="111" spans="1:18" s="41" customFormat="1" ht="147" customHeight="1" x14ac:dyDescent="0.25">
      <c r="A111" s="127">
        <v>10</v>
      </c>
      <c r="B111" s="136" t="s">
        <v>262</v>
      </c>
      <c r="C111" s="143">
        <v>7</v>
      </c>
      <c r="D111" s="136" t="s">
        <v>263</v>
      </c>
      <c r="E111" s="3">
        <v>1.5</v>
      </c>
      <c r="F111" s="3">
        <f t="shared" si="5"/>
        <v>1.5000000000000002</v>
      </c>
      <c r="G111" s="2" t="s">
        <v>264</v>
      </c>
      <c r="H111" s="1">
        <v>20</v>
      </c>
      <c r="I111" s="6" t="s">
        <v>55</v>
      </c>
      <c r="J111" s="6" t="s">
        <v>95</v>
      </c>
      <c r="K111" s="7">
        <v>20</v>
      </c>
      <c r="L111" s="7">
        <v>15</v>
      </c>
      <c r="M111" s="7">
        <v>10</v>
      </c>
      <c r="N111" s="7">
        <v>5</v>
      </c>
      <c r="O111" s="7" t="s">
        <v>86</v>
      </c>
      <c r="P111" s="38"/>
      <c r="Q111" s="39">
        <f t="shared" si="6"/>
        <v>0</v>
      </c>
      <c r="R111" s="40">
        <f t="shared" si="7"/>
        <v>0</v>
      </c>
    </row>
    <row r="112" spans="1:18" s="41" customFormat="1" ht="147" customHeight="1" x14ac:dyDescent="0.25">
      <c r="A112" s="128"/>
      <c r="B112" s="137"/>
      <c r="C112" s="144"/>
      <c r="D112" s="138"/>
      <c r="E112" s="3">
        <v>1</v>
      </c>
      <c r="F112" s="3">
        <f t="shared" si="5"/>
        <v>1.0000000000000002</v>
      </c>
      <c r="G112" s="2" t="s">
        <v>265</v>
      </c>
      <c r="H112" s="1">
        <v>5</v>
      </c>
      <c r="I112" s="5" t="s">
        <v>55</v>
      </c>
      <c r="J112" s="6" t="s">
        <v>83</v>
      </c>
      <c r="K112" s="7">
        <v>5</v>
      </c>
      <c r="L112" s="7">
        <v>4</v>
      </c>
      <c r="M112" s="7">
        <v>3</v>
      </c>
      <c r="N112" s="7">
        <v>2</v>
      </c>
      <c r="O112" s="7">
        <v>1</v>
      </c>
      <c r="P112" s="38"/>
      <c r="Q112" s="39">
        <f t="shared" si="6"/>
        <v>0</v>
      </c>
      <c r="R112" s="40">
        <f t="shared" si="7"/>
        <v>0</v>
      </c>
    </row>
    <row r="113" spans="1:18" s="41" customFormat="1" ht="147" customHeight="1" x14ac:dyDescent="0.25">
      <c r="A113" s="128"/>
      <c r="B113" s="137"/>
      <c r="C113" s="144"/>
      <c r="D113" s="130" t="s">
        <v>266</v>
      </c>
      <c r="E113" s="3">
        <v>0.5</v>
      </c>
      <c r="F113" s="3">
        <f t="shared" si="5"/>
        <v>0.50000000000000011</v>
      </c>
      <c r="G113" s="2" t="s">
        <v>267</v>
      </c>
      <c r="H113" s="10">
        <v>0.2</v>
      </c>
      <c r="I113" s="5" t="s">
        <v>41</v>
      </c>
      <c r="J113" s="6" t="s">
        <v>95</v>
      </c>
      <c r="K113" s="7">
        <v>20</v>
      </c>
      <c r="L113" s="7">
        <v>15</v>
      </c>
      <c r="M113" s="7">
        <v>10</v>
      </c>
      <c r="N113" s="7">
        <v>5</v>
      </c>
      <c r="O113" s="7" t="s">
        <v>86</v>
      </c>
      <c r="P113" s="38"/>
      <c r="Q113" s="39">
        <f t="shared" si="6"/>
        <v>0</v>
      </c>
      <c r="R113" s="40">
        <f t="shared" si="7"/>
        <v>0</v>
      </c>
    </row>
    <row r="114" spans="1:18" s="41" customFormat="1" ht="147" customHeight="1" x14ac:dyDescent="0.25">
      <c r="A114" s="128"/>
      <c r="B114" s="137"/>
      <c r="C114" s="144"/>
      <c r="D114" s="132"/>
      <c r="E114" s="3">
        <v>0.5</v>
      </c>
      <c r="F114" s="3">
        <f t="shared" si="5"/>
        <v>0.50000000000000011</v>
      </c>
      <c r="G114" s="2" t="s">
        <v>268</v>
      </c>
      <c r="H114" s="1">
        <v>20</v>
      </c>
      <c r="I114" s="5" t="s">
        <v>55</v>
      </c>
      <c r="J114" s="6" t="s">
        <v>95</v>
      </c>
      <c r="K114" s="7">
        <v>20</v>
      </c>
      <c r="L114" s="7">
        <v>15</v>
      </c>
      <c r="M114" s="7">
        <v>10</v>
      </c>
      <c r="N114" s="7">
        <v>5</v>
      </c>
      <c r="O114" s="7" t="s">
        <v>86</v>
      </c>
      <c r="P114" s="38"/>
      <c r="Q114" s="39">
        <f t="shared" si="6"/>
        <v>0</v>
      </c>
      <c r="R114" s="40">
        <f t="shared" si="7"/>
        <v>0</v>
      </c>
    </row>
    <row r="115" spans="1:18" s="41" customFormat="1" ht="147" customHeight="1" x14ac:dyDescent="0.25">
      <c r="A115" s="128"/>
      <c r="B115" s="137"/>
      <c r="C115" s="144"/>
      <c r="D115" s="136" t="s">
        <v>269</v>
      </c>
      <c r="E115" s="3">
        <v>0.5</v>
      </c>
      <c r="F115" s="3">
        <f t="shared" si="5"/>
        <v>0.50000000000000011</v>
      </c>
      <c r="G115" s="2" t="s">
        <v>270</v>
      </c>
      <c r="H115" s="1">
        <v>5</v>
      </c>
      <c r="I115" s="5" t="s">
        <v>55</v>
      </c>
      <c r="J115" s="6" t="s">
        <v>83</v>
      </c>
      <c r="K115" s="7">
        <v>5</v>
      </c>
      <c r="L115" s="7">
        <v>4</v>
      </c>
      <c r="M115" s="7">
        <v>3</v>
      </c>
      <c r="N115" s="7">
        <v>2</v>
      </c>
      <c r="O115" s="7">
        <v>1</v>
      </c>
      <c r="P115" s="38"/>
      <c r="Q115" s="39">
        <f t="shared" si="6"/>
        <v>0</v>
      </c>
      <c r="R115" s="40">
        <f t="shared" si="7"/>
        <v>0</v>
      </c>
    </row>
    <row r="116" spans="1:18" s="41" customFormat="1" ht="147" customHeight="1" x14ac:dyDescent="0.25">
      <c r="A116" s="128"/>
      <c r="B116" s="137"/>
      <c r="C116" s="144"/>
      <c r="D116" s="138"/>
      <c r="E116" s="3">
        <v>0.5</v>
      </c>
      <c r="F116" s="3">
        <f t="shared" si="5"/>
        <v>0.50000000000000011</v>
      </c>
      <c r="G116" s="2" t="s">
        <v>271</v>
      </c>
      <c r="H116" s="10">
        <v>1</v>
      </c>
      <c r="I116" s="5" t="s">
        <v>41</v>
      </c>
      <c r="J116" s="6">
        <v>100</v>
      </c>
      <c r="K116" s="7">
        <v>95</v>
      </c>
      <c r="L116" s="7">
        <v>90</v>
      </c>
      <c r="M116" s="7">
        <v>85</v>
      </c>
      <c r="N116" s="7">
        <v>80</v>
      </c>
      <c r="O116" s="7" t="s">
        <v>42</v>
      </c>
      <c r="P116" s="38"/>
      <c r="Q116" s="39">
        <f t="shared" si="6"/>
        <v>0</v>
      </c>
      <c r="R116" s="40">
        <f t="shared" si="7"/>
        <v>0</v>
      </c>
    </row>
    <row r="117" spans="1:18" s="41" customFormat="1" ht="147" customHeight="1" x14ac:dyDescent="0.25">
      <c r="A117" s="128"/>
      <c r="B117" s="137"/>
      <c r="C117" s="144"/>
      <c r="D117" s="130" t="s">
        <v>272</v>
      </c>
      <c r="E117" s="3">
        <v>1</v>
      </c>
      <c r="F117" s="3">
        <f t="shared" si="5"/>
        <v>1.0000000000000002</v>
      </c>
      <c r="G117" s="2" t="s">
        <v>273</v>
      </c>
      <c r="H117" s="10">
        <v>1</v>
      </c>
      <c r="I117" s="5" t="s">
        <v>41</v>
      </c>
      <c r="J117" s="6">
        <v>100</v>
      </c>
      <c r="K117" s="7">
        <v>95</v>
      </c>
      <c r="L117" s="7">
        <v>90</v>
      </c>
      <c r="M117" s="7">
        <v>85</v>
      </c>
      <c r="N117" s="7">
        <v>80</v>
      </c>
      <c r="O117" s="7" t="s">
        <v>42</v>
      </c>
      <c r="P117" s="38"/>
      <c r="Q117" s="39">
        <f t="shared" si="6"/>
        <v>0</v>
      </c>
      <c r="R117" s="40">
        <f t="shared" si="7"/>
        <v>0</v>
      </c>
    </row>
    <row r="118" spans="1:18" s="41" customFormat="1" ht="147" customHeight="1" x14ac:dyDescent="0.25">
      <c r="A118" s="128"/>
      <c r="B118" s="137"/>
      <c r="C118" s="144"/>
      <c r="D118" s="132"/>
      <c r="E118" s="3">
        <v>0.5</v>
      </c>
      <c r="F118" s="3">
        <f t="shared" si="5"/>
        <v>0.50000000000000011</v>
      </c>
      <c r="G118" s="2" t="s">
        <v>274</v>
      </c>
      <c r="H118" s="10">
        <v>0.8</v>
      </c>
      <c r="I118" s="1" t="s">
        <v>41</v>
      </c>
      <c r="J118" s="6" t="s">
        <v>63</v>
      </c>
      <c r="K118" s="7">
        <v>80</v>
      </c>
      <c r="L118" s="7">
        <v>75</v>
      </c>
      <c r="M118" s="7">
        <v>70</v>
      </c>
      <c r="N118" s="7">
        <v>50</v>
      </c>
      <c r="O118" s="7" t="s">
        <v>52</v>
      </c>
      <c r="P118" s="38"/>
      <c r="Q118" s="39">
        <f t="shared" si="6"/>
        <v>0</v>
      </c>
      <c r="R118" s="40">
        <f t="shared" si="7"/>
        <v>0</v>
      </c>
    </row>
    <row r="119" spans="1:18" s="41" customFormat="1" ht="147" customHeight="1" x14ac:dyDescent="0.25">
      <c r="A119" s="128"/>
      <c r="B119" s="137"/>
      <c r="C119" s="144"/>
      <c r="D119" s="130" t="s">
        <v>275</v>
      </c>
      <c r="E119" s="3">
        <v>0.5</v>
      </c>
      <c r="F119" s="3">
        <f t="shared" si="5"/>
        <v>0.50000000000000011</v>
      </c>
      <c r="G119" s="2" t="s">
        <v>276</v>
      </c>
      <c r="H119" s="10">
        <v>0.8</v>
      </c>
      <c r="I119" s="1" t="s">
        <v>41</v>
      </c>
      <c r="J119" s="6" t="s">
        <v>63</v>
      </c>
      <c r="K119" s="7">
        <v>80</v>
      </c>
      <c r="L119" s="7">
        <v>75</v>
      </c>
      <c r="M119" s="7">
        <v>70</v>
      </c>
      <c r="N119" s="7">
        <v>50</v>
      </c>
      <c r="O119" s="7" t="s">
        <v>52</v>
      </c>
      <c r="P119" s="38"/>
      <c r="Q119" s="39">
        <f t="shared" si="6"/>
        <v>0</v>
      </c>
      <c r="R119" s="40">
        <f t="shared" si="7"/>
        <v>0</v>
      </c>
    </row>
    <row r="120" spans="1:18" s="41" customFormat="1" ht="147" customHeight="1" x14ac:dyDescent="0.25">
      <c r="A120" s="129"/>
      <c r="B120" s="138"/>
      <c r="C120" s="145"/>
      <c r="D120" s="132"/>
      <c r="E120" s="13">
        <v>0.5</v>
      </c>
      <c r="F120" s="3">
        <f t="shared" si="5"/>
        <v>0.50000000000000011</v>
      </c>
      <c r="G120" s="15" t="s">
        <v>277</v>
      </c>
      <c r="H120" s="10">
        <v>0.3</v>
      </c>
      <c r="I120" s="1" t="s">
        <v>41</v>
      </c>
      <c r="J120" s="6" t="s">
        <v>156</v>
      </c>
      <c r="K120" s="7">
        <v>30</v>
      </c>
      <c r="L120" s="7">
        <v>25</v>
      </c>
      <c r="M120" s="7">
        <v>20</v>
      </c>
      <c r="N120" s="7">
        <v>10</v>
      </c>
      <c r="O120" s="7" t="s">
        <v>278</v>
      </c>
      <c r="P120" s="38"/>
      <c r="Q120" s="39">
        <f t="shared" si="6"/>
        <v>0</v>
      </c>
      <c r="R120" s="40">
        <f t="shared" si="7"/>
        <v>0</v>
      </c>
    </row>
    <row r="121" spans="1:18" s="41" customFormat="1" ht="147" customHeight="1" x14ac:dyDescent="0.25">
      <c r="A121" s="139">
        <v>11</v>
      </c>
      <c r="B121" s="140" t="s">
        <v>279</v>
      </c>
      <c r="C121" s="142">
        <f>SUM(E121:E128)</f>
        <v>3</v>
      </c>
      <c r="D121" s="136" t="s">
        <v>280</v>
      </c>
      <c r="E121" s="3">
        <v>0.5</v>
      </c>
      <c r="F121" s="3">
        <f t="shared" si="5"/>
        <v>0.50000000000000011</v>
      </c>
      <c r="G121" s="2" t="s">
        <v>281</v>
      </c>
      <c r="H121" s="10">
        <v>1</v>
      </c>
      <c r="I121" s="5" t="s">
        <v>41</v>
      </c>
      <c r="J121" s="6">
        <v>100</v>
      </c>
      <c r="K121" s="7">
        <v>95</v>
      </c>
      <c r="L121" s="7">
        <v>90</v>
      </c>
      <c r="M121" s="7">
        <v>85</v>
      </c>
      <c r="N121" s="7">
        <v>80</v>
      </c>
      <c r="O121" s="7" t="s">
        <v>42</v>
      </c>
      <c r="P121" s="38"/>
      <c r="Q121" s="39">
        <f t="shared" si="6"/>
        <v>0</v>
      </c>
      <c r="R121" s="40">
        <f t="shared" si="7"/>
        <v>0</v>
      </c>
    </row>
    <row r="122" spans="1:18" s="41" customFormat="1" ht="147" customHeight="1" x14ac:dyDescent="0.25">
      <c r="A122" s="139"/>
      <c r="B122" s="140"/>
      <c r="C122" s="142"/>
      <c r="D122" s="138"/>
      <c r="E122" s="3">
        <v>0.5</v>
      </c>
      <c r="F122" s="3">
        <f t="shared" si="5"/>
        <v>0.50000000000000011</v>
      </c>
      <c r="G122" s="2" t="s">
        <v>282</v>
      </c>
      <c r="H122" s="10">
        <v>1</v>
      </c>
      <c r="I122" s="5" t="s">
        <v>41</v>
      </c>
      <c r="J122" s="6">
        <v>100</v>
      </c>
      <c r="K122" s="7">
        <v>95</v>
      </c>
      <c r="L122" s="7">
        <v>90</v>
      </c>
      <c r="M122" s="7">
        <v>85</v>
      </c>
      <c r="N122" s="7">
        <v>80</v>
      </c>
      <c r="O122" s="7" t="s">
        <v>42</v>
      </c>
      <c r="P122" s="38"/>
      <c r="Q122" s="39">
        <f t="shared" si="6"/>
        <v>0</v>
      </c>
      <c r="R122" s="40">
        <f t="shared" si="7"/>
        <v>0</v>
      </c>
    </row>
    <row r="123" spans="1:18" s="41" customFormat="1" ht="147" customHeight="1" x14ac:dyDescent="0.25">
      <c r="A123" s="139"/>
      <c r="B123" s="140"/>
      <c r="C123" s="142"/>
      <c r="D123" s="136" t="s">
        <v>283</v>
      </c>
      <c r="E123" s="3">
        <v>0.35</v>
      </c>
      <c r="F123" s="3">
        <f t="shared" si="5"/>
        <v>0.35000000000000003</v>
      </c>
      <c r="G123" s="2" t="s">
        <v>284</v>
      </c>
      <c r="H123" s="10">
        <v>1</v>
      </c>
      <c r="I123" s="5" t="s">
        <v>41</v>
      </c>
      <c r="J123" s="6">
        <v>100</v>
      </c>
      <c r="K123" s="7">
        <v>95</v>
      </c>
      <c r="L123" s="7">
        <v>90</v>
      </c>
      <c r="M123" s="7">
        <v>85</v>
      </c>
      <c r="N123" s="7">
        <v>80</v>
      </c>
      <c r="O123" s="7" t="s">
        <v>42</v>
      </c>
      <c r="P123" s="38"/>
      <c r="Q123" s="39">
        <f t="shared" si="6"/>
        <v>0</v>
      </c>
      <c r="R123" s="40">
        <f t="shared" si="7"/>
        <v>0</v>
      </c>
    </row>
    <row r="124" spans="1:18" s="41" customFormat="1" ht="147" customHeight="1" x14ac:dyDescent="0.25">
      <c r="A124" s="139"/>
      <c r="B124" s="140"/>
      <c r="C124" s="142"/>
      <c r="D124" s="138"/>
      <c r="E124" s="3">
        <v>0.35</v>
      </c>
      <c r="F124" s="3">
        <f t="shared" si="5"/>
        <v>0.35000000000000003</v>
      </c>
      <c r="G124" s="2" t="s">
        <v>285</v>
      </c>
      <c r="H124" s="10">
        <v>1</v>
      </c>
      <c r="I124" s="5" t="s">
        <v>41</v>
      </c>
      <c r="J124" s="6">
        <v>100</v>
      </c>
      <c r="K124" s="7">
        <v>95</v>
      </c>
      <c r="L124" s="7">
        <v>90</v>
      </c>
      <c r="M124" s="7">
        <v>85</v>
      </c>
      <c r="N124" s="7">
        <v>80</v>
      </c>
      <c r="O124" s="7" t="s">
        <v>42</v>
      </c>
      <c r="P124" s="38"/>
      <c r="Q124" s="39">
        <f t="shared" si="6"/>
        <v>0</v>
      </c>
      <c r="R124" s="40">
        <f t="shared" si="7"/>
        <v>0</v>
      </c>
    </row>
    <row r="125" spans="1:18" s="41" customFormat="1" ht="147" customHeight="1" x14ac:dyDescent="0.25">
      <c r="A125" s="139"/>
      <c r="B125" s="140"/>
      <c r="C125" s="142"/>
      <c r="D125" s="140" t="s">
        <v>286</v>
      </c>
      <c r="E125" s="3">
        <v>0.2</v>
      </c>
      <c r="F125" s="3">
        <f t="shared" si="5"/>
        <v>0.20000000000000004</v>
      </c>
      <c r="G125" s="2" t="s">
        <v>287</v>
      </c>
      <c r="H125" s="10">
        <v>1</v>
      </c>
      <c r="I125" s="5" t="s">
        <v>41</v>
      </c>
      <c r="J125" s="6">
        <v>100</v>
      </c>
      <c r="K125" s="7">
        <v>95</v>
      </c>
      <c r="L125" s="7">
        <v>90</v>
      </c>
      <c r="M125" s="7">
        <v>85</v>
      </c>
      <c r="N125" s="7">
        <v>80</v>
      </c>
      <c r="O125" s="7" t="s">
        <v>42</v>
      </c>
      <c r="P125" s="38"/>
      <c r="Q125" s="39">
        <f t="shared" si="6"/>
        <v>0</v>
      </c>
      <c r="R125" s="40">
        <f t="shared" si="7"/>
        <v>0</v>
      </c>
    </row>
    <row r="126" spans="1:18" s="41" customFormat="1" ht="147" customHeight="1" x14ac:dyDescent="0.25">
      <c r="A126" s="139"/>
      <c r="B126" s="140"/>
      <c r="C126" s="142"/>
      <c r="D126" s="140"/>
      <c r="E126" s="3">
        <v>0.1</v>
      </c>
      <c r="F126" s="3">
        <f t="shared" si="5"/>
        <v>0.10000000000000002</v>
      </c>
      <c r="G126" s="2" t="s">
        <v>288</v>
      </c>
      <c r="H126" s="10">
        <v>1</v>
      </c>
      <c r="I126" s="5" t="s">
        <v>41</v>
      </c>
      <c r="J126" s="6">
        <v>100</v>
      </c>
      <c r="K126" s="7">
        <v>95</v>
      </c>
      <c r="L126" s="7">
        <v>90</v>
      </c>
      <c r="M126" s="7">
        <v>85</v>
      </c>
      <c r="N126" s="7">
        <v>80</v>
      </c>
      <c r="O126" s="7" t="s">
        <v>42</v>
      </c>
      <c r="P126" s="38"/>
      <c r="Q126" s="39">
        <f t="shared" si="6"/>
        <v>0</v>
      </c>
      <c r="R126" s="40">
        <f t="shared" si="7"/>
        <v>0</v>
      </c>
    </row>
    <row r="127" spans="1:18" s="41" customFormat="1" ht="147" customHeight="1" x14ac:dyDescent="0.25">
      <c r="A127" s="139"/>
      <c r="B127" s="140"/>
      <c r="C127" s="142"/>
      <c r="D127" s="8" t="s">
        <v>289</v>
      </c>
      <c r="E127" s="3">
        <v>0.5</v>
      </c>
      <c r="F127" s="3">
        <f t="shared" si="5"/>
        <v>0.50000000000000011</v>
      </c>
      <c r="G127" s="2" t="s">
        <v>290</v>
      </c>
      <c r="H127" s="10">
        <v>1</v>
      </c>
      <c r="I127" s="5" t="s">
        <v>41</v>
      </c>
      <c r="J127" s="6">
        <v>100</v>
      </c>
      <c r="K127" s="7">
        <v>95</v>
      </c>
      <c r="L127" s="7">
        <v>90</v>
      </c>
      <c r="M127" s="7">
        <v>85</v>
      </c>
      <c r="N127" s="7">
        <v>80</v>
      </c>
      <c r="O127" s="7" t="s">
        <v>42</v>
      </c>
      <c r="P127" s="38"/>
      <c r="Q127" s="39">
        <f t="shared" si="6"/>
        <v>0</v>
      </c>
      <c r="R127" s="40">
        <f t="shared" si="7"/>
        <v>0</v>
      </c>
    </row>
    <row r="128" spans="1:18" s="41" customFormat="1" ht="147" customHeight="1" x14ac:dyDescent="0.25">
      <c r="A128" s="139"/>
      <c r="B128" s="140"/>
      <c r="C128" s="142"/>
      <c r="D128" s="8" t="s">
        <v>291</v>
      </c>
      <c r="E128" s="12">
        <v>0.5</v>
      </c>
      <c r="F128" s="3">
        <f t="shared" si="5"/>
        <v>0.50000000000000011</v>
      </c>
      <c r="G128" s="14" t="s">
        <v>292</v>
      </c>
      <c r="H128" s="10">
        <v>1</v>
      </c>
      <c r="I128" s="5" t="s">
        <v>41</v>
      </c>
      <c r="J128" s="6">
        <v>100</v>
      </c>
      <c r="K128" s="7">
        <v>95</v>
      </c>
      <c r="L128" s="7">
        <v>90</v>
      </c>
      <c r="M128" s="7">
        <v>85</v>
      </c>
      <c r="N128" s="7">
        <v>80</v>
      </c>
      <c r="O128" s="7" t="s">
        <v>42</v>
      </c>
      <c r="P128" s="38"/>
      <c r="Q128" s="39">
        <f t="shared" si="6"/>
        <v>0</v>
      </c>
      <c r="R128" s="40">
        <f t="shared" si="7"/>
        <v>0</v>
      </c>
    </row>
    <row r="129" spans="1:18" s="41" customFormat="1" ht="147" customHeight="1" x14ac:dyDescent="0.25">
      <c r="A129" s="139">
        <v>12</v>
      </c>
      <c r="B129" s="140" t="s">
        <v>80</v>
      </c>
      <c r="C129" s="141">
        <f>SUM(E129:E131)</f>
        <v>5</v>
      </c>
      <c r="D129" s="140" t="s">
        <v>81</v>
      </c>
      <c r="E129" s="3">
        <v>2</v>
      </c>
      <c r="F129" s="3">
        <f t="shared" si="5"/>
        <v>2.0000000000000004</v>
      </c>
      <c r="G129" s="2" t="s">
        <v>82</v>
      </c>
      <c r="H129" s="1">
        <v>5</v>
      </c>
      <c r="I129" s="5" t="s">
        <v>55</v>
      </c>
      <c r="J129" s="6" t="s">
        <v>83</v>
      </c>
      <c r="K129" s="7">
        <v>5</v>
      </c>
      <c r="L129" s="7">
        <v>4</v>
      </c>
      <c r="M129" s="7">
        <v>3</v>
      </c>
      <c r="N129" s="7">
        <v>2</v>
      </c>
      <c r="O129" s="7">
        <v>1</v>
      </c>
      <c r="P129" s="38"/>
      <c r="Q129" s="39">
        <f t="shared" si="6"/>
        <v>0</v>
      </c>
      <c r="R129" s="40">
        <f t="shared" si="7"/>
        <v>0</v>
      </c>
    </row>
    <row r="130" spans="1:18" s="41" customFormat="1" ht="147" customHeight="1" x14ac:dyDescent="0.25">
      <c r="A130" s="139"/>
      <c r="B130" s="140"/>
      <c r="C130" s="141"/>
      <c r="D130" s="140"/>
      <c r="E130" s="3">
        <v>2</v>
      </c>
      <c r="F130" s="3">
        <f t="shared" si="5"/>
        <v>2.0000000000000004</v>
      </c>
      <c r="G130" s="2" t="s">
        <v>84</v>
      </c>
      <c r="H130" s="10">
        <v>0.1</v>
      </c>
      <c r="I130" s="1" t="s">
        <v>41</v>
      </c>
      <c r="J130" s="6" t="s">
        <v>85</v>
      </c>
      <c r="K130" s="7">
        <v>10</v>
      </c>
      <c r="L130" s="7">
        <v>7</v>
      </c>
      <c r="M130" s="7">
        <v>6</v>
      </c>
      <c r="N130" s="7">
        <v>5</v>
      </c>
      <c r="O130" s="7" t="s">
        <v>86</v>
      </c>
      <c r="P130" s="38"/>
      <c r="Q130" s="39">
        <f t="shared" si="6"/>
        <v>0</v>
      </c>
      <c r="R130" s="40">
        <f t="shared" si="7"/>
        <v>0</v>
      </c>
    </row>
    <row r="131" spans="1:18" s="41" customFormat="1" ht="147" customHeight="1" x14ac:dyDescent="0.25">
      <c r="A131" s="139"/>
      <c r="B131" s="140"/>
      <c r="C131" s="141"/>
      <c r="D131" s="140"/>
      <c r="E131" s="3">
        <v>1</v>
      </c>
      <c r="F131" s="3">
        <f t="shared" si="5"/>
        <v>1.0000000000000002</v>
      </c>
      <c r="G131" s="2" t="s">
        <v>87</v>
      </c>
      <c r="H131" s="1">
        <v>2</v>
      </c>
      <c r="I131" s="5" t="s">
        <v>55</v>
      </c>
      <c r="J131" s="6" t="s">
        <v>88</v>
      </c>
      <c r="K131" s="7">
        <v>2</v>
      </c>
      <c r="L131" s="7">
        <v>1</v>
      </c>
      <c r="M131" s="7">
        <v>0</v>
      </c>
      <c r="N131" s="7"/>
      <c r="O131" s="7"/>
      <c r="P131" s="38"/>
      <c r="Q131" s="39">
        <f t="shared" si="6"/>
        <v>0</v>
      </c>
      <c r="R131" s="40">
        <f t="shared" si="7"/>
        <v>0</v>
      </c>
    </row>
    <row r="132" spans="1:18" s="41" customFormat="1" ht="147" customHeight="1" x14ac:dyDescent="0.25">
      <c r="A132" s="139">
        <v>13</v>
      </c>
      <c r="B132" s="140" t="s">
        <v>295</v>
      </c>
      <c r="C132" s="141">
        <f>SUM(E132:E133)</f>
        <v>5</v>
      </c>
      <c r="D132" s="140" t="s">
        <v>294</v>
      </c>
      <c r="E132" s="3">
        <v>3</v>
      </c>
      <c r="F132" s="3">
        <f t="shared" si="5"/>
        <v>3.0000000000000004</v>
      </c>
      <c r="G132" s="2" t="s">
        <v>89</v>
      </c>
      <c r="H132" s="1">
        <v>5</v>
      </c>
      <c r="I132" s="1" t="s">
        <v>55</v>
      </c>
      <c r="J132" s="6" t="s">
        <v>83</v>
      </c>
      <c r="K132" s="7">
        <v>5</v>
      </c>
      <c r="L132" s="7">
        <v>4</v>
      </c>
      <c r="M132" s="7">
        <v>3</v>
      </c>
      <c r="N132" s="7">
        <v>2</v>
      </c>
      <c r="O132" s="7">
        <v>1</v>
      </c>
      <c r="P132" s="38"/>
      <c r="Q132" s="39">
        <f t="shared" si="6"/>
        <v>0</v>
      </c>
      <c r="R132" s="40">
        <f t="shared" si="7"/>
        <v>0</v>
      </c>
    </row>
    <row r="133" spans="1:18" s="41" customFormat="1" ht="147" customHeight="1" x14ac:dyDescent="0.25">
      <c r="A133" s="139"/>
      <c r="B133" s="140"/>
      <c r="C133" s="141"/>
      <c r="D133" s="140"/>
      <c r="E133" s="3">
        <v>2</v>
      </c>
      <c r="F133" s="3">
        <f t="shared" si="5"/>
        <v>2.0000000000000004</v>
      </c>
      <c r="G133" s="2" t="s">
        <v>90</v>
      </c>
      <c r="H133" s="1">
        <v>5</v>
      </c>
      <c r="I133" s="1" t="s">
        <v>55</v>
      </c>
      <c r="J133" s="6" t="s">
        <v>83</v>
      </c>
      <c r="K133" s="7">
        <v>5</v>
      </c>
      <c r="L133" s="7">
        <v>4</v>
      </c>
      <c r="M133" s="7">
        <v>3</v>
      </c>
      <c r="N133" s="7">
        <v>2</v>
      </c>
      <c r="O133" s="7">
        <v>1</v>
      </c>
      <c r="P133" s="38"/>
      <c r="Q133" s="39">
        <f t="shared" si="6"/>
        <v>0</v>
      </c>
      <c r="R133" s="40">
        <f t="shared" si="7"/>
        <v>0</v>
      </c>
    </row>
    <row r="134" spans="1:18" s="41" customFormat="1" ht="147" customHeight="1" x14ac:dyDescent="0.25">
      <c r="A134" s="127">
        <v>14</v>
      </c>
      <c r="B134" s="136" t="s">
        <v>91</v>
      </c>
      <c r="C134" s="133">
        <f>SUM(E134:E136)</f>
        <v>5</v>
      </c>
      <c r="D134" s="136" t="s">
        <v>92</v>
      </c>
      <c r="E134" s="3">
        <v>1</v>
      </c>
      <c r="F134" s="3">
        <f t="shared" si="5"/>
        <v>1.0000000000000002</v>
      </c>
      <c r="G134" s="2" t="s">
        <v>93</v>
      </c>
      <c r="H134" s="1">
        <v>5</v>
      </c>
      <c r="I134" s="1" t="s">
        <v>55</v>
      </c>
      <c r="J134" s="6" t="s">
        <v>83</v>
      </c>
      <c r="K134" s="7">
        <v>5</v>
      </c>
      <c r="L134" s="7">
        <v>4</v>
      </c>
      <c r="M134" s="7">
        <v>3</v>
      </c>
      <c r="N134" s="7">
        <v>2</v>
      </c>
      <c r="O134" s="7">
        <v>1</v>
      </c>
      <c r="P134" s="38"/>
      <c r="Q134" s="39">
        <f t="shared" si="6"/>
        <v>0</v>
      </c>
      <c r="R134" s="40">
        <f t="shared" si="7"/>
        <v>0</v>
      </c>
    </row>
    <row r="135" spans="1:18" s="41" customFormat="1" ht="147" customHeight="1" x14ac:dyDescent="0.25">
      <c r="A135" s="128"/>
      <c r="B135" s="137"/>
      <c r="C135" s="134"/>
      <c r="D135" s="137"/>
      <c r="E135" s="3">
        <v>2</v>
      </c>
      <c r="F135" s="3">
        <f t="shared" si="5"/>
        <v>2.0000000000000004</v>
      </c>
      <c r="G135" s="2" t="s">
        <v>94</v>
      </c>
      <c r="H135" s="10">
        <v>0.2</v>
      </c>
      <c r="I135" s="5" t="s">
        <v>41</v>
      </c>
      <c r="J135" s="6" t="s">
        <v>95</v>
      </c>
      <c r="K135" s="7">
        <v>20</v>
      </c>
      <c r="L135" s="7">
        <v>15</v>
      </c>
      <c r="M135" s="7">
        <v>10</v>
      </c>
      <c r="N135" s="7">
        <v>5</v>
      </c>
      <c r="O135" s="7" t="s">
        <v>86</v>
      </c>
      <c r="P135" s="38"/>
      <c r="Q135" s="39">
        <f t="shared" si="6"/>
        <v>0</v>
      </c>
      <c r="R135" s="40">
        <f t="shared" si="7"/>
        <v>0</v>
      </c>
    </row>
    <row r="136" spans="1:18" s="41" customFormat="1" ht="147" customHeight="1" x14ac:dyDescent="0.25">
      <c r="A136" s="129"/>
      <c r="B136" s="138"/>
      <c r="C136" s="135"/>
      <c r="D136" s="138"/>
      <c r="E136" s="3">
        <v>2</v>
      </c>
      <c r="F136" s="3">
        <f t="shared" si="5"/>
        <v>2.0000000000000004</v>
      </c>
      <c r="G136" s="2" t="s">
        <v>96</v>
      </c>
      <c r="H136" s="10">
        <v>0.8</v>
      </c>
      <c r="I136" s="1" t="s">
        <v>41</v>
      </c>
      <c r="J136" s="6" t="s">
        <v>63</v>
      </c>
      <c r="K136" s="7">
        <v>80</v>
      </c>
      <c r="L136" s="7">
        <v>75</v>
      </c>
      <c r="M136" s="7">
        <v>70</v>
      </c>
      <c r="N136" s="7">
        <v>50</v>
      </c>
      <c r="O136" s="7" t="s">
        <v>52</v>
      </c>
      <c r="P136" s="38"/>
      <c r="Q136" s="39">
        <f t="shared" si="6"/>
        <v>0</v>
      </c>
      <c r="R136" s="40">
        <f t="shared" si="7"/>
        <v>0</v>
      </c>
    </row>
    <row r="137" spans="1:18" s="41" customFormat="1" ht="147" customHeight="1" x14ac:dyDescent="0.25">
      <c r="A137" s="139">
        <v>15</v>
      </c>
      <c r="B137" s="140" t="s">
        <v>97</v>
      </c>
      <c r="C137" s="141">
        <f>SUM(E137:E138)</f>
        <v>5</v>
      </c>
      <c r="D137" s="140" t="s">
        <v>98</v>
      </c>
      <c r="E137" s="3">
        <v>3</v>
      </c>
      <c r="F137" s="3">
        <f t="shared" si="5"/>
        <v>3.0000000000000004</v>
      </c>
      <c r="G137" s="2" t="s">
        <v>99</v>
      </c>
      <c r="H137" s="10">
        <v>0.8</v>
      </c>
      <c r="I137" s="1" t="s">
        <v>41</v>
      </c>
      <c r="J137" s="6" t="s">
        <v>63</v>
      </c>
      <c r="K137" s="7">
        <v>80</v>
      </c>
      <c r="L137" s="7">
        <v>75</v>
      </c>
      <c r="M137" s="7">
        <v>70</v>
      </c>
      <c r="N137" s="7">
        <v>50</v>
      </c>
      <c r="O137" s="7" t="s">
        <v>52</v>
      </c>
      <c r="P137" s="38"/>
      <c r="Q137" s="39">
        <f t="shared" si="6"/>
        <v>0</v>
      </c>
      <c r="R137" s="40">
        <f t="shared" si="7"/>
        <v>0</v>
      </c>
    </row>
    <row r="138" spans="1:18" s="41" customFormat="1" ht="147" customHeight="1" x14ac:dyDescent="0.25">
      <c r="A138" s="139"/>
      <c r="B138" s="140"/>
      <c r="C138" s="141"/>
      <c r="D138" s="140"/>
      <c r="E138" s="3">
        <v>2</v>
      </c>
      <c r="F138" s="3">
        <f t="shared" si="5"/>
        <v>2.0000000000000004</v>
      </c>
      <c r="G138" s="2" t="s">
        <v>100</v>
      </c>
      <c r="H138" s="10">
        <v>0.8</v>
      </c>
      <c r="I138" s="1" t="s">
        <v>41</v>
      </c>
      <c r="J138" s="6" t="s">
        <v>63</v>
      </c>
      <c r="K138" s="7">
        <v>80</v>
      </c>
      <c r="L138" s="7">
        <v>75</v>
      </c>
      <c r="M138" s="7">
        <v>70</v>
      </c>
      <c r="N138" s="7">
        <v>50</v>
      </c>
      <c r="O138" s="7" t="s">
        <v>52</v>
      </c>
      <c r="P138" s="38"/>
      <c r="Q138" s="39">
        <f t="shared" si="6"/>
        <v>0</v>
      </c>
      <c r="R138" s="40">
        <f t="shared" si="7"/>
        <v>0</v>
      </c>
    </row>
    <row r="139" spans="1:18" s="41" customFormat="1" ht="147" customHeight="1" x14ac:dyDescent="0.25">
      <c r="A139" s="127">
        <v>16</v>
      </c>
      <c r="B139" s="130" t="s">
        <v>101</v>
      </c>
      <c r="C139" s="133">
        <v>7</v>
      </c>
      <c r="D139" s="136" t="s">
        <v>296</v>
      </c>
      <c r="E139" s="3">
        <v>2</v>
      </c>
      <c r="F139" s="3">
        <f t="shared" si="5"/>
        <v>2.0000000000000004</v>
      </c>
      <c r="G139" s="2" t="s">
        <v>102</v>
      </c>
      <c r="H139" s="10">
        <v>1</v>
      </c>
      <c r="I139" s="5" t="s">
        <v>41</v>
      </c>
      <c r="J139" s="6">
        <v>100</v>
      </c>
      <c r="K139" s="7">
        <v>95</v>
      </c>
      <c r="L139" s="7">
        <v>90</v>
      </c>
      <c r="M139" s="7">
        <v>85</v>
      </c>
      <c r="N139" s="7">
        <v>80</v>
      </c>
      <c r="O139" s="7" t="s">
        <v>42</v>
      </c>
      <c r="P139" s="38"/>
      <c r="Q139" s="39">
        <f t="shared" si="6"/>
        <v>0</v>
      </c>
      <c r="R139" s="40">
        <f t="shared" si="7"/>
        <v>0</v>
      </c>
    </row>
    <row r="140" spans="1:18" s="41" customFormat="1" ht="147" customHeight="1" x14ac:dyDescent="0.25">
      <c r="A140" s="128"/>
      <c r="B140" s="131"/>
      <c r="C140" s="134"/>
      <c r="D140" s="137"/>
      <c r="E140" s="3">
        <v>2</v>
      </c>
      <c r="F140" s="3">
        <f t="shared" si="5"/>
        <v>2.0000000000000004</v>
      </c>
      <c r="G140" s="2" t="s">
        <v>103</v>
      </c>
      <c r="H140" s="10">
        <v>1</v>
      </c>
      <c r="I140" s="5" t="s">
        <v>41</v>
      </c>
      <c r="J140" s="6">
        <v>100</v>
      </c>
      <c r="K140" s="7">
        <v>95</v>
      </c>
      <c r="L140" s="7">
        <v>90</v>
      </c>
      <c r="M140" s="7">
        <v>85</v>
      </c>
      <c r="N140" s="7">
        <v>80</v>
      </c>
      <c r="O140" s="7" t="s">
        <v>42</v>
      </c>
      <c r="P140" s="38"/>
      <c r="Q140" s="39">
        <f t="shared" si="6"/>
        <v>0</v>
      </c>
      <c r="R140" s="40">
        <f t="shared" si="7"/>
        <v>0</v>
      </c>
    </row>
    <row r="141" spans="1:18" s="41" customFormat="1" ht="147" customHeight="1" x14ac:dyDescent="0.25">
      <c r="A141" s="129"/>
      <c r="B141" s="132"/>
      <c r="C141" s="135"/>
      <c r="D141" s="138"/>
      <c r="E141" s="3">
        <v>3</v>
      </c>
      <c r="F141" s="3">
        <f t="shared" si="5"/>
        <v>3.0000000000000004</v>
      </c>
      <c r="G141" s="2" t="s">
        <v>102</v>
      </c>
      <c r="H141" s="10">
        <v>1</v>
      </c>
      <c r="I141" s="5" t="s">
        <v>41</v>
      </c>
      <c r="J141" s="6">
        <v>100</v>
      </c>
      <c r="K141" s="7">
        <v>95</v>
      </c>
      <c r="L141" s="7">
        <v>90</v>
      </c>
      <c r="M141" s="7">
        <v>85</v>
      </c>
      <c r="N141" s="7">
        <v>80</v>
      </c>
      <c r="O141" s="7" t="s">
        <v>42</v>
      </c>
      <c r="P141" s="38"/>
      <c r="Q141" s="39">
        <f t="shared" si="6"/>
        <v>0</v>
      </c>
      <c r="R141" s="40">
        <f t="shared" si="7"/>
        <v>0</v>
      </c>
    </row>
    <row r="142" spans="1:18" s="41" customFormat="1" ht="147" customHeight="1" x14ac:dyDescent="0.25">
      <c r="A142" s="139">
        <v>17</v>
      </c>
      <c r="B142" s="140" t="s">
        <v>104</v>
      </c>
      <c r="C142" s="141">
        <f>SUM(E142:E147)</f>
        <v>10</v>
      </c>
      <c r="D142" s="140" t="s">
        <v>105</v>
      </c>
      <c r="E142" s="3">
        <v>2</v>
      </c>
      <c r="F142" s="3">
        <f t="shared" si="5"/>
        <v>2.0000000000000004</v>
      </c>
      <c r="G142" s="2" t="s">
        <v>106</v>
      </c>
      <c r="H142" s="4">
        <v>0.8</v>
      </c>
      <c r="I142" s="1" t="s">
        <v>41</v>
      </c>
      <c r="J142" s="6" t="s">
        <v>63</v>
      </c>
      <c r="K142" s="7">
        <v>80</v>
      </c>
      <c r="L142" s="7">
        <v>75</v>
      </c>
      <c r="M142" s="7">
        <v>70</v>
      </c>
      <c r="N142" s="7">
        <v>50</v>
      </c>
      <c r="O142" s="7" t="s">
        <v>52</v>
      </c>
      <c r="P142" s="38"/>
      <c r="Q142" s="39">
        <f t="shared" si="6"/>
        <v>0</v>
      </c>
      <c r="R142" s="40">
        <f t="shared" si="7"/>
        <v>0</v>
      </c>
    </row>
    <row r="143" spans="1:18" s="41" customFormat="1" ht="147" customHeight="1" x14ac:dyDescent="0.25">
      <c r="A143" s="139"/>
      <c r="B143" s="140"/>
      <c r="C143" s="141"/>
      <c r="D143" s="140"/>
      <c r="E143" s="3">
        <v>1</v>
      </c>
      <c r="F143" s="3">
        <f t="shared" si="5"/>
        <v>1.0000000000000002</v>
      </c>
      <c r="G143" s="2" t="s">
        <v>107</v>
      </c>
      <c r="H143" s="4">
        <v>0.8</v>
      </c>
      <c r="I143" s="1" t="s">
        <v>41</v>
      </c>
      <c r="J143" s="6" t="s">
        <v>63</v>
      </c>
      <c r="K143" s="7">
        <v>80</v>
      </c>
      <c r="L143" s="7">
        <v>75</v>
      </c>
      <c r="M143" s="7">
        <v>70</v>
      </c>
      <c r="N143" s="7">
        <v>50</v>
      </c>
      <c r="O143" s="7" t="s">
        <v>52</v>
      </c>
      <c r="P143" s="38"/>
      <c r="Q143" s="39">
        <f t="shared" si="6"/>
        <v>0</v>
      </c>
      <c r="R143" s="40">
        <f t="shared" si="7"/>
        <v>0</v>
      </c>
    </row>
    <row r="144" spans="1:18" s="41" customFormat="1" ht="147" customHeight="1" x14ac:dyDescent="0.25">
      <c r="A144" s="139"/>
      <c r="B144" s="140"/>
      <c r="C144" s="141"/>
      <c r="D144" s="140"/>
      <c r="E144" s="3">
        <v>1</v>
      </c>
      <c r="F144" s="3">
        <f t="shared" si="5"/>
        <v>1.0000000000000002</v>
      </c>
      <c r="G144" s="2" t="s">
        <v>108</v>
      </c>
      <c r="H144" s="1">
        <v>5</v>
      </c>
      <c r="I144" s="1" t="s">
        <v>55</v>
      </c>
      <c r="J144" s="6" t="s">
        <v>83</v>
      </c>
      <c r="K144" s="7">
        <v>5</v>
      </c>
      <c r="L144" s="7">
        <v>4</v>
      </c>
      <c r="M144" s="7">
        <v>3</v>
      </c>
      <c r="N144" s="7">
        <v>2</v>
      </c>
      <c r="O144" s="7">
        <v>1</v>
      </c>
      <c r="P144" s="38"/>
      <c r="Q144" s="39">
        <f t="shared" si="6"/>
        <v>0</v>
      </c>
      <c r="R144" s="40">
        <f t="shared" si="7"/>
        <v>0</v>
      </c>
    </row>
    <row r="145" spans="1:18" s="41" customFormat="1" ht="147" customHeight="1" x14ac:dyDescent="0.25">
      <c r="A145" s="139"/>
      <c r="B145" s="140"/>
      <c r="C145" s="141"/>
      <c r="D145" s="140"/>
      <c r="E145" s="3">
        <v>2</v>
      </c>
      <c r="F145" s="3">
        <f t="shared" si="5"/>
        <v>2.0000000000000004</v>
      </c>
      <c r="G145" s="2" t="s">
        <v>109</v>
      </c>
      <c r="H145" s="4">
        <v>0.7</v>
      </c>
      <c r="I145" s="5" t="s">
        <v>41</v>
      </c>
      <c r="J145" s="6" t="s">
        <v>110</v>
      </c>
      <c r="K145" s="7">
        <v>70</v>
      </c>
      <c r="L145" s="7">
        <v>60</v>
      </c>
      <c r="M145" s="7">
        <v>50</v>
      </c>
      <c r="N145" s="7">
        <v>40</v>
      </c>
      <c r="O145" s="7" t="s">
        <v>111</v>
      </c>
      <c r="P145" s="38"/>
      <c r="Q145" s="39">
        <f t="shared" si="6"/>
        <v>0</v>
      </c>
      <c r="R145" s="40">
        <f t="shared" si="7"/>
        <v>0</v>
      </c>
    </row>
    <row r="146" spans="1:18" s="41" customFormat="1" ht="147" customHeight="1" x14ac:dyDescent="0.25">
      <c r="A146" s="139"/>
      <c r="B146" s="140"/>
      <c r="C146" s="141"/>
      <c r="D146" s="140" t="s">
        <v>112</v>
      </c>
      <c r="E146" s="3">
        <v>2</v>
      </c>
      <c r="F146" s="3">
        <f t="shared" si="5"/>
        <v>2.0000000000000004</v>
      </c>
      <c r="G146" s="2" t="s">
        <v>113</v>
      </c>
      <c r="H146" s="4">
        <v>0.5</v>
      </c>
      <c r="I146" s="5" t="s">
        <v>41</v>
      </c>
      <c r="J146" s="6" t="s">
        <v>47</v>
      </c>
      <c r="K146" s="7">
        <v>50</v>
      </c>
      <c r="L146" s="7">
        <v>45</v>
      </c>
      <c r="M146" s="7">
        <v>40</v>
      </c>
      <c r="N146" s="7">
        <v>25</v>
      </c>
      <c r="O146" s="7" t="s">
        <v>48</v>
      </c>
      <c r="P146" s="38"/>
      <c r="Q146" s="39">
        <f t="shared" si="6"/>
        <v>0</v>
      </c>
      <c r="R146" s="40">
        <f t="shared" si="7"/>
        <v>0</v>
      </c>
    </row>
    <row r="147" spans="1:18" s="41" customFormat="1" ht="147" customHeight="1" x14ac:dyDescent="0.25">
      <c r="A147" s="139"/>
      <c r="B147" s="140"/>
      <c r="C147" s="141"/>
      <c r="D147" s="140"/>
      <c r="E147" s="3">
        <v>2</v>
      </c>
      <c r="F147" s="3">
        <f t="shared" si="5"/>
        <v>2.0000000000000004</v>
      </c>
      <c r="G147" s="2" t="s">
        <v>114</v>
      </c>
      <c r="H147" s="11">
        <v>5</v>
      </c>
      <c r="I147" s="1" t="s">
        <v>55</v>
      </c>
      <c r="J147" s="6" t="s">
        <v>83</v>
      </c>
      <c r="K147" s="7">
        <v>5</v>
      </c>
      <c r="L147" s="7">
        <v>4</v>
      </c>
      <c r="M147" s="7">
        <v>3</v>
      </c>
      <c r="N147" s="7">
        <v>2</v>
      </c>
      <c r="O147" s="7">
        <v>1</v>
      </c>
      <c r="P147" s="38"/>
      <c r="Q147" s="39">
        <f t="shared" si="6"/>
        <v>0</v>
      </c>
      <c r="R147" s="40">
        <f t="shared" si="7"/>
        <v>0</v>
      </c>
    </row>
    <row r="148" spans="1:18" s="52" customFormat="1" ht="44.25" x14ac:dyDescent="0.25">
      <c r="A148" s="42"/>
      <c r="B148" s="43" t="s">
        <v>115</v>
      </c>
      <c r="C148" s="44">
        <f>SUM(C19:C147)</f>
        <v>100</v>
      </c>
      <c r="D148" s="43"/>
      <c r="E148" s="44">
        <f>SUM(E19:E147)</f>
        <v>99.999999999999986</v>
      </c>
      <c r="F148" s="44">
        <f>SUM(F19:F147)</f>
        <v>100</v>
      </c>
      <c r="G148" s="45"/>
      <c r="H148" s="46"/>
      <c r="I148" s="47"/>
      <c r="J148" s="48"/>
      <c r="K148" s="48"/>
      <c r="L148" s="48"/>
      <c r="M148" s="48"/>
      <c r="N148" s="48"/>
      <c r="O148" s="48"/>
      <c r="P148" s="49"/>
      <c r="Q148" s="50"/>
      <c r="R148" s="51">
        <f>SUM(R19:R147)</f>
        <v>0</v>
      </c>
    </row>
    <row r="149" spans="1:18" s="54" customFormat="1" ht="66" customHeight="1" x14ac:dyDescent="0.7">
      <c r="A149" s="53"/>
      <c r="G149" s="55"/>
      <c r="H149" s="55"/>
      <c r="I149" s="239" t="s">
        <v>307</v>
      </c>
      <c r="J149" s="240"/>
      <c r="K149" s="240"/>
      <c r="L149" s="240"/>
      <c r="M149" s="240"/>
      <c r="N149" s="240"/>
      <c r="O149" s="240"/>
      <c r="P149" s="240"/>
      <c r="Q149" s="241"/>
      <c r="R149" s="56">
        <f>R148/100 * 70</f>
        <v>0</v>
      </c>
    </row>
    <row r="150" spans="1:18" s="61" customFormat="1" ht="36" x14ac:dyDescent="0.55000000000000004">
      <c r="A150" s="242" t="s">
        <v>116</v>
      </c>
      <c r="B150" s="243"/>
      <c r="C150" s="243"/>
      <c r="D150" s="243"/>
      <c r="E150" s="243"/>
      <c r="F150" s="243"/>
      <c r="G150" s="244"/>
      <c r="H150" s="245"/>
      <c r="I150" s="245"/>
      <c r="J150" s="245"/>
      <c r="K150" s="245"/>
      <c r="L150" s="231" t="s">
        <v>121</v>
      </c>
      <c r="M150" s="57" t="s">
        <v>117</v>
      </c>
      <c r="N150" s="57"/>
      <c r="O150" s="57"/>
      <c r="P150" s="58"/>
      <c r="Q150" s="59"/>
      <c r="R150" s="60"/>
    </row>
    <row r="151" spans="1:18" s="61" customFormat="1" ht="31.5" customHeight="1" x14ac:dyDescent="0.55000000000000004">
      <c r="A151" s="62"/>
      <c r="B151" s="63"/>
      <c r="C151" s="246" t="s">
        <v>118</v>
      </c>
      <c r="D151" s="246"/>
      <c r="E151" s="246"/>
      <c r="F151" s="246"/>
      <c r="G151" s="246"/>
      <c r="H151" s="64" t="s">
        <v>308</v>
      </c>
      <c r="I151" s="64" t="s">
        <v>309</v>
      </c>
      <c r="J151" s="64"/>
      <c r="K151" s="65"/>
      <c r="L151" s="232"/>
      <c r="M151" s="66"/>
      <c r="N151" s="66"/>
      <c r="O151" s="66"/>
      <c r="P151" s="67"/>
      <c r="Q151" s="59"/>
      <c r="R151" s="60"/>
    </row>
    <row r="152" spans="1:18" s="61" customFormat="1" ht="36" customHeight="1" x14ac:dyDescent="0.55000000000000004">
      <c r="A152" s="68">
        <v>1</v>
      </c>
      <c r="B152" s="69" t="s">
        <v>122</v>
      </c>
      <c r="C152" s="216"/>
      <c r="D152" s="217"/>
      <c r="E152" s="217"/>
      <c r="F152" s="217"/>
      <c r="G152" s="218"/>
      <c r="H152" s="70"/>
      <c r="I152" s="70"/>
      <c r="J152" s="70"/>
      <c r="K152" s="70"/>
      <c r="L152" s="71"/>
      <c r="M152" s="72" t="s">
        <v>32</v>
      </c>
      <c r="N152" s="214" t="s">
        <v>123</v>
      </c>
      <c r="O152" s="215"/>
      <c r="P152" s="67"/>
      <c r="Q152" s="59"/>
      <c r="R152" s="60"/>
    </row>
    <row r="153" spans="1:18" s="61" customFormat="1" ht="84.75" customHeight="1" x14ac:dyDescent="0.55000000000000004">
      <c r="A153" s="75" t="s">
        <v>124</v>
      </c>
      <c r="B153" s="76" t="s">
        <v>310</v>
      </c>
      <c r="C153" s="219"/>
      <c r="D153" s="220"/>
      <c r="E153" s="220"/>
      <c r="F153" s="220"/>
      <c r="G153" s="221"/>
      <c r="H153" s="77">
        <v>4</v>
      </c>
      <c r="I153" s="78">
        <v>4</v>
      </c>
      <c r="J153" s="77"/>
      <c r="K153" s="77"/>
      <c r="L153" s="71"/>
      <c r="M153" s="72" t="s">
        <v>33</v>
      </c>
      <c r="N153" s="214" t="s">
        <v>125</v>
      </c>
      <c r="O153" s="215"/>
      <c r="P153" s="67"/>
      <c r="Q153" s="59"/>
      <c r="R153" s="60"/>
    </row>
    <row r="154" spans="1:18" s="61" customFormat="1" ht="82.5" customHeight="1" x14ac:dyDescent="0.55000000000000004">
      <c r="A154" s="75" t="s">
        <v>126</v>
      </c>
      <c r="B154" s="76" t="s">
        <v>311</v>
      </c>
      <c r="C154" s="219"/>
      <c r="D154" s="220"/>
      <c r="E154" s="220"/>
      <c r="F154" s="220"/>
      <c r="G154" s="221"/>
      <c r="H154" s="77">
        <v>2</v>
      </c>
      <c r="I154" s="78">
        <v>2</v>
      </c>
      <c r="J154" s="77"/>
      <c r="K154" s="77"/>
      <c r="L154" s="71"/>
      <c r="M154" s="72" t="s">
        <v>34</v>
      </c>
      <c r="N154" s="214" t="s">
        <v>127</v>
      </c>
      <c r="O154" s="215"/>
      <c r="P154" s="67"/>
      <c r="Q154" s="59"/>
      <c r="R154" s="60"/>
    </row>
    <row r="155" spans="1:18" s="61" customFormat="1" ht="78.75" customHeight="1" x14ac:dyDescent="0.55000000000000004">
      <c r="A155" s="75" t="s">
        <v>128</v>
      </c>
      <c r="B155" s="76" t="s">
        <v>129</v>
      </c>
      <c r="C155" s="219"/>
      <c r="D155" s="220"/>
      <c r="E155" s="220"/>
      <c r="F155" s="220"/>
      <c r="G155" s="221"/>
      <c r="H155" s="77">
        <v>2</v>
      </c>
      <c r="I155" s="78">
        <v>2</v>
      </c>
      <c r="J155" s="77"/>
      <c r="K155" s="77"/>
      <c r="L155" s="71"/>
      <c r="M155" s="72" t="s">
        <v>35</v>
      </c>
      <c r="N155" s="214" t="s">
        <v>130</v>
      </c>
      <c r="O155" s="215"/>
      <c r="P155" s="67"/>
      <c r="Q155" s="59"/>
      <c r="R155" s="60"/>
    </row>
    <row r="156" spans="1:18" s="61" customFormat="1" ht="36" x14ac:dyDescent="0.55000000000000004">
      <c r="A156" s="79">
        <v>2</v>
      </c>
      <c r="B156" s="80" t="s">
        <v>131</v>
      </c>
      <c r="C156" s="208"/>
      <c r="D156" s="209"/>
      <c r="E156" s="209"/>
      <c r="F156" s="209"/>
      <c r="G156" s="210"/>
      <c r="H156" s="77"/>
      <c r="I156" s="78"/>
      <c r="J156" s="77"/>
      <c r="K156" s="77"/>
      <c r="L156" s="71"/>
      <c r="M156" s="72" t="s">
        <v>36</v>
      </c>
      <c r="N156" s="214" t="s">
        <v>132</v>
      </c>
      <c r="O156" s="215"/>
      <c r="P156" s="67"/>
      <c r="Q156" s="59"/>
      <c r="R156" s="60"/>
    </row>
    <row r="157" spans="1:18" s="61" customFormat="1" ht="82.5" customHeight="1" x14ac:dyDescent="0.55000000000000004">
      <c r="A157" s="75" t="s">
        <v>124</v>
      </c>
      <c r="B157" s="81" t="s">
        <v>312</v>
      </c>
      <c r="C157" s="200"/>
      <c r="D157" s="201"/>
      <c r="E157" s="201"/>
      <c r="F157" s="201"/>
      <c r="G157" s="202"/>
      <c r="H157" s="77">
        <v>2</v>
      </c>
      <c r="I157" s="78">
        <v>2</v>
      </c>
      <c r="J157" s="77"/>
      <c r="K157" s="77"/>
      <c r="L157" s="71"/>
      <c r="M157" s="72" t="s">
        <v>37</v>
      </c>
      <c r="N157" s="214" t="s">
        <v>133</v>
      </c>
      <c r="O157" s="215"/>
      <c r="P157" s="82"/>
      <c r="Q157" s="59"/>
      <c r="R157" s="60"/>
    </row>
    <row r="158" spans="1:18" s="61" customFormat="1" ht="114.75" customHeight="1" x14ac:dyDescent="0.55000000000000004">
      <c r="A158" s="75" t="s">
        <v>126</v>
      </c>
      <c r="B158" s="81" t="s">
        <v>313</v>
      </c>
      <c r="C158" s="200"/>
      <c r="D158" s="201"/>
      <c r="E158" s="201"/>
      <c r="F158" s="201"/>
      <c r="G158" s="202"/>
      <c r="H158" s="77">
        <v>2</v>
      </c>
      <c r="I158" s="78">
        <v>2</v>
      </c>
      <c r="J158" s="77"/>
      <c r="K158" s="77"/>
      <c r="L158" s="71"/>
      <c r="M158" s="67" t="s">
        <v>121</v>
      </c>
      <c r="N158" s="73" t="s">
        <v>134</v>
      </c>
      <c r="O158" s="74"/>
      <c r="P158" s="82"/>
      <c r="Q158" s="59"/>
      <c r="R158" s="60"/>
    </row>
    <row r="159" spans="1:18" s="61" customFormat="1" ht="72" customHeight="1" x14ac:dyDescent="0.55000000000000004">
      <c r="A159" s="75" t="s">
        <v>128</v>
      </c>
      <c r="B159" s="81" t="s">
        <v>314</v>
      </c>
      <c r="C159" s="200"/>
      <c r="D159" s="201"/>
      <c r="E159" s="201"/>
      <c r="F159" s="201"/>
      <c r="G159" s="202"/>
      <c r="H159" s="77">
        <v>2</v>
      </c>
      <c r="I159" s="78">
        <v>2</v>
      </c>
      <c r="J159" s="77"/>
      <c r="K159" s="77"/>
      <c r="L159" s="71"/>
      <c r="M159" s="67" t="s">
        <v>135</v>
      </c>
      <c r="N159" s="73" t="s">
        <v>136</v>
      </c>
      <c r="O159" s="74"/>
      <c r="P159" s="82"/>
      <c r="Q159" s="59"/>
      <c r="R159" s="60"/>
    </row>
    <row r="160" spans="1:18" s="61" customFormat="1" ht="66" customHeight="1" x14ac:dyDescent="0.55000000000000004">
      <c r="A160" s="79">
        <v>3</v>
      </c>
      <c r="B160" s="80" t="s">
        <v>137</v>
      </c>
      <c r="C160" s="208"/>
      <c r="D160" s="209"/>
      <c r="E160" s="209"/>
      <c r="F160" s="209"/>
      <c r="G160" s="210"/>
      <c r="H160" s="77"/>
      <c r="I160" s="78"/>
      <c r="J160" s="77"/>
      <c r="K160" s="77"/>
      <c r="L160" s="71"/>
      <c r="M160" s="67" t="s">
        <v>119</v>
      </c>
      <c r="N160" s="73" t="s">
        <v>138</v>
      </c>
      <c r="O160" s="74"/>
      <c r="P160" s="82"/>
      <c r="Q160" s="59"/>
      <c r="R160" s="60"/>
    </row>
    <row r="161" spans="1:18" s="61" customFormat="1" ht="72" customHeight="1" x14ac:dyDescent="0.55000000000000004">
      <c r="A161" s="75" t="s">
        <v>124</v>
      </c>
      <c r="B161" s="81" t="s">
        <v>139</v>
      </c>
      <c r="C161" s="211"/>
      <c r="D161" s="212"/>
      <c r="E161" s="212"/>
      <c r="F161" s="212"/>
      <c r="G161" s="213"/>
      <c r="H161" s="77">
        <v>2</v>
      </c>
      <c r="I161" s="78">
        <v>2</v>
      </c>
      <c r="J161" s="77"/>
      <c r="K161" s="77"/>
      <c r="L161" s="71"/>
      <c r="M161" s="67" t="s">
        <v>120</v>
      </c>
      <c r="N161" s="73" t="s">
        <v>140</v>
      </c>
      <c r="O161" s="74"/>
      <c r="P161" s="82"/>
      <c r="Q161" s="59"/>
      <c r="R161" s="60"/>
    </row>
    <row r="162" spans="1:18" s="61" customFormat="1" ht="72" customHeight="1" x14ac:dyDescent="0.55000000000000004">
      <c r="A162" s="75" t="s">
        <v>126</v>
      </c>
      <c r="B162" s="81" t="s">
        <v>315</v>
      </c>
      <c r="C162" s="211"/>
      <c r="D162" s="212"/>
      <c r="E162" s="212"/>
      <c r="F162" s="212"/>
      <c r="G162" s="213"/>
      <c r="H162" s="77">
        <v>2</v>
      </c>
      <c r="I162" s="78">
        <v>2</v>
      </c>
      <c r="J162" s="77"/>
      <c r="K162" s="77"/>
      <c r="L162" s="71"/>
      <c r="M162" s="67" t="s">
        <v>141</v>
      </c>
      <c r="N162" s="73" t="s">
        <v>142</v>
      </c>
      <c r="O162" s="74"/>
      <c r="P162" s="82"/>
      <c r="Q162" s="59"/>
      <c r="R162" s="60"/>
    </row>
    <row r="163" spans="1:18" s="61" customFormat="1" ht="44.25" customHeight="1" x14ac:dyDescent="0.55000000000000004">
      <c r="A163" s="75" t="s">
        <v>128</v>
      </c>
      <c r="B163" s="81" t="s">
        <v>316</v>
      </c>
      <c r="C163" s="211"/>
      <c r="D163" s="212"/>
      <c r="E163" s="212"/>
      <c r="F163" s="212"/>
      <c r="G163" s="213"/>
      <c r="H163" s="77">
        <v>2</v>
      </c>
      <c r="I163" s="78">
        <v>2</v>
      </c>
      <c r="J163" s="77"/>
      <c r="K163" s="77"/>
      <c r="L163" s="71"/>
      <c r="M163" s="83"/>
      <c r="N163" s="83"/>
      <c r="O163" s="83"/>
      <c r="P163" s="84"/>
      <c r="Q163" s="59"/>
      <c r="R163" s="60"/>
    </row>
    <row r="164" spans="1:18" s="61" customFormat="1" ht="31.5" customHeight="1" x14ac:dyDescent="0.55000000000000004">
      <c r="A164" s="198" t="s">
        <v>143</v>
      </c>
      <c r="B164" s="199"/>
      <c r="C164" s="199"/>
      <c r="D164" s="199"/>
      <c r="E164" s="199"/>
      <c r="F164" s="199"/>
      <c r="G164" s="199"/>
      <c r="H164" s="85">
        <f>SUM(H153:H163)</f>
        <v>20</v>
      </c>
      <c r="I164" s="85">
        <f>SUM(I153:I163)</f>
        <v>20</v>
      </c>
      <c r="J164" s="85"/>
      <c r="K164" s="86"/>
      <c r="L164" s="71"/>
      <c r="M164" s="83"/>
      <c r="N164" s="83"/>
      <c r="O164" s="83"/>
      <c r="P164" s="84"/>
      <c r="Q164" s="59"/>
      <c r="R164" s="60"/>
    </row>
    <row r="165" spans="1:18" s="61" customFormat="1" ht="36" customHeight="1" x14ac:dyDescent="0.55000000000000004">
      <c r="A165" s="87" t="s">
        <v>124</v>
      </c>
      <c r="B165" s="88" t="s">
        <v>144</v>
      </c>
      <c r="C165" s="200" t="s">
        <v>145</v>
      </c>
      <c r="D165" s="201"/>
      <c r="E165" s="201"/>
      <c r="F165" s="201"/>
      <c r="G165" s="202"/>
      <c r="H165" s="89">
        <v>4</v>
      </c>
      <c r="I165" s="90">
        <v>3.5</v>
      </c>
      <c r="J165" s="89"/>
      <c r="K165" s="91"/>
      <c r="L165" s="71"/>
      <c r="M165" s="83"/>
      <c r="N165" s="83"/>
      <c r="O165" s="83"/>
      <c r="P165" s="84"/>
      <c r="Q165" s="59"/>
      <c r="R165" s="60"/>
    </row>
    <row r="166" spans="1:18" s="61" customFormat="1" ht="129" customHeight="1" x14ac:dyDescent="0.55000000000000004">
      <c r="A166" s="87" t="s">
        <v>126</v>
      </c>
      <c r="B166" s="88" t="s">
        <v>146</v>
      </c>
      <c r="C166" s="200" t="s">
        <v>147</v>
      </c>
      <c r="D166" s="201"/>
      <c r="E166" s="201"/>
      <c r="F166" s="201"/>
      <c r="G166" s="202"/>
      <c r="H166" s="89">
        <v>3</v>
      </c>
      <c r="I166" s="90">
        <v>3</v>
      </c>
      <c r="J166" s="89"/>
      <c r="K166" s="91"/>
      <c r="L166" s="71"/>
      <c r="M166" s="83"/>
      <c r="N166" s="83"/>
      <c r="O166" s="83"/>
      <c r="P166" s="84"/>
      <c r="Q166" s="59"/>
      <c r="R166" s="60"/>
    </row>
    <row r="167" spans="1:18" s="61" customFormat="1" ht="69" customHeight="1" x14ac:dyDescent="0.55000000000000004">
      <c r="A167" s="87" t="s">
        <v>126</v>
      </c>
      <c r="B167" s="88" t="s">
        <v>148</v>
      </c>
      <c r="C167" s="200" t="s">
        <v>149</v>
      </c>
      <c r="D167" s="201"/>
      <c r="E167" s="201"/>
      <c r="F167" s="201"/>
      <c r="G167" s="202"/>
      <c r="H167" s="89">
        <v>3</v>
      </c>
      <c r="I167" s="90">
        <v>3</v>
      </c>
      <c r="J167" s="89"/>
      <c r="K167" s="91"/>
      <c r="L167" s="71"/>
      <c r="M167" s="83"/>
      <c r="N167" s="83"/>
      <c r="O167" s="83"/>
      <c r="P167" s="84"/>
      <c r="Q167" s="59"/>
      <c r="R167" s="60"/>
    </row>
    <row r="168" spans="1:18" s="61" customFormat="1" ht="46.5" customHeight="1" x14ac:dyDescent="0.55000000000000004">
      <c r="A168" s="92"/>
      <c r="B168" s="203" t="s">
        <v>150</v>
      </c>
      <c r="C168" s="203"/>
      <c r="D168" s="203"/>
      <c r="E168" s="93"/>
      <c r="F168" s="93"/>
      <c r="G168" s="93"/>
      <c r="H168" s="85">
        <f>SUM(H165:H167)</f>
        <v>10</v>
      </c>
      <c r="I168" s="85">
        <f>SUM(I165:I167)</f>
        <v>9.5</v>
      </c>
      <c r="J168" s="93"/>
      <c r="K168" s="94"/>
      <c r="L168" s="83"/>
      <c r="M168" s="83"/>
      <c r="N168" s="83"/>
      <c r="O168" s="83"/>
      <c r="P168" s="84"/>
      <c r="Q168" s="59"/>
      <c r="R168" s="60"/>
    </row>
    <row r="169" spans="1:18" s="97" customFormat="1" ht="45" customHeight="1" x14ac:dyDescent="0.7">
      <c r="A169" s="95"/>
      <c r="B169" s="204"/>
      <c r="C169" s="96"/>
      <c r="D169" s="96"/>
      <c r="E169" s="96"/>
      <c r="F169" s="207"/>
      <c r="G169" s="207"/>
      <c r="H169" s="207"/>
      <c r="I169" s="207"/>
      <c r="J169" s="207"/>
      <c r="K169" s="96"/>
      <c r="L169" s="96"/>
      <c r="M169" s="96"/>
      <c r="N169" s="96"/>
      <c r="O169" s="189" t="s">
        <v>317</v>
      </c>
      <c r="P169" s="190"/>
      <c r="Q169" s="189" t="s">
        <v>318</v>
      </c>
      <c r="R169" s="191"/>
    </row>
    <row r="170" spans="1:18" s="97" customFormat="1" ht="45" customHeight="1" x14ac:dyDescent="0.7">
      <c r="A170" s="95"/>
      <c r="B170" s="205"/>
      <c r="C170" s="178" t="s">
        <v>319</v>
      </c>
      <c r="D170" s="179"/>
      <c r="E170" s="179"/>
      <c r="F170" s="179"/>
      <c r="G170" s="179"/>
      <c r="H170" s="179"/>
      <c r="I170" s="179"/>
      <c r="J170" s="179"/>
      <c r="K170" s="180"/>
      <c r="L170" s="173"/>
      <c r="M170" s="174"/>
      <c r="N170" s="175"/>
      <c r="O170" s="176">
        <f>R149</f>
        <v>0</v>
      </c>
      <c r="P170" s="177"/>
      <c r="Q170" s="192">
        <f>O173/100 * 20</f>
        <v>5.8999999999999995</v>
      </c>
      <c r="R170" s="193"/>
    </row>
    <row r="171" spans="1:18" s="97" customFormat="1" ht="45" customHeight="1" x14ac:dyDescent="0.7">
      <c r="A171" s="95"/>
      <c r="B171" s="205"/>
      <c r="C171" s="179" t="s">
        <v>320</v>
      </c>
      <c r="D171" s="179"/>
      <c r="E171" s="179"/>
      <c r="F171" s="179"/>
      <c r="G171" s="179"/>
      <c r="H171" s="179"/>
      <c r="I171" s="179"/>
      <c r="J171" s="179"/>
      <c r="K171" s="179"/>
      <c r="L171" s="174"/>
      <c r="M171" s="174"/>
      <c r="N171" s="175"/>
      <c r="O171" s="176">
        <f>I164</f>
        <v>20</v>
      </c>
      <c r="P171" s="177"/>
      <c r="Q171" s="194"/>
      <c r="R171" s="195"/>
    </row>
    <row r="172" spans="1:18" s="97" customFormat="1" ht="45" customHeight="1" x14ac:dyDescent="0.7">
      <c r="A172" s="95"/>
      <c r="B172" s="205"/>
      <c r="C172" s="178" t="s">
        <v>321</v>
      </c>
      <c r="D172" s="179"/>
      <c r="E172" s="179"/>
      <c r="F172" s="179"/>
      <c r="G172" s="179"/>
      <c r="H172" s="179"/>
      <c r="I172" s="179"/>
      <c r="J172" s="179"/>
      <c r="K172" s="180"/>
      <c r="L172" s="173"/>
      <c r="M172" s="174"/>
      <c r="N172" s="175"/>
      <c r="O172" s="176">
        <f>I168</f>
        <v>9.5</v>
      </c>
      <c r="P172" s="177"/>
      <c r="Q172" s="194"/>
      <c r="R172" s="195"/>
    </row>
    <row r="173" spans="1:18" s="97" customFormat="1" ht="45" customHeight="1" x14ac:dyDescent="0.7">
      <c r="A173" s="95"/>
      <c r="B173" s="206"/>
      <c r="C173" s="178" t="s">
        <v>322</v>
      </c>
      <c r="D173" s="179"/>
      <c r="E173" s="179"/>
      <c r="F173" s="179"/>
      <c r="G173" s="179"/>
      <c r="H173" s="179"/>
      <c r="I173" s="179"/>
      <c r="J173" s="179"/>
      <c r="K173" s="180"/>
      <c r="L173" s="173"/>
      <c r="M173" s="174"/>
      <c r="N173" s="175"/>
      <c r="O173" s="176">
        <f>SUM(O170:P172)</f>
        <v>29.5</v>
      </c>
      <c r="P173" s="177"/>
      <c r="Q173" s="196"/>
      <c r="R173" s="197"/>
    </row>
    <row r="174" spans="1:18" s="97" customFormat="1" ht="64.900000000000006" customHeight="1" x14ac:dyDescent="0.7">
      <c r="A174" s="95"/>
      <c r="B174" s="181" t="s">
        <v>323</v>
      </c>
      <c r="C174" s="181"/>
      <c r="D174" s="181"/>
      <c r="E174" s="181"/>
      <c r="F174" s="181"/>
      <c r="G174" s="181"/>
      <c r="H174" s="98"/>
      <c r="I174" s="98"/>
      <c r="J174" s="98"/>
      <c r="K174" s="98"/>
      <c r="L174" s="98"/>
      <c r="M174" s="98"/>
      <c r="N174" s="98"/>
      <c r="O174" s="98"/>
      <c r="P174" s="98"/>
      <c r="Q174" s="98"/>
      <c r="R174" s="99"/>
    </row>
    <row r="175" spans="1:18" s="97" customFormat="1" ht="64.900000000000006" customHeight="1" x14ac:dyDescent="0.7">
      <c r="A175" s="95"/>
      <c r="B175" s="155" t="s">
        <v>324</v>
      </c>
      <c r="C175" s="155"/>
      <c r="D175" s="155"/>
      <c r="E175" s="155"/>
      <c r="F175" s="155"/>
      <c r="G175" s="155"/>
      <c r="H175" s="155"/>
      <c r="I175" s="155"/>
      <c r="J175" s="155"/>
      <c r="K175" s="155"/>
      <c r="L175" s="155"/>
      <c r="M175" s="155"/>
      <c r="N175" s="155"/>
      <c r="O175" s="155"/>
      <c r="P175" s="155"/>
      <c r="Q175" s="155"/>
      <c r="R175" s="156"/>
    </row>
    <row r="176" spans="1:18" s="97" customFormat="1" ht="48.75" customHeight="1" x14ac:dyDescent="0.7">
      <c r="A176" s="95"/>
      <c r="B176" s="157" t="s">
        <v>325</v>
      </c>
      <c r="C176" s="157"/>
      <c r="D176" s="157"/>
      <c r="E176" s="157"/>
      <c r="F176" s="157"/>
      <c r="G176" s="157"/>
      <c r="H176" s="100"/>
      <c r="I176" s="100"/>
      <c r="J176" s="100"/>
      <c r="K176" s="100"/>
      <c r="L176" s="100"/>
      <c r="M176" s="100"/>
      <c r="N176" s="100"/>
      <c r="O176" s="100"/>
      <c r="P176" s="100"/>
      <c r="Q176" s="100"/>
      <c r="R176" s="101"/>
    </row>
    <row r="177" spans="1:18" s="97" customFormat="1" ht="45.75" x14ac:dyDescent="0.7">
      <c r="A177" s="95"/>
      <c r="B177" s="155"/>
      <c r="C177" s="155"/>
      <c r="D177" s="155"/>
      <c r="E177" s="155"/>
      <c r="F177" s="155"/>
      <c r="G177" s="155"/>
      <c r="H177" s="155"/>
      <c r="I177" s="155"/>
      <c r="J177" s="155"/>
      <c r="K177" s="155"/>
      <c r="L177" s="155"/>
      <c r="M177" s="155"/>
      <c r="N177" s="155"/>
      <c r="O177" s="155"/>
      <c r="P177" s="155"/>
      <c r="Q177" s="155"/>
      <c r="R177" s="156"/>
    </row>
    <row r="178" spans="1:18" s="61" customFormat="1" ht="31.5" customHeight="1" x14ac:dyDescent="0.55000000000000004">
      <c r="A178" s="158" t="s">
        <v>326</v>
      </c>
      <c r="B178" s="159"/>
      <c r="C178" s="152"/>
      <c r="D178" s="164"/>
      <c r="E178" s="167" t="s">
        <v>327</v>
      </c>
      <c r="F178" s="146"/>
      <c r="G178" s="159" t="s">
        <v>328</v>
      </c>
      <c r="H178" s="152"/>
      <c r="I178" s="152"/>
      <c r="J178" s="152"/>
      <c r="K178" s="102"/>
      <c r="L178" s="71"/>
      <c r="M178" s="170"/>
      <c r="N178" s="170"/>
      <c r="O178" s="170"/>
      <c r="P178" s="170"/>
      <c r="Q178" s="170"/>
      <c r="R178" s="60"/>
    </row>
    <row r="179" spans="1:18" s="61" customFormat="1" ht="31.5" customHeight="1" x14ac:dyDescent="0.55000000000000004">
      <c r="A179" s="160"/>
      <c r="B179" s="161"/>
      <c r="C179" s="153"/>
      <c r="D179" s="165"/>
      <c r="E179" s="168"/>
      <c r="F179" s="147"/>
      <c r="G179" s="161"/>
      <c r="H179" s="153"/>
      <c r="I179" s="153"/>
      <c r="J179" s="153"/>
      <c r="K179" s="102"/>
      <c r="L179" s="71"/>
      <c r="M179" s="171"/>
      <c r="N179" s="171"/>
      <c r="O179" s="171"/>
      <c r="P179" s="171"/>
      <c r="Q179" s="171"/>
      <c r="R179" s="60"/>
    </row>
    <row r="180" spans="1:18" s="61" customFormat="1" ht="31.5" customHeight="1" x14ac:dyDescent="0.55000000000000004">
      <c r="A180" s="160"/>
      <c r="B180" s="161"/>
      <c r="C180" s="153"/>
      <c r="D180" s="165"/>
      <c r="E180" s="168"/>
      <c r="F180" s="147"/>
      <c r="G180" s="161"/>
      <c r="H180" s="153"/>
      <c r="I180" s="153"/>
      <c r="J180" s="153"/>
      <c r="K180" s="102"/>
      <c r="L180" s="71"/>
      <c r="M180" s="171"/>
      <c r="N180" s="171"/>
      <c r="O180" s="171"/>
      <c r="P180" s="171"/>
      <c r="Q180" s="171"/>
      <c r="R180" s="60"/>
    </row>
    <row r="181" spans="1:18" s="61" customFormat="1" ht="31.5" customHeight="1" x14ac:dyDescent="0.55000000000000004">
      <c r="A181" s="162"/>
      <c r="B181" s="163"/>
      <c r="C181" s="154"/>
      <c r="D181" s="166"/>
      <c r="E181" s="169"/>
      <c r="F181" s="148"/>
      <c r="G181" s="163"/>
      <c r="H181" s="154"/>
      <c r="I181" s="154"/>
      <c r="J181" s="154"/>
      <c r="K181" s="102"/>
      <c r="L181" s="71"/>
      <c r="M181" s="171"/>
      <c r="N181" s="171"/>
      <c r="O181" s="171"/>
      <c r="P181" s="171"/>
      <c r="Q181" s="171"/>
      <c r="R181" s="60"/>
    </row>
    <row r="182" spans="1:18" s="61" customFormat="1" ht="31.5" customHeight="1" x14ac:dyDescent="0.55000000000000004">
      <c r="A182" s="184" t="s">
        <v>151</v>
      </c>
      <c r="B182" s="149"/>
      <c r="C182" s="152"/>
      <c r="D182" s="164"/>
      <c r="E182" s="186" t="s">
        <v>329</v>
      </c>
      <c r="F182" s="146"/>
      <c r="G182" s="149" t="s">
        <v>329</v>
      </c>
      <c r="H182" s="152"/>
      <c r="I182" s="152"/>
      <c r="J182" s="152"/>
      <c r="K182" s="102"/>
      <c r="L182" s="71"/>
      <c r="M182" s="171"/>
      <c r="N182" s="171"/>
      <c r="O182" s="171"/>
      <c r="P182" s="171"/>
      <c r="Q182" s="171"/>
      <c r="R182" s="60"/>
    </row>
    <row r="183" spans="1:18" s="61" customFormat="1" ht="31.5" customHeight="1" x14ac:dyDescent="0.55000000000000004">
      <c r="A183" s="185"/>
      <c r="B183" s="150"/>
      <c r="C183" s="153"/>
      <c r="D183" s="165"/>
      <c r="E183" s="187"/>
      <c r="F183" s="147"/>
      <c r="G183" s="150"/>
      <c r="H183" s="153"/>
      <c r="I183" s="153"/>
      <c r="J183" s="153"/>
      <c r="K183" s="102"/>
      <c r="L183" s="71"/>
      <c r="M183" s="171"/>
      <c r="N183" s="171"/>
      <c r="O183" s="171"/>
      <c r="P183" s="171"/>
      <c r="Q183" s="171"/>
      <c r="R183" s="60"/>
    </row>
    <row r="184" spans="1:18" s="61" customFormat="1" ht="31.5" customHeight="1" x14ac:dyDescent="0.55000000000000004">
      <c r="A184" s="185"/>
      <c r="B184" s="150"/>
      <c r="C184" s="154"/>
      <c r="D184" s="166"/>
      <c r="E184" s="188"/>
      <c r="F184" s="148"/>
      <c r="G184" s="151"/>
      <c r="H184" s="154"/>
      <c r="I184" s="154"/>
      <c r="J184" s="154"/>
      <c r="K184" s="102"/>
      <c r="L184" s="71"/>
      <c r="M184" s="171"/>
      <c r="N184" s="171"/>
      <c r="O184" s="171"/>
      <c r="P184" s="171"/>
      <c r="Q184" s="171"/>
      <c r="R184" s="60"/>
    </row>
    <row r="185" spans="1:18" s="61" customFormat="1" ht="31.5" customHeight="1" x14ac:dyDescent="0.55000000000000004">
      <c r="A185" s="160" t="s">
        <v>152</v>
      </c>
      <c r="B185" s="161"/>
      <c r="C185" s="152"/>
      <c r="D185" s="164"/>
      <c r="E185" s="167" t="s">
        <v>330</v>
      </c>
      <c r="F185" s="146"/>
      <c r="G185" s="159" t="s">
        <v>330</v>
      </c>
      <c r="H185" s="152"/>
      <c r="I185" s="152"/>
      <c r="J185" s="152"/>
      <c r="K185" s="102"/>
      <c r="L185" s="71"/>
      <c r="M185" s="171"/>
      <c r="N185" s="171"/>
      <c r="O185" s="171"/>
      <c r="P185" s="171"/>
      <c r="Q185" s="171"/>
      <c r="R185" s="60"/>
    </row>
    <row r="186" spans="1:18" s="61" customFormat="1" ht="31.5" customHeight="1" x14ac:dyDescent="0.55000000000000004">
      <c r="A186" s="160"/>
      <c r="B186" s="161"/>
      <c r="C186" s="154"/>
      <c r="D186" s="166"/>
      <c r="E186" s="169"/>
      <c r="F186" s="148"/>
      <c r="G186" s="163"/>
      <c r="H186" s="154"/>
      <c r="I186" s="154"/>
      <c r="J186" s="154"/>
      <c r="K186" s="102"/>
      <c r="L186" s="71"/>
      <c r="M186" s="171"/>
      <c r="N186" s="171"/>
      <c r="O186" s="171"/>
      <c r="P186" s="171"/>
      <c r="Q186" s="171"/>
      <c r="R186" s="60"/>
    </row>
    <row r="187" spans="1:18" s="61" customFormat="1" ht="31.5" customHeight="1" thickBot="1" x14ac:dyDescent="0.6">
      <c r="A187" s="182"/>
      <c r="B187" s="183"/>
      <c r="C187" s="183"/>
      <c r="D187" s="183"/>
      <c r="E187" s="183"/>
      <c r="F187" s="183"/>
      <c r="G187" s="183"/>
      <c r="H187" s="183"/>
      <c r="I187" s="183"/>
      <c r="J187" s="183"/>
      <c r="K187" s="103"/>
      <c r="L187" s="104"/>
      <c r="M187" s="172"/>
      <c r="N187" s="172"/>
      <c r="O187" s="172"/>
      <c r="P187" s="172"/>
      <c r="Q187" s="172"/>
      <c r="R187" s="105"/>
    </row>
  </sheetData>
  <mergeCells count="204">
    <mergeCell ref="A10:B10"/>
    <mergeCell ref="I10:J10"/>
    <mergeCell ref="A11:B11"/>
    <mergeCell ref="I11:J11"/>
    <mergeCell ref="A12:I12"/>
    <mergeCell ref="A13:B13"/>
    <mergeCell ref="I13:J13"/>
    <mergeCell ref="A1:R3"/>
    <mergeCell ref="A4:J4"/>
    <mergeCell ref="K4:R15"/>
    <mergeCell ref="E5:H5"/>
    <mergeCell ref="A6:H6"/>
    <mergeCell ref="A7:B7"/>
    <mergeCell ref="I7:J7"/>
    <mergeCell ref="A8:B8"/>
    <mergeCell ref="I8:J8"/>
    <mergeCell ref="A9:I9"/>
    <mergeCell ref="A14:B14"/>
    <mergeCell ref="I14:J14"/>
    <mergeCell ref="A15:I15"/>
    <mergeCell ref="A16:I16"/>
    <mergeCell ref="A17:A18"/>
    <mergeCell ref="B17:B18"/>
    <mergeCell ref="C17:C18"/>
    <mergeCell ref="D17:D18"/>
    <mergeCell ref="E17:E18"/>
    <mergeCell ref="F17:F18"/>
    <mergeCell ref="I149:Q149"/>
    <mergeCell ref="A150:G150"/>
    <mergeCell ref="H150:K150"/>
    <mergeCell ref="L150:L151"/>
    <mergeCell ref="C151:G151"/>
    <mergeCell ref="D45:D46"/>
    <mergeCell ref="D47:D48"/>
    <mergeCell ref="A19:A27"/>
    <mergeCell ref="B19:B27"/>
    <mergeCell ref="A28:A39"/>
    <mergeCell ref="B28:B39"/>
    <mergeCell ref="A79:A89"/>
    <mergeCell ref="B79:B89"/>
    <mergeCell ref="D82:D83"/>
    <mergeCell ref="D84:D85"/>
    <mergeCell ref="D86:D87"/>
    <mergeCell ref="D88:D89"/>
    <mergeCell ref="R17:R18"/>
    <mergeCell ref="G17:G18"/>
    <mergeCell ref="H17:H18"/>
    <mergeCell ref="I17:I18"/>
    <mergeCell ref="J17:O17"/>
    <mergeCell ref="P17:P18"/>
    <mergeCell ref="Q17:Q18"/>
    <mergeCell ref="C155:G155"/>
    <mergeCell ref="N155:O155"/>
    <mergeCell ref="C19:C27"/>
    <mergeCell ref="D19:D21"/>
    <mergeCell ref="D22:D24"/>
    <mergeCell ref="D26:D27"/>
    <mergeCell ref="C28:C39"/>
    <mergeCell ref="D28:D29"/>
    <mergeCell ref="D30:D32"/>
    <mergeCell ref="D33:D34"/>
    <mergeCell ref="D35:D36"/>
    <mergeCell ref="D37:D39"/>
    <mergeCell ref="D72:D73"/>
    <mergeCell ref="D74:D76"/>
    <mergeCell ref="D77:D78"/>
    <mergeCell ref="C79:C89"/>
    <mergeCell ref="D79:D81"/>
    <mergeCell ref="C156:G156"/>
    <mergeCell ref="N156:O156"/>
    <mergeCell ref="C157:G157"/>
    <mergeCell ref="N157:O157"/>
    <mergeCell ref="C152:G152"/>
    <mergeCell ref="N152:O152"/>
    <mergeCell ref="C153:G153"/>
    <mergeCell ref="N153:O153"/>
    <mergeCell ref="C154:G154"/>
    <mergeCell ref="N154:O154"/>
    <mergeCell ref="A164:G164"/>
    <mergeCell ref="C165:G165"/>
    <mergeCell ref="C166:G166"/>
    <mergeCell ref="C167:G167"/>
    <mergeCell ref="B168:D168"/>
    <mergeCell ref="B169:B173"/>
    <mergeCell ref="F169:J169"/>
    <mergeCell ref="C158:G158"/>
    <mergeCell ref="C159:G159"/>
    <mergeCell ref="C160:G160"/>
    <mergeCell ref="C161:G161"/>
    <mergeCell ref="C162:G162"/>
    <mergeCell ref="C163:G163"/>
    <mergeCell ref="O169:P169"/>
    <mergeCell ref="Q169:R169"/>
    <mergeCell ref="C170:K170"/>
    <mergeCell ref="L170:N170"/>
    <mergeCell ref="O170:P170"/>
    <mergeCell ref="Q170:R173"/>
    <mergeCell ref="C171:K171"/>
    <mergeCell ref="L171:N171"/>
    <mergeCell ref="O171:P171"/>
    <mergeCell ref="C172:K172"/>
    <mergeCell ref="B177:R177"/>
    <mergeCell ref="A178:B181"/>
    <mergeCell ref="C178:D181"/>
    <mergeCell ref="E178:E181"/>
    <mergeCell ref="F178:F181"/>
    <mergeCell ref="G178:G181"/>
    <mergeCell ref="H178:J181"/>
    <mergeCell ref="M178:Q187"/>
    <mergeCell ref="L172:N172"/>
    <mergeCell ref="O172:P172"/>
    <mergeCell ref="C173:K173"/>
    <mergeCell ref="L173:N173"/>
    <mergeCell ref="O173:P173"/>
    <mergeCell ref="B174:G174"/>
    <mergeCell ref="A187:J187"/>
    <mergeCell ref="A185:B186"/>
    <mergeCell ref="C185:D186"/>
    <mergeCell ref="E185:E186"/>
    <mergeCell ref="F185:F186"/>
    <mergeCell ref="G185:G186"/>
    <mergeCell ref="H185:J186"/>
    <mergeCell ref="A182:B184"/>
    <mergeCell ref="C182:D184"/>
    <mergeCell ref="E182:E184"/>
    <mergeCell ref="F182:F184"/>
    <mergeCell ref="G182:G184"/>
    <mergeCell ref="H182:J184"/>
    <mergeCell ref="B175:R175"/>
    <mergeCell ref="B176:G176"/>
    <mergeCell ref="D49:D50"/>
    <mergeCell ref="D51:D52"/>
    <mergeCell ref="A54:A61"/>
    <mergeCell ref="B54:B61"/>
    <mergeCell ref="C54:C61"/>
    <mergeCell ref="D54:D61"/>
    <mergeCell ref="A40:A53"/>
    <mergeCell ref="B40:B53"/>
    <mergeCell ref="C40:C53"/>
    <mergeCell ref="D40:D42"/>
    <mergeCell ref="D43:D44"/>
    <mergeCell ref="A62:A69"/>
    <mergeCell ref="B62:B69"/>
    <mergeCell ref="C62:C69"/>
    <mergeCell ref="D62:D69"/>
    <mergeCell ref="A70:A78"/>
    <mergeCell ref="B70:B78"/>
    <mergeCell ref="C70:C78"/>
    <mergeCell ref="D70:D71"/>
    <mergeCell ref="A101:A110"/>
    <mergeCell ref="B101:B110"/>
    <mergeCell ref="C101:C110"/>
    <mergeCell ref="D101:D102"/>
    <mergeCell ref="D103:D104"/>
    <mergeCell ref="D105:D106"/>
    <mergeCell ref="D107:D108"/>
    <mergeCell ref="D109:D110"/>
    <mergeCell ref="A90:A100"/>
    <mergeCell ref="B90:B100"/>
    <mergeCell ref="C90:C100"/>
    <mergeCell ref="D90:D92"/>
    <mergeCell ref="D93:D94"/>
    <mergeCell ref="D95:D96"/>
    <mergeCell ref="D97:D98"/>
    <mergeCell ref="D99:D100"/>
    <mergeCell ref="A121:A128"/>
    <mergeCell ref="B121:B128"/>
    <mergeCell ref="C121:C128"/>
    <mergeCell ref="D121:D122"/>
    <mergeCell ref="D123:D124"/>
    <mergeCell ref="D125:D126"/>
    <mergeCell ref="A111:A120"/>
    <mergeCell ref="B111:B120"/>
    <mergeCell ref="C111:C120"/>
    <mergeCell ref="D111:D112"/>
    <mergeCell ref="D113:D114"/>
    <mergeCell ref="D115:D116"/>
    <mergeCell ref="D117:D118"/>
    <mergeCell ref="D119:D120"/>
    <mergeCell ref="A134:A136"/>
    <mergeCell ref="B134:B136"/>
    <mergeCell ref="C134:C136"/>
    <mergeCell ref="D134:D136"/>
    <mergeCell ref="A137:A138"/>
    <mergeCell ref="B137:B138"/>
    <mergeCell ref="C137:C138"/>
    <mergeCell ref="D137:D138"/>
    <mergeCell ref="A129:A131"/>
    <mergeCell ref="B129:B131"/>
    <mergeCell ref="C129:C131"/>
    <mergeCell ref="D129:D131"/>
    <mergeCell ref="A132:A133"/>
    <mergeCell ref="B132:B133"/>
    <mergeCell ref="C132:C133"/>
    <mergeCell ref="D132:D133"/>
    <mergeCell ref="A139:A141"/>
    <mergeCell ref="B139:B141"/>
    <mergeCell ref="C139:C141"/>
    <mergeCell ref="D139:D141"/>
    <mergeCell ref="A142:A147"/>
    <mergeCell ref="B142:B147"/>
    <mergeCell ref="C142:C147"/>
    <mergeCell ref="D142:D145"/>
    <mergeCell ref="D146:D147"/>
  </mergeCells>
  <pageMargins left="0.7" right="0.7" top="0.75" bottom="0.75" header="0.3" footer="0.3"/>
  <pageSetup scale="14"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09A4F-09BE-4F35-A17A-0C9BB275AF46}">
  <sheetPr>
    <pageSetUpPr fitToPage="1"/>
  </sheetPr>
  <dimension ref="A1:R187"/>
  <sheetViews>
    <sheetView zoomScale="30" zoomScaleNormal="30" workbookViewId="0">
      <selection activeCell="A16" sqref="A16:I16"/>
    </sheetView>
  </sheetViews>
  <sheetFormatPr defaultRowHeight="31.5" customHeight="1" x14ac:dyDescent="0.55000000000000004"/>
  <cols>
    <col min="1" max="1" width="19.7109375" style="106" bestFit="1" customWidth="1"/>
    <col min="2" max="2" width="85.42578125" style="16" bestFit="1" customWidth="1"/>
    <col min="3" max="3" width="39.5703125" style="16" bestFit="1" customWidth="1"/>
    <col min="4" max="4" width="114.85546875" style="16" customWidth="1"/>
    <col min="5" max="5" width="64.7109375" style="106" bestFit="1" customWidth="1"/>
    <col min="6" max="6" width="42" style="106" customWidth="1"/>
    <col min="7" max="7" width="255.7109375" style="16" bestFit="1" customWidth="1"/>
    <col min="8" max="8" width="33" style="106" customWidth="1"/>
    <col min="9" max="9" width="62.42578125" style="106" customWidth="1"/>
    <col min="10" max="10" width="45.140625" style="106" customWidth="1"/>
    <col min="11" max="13" width="35.28515625" style="106" bestFit="1" customWidth="1"/>
    <col min="14" max="14" width="40.7109375" style="106" bestFit="1" customWidth="1"/>
    <col min="15" max="15" width="36.85546875" style="106" bestFit="1" customWidth="1"/>
    <col min="16" max="17" width="36.85546875" style="107" customWidth="1"/>
    <col min="18" max="18" width="36.85546875" style="108" customWidth="1"/>
    <col min="19" max="16384" width="9.140625" style="16"/>
  </cols>
  <sheetData>
    <row r="1" spans="1:18" ht="31.5" customHeight="1" x14ac:dyDescent="0.25">
      <c r="A1" s="259" t="s">
        <v>297</v>
      </c>
      <c r="B1" s="260"/>
      <c r="C1" s="260"/>
      <c r="D1" s="260"/>
      <c r="E1" s="260"/>
      <c r="F1" s="260"/>
      <c r="G1" s="260"/>
      <c r="H1" s="260"/>
      <c r="I1" s="260"/>
      <c r="J1" s="260"/>
      <c r="K1" s="260"/>
      <c r="L1" s="260"/>
      <c r="M1" s="260"/>
      <c r="N1" s="260"/>
      <c r="O1" s="260"/>
      <c r="P1" s="260"/>
      <c r="Q1" s="260"/>
      <c r="R1" s="261"/>
    </row>
    <row r="2" spans="1:18" ht="31.5" customHeight="1" x14ac:dyDescent="0.25">
      <c r="A2" s="262"/>
      <c r="B2" s="263"/>
      <c r="C2" s="263"/>
      <c r="D2" s="263"/>
      <c r="E2" s="263"/>
      <c r="F2" s="263"/>
      <c r="G2" s="263"/>
      <c r="H2" s="263"/>
      <c r="I2" s="263"/>
      <c r="J2" s="263"/>
      <c r="K2" s="263"/>
      <c r="L2" s="263"/>
      <c r="M2" s="263"/>
      <c r="N2" s="263"/>
      <c r="O2" s="263"/>
      <c r="P2" s="263"/>
      <c r="Q2" s="263"/>
      <c r="R2" s="264"/>
    </row>
    <row r="3" spans="1:18" ht="31.5" customHeight="1" thickBot="1" x14ac:dyDescent="0.3">
      <c r="A3" s="262"/>
      <c r="B3" s="263"/>
      <c r="C3" s="263"/>
      <c r="D3" s="263"/>
      <c r="E3" s="263"/>
      <c r="F3" s="263"/>
      <c r="G3" s="263"/>
      <c r="H3" s="263"/>
      <c r="I3" s="263"/>
      <c r="J3" s="263"/>
      <c r="K3" s="263"/>
      <c r="L3" s="263"/>
      <c r="M3" s="263"/>
      <c r="N3" s="263"/>
      <c r="O3" s="263"/>
      <c r="P3" s="263"/>
      <c r="Q3" s="263"/>
      <c r="R3" s="264"/>
    </row>
    <row r="4" spans="1:18" s="17" customFormat="1" ht="45.75" x14ac:dyDescent="0.25">
      <c r="A4" s="265" t="s">
        <v>0</v>
      </c>
      <c r="B4" s="266"/>
      <c r="C4" s="266"/>
      <c r="D4" s="266"/>
      <c r="E4" s="266"/>
      <c r="F4" s="266"/>
      <c r="G4" s="266"/>
      <c r="H4" s="266"/>
      <c r="I4" s="266"/>
      <c r="J4" s="266"/>
      <c r="K4" s="267"/>
      <c r="L4" s="268"/>
      <c r="M4" s="268"/>
      <c r="N4" s="268"/>
      <c r="O4" s="268"/>
      <c r="P4" s="268"/>
      <c r="Q4" s="268"/>
      <c r="R4" s="269"/>
    </row>
    <row r="5" spans="1:18" s="24" customFormat="1" ht="32.25" x14ac:dyDescent="0.5">
      <c r="A5" s="18" t="s">
        <v>1</v>
      </c>
      <c r="B5" s="19" t="s">
        <v>332</v>
      </c>
      <c r="C5" s="20" t="s">
        <v>3</v>
      </c>
      <c r="D5" s="21" t="s">
        <v>333</v>
      </c>
      <c r="E5" s="276"/>
      <c r="F5" s="276"/>
      <c r="G5" s="276"/>
      <c r="H5" s="276"/>
      <c r="I5" s="22"/>
      <c r="J5" s="23"/>
      <c r="K5" s="270"/>
      <c r="L5" s="271"/>
      <c r="M5" s="271"/>
      <c r="N5" s="271"/>
      <c r="O5" s="271"/>
      <c r="P5" s="271"/>
      <c r="Q5" s="271"/>
      <c r="R5" s="272"/>
    </row>
    <row r="6" spans="1:18" s="27" customFormat="1" ht="38.25" customHeight="1" x14ac:dyDescent="0.55000000000000004">
      <c r="A6" s="277" t="s">
        <v>5</v>
      </c>
      <c r="B6" s="278"/>
      <c r="C6" s="278"/>
      <c r="D6" s="278"/>
      <c r="E6" s="278"/>
      <c r="F6" s="278"/>
      <c r="G6" s="278"/>
      <c r="H6" s="278"/>
      <c r="I6" s="25"/>
      <c r="J6" s="26"/>
      <c r="K6" s="270"/>
      <c r="L6" s="271"/>
      <c r="M6" s="271"/>
      <c r="N6" s="271"/>
      <c r="O6" s="271"/>
      <c r="P6" s="271"/>
      <c r="Q6" s="271"/>
      <c r="R6" s="272"/>
    </row>
    <row r="7" spans="1:18" s="113" customFormat="1" ht="48.75" customHeight="1" x14ac:dyDescent="0.6">
      <c r="A7" s="279" t="s">
        <v>6</v>
      </c>
      <c r="B7" s="279"/>
      <c r="C7" s="109" t="s">
        <v>15</v>
      </c>
      <c r="D7" s="110" t="s">
        <v>7</v>
      </c>
      <c r="E7" s="109" t="s">
        <v>16</v>
      </c>
      <c r="F7" s="111" t="s">
        <v>8</v>
      </c>
      <c r="G7" s="112" t="s">
        <v>17</v>
      </c>
      <c r="H7" s="110" t="s">
        <v>9</v>
      </c>
      <c r="I7" s="249" t="s">
        <v>18</v>
      </c>
      <c r="J7" s="250"/>
      <c r="K7" s="270"/>
      <c r="L7" s="271"/>
      <c r="M7" s="271"/>
      <c r="N7" s="271"/>
      <c r="O7" s="271"/>
      <c r="P7" s="271"/>
      <c r="Q7" s="271"/>
      <c r="R7" s="272"/>
    </row>
    <row r="8" spans="1:18" s="113" customFormat="1" ht="57" customHeight="1" x14ac:dyDescent="0.6">
      <c r="A8" s="280" t="s">
        <v>10</v>
      </c>
      <c r="B8" s="280"/>
      <c r="C8" s="115">
        <v>60529</v>
      </c>
      <c r="D8" s="114" t="s">
        <v>11</v>
      </c>
      <c r="E8" s="116" t="s">
        <v>19</v>
      </c>
      <c r="F8" s="117" t="s">
        <v>12</v>
      </c>
      <c r="G8" s="118"/>
      <c r="H8" s="114" t="s">
        <v>13</v>
      </c>
      <c r="I8" s="253" t="s">
        <v>20</v>
      </c>
      <c r="J8" s="254"/>
      <c r="K8" s="270"/>
      <c r="L8" s="271"/>
      <c r="M8" s="271"/>
      <c r="N8" s="271"/>
      <c r="O8" s="271"/>
      <c r="P8" s="271"/>
      <c r="Q8" s="271"/>
      <c r="R8" s="272"/>
    </row>
    <row r="9" spans="1:18" s="113" customFormat="1" ht="62.25" customHeight="1" x14ac:dyDescent="0.6">
      <c r="A9" s="255" t="s">
        <v>14</v>
      </c>
      <c r="B9" s="255"/>
      <c r="C9" s="255"/>
      <c r="D9" s="255"/>
      <c r="E9" s="255"/>
      <c r="F9" s="255"/>
      <c r="G9" s="255"/>
      <c r="H9" s="255"/>
      <c r="I9" s="255"/>
      <c r="J9" s="119"/>
      <c r="K9" s="270"/>
      <c r="L9" s="271"/>
      <c r="M9" s="271"/>
      <c r="N9" s="271"/>
      <c r="O9" s="271"/>
      <c r="P9" s="271"/>
      <c r="Q9" s="271"/>
      <c r="R9" s="272"/>
    </row>
    <row r="10" spans="1:18" s="122" customFormat="1" ht="39" x14ac:dyDescent="0.6">
      <c r="A10" s="247" t="s">
        <v>6</v>
      </c>
      <c r="B10" s="248"/>
      <c r="C10" s="109"/>
      <c r="D10" s="120" t="s">
        <v>7</v>
      </c>
      <c r="E10" s="109"/>
      <c r="F10" s="121" t="s">
        <v>8</v>
      </c>
      <c r="G10" s="112"/>
      <c r="H10" s="120" t="s">
        <v>9</v>
      </c>
      <c r="I10" s="249"/>
      <c r="J10" s="250"/>
      <c r="K10" s="270"/>
      <c r="L10" s="271"/>
      <c r="M10" s="271"/>
      <c r="N10" s="271"/>
      <c r="O10" s="271"/>
      <c r="P10" s="271"/>
      <c r="Q10" s="271"/>
      <c r="R10" s="272"/>
    </row>
    <row r="11" spans="1:18" s="122" customFormat="1" ht="39.75" x14ac:dyDescent="0.6">
      <c r="A11" s="251" t="s">
        <v>10</v>
      </c>
      <c r="B11" s="252"/>
      <c r="C11" s="115"/>
      <c r="D11" s="123" t="s">
        <v>11</v>
      </c>
      <c r="E11" s="116"/>
      <c r="F11" s="124" t="s">
        <v>12</v>
      </c>
      <c r="G11" s="125"/>
      <c r="H11" s="123" t="s">
        <v>13</v>
      </c>
      <c r="I11" s="253"/>
      <c r="J11" s="254"/>
      <c r="K11" s="270"/>
      <c r="L11" s="271"/>
      <c r="M11" s="271"/>
      <c r="N11" s="271"/>
      <c r="O11" s="271"/>
      <c r="P11" s="271"/>
      <c r="Q11" s="271"/>
      <c r="R11" s="272"/>
    </row>
    <row r="12" spans="1:18" s="113" customFormat="1" ht="39" x14ac:dyDescent="0.6">
      <c r="A12" s="255" t="s">
        <v>21</v>
      </c>
      <c r="B12" s="255"/>
      <c r="C12" s="255"/>
      <c r="D12" s="255"/>
      <c r="E12" s="255"/>
      <c r="F12" s="255"/>
      <c r="G12" s="255"/>
      <c r="H12" s="255"/>
      <c r="I12" s="255"/>
      <c r="J12" s="119"/>
      <c r="K12" s="270"/>
      <c r="L12" s="271"/>
      <c r="M12" s="271"/>
      <c r="N12" s="271"/>
      <c r="O12" s="271"/>
      <c r="P12" s="271"/>
      <c r="Q12" s="271"/>
      <c r="R12" s="272"/>
    </row>
    <row r="13" spans="1:18" s="122" customFormat="1" ht="56.25" customHeight="1" x14ac:dyDescent="0.6">
      <c r="A13" s="256" t="s">
        <v>6</v>
      </c>
      <c r="B13" s="256"/>
      <c r="C13" s="109"/>
      <c r="D13" s="120" t="s">
        <v>7</v>
      </c>
      <c r="E13" s="109"/>
      <c r="F13" s="121" t="s">
        <v>8</v>
      </c>
      <c r="G13" s="112"/>
      <c r="H13" s="120" t="s">
        <v>9</v>
      </c>
      <c r="I13" s="257"/>
      <c r="J13" s="258"/>
      <c r="K13" s="270"/>
      <c r="L13" s="271"/>
      <c r="M13" s="271"/>
      <c r="N13" s="271"/>
      <c r="O13" s="271"/>
      <c r="P13" s="271"/>
      <c r="Q13" s="271"/>
      <c r="R13" s="272"/>
    </row>
    <row r="14" spans="1:18" s="122" customFormat="1" ht="57" customHeight="1" x14ac:dyDescent="0.6">
      <c r="A14" s="281" t="s">
        <v>10</v>
      </c>
      <c r="B14" s="281"/>
      <c r="C14" s="115"/>
      <c r="D14" s="123" t="s">
        <v>11</v>
      </c>
      <c r="E14" s="126"/>
      <c r="F14" s="124" t="s">
        <v>12</v>
      </c>
      <c r="G14" s="125"/>
      <c r="H14" s="123" t="s">
        <v>13</v>
      </c>
      <c r="I14" s="282"/>
      <c r="J14" s="283"/>
      <c r="K14" s="270"/>
      <c r="L14" s="271"/>
      <c r="M14" s="271"/>
      <c r="N14" s="271"/>
      <c r="O14" s="271"/>
      <c r="P14" s="271"/>
      <c r="Q14" s="271"/>
      <c r="R14" s="272"/>
    </row>
    <row r="15" spans="1:18" s="29" customFormat="1" ht="20.25" customHeight="1" thickBot="1" x14ac:dyDescent="0.75">
      <c r="A15" s="284"/>
      <c r="B15" s="285"/>
      <c r="C15" s="285"/>
      <c r="D15" s="285"/>
      <c r="E15" s="285"/>
      <c r="F15" s="285"/>
      <c r="G15" s="285"/>
      <c r="H15" s="285"/>
      <c r="I15" s="285"/>
      <c r="J15" s="28"/>
      <c r="K15" s="273"/>
      <c r="L15" s="274"/>
      <c r="M15" s="274"/>
      <c r="N15" s="274"/>
      <c r="O15" s="274"/>
      <c r="P15" s="274"/>
      <c r="Q15" s="274"/>
      <c r="R15" s="275"/>
    </row>
    <row r="16" spans="1:18" s="29" customFormat="1" ht="47.25" x14ac:dyDescent="0.7">
      <c r="A16" s="233" t="s">
        <v>22</v>
      </c>
      <c r="B16" s="234"/>
      <c r="C16" s="234"/>
      <c r="D16" s="234"/>
      <c r="E16" s="234"/>
      <c r="F16" s="234"/>
      <c r="G16" s="234"/>
      <c r="H16" s="234"/>
      <c r="I16" s="234"/>
      <c r="J16" s="30"/>
      <c r="K16" s="31"/>
      <c r="L16" s="32"/>
      <c r="M16" s="32"/>
      <c r="N16" s="32"/>
      <c r="O16" s="32"/>
      <c r="P16" s="33"/>
      <c r="Q16" s="33"/>
      <c r="R16" s="34"/>
    </row>
    <row r="17" spans="1:18" s="36" customFormat="1" ht="31.5" customHeight="1" x14ac:dyDescent="0.25">
      <c r="A17" s="235" t="s">
        <v>23</v>
      </c>
      <c r="B17" s="237" t="s">
        <v>24</v>
      </c>
      <c r="C17" s="238" t="s">
        <v>25</v>
      </c>
      <c r="D17" s="238" t="s">
        <v>26</v>
      </c>
      <c r="E17" s="238" t="s">
        <v>25</v>
      </c>
      <c r="F17" s="224" t="s">
        <v>27</v>
      </c>
      <c r="G17" s="224" t="s">
        <v>28</v>
      </c>
      <c r="H17" s="226" t="s">
        <v>29</v>
      </c>
      <c r="I17" s="224" t="s">
        <v>30</v>
      </c>
      <c r="J17" s="228" t="s">
        <v>31</v>
      </c>
      <c r="K17" s="229"/>
      <c r="L17" s="229"/>
      <c r="M17" s="229"/>
      <c r="N17" s="229"/>
      <c r="O17" s="230"/>
      <c r="P17" s="231" t="s">
        <v>298</v>
      </c>
      <c r="Q17" s="231" t="s">
        <v>299</v>
      </c>
      <c r="R17" s="222" t="s">
        <v>300</v>
      </c>
    </row>
    <row r="18" spans="1:18" s="36" customFormat="1" ht="36" x14ac:dyDescent="0.25">
      <c r="A18" s="236"/>
      <c r="B18" s="237"/>
      <c r="C18" s="237"/>
      <c r="D18" s="237"/>
      <c r="E18" s="237"/>
      <c r="F18" s="225"/>
      <c r="G18" s="225"/>
      <c r="H18" s="227"/>
      <c r="I18" s="225"/>
      <c r="J18" s="37" t="s">
        <v>301</v>
      </c>
      <c r="K18" s="35" t="s">
        <v>302</v>
      </c>
      <c r="L18" s="35" t="s">
        <v>303</v>
      </c>
      <c r="M18" s="37" t="s">
        <v>304</v>
      </c>
      <c r="N18" s="37" t="s">
        <v>305</v>
      </c>
      <c r="O18" s="37" t="s">
        <v>306</v>
      </c>
      <c r="P18" s="232"/>
      <c r="Q18" s="232"/>
      <c r="R18" s="223"/>
    </row>
    <row r="19" spans="1:18" s="41" customFormat="1" ht="147" customHeight="1" x14ac:dyDescent="0.25">
      <c r="A19" s="139">
        <v>1</v>
      </c>
      <c r="B19" s="140" t="s">
        <v>38</v>
      </c>
      <c r="C19" s="142">
        <f>SUM(E19:E27)</f>
        <v>13</v>
      </c>
      <c r="D19" s="136" t="s">
        <v>39</v>
      </c>
      <c r="E19" s="3">
        <v>1</v>
      </c>
      <c r="F19" s="3">
        <f>E19/$E$148 * 100</f>
        <v>1.0000000000000002</v>
      </c>
      <c r="G19" s="2" t="s">
        <v>40</v>
      </c>
      <c r="H19" s="4">
        <v>1</v>
      </c>
      <c r="I19" s="5" t="s">
        <v>41</v>
      </c>
      <c r="J19" s="6">
        <v>100</v>
      </c>
      <c r="K19" s="7">
        <v>95</v>
      </c>
      <c r="L19" s="7">
        <v>90</v>
      </c>
      <c r="M19" s="7">
        <v>85</v>
      </c>
      <c r="N19" s="7">
        <v>80</v>
      </c>
      <c r="O19" s="7" t="s">
        <v>42</v>
      </c>
      <c r="P19" s="38"/>
      <c r="Q19" s="39">
        <f t="shared" ref="Q19:Q100" si="0">IF(OR(TRIM(P19)="",P19=0),0,
IF(P19&lt;N19,50,
IF(P19&lt;M19,60,
IF(P19&lt;L19,70,
IF(P19&lt;K19,80,
IF(ISNUMBER(J19),
    IF(P19&lt;J19,IF(P19&gt;=K19,90,80),100),
    IF(P19=K19,90,100)
))))))</f>
        <v>0</v>
      </c>
      <c r="R19" s="40">
        <f t="shared" ref="R19:R100" si="1">F19*Q19/100</f>
        <v>0</v>
      </c>
    </row>
    <row r="20" spans="1:18" s="41" customFormat="1" ht="147" customHeight="1" x14ac:dyDescent="0.25">
      <c r="A20" s="139"/>
      <c r="B20" s="140"/>
      <c r="C20" s="142"/>
      <c r="D20" s="137"/>
      <c r="E20" s="3">
        <v>1</v>
      </c>
      <c r="F20" s="3">
        <f t="shared" ref="F20:F83" si="2">E20/$E$148 * 100</f>
        <v>1.0000000000000002</v>
      </c>
      <c r="G20" s="2" t="s">
        <v>43</v>
      </c>
      <c r="H20" s="4">
        <v>1</v>
      </c>
      <c r="I20" s="5" t="s">
        <v>41</v>
      </c>
      <c r="J20" s="6">
        <v>100</v>
      </c>
      <c r="K20" s="7">
        <v>95</v>
      </c>
      <c r="L20" s="7">
        <v>90</v>
      </c>
      <c r="M20" s="7">
        <v>85</v>
      </c>
      <c r="N20" s="7">
        <v>80</v>
      </c>
      <c r="O20" s="7" t="s">
        <v>42</v>
      </c>
      <c r="P20" s="38"/>
      <c r="Q20" s="39">
        <f t="shared" si="0"/>
        <v>0</v>
      </c>
      <c r="R20" s="40">
        <f t="shared" si="1"/>
        <v>0</v>
      </c>
    </row>
    <row r="21" spans="1:18" s="41" customFormat="1" ht="147" customHeight="1" x14ac:dyDescent="0.25">
      <c r="A21" s="139"/>
      <c r="B21" s="140"/>
      <c r="C21" s="142"/>
      <c r="D21" s="138"/>
      <c r="E21" s="3">
        <v>2</v>
      </c>
      <c r="F21" s="3">
        <f t="shared" si="2"/>
        <v>2.0000000000000004</v>
      </c>
      <c r="G21" s="2" t="s">
        <v>44</v>
      </c>
      <c r="H21" s="4">
        <v>1</v>
      </c>
      <c r="I21" s="5" t="s">
        <v>41</v>
      </c>
      <c r="J21" s="6">
        <v>100</v>
      </c>
      <c r="K21" s="7">
        <v>95</v>
      </c>
      <c r="L21" s="7">
        <v>90</v>
      </c>
      <c r="M21" s="7">
        <v>85</v>
      </c>
      <c r="N21" s="7">
        <v>80</v>
      </c>
      <c r="O21" s="7" t="s">
        <v>42</v>
      </c>
      <c r="P21" s="38"/>
      <c r="Q21" s="39">
        <f t="shared" si="0"/>
        <v>0</v>
      </c>
      <c r="R21" s="40">
        <f t="shared" si="1"/>
        <v>0</v>
      </c>
    </row>
    <row r="22" spans="1:18" s="41" customFormat="1" ht="147" customHeight="1" x14ac:dyDescent="0.25">
      <c r="A22" s="139"/>
      <c r="B22" s="140"/>
      <c r="C22" s="142"/>
      <c r="D22" s="140" t="s">
        <v>45</v>
      </c>
      <c r="E22" s="3">
        <v>2</v>
      </c>
      <c r="F22" s="3">
        <f t="shared" si="2"/>
        <v>2.0000000000000004</v>
      </c>
      <c r="G22" s="2" t="s">
        <v>46</v>
      </c>
      <c r="H22" s="4">
        <v>0.5</v>
      </c>
      <c r="I22" s="5" t="s">
        <v>41</v>
      </c>
      <c r="J22" s="6" t="s">
        <v>47</v>
      </c>
      <c r="K22" s="7">
        <v>50</v>
      </c>
      <c r="L22" s="7">
        <v>45</v>
      </c>
      <c r="M22" s="7">
        <v>40</v>
      </c>
      <c r="N22" s="7">
        <v>25</v>
      </c>
      <c r="O22" s="7" t="s">
        <v>48</v>
      </c>
      <c r="P22" s="38"/>
      <c r="Q22" s="39">
        <f t="shared" si="0"/>
        <v>0</v>
      </c>
      <c r="R22" s="40">
        <f t="shared" si="1"/>
        <v>0</v>
      </c>
    </row>
    <row r="23" spans="1:18" s="41" customFormat="1" ht="147" customHeight="1" x14ac:dyDescent="0.25">
      <c r="A23" s="139"/>
      <c r="B23" s="140"/>
      <c r="C23" s="142"/>
      <c r="D23" s="140"/>
      <c r="E23" s="3">
        <v>1</v>
      </c>
      <c r="F23" s="3">
        <f t="shared" si="2"/>
        <v>1.0000000000000002</v>
      </c>
      <c r="G23" s="2" t="s">
        <v>49</v>
      </c>
      <c r="H23" s="4">
        <v>0.5</v>
      </c>
      <c r="I23" s="5" t="s">
        <v>41</v>
      </c>
      <c r="J23" s="6" t="s">
        <v>47</v>
      </c>
      <c r="K23" s="7">
        <v>50</v>
      </c>
      <c r="L23" s="7">
        <v>45</v>
      </c>
      <c r="M23" s="7">
        <v>40</v>
      </c>
      <c r="N23" s="7">
        <v>25</v>
      </c>
      <c r="O23" s="7" t="s">
        <v>48</v>
      </c>
      <c r="P23" s="38"/>
      <c r="Q23" s="39">
        <f t="shared" si="0"/>
        <v>0</v>
      </c>
      <c r="R23" s="40">
        <f t="shared" si="1"/>
        <v>0</v>
      </c>
    </row>
    <row r="24" spans="1:18" s="41" customFormat="1" ht="147" customHeight="1" x14ac:dyDescent="0.25">
      <c r="A24" s="139"/>
      <c r="B24" s="140"/>
      <c r="C24" s="142"/>
      <c r="D24" s="140"/>
      <c r="E24" s="3">
        <v>1</v>
      </c>
      <c r="F24" s="3">
        <f t="shared" si="2"/>
        <v>1.0000000000000002</v>
      </c>
      <c r="G24" s="2" t="s">
        <v>50</v>
      </c>
      <c r="H24" s="4">
        <v>0.75</v>
      </c>
      <c r="I24" s="5" t="s">
        <v>41</v>
      </c>
      <c r="J24" s="6" t="s">
        <v>51</v>
      </c>
      <c r="K24" s="7">
        <v>75</v>
      </c>
      <c r="L24" s="7">
        <v>70</v>
      </c>
      <c r="M24" s="7">
        <v>60</v>
      </c>
      <c r="N24" s="7">
        <v>50</v>
      </c>
      <c r="O24" s="7" t="s">
        <v>52</v>
      </c>
      <c r="P24" s="38"/>
      <c r="Q24" s="39">
        <f t="shared" si="0"/>
        <v>0</v>
      </c>
      <c r="R24" s="40">
        <f t="shared" si="1"/>
        <v>0</v>
      </c>
    </row>
    <row r="25" spans="1:18" s="41" customFormat="1" ht="147" customHeight="1" thickBot="1" x14ac:dyDescent="0.3">
      <c r="A25" s="139"/>
      <c r="B25" s="140"/>
      <c r="C25" s="142"/>
      <c r="D25" s="8" t="s">
        <v>53</v>
      </c>
      <c r="E25" s="3">
        <v>4</v>
      </c>
      <c r="F25" s="3">
        <f t="shared" si="2"/>
        <v>4.0000000000000009</v>
      </c>
      <c r="G25" s="2" t="s">
        <v>54</v>
      </c>
      <c r="H25" s="9">
        <v>4</v>
      </c>
      <c r="I25" s="5" t="s">
        <v>55</v>
      </c>
      <c r="J25" s="6" t="s">
        <v>56</v>
      </c>
      <c r="K25" s="7">
        <v>4</v>
      </c>
      <c r="L25" s="7">
        <v>3</v>
      </c>
      <c r="M25" s="7">
        <v>2</v>
      </c>
      <c r="N25" s="7">
        <v>1</v>
      </c>
      <c r="O25" s="7">
        <v>0</v>
      </c>
      <c r="P25" s="38"/>
      <c r="Q25" s="39">
        <f t="shared" si="0"/>
        <v>0</v>
      </c>
      <c r="R25" s="40">
        <f t="shared" si="1"/>
        <v>0</v>
      </c>
    </row>
    <row r="26" spans="1:18" s="41" customFormat="1" ht="147" customHeight="1" x14ac:dyDescent="0.25">
      <c r="A26" s="139"/>
      <c r="B26" s="140"/>
      <c r="C26" s="142"/>
      <c r="D26" s="140" t="s">
        <v>57</v>
      </c>
      <c r="E26" s="3">
        <v>0.5</v>
      </c>
      <c r="F26" s="3">
        <f t="shared" si="2"/>
        <v>0.50000000000000011</v>
      </c>
      <c r="G26" s="2" t="s">
        <v>58</v>
      </c>
      <c r="H26" s="4">
        <v>0.5</v>
      </c>
      <c r="I26" s="5" t="s">
        <v>41</v>
      </c>
      <c r="J26" s="6" t="s">
        <v>47</v>
      </c>
      <c r="K26" s="7">
        <v>50</v>
      </c>
      <c r="L26" s="7">
        <v>45</v>
      </c>
      <c r="M26" s="7">
        <v>40</v>
      </c>
      <c r="N26" s="7">
        <v>25</v>
      </c>
      <c r="O26" s="7" t="s">
        <v>48</v>
      </c>
      <c r="P26" s="38"/>
      <c r="Q26" s="39">
        <f t="shared" si="0"/>
        <v>0</v>
      </c>
      <c r="R26" s="40">
        <f t="shared" si="1"/>
        <v>0</v>
      </c>
    </row>
    <row r="27" spans="1:18" s="41" customFormat="1" ht="147" customHeight="1" x14ac:dyDescent="0.25">
      <c r="A27" s="139"/>
      <c r="B27" s="140"/>
      <c r="C27" s="142"/>
      <c r="D27" s="140"/>
      <c r="E27" s="3">
        <v>0.5</v>
      </c>
      <c r="F27" s="3">
        <f t="shared" si="2"/>
        <v>0.50000000000000011</v>
      </c>
      <c r="G27" s="2" t="s">
        <v>59</v>
      </c>
      <c r="H27" s="4">
        <v>0.75</v>
      </c>
      <c r="I27" s="5" t="s">
        <v>41</v>
      </c>
      <c r="J27" s="6" t="s">
        <v>51</v>
      </c>
      <c r="K27" s="7">
        <v>75</v>
      </c>
      <c r="L27" s="7">
        <v>70</v>
      </c>
      <c r="M27" s="7">
        <v>60</v>
      </c>
      <c r="N27" s="7">
        <v>50</v>
      </c>
      <c r="O27" s="7" t="s">
        <v>52</v>
      </c>
      <c r="P27" s="38"/>
      <c r="Q27" s="39">
        <f t="shared" si="0"/>
        <v>0</v>
      </c>
      <c r="R27" s="40">
        <f t="shared" si="1"/>
        <v>0</v>
      </c>
    </row>
    <row r="28" spans="1:18" s="41" customFormat="1" ht="147" customHeight="1" x14ac:dyDescent="0.25">
      <c r="A28" s="127">
        <v>2</v>
      </c>
      <c r="B28" s="136" t="s">
        <v>60</v>
      </c>
      <c r="C28" s="143">
        <v>7</v>
      </c>
      <c r="D28" s="136" t="s">
        <v>61</v>
      </c>
      <c r="E28" s="3">
        <v>1</v>
      </c>
      <c r="F28" s="3">
        <f t="shared" si="2"/>
        <v>1.0000000000000002</v>
      </c>
      <c r="G28" s="2" t="s">
        <v>62</v>
      </c>
      <c r="H28" s="10">
        <v>0.8</v>
      </c>
      <c r="I28" s="1" t="s">
        <v>41</v>
      </c>
      <c r="J28" s="6" t="s">
        <v>63</v>
      </c>
      <c r="K28" s="7">
        <v>80</v>
      </c>
      <c r="L28" s="7">
        <v>75</v>
      </c>
      <c r="M28" s="7">
        <v>70</v>
      </c>
      <c r="N28" s="7">
        <v>50</v>
      </c>
      <c r="O28" s="7" t="s">
        <v>52</v>
      </c>
      <c r="P28" s="38"/>
      <c r="Q28" s="39">
        <f t="shared" si="0"/>
        <v>0</v>
      </c>
      <c r="R28" s="40">
        <f t="shared" si="1"/>
        <v>0</v>
      </c>
    </row>
    <row r="29" spans="1:18" s="41" customFormat="1" ht="147" customHeight="1" x14ac:dyDescent="0.25">
      <c r="A29" s="128"/>
      <c r="B29" s="137"/>
      <c r="C29" s="144"/>
      <c r="D29" s="138"/>
      <c r="E29" s="3">
        <v>1</v>
      </c>
      <c r="F29" s="3">
        <f t="shared" si="2"/>
        <v>1.0000000000000002</v>
      </c>
      <c r="G29" s="2" t="s">
        <v>64</v>
      </c>
      <c r="H29" s="10">
        <v>0.8</v>
      </c>
      <c r="I29" s="1" t="s">
        <v>41</v>
      </c>
      <c r="J29" s="6" t="s">
        <v>63</v>
      </c>
      <c r="K29" s="7">
        <v>80</v>
      </c>
      <c r="L29" s="7">
        <v>75</v>
      </c>
      <c r="M29" s="7">
        <v>70</v>
      </c>
      <c r="N29" s="7">
        <v>50</v>
      </c>
      <c r="O29" s="7" t="s">
        <v>52</v>
      </c>
      <c r="P29" s="38"/>
      <c r="Q29" s="39">
        <f t="shared" si="0"/>
        <v>0</v>
      </c>
      <c r="R29" s="40">
        <f t="shared" si="1"/>
        <v>0</v>
      </c>
    </row>
    <row r="30" spans="1:18" s="41" customFormat="1" ht="147" customHeight="1" x14ac:dyDescent="0.25">
      <c r="A30" s="128"/>
      <c r="B30" s="137"/>
      <c r="C30" s="144"/>
      <c r="D30" s="136" t="s">
        <v>65</v>
      </c>
      <c r="E30" s="3">
        <v>0.66666666666666663</v>
      </c>
      <c r="F30" s="3">
        <f t="shared" si="2"/>
        <v>0.66666666666666674</v>
      </c>
      <c r="G30" s="2" t="s">
        <v>66</v>
      </c>
      <c r="H30" s="10">
        <v>0.8</v>
      </c>
      <c r="I30" s="1" t="s">
        <v>41</v>
      </c>
      <c r="J30" s="6" t="s">
        <v>63</v>
      </c>
      <c r="K30" s="7">
        <v>80</v>
      </c>
      <c r="L30" s="7">
        <v>75</v>
      </c>
      <c r="M30" s="7">
        <v>70</v>
      </c>
      <c r="N30" s="7">
        <v>50</v>
      </c>
      <c r="O30" s="7" t="s">
        <v>52</v>
      </c>
      <c r="P30" s="38"/>
      <c r="Q30" s="39">
        <f t="shared" si="0"/>
        <v>0</v>
      </c>
      <c r="R30" s="40">
        <f t="shared" si="1"/>
        <v>0</v>
      </c>
    </row>
    <row r="31" spans="1:18" s="41" customFormat="1" ht="147" customHeight="1" x14ac:dyDescent="0.25">
      <c r="A31" s="128"/>
      <c r="B31" s="137"/>
      <c r="C31" s="144"/>
      <c r="D31" s="137"/>
      <c r="E31" s="3">
        <v>0.66666666666666663</v>
      </c>
      <c r="F31" s="3">
        <f t="shared" si="2"/>
        <v>0.66666666666666674</v>
      </c>
      <c r="G31" s="2" t="s">
        <v>67</v>
      </c>
      <c r="H31" s="10">
        <v>0.8</v>
      </c>
      <c r="I31" s="1" t="s">
        <v>41</v>
      </c>
      <c r="J31" s="6" t="s">
        <v>63</v>
      </c>
      <c r="K31" s="7">
        <v>80</v>
      </c>
      <c r="L31" s="7">
        <v>75</v>
      </c>
      <c r="M31" s="7">
        <v>70</v>
      </c>
      <c r="N31" s="7">
        <v>50</v>
      </c>
      <c r="O31" s="7" t="s">
        <v>52</v>
      </c>
      <c r="P31" s="38"/>
      <c r="Q31" s="39">
        <f t="shared" si="0"/>
        <v>0</v>
      </c>
      <c r="R31" s="40">
        <f t="shared" si="1"/>
        <v>0</v>
      </c>
    </row>
    <row r="32" spans="1:18" s="41" customFormat="1" ht="147" customHeight="1" x14ac:dyDescent="0.25">
      <c r="A32" s="128"/>
      <c r="B32" s="137"/>
      <c r="C32" s="144"/>
      <c r="D32" s="138"/>
      <c r="E32" s="3">
        <v>0.66666666666666663</v>
      </c>
      <c r="F32" s="3">
        <f t="shared" si="2"/>
        <v>0.66666666666666674</v>
      </c>
      <c r="G32" s="2" t="s">
        <v>68</v>
      </c>
      <c r="H32" s="10">
        <v>0.8</v>
      </c>
      <c r="I32" s="1" t="s">
        <v>41</v>
      </c>
      <c r="J32" s="6" t="s">
        <v>63</v>
      </c>
      <c r="K32" s="7">
        <v>80</v>
      </c>
      <c r="L32" s="7">
        <v>75</v>
      </c>
      <c r="M32" s="7">
        <v>70</v>
      </c>
      <c r="N32" s="7">
        <v>50</v>
      </c>
      <c r="O32" s="7" t="s">
        <v>52</v>
      </c>
      <c r="P32" s="38"/>
      <c r="Q32" s="39">
        <f t="shared" si="0"/>
        <v>0</v>
      </c>
      <c r="R32" s="40">
        <f t="shared" si="1"/>
        <v>0</v>
      </c>
    </row>
    <row r="33" spans="1:18" s="41" customFormat="1" ht="147" customHeight="1" x14ac:dyDescent="0.25">
      <c r="A33" s="128"/>
      <c r="B33" s="137"/>
      <c r="C33" s="144"/>
      <c r="D33" s="136" t="s">
        <v>69</v>
      </c>
      <c r="E33" s="3">
        <v>0.5</v>
      </c>
      <c r="F33" s="3">
        <f t="shared" si="2"/>
        <v>0.50000000000000011</v>
      </c>
      <c r="G33" s="2" t="s">
        <v>70</v>
      </c>
      <c r="H33" s="10">
        <v>0.8</v>
      </c>
      <c r="I33" s="1" t="s">
        <v>41</v>
      </c>
      <c r="J33" s="6" t="s">
        <v>63</v>
      </c>
      <c r="K33" s="7">
        <v>80</v>
      </c>
      <c r="L33" s="7">
        <v>75</v>
      </c>
      <c r="M33" s="7">
        <v>70</v>
      </c>
      <c r="N33" s="7">
        <v>50</v>
      </c>
      <c r="O33" s="7" t="s">
        <v>52</v>
      </c>
      <c r="P33" s="38"/>
      <c r="Q33" s="39">
        <f t="shared" si="0"/>
        <v>0</v>
      </c>
      <c r="R33" s="40">
        <f t="shared" si="1"/>
        <v>0</v>
      </c>
    </row>
    <row r="34" spans="1:18" s="41" customFormat="1" ht="147" customHeight="1" x14ac:dyDescent="0.25">
      <c r="A34" s="128"/>
      <c r="B34" s="137"/>
      <c r="C34" s="144"/>
      <c r="D34" s="138"/>
      <c r="E34" s="3">
        <v>0.5</v>
      </c>
      <c r="F34" s="3">
        <f t="shared" si="2"/>
        <v>0.50000000000000011</v>
      </c>
      <c r="G34" s="2" t="s">
        <v>71</v>
      </c>
      <c r="H34" s="10">
        <v>1</v>
      </c>
      <c r="I34" s="5" t="s">
        <v>41</v>
      </c>
      <c r="J34" s="6">
        <v>100</v>
      </c>
      <c r="K34" s="7">
        <v>95</v>
      </c>
      <c r="L34" s="7">
        <v>90</v>
      </c>
      <c r="M34" s="7">
        <v>85</v>
      </c>
      <c r="N34" s="7">
        <v>80</v>
      </c>
      <c r="O34" s="7" t="s">
        <v>42</v>
      </c>
      <c r="P34" s="38"/>
      <c r="Q34" s="39">
        <f t="shared" si="0"/>
        <v>0</v>
      </c>
      <c r="R34" s="40">
        <f t="shared" si="1"/>
        <v>0</v>
      </c>
    </row>
    <row r="35" spans="1:18" s="41" customFormat="1" ht="147" customHeight="1" x14ac:dyDescent="0.25">
      <c r="A35" s="128"/>
      <c r="B35" s="137"/>
      <c r="C35" s="144"/>
      <c r="D35" s="136" t="s">
        <v>72</v>
      </c>
      <c r="E35" s="3">
        <v>0.5</v>
      </c>
      <c r="F35" s="3">
        <f t="shared" si="2"/>
        <v>0.50000000000000011</v>
      </c>
      <c r="G35" s="2" t="s">
        <v>73</v>
      </c>
      <c r="H35" s="10">
        <v>0.9</v>
      </c>
      <c r="I35" s="1" t="s">
        <v>41</v>
      </c>
      <c r="J35" s="6" t="s">
        <v>74</v>
      </c>
      <c r="K35" s="7">
        <v>90</v>
      </c>
      <c r="L35" s="7">
        <v>80</v>
      </c>
      <c r="M35" s="7">
        <v>70</v>
      </c>
      <c r="N35" s="7">
        <v>50</v>
      </c>
      <c r="O35" s="7" t="s">
        <v>52</v>
      </c>
      <c r="P35" s="38"/>
      <c r="Q35" s="39">
        <f t="shared" si="0"/>
        <v>0</v>
      </c>
      <c r="R35" s="40">
        <f t="shared" si="1"/>
        <v>0</v>
      </c>
    </row>
    <row r="36" spans="1:18" s="41" customFormat="1" ht="147" customHeight="1" x14ac:dyDescent="0.25">
      <c r="A36" s="128"/>
      <c r="B36" s="137"/>
      <c r="C36" s="144"/>
      <c r="D36" s="138"/>
      <c r="E36" s="3">
        <v>0.5</v>
      </c>
      <c r="F36" s="3">
        <f t="shared" si="2"/>
        <v>0.50000000000000011</v>
      </c>
      <c r="G36" s="2" t="s">
        <v>75</v>
      </c>
      <c r="H36" s="10">
        <v>0.8</v>
      </c>
      <c r="I36" s="1" t="s">
        <v>41</v>
      </c>
      <c r="J36" s="6" t="s">
        <v>63</v>
      </c>
      <c r="K36" s="7">
        <v>80</v>
      </c>
      <c r="L36" s="7">
        <v>75</v>
      </c>
      <c r="M36" s="7">
        <v>70</v>
      </c>
      <c r="N36" s="7">
        <v>50</v>
      </c>
      <c r="O36" s="7" t="s">
        <v>52</v>
      </c>
      <c r="P36" s="38"/>
      <c r="Q36" s="39">
        <f t="shared" si="0"/>
        <v>0</v>
      </c>
      <c r="R36" s="40">
        <f t="shared" si="1"/>
        <v>0</v>
      </c>
    </row>
    <row r="37" spans="1:18" s="41" customFormat="1" ht="147" customHeight="1" x14ac:dyDescent="0.25">
      <c r="A37" s="128"/>
      <c r="B37" s="137"/>
      <c r="C37" s="144"/>
      <c r="D37" s="136" t="s">
        <v>76</v>
      </c>
      <c r="E37" s="3">
        <v>0.5</v>
      </c>
      <c r="F37" s="3">
        <f t="shared" si="2"/>
        <v>0.50000000000000011</v>
      </c>
      <c r="G37" s="2" t="s">
        <v>77</v>
      </c>
      <c r="H37" s="10">
        <v>1</v>
      </c>
      <c r="I37" s="5" t="s">
        <v>41</v>
      </c>
      <c r="J37" s="6">
        <v>100</v>
      </c>
      <c r="K37" s="7">
        <v>95</v>
      </c>
      <c r="L37" s="7">
        <v>90</v>
      </c>
      <c r="M37" s="7">
        <v>85</v>
      </c>
      <c r="N37" s="7">
        <v>80</v>
      </c>
      <c r="O37" s="7" t="s">
        <v>42</v>
      </c>
      <c r="P37" s="38"/>
      <c r="Q37" s="39">
        <f t="shared" si="0"/>
        <v>0</v>
      </c>
      <c r="R37" s="40">
        <f t="shared" si="1"/>
        <v>0</v>
      </c>
    </row>
    <row r="38" spans="1:18" s="41" customFormat="1" ht="147" customHeight="1" x14ac:dyDescent="0.25">
      <c r="A38" s="128"/>
      <c r="B38" s="137"/>
      <c r="C38" s="144"/>
      <c r="D38" s="137"/>
      <c r="E38" s="3">
        <v>0.25</v>
      </c>
      <c r="F38" s="3">
        <f t="shared" si="2"/>
        <v>0.25000000000000006</v>
      </c>
      <c r="G38" s="2" t="s">
        <v>78</v>
      </c>
      <c r="H38" s="10">
        <v>0.8</v>
      </c>
      <c r="I38" s="1" t="s">
        <v>41</v>
      </c>
      <c r="J38" s="6" t="s">
        <v>63</v>
      </c>
      <c r="K38" s="7">
        <v>80</v>
      </c>
      <c r="L38" s="7">
        <v>75</v>
      </c>
      <c r="M38" s="7">
        <v>70</v>
      </c>
      <c r="N38" s="7">
        <v>50</v>
      </c>
      <c r="O38" s="7" t="s">
        <v>52</v>
      </c>
      <c r="P38" s="38"/>
      <c r="Q38" s="39">
        <f t="shared" si="0"/>
        <v>0</v>
      </c>
      <c r="R38" s="40">
        <f t="shared" si="1"/>
        <v>0</v>
      </c>
    </row>
    <row r="39" spans="1:18" s="41" customFormat="1" ht="147" customHeight="1" x14ac:dyDescent="0.25">
      <c r="A39" s="129"/>
      <c r="B39" s="138"/>
      <c r="C39" s="145"/>
      <c r="D39" s="138"/>
      <c r="E39" s="3">
        <v>0.25</v>
      </c>
      <c r="F39" s="3">
        <f t="shared" si="2"/>
        <v>0.25000000000000006</v>
      </c>
      <c r="G39" s="2" t="s">
        <v>79</v>
      </c>
      <c r="H39" s="10">
        <v>1</v>
      </c>
      <c r="I39" s="5" t="s">
        <v>41</v>
      </c>
      <c r="J39" s="6">
        <v>100</v>
      </c>
      <c r="K39" s="7">
        <v>95</v>
      </c>
      <c r="L39" s="7">
        <v>90</v>
      </c>
      <c r="M39" s="7">
        <v>85</v>
      </c>
      <c r="N39" s="7">
        <v>80</v>
      </c>
      <c r="O39" s="7" t="s">
        <v>42</v>
      </c>
      <c r="P39" s="38"/>
      <c r="Q39" s="39">
        <f t="shared" si="0"/>
        <v>0</v>
      </c>
      <c r="R39" s="40">
        <f t="shared" si="1"/>
        <v>0</v>
      </c>
    </row>
    <row r="40" spans="1:18" s="41" customFormat="1" ht="147" customHeight="1" x14ac:dyDescent="0.25">
      <c r="A40" s="127">
        <v>3</v>
      </c>
      <c r="B40" s="140" t="s">
        <v>153</v>
      </c>
      <c r="C40" s="143">
        <f>SUM(E40:E53)</f>
        <v>10</v>
      </c>
      <c r="D40" s="140" t="s">
        <v>154</v>
      </c>
      <c r="E40" s="3">
        <v>0.5</v>
      </c>
      <c r="F40" s="3">
        <f t="shared" si="2"/>
        <v>0.50000000000000011</v>
      </c>
      <c r="G40" s="8" t="s">
        <v>155</v>
      </c>
      <c r="H40" s="1">
        <v>30</v>
      </c>
      <c r="I40" s="5" t="s">
        <v>55</v>
      </c>
      <c r="J40" s="6" t="s">
        <v>156</v>
      </c>
      <c r="K40" s="7">
        <v>30</v>
      </c>
      <c r="L40" s="7">
        <v>25</v>
      </c>
      <c r="M40" s="7">
        <v>20</v>
      </c>
      <c r="N40" s="7">
        <v>15</v>
      </c>
      <c r="O40" s="7" t="s">
        <v>157</v>
      </c>
      <c r="P40" s="38"/>
      <c r="Q40" s="39">
        <f t="shared" si="0"/>
        <v>0</v>
      </c>
      <c r="R40" s="40">
        <f t="shared" si="1"/>
        <v>0</v>
      </c>
    </row>
    <row r="41" spans="1:18" s="41" customFormat="1" ht="147" customHeight="1" x14ac:dyDescent="0.25">
      <c r="A41" s="128"/>
      <c r="B41" s="140"/>
      <c r="C41" s="144"/>
      <c r="D41" s="140"/>
      <c r="E41" s="3">
        <v>0.5</v>
      </c>
      <c r="F41" s="3">
        <f t="shared" si="2"/>
        <v>0.50000000000000011</v>
      </c>
      <c r="G41" s="8" t="s">
        <v>158</v>
      </c>
      <c r="H41" s="10">
        <v>1</v>
      </c>
      <c r="I41" s="5" t="s">
        <v>41</v>
      </c>
      <c r="J41" s="6">
        <v>100</v>
      </c>
      <c r="K41" s="7">
        <v>95</v>
      </c>
      <c r="L41" s="7">
        <v>90</v>
      </c>
      <c r="M41" s="7">
        <v>85</v>
      </c>
      <c r="N41" s="7">
        <v>80</v>
      </c>
      <c r="O41" s="7" t="s">
        <v>42</v>
      </c>
      <c r="P41" s="38"/>
      <c r="Q41" s="39">
        <f t="shared" si="0"/>
        <v>0</v>
      </c>
      <c r="R41" s="40">
        <f t="shared" si="1"/>
        <v>0</v>
      </c>
    </row>
    <row r="42" spans="1:18" s="41" customFormat="1" ht="147" customHeight="1" x14ac:dyDescent="0.25">
      <c r="A42" s="128"/>
      <c r="B42" s="140"/>
      <c r="C42" s="144"/>
      <c r="D42" s="140"/>
      <c r="E42" s="3">
        <v>0.5</v>
      </c>
      <c r="F42" s="3">
        <f t="shared" si="2"/>
        <v>0.50000000000000011</v>
      </c>
      <c r="G42" s="8" t="s">
        <v>159</v>
      </c>
      <c r="H42" s="10">
        <v>0.9</v>
      </c>
      <c r="I42" s="1" t="s">
        <v>41</v>
      </c>
      <c r="J42" s="6" t="s">
        <v>74</v>
      </c>
      <c r="K42" s="7">
        <v>90</v>
      </c>
      <c r="L42" s="7">
        <v>80</v>
      </c>
      <c r="M42" s="7">
        <v>70</v>
      </c>
      <c r="N42" s="7">
        <v>50</v>
      </c>
      <c r="O42" s="7" t="s">
        <v>52</v>
      </c>
      <c r="P42" s="38"/>
      <c r="Q42" s="39">
        <f t="shared" si="0"/>
        <v>0</v>
      </c>
      <c r="R42" s="40">
        <f t="shared" si="1"/>
        <v>0</v>
      </c>
    </row>
    <row r="43" spans="1:18" s="41" customFormat="1" ht="147" customHeight="1" x14ac:dyDescent="0.25">
      <c r="A43" s="128"/>
      <c r="B43" s="140"/>
      <c r="C43" s="144"/>
      <c r="D43" s="140" t="s">
        <v>160</v>
      </c>
      <c r="E43" s="3">
        <v>0.5</v>
      </c>
      <c r="F43" s="3">
        <f t="shared" si="2"/>
        <v>0.50000000000000011</v>
      </c>
      <c r="G43" s="8" t="s">
        <v>161</v>
      </c>
      <c r="H43" s="10">
        <v>1</v>
      </c>
      <c r="I43" s="5" t="s">
        <v>41</v>
      </c>
      <c r="J43" s="6">
        <v>100</v>
      </c>
      <c r="K43" s="7">
        <v>95</v>
      </c>
      <c r="L43" s="7">
        <v>90</v>
      </c>
      <c r="M43" s="7">
        <v>85</v>
      </c>
      <c r="N43" s="7">
        <v>80</v>
      </c>
      <c r="O43" s="7" t="s">
        <v>42</v>
      </c>
      <c r="P43" s="38"/>
      <c r="Q43" s="39">
        <f t="shared" si="0"/>
        <v>0</v>
      </c>
      <c r="R43" s="40">
        <f t="shared" si="1"/>
        <v>0</v>
      </c>
    </row>
    <row r="44" spans="1:18" s="41" customFormat="1" ht="147" customHeight="1" x14ac:dyDescent="0.25">
      <c r="A44" s="128"/>
      <c r="B44" s="140"/>
      <c r="C44" s="144"/>
      <c r="D44" s="140"/>
      <c r="E44" s="3">
        <v>0.5</v>
      </c>
      <c r="F44" s="3">
        <f t="shared" si="2"/>
        <v>0.50000000000000011</v>
      </c>
      <c r="G44" s="8" t="s">
        <v>162</v>
      </c>
      <c r="H44" s="10">
        <v>0.9</v>
      </c>
      <c r="I44" s="1" t="s">
        <v>41</v>
      </c>
      <c r="J44" s="6" t="s">
        <v>74</v>
      </c>
      <c r="K44" s="7">
        <v>90</v>
      </c>
      <c r="L44" s="7">
        <v>80</v>
      </c>
      <c r="M44" s="7">
        <v>70</v>
      </c>
      <c r="N44" s="7">
        <v>50</v>
      </c>
      <c r="O44" s="7" t="s">
        <v>52</v>
      </c>
      <c r="P44" s="38"/>
      <c r="Q44" s="39">
        <f t="shared" si="0"/>
        <v>0</v>
      </c>
      <c r="R44" s="40">
        <f t="shared" si="1"/>
        <v>0</v>
      </c>
    </row>
    <row r="45" spans="1:18" s="41" customFormat="1" ht="147" customHeight="1" x14ac:dyDescent="0.25">
      <c r="A45" s="128"/>
      <c r="B45" s="140"/>
      <c r="C45" s="144"/>
      <c r="D45" s="140" t="s">
        <v>163</v>
      </c>
      <c r="E45" s="3">
        <v>1</v>
      </c>
      <c r="F45" s="3">
        <f t="shared" si="2"/>
        <v>1.0000000000000002</v>
      </c>
      <c r="G45" s="8" t="s">
        <v>164</v>
      </c>
      <c r="H45" s="1">
        <v>4</v>
      </c>
      <c r="I45" s="5" t="s">
        <v>56</v>
      </c>
      <c r="J45" s="6">
        <v>4</v>
      </c>
      <c r="K45" s="7">
        <v>3</v>
      </c>
      <c r="L45" s="7">
        <v>2</v>
      </c>
      <c r="M45" s="7">
        <v>1</v>
      </c>
      <c r="N45" s="7">
        <v>0</v>
      </c>
      <c r="O45" s="7"/>
      <c r="P45" s="38"/>
      <c r="Q45" s="39">
        <f t="shared" si="0"/>
        <v>0</v>
      </c>
      <c r="R45" s="40">
        <f t="shared" si="1"/>
        <v>0</v>
      </c>
    </row>
    <row r="46" spans="1:18" s="41" customFormat="1" ht="147" customHeight="1" x14ac:dyDescent="0.25">
      <c r="A46" s="128"/>
      <c r="B46" s="140"/>
      <c r="C46" s="144"/>
      <c r="D46" s="140"/>
      <c r="E46" s="3">
        <v>1</v>
      </c>
      <c r="F46" s="3">
        <f t="shared" si="2"/>
        <v>1.0000000000000002</v>
      </c>
      <c r="G46" s="8" t="s">
        <v>165</v>
      </c>
      <c r="H46" s="10">
        <v>0.9</v>
      </c>
      <c r="I46" s="1" t="s">
        <v>41</v>
      </c>
      <c r="J46" s="6" t="s">
        <v>74</v>
      </c>
      <c r="K46" s="7">
        <v>90</v>
      </c>
      <c r="L46" s="7">
        <v>80</v>
      </c>
      <c r="M46" s="7">
        <v>70</v>
      </c>
      <c r="N46" s="7">
        <v>50</v>
      </c>
      <c r="O46" s="7" t="s">
        <v>52</v>
      </c>
      <c r="P46" s="38"/>
      <c r="Q46" s="39">
        <f t="shared" si="0"/>
        <v>0</v>
      </c>
      <c r="R46" s="40">
        <f t="shared" si="1"/>
        <v>0</v>
      </c>
    </row>
    <row r="47" spans="1:18" s="41" customFormat="1" ht="147" customHeight="1" x14ac:dyDescent="0.25">
      <c r="A47" s="128"/>
      <c r="B47" s="140"/>
      <c r="C47" s="144"/>
      <c r="D47" s="140" t="s">
        <v>166</v>
      </c>
      <c r="E47" s="3">
        <v>1</v>
      </c>
      <c r="F47" s="3">
        <f t="shared" si="2"/>
        <v>1.0000000000000002</v>
      </c>
      <c r="G47" s="8" t="s">
        <v>167</v>
      </c>
      <c r="H47" s="1">
        <v>20</v>
      </c>
      <c r="I47" s="5" t="s">
        <v>95</v>
      </c>
      <c r="J47" s="6">
        <v>20</v>
      </c>
      <c r="K47" s="7">
        <v>15</v>
      </c>
      <c r="L47" s="7">
        <v>10</v>
      </c>
      <c r="M47" s="7">
        <v>5</v>
      </c>
      <c r="N47" s="7">
        <v>3</v>
      </c>
      <c r="O47" s="7" t="s">
        <v>168</v>
      </c>
      <c r="P47" s="38"/>
      <c r="Q47" s="39">
        <f t="shared" si="0"/>
        <v>0</v>
      </c>
      <c r="R47" s="40">
        <f t="shared" si="1"/>
        <v>0</v>
      </c>
    </row>
    <row r="48" spans="1:18" s="41" customFormat="1" ht="147" customHeight="1" x14ac:dyDescent="0.25">
      <c r="A48" s="128"/>
      <c r="B48" s="140"/>
      <c r="C48" s="144"/>
      <c r="D48" s="140"/>
      <c r="E48" s="3">
        <v>1</v>
      </c>
      <c r="F48" s="3">
        <f t="shared" si="2"/>
        <v>1.0000000000000002</v>
      </c>
      <c r="G48" s="8" t="s">
        <v>169</v>
      </c>
      <c r="H48" s="1">
        <v>80</v>
      </c>
      <c r="I48" s="1" t="s">
        <v>41</v>
      </c>
      <c r="J48" s="6" t="s">
        <v>63</v>
      </c>
      <c r="K48" s="7">
        <v>80</v>
      </c>
      <c r="L48" s="7">
        <v>75</v>
      </c>
      <c r="M48" s="7">
        <v>70</v>
      </c>
      <c r="N48" s="7">
        <v>50</v>
      </c>
      <c r="O48" s="7" t="s">
        <v>52</v>
      </c>
      <c r="P48" s="38"/>
      <c r="Q48" s="39">
        <f t="shared" si="0"/>
        <v>0</v>
      </c>
      <c r="R48" s="40">
        <f t="shared" si="1"/>
        <v>0</v>
      </c>
    </row>
    <row r="49" spans="1:18" s="41" customFormat="1" ht="147" customHeight="1" x14ac:dyDescent="0.25">
      <c r="A49" s="128"/>
      <c r="B49" s="140"/>
      <c r="C49" s="144"/>
      <c r="D49" s="140" t="s">
        <v>170</v>
      </c>
      <c r="E49" s="3">
        <v>0.5</v>
      </c>
      <c r="F49" s="3">
        <f t="shared" si="2"/>
        <v>0.50000000000000011</v>
      </c>
      <c r="G49" s="8" t="s">
        <v>171</v>
      </c>
      <c r="H49" s="1">
        <v>6</v>
      </c>
      <c r="I49" s="5" t="s">
        <v>172</v>
      </c>
      <c r="J49" s="6">
        <v>6</v>
      </c>
      <c r="K49" s="7">
        <v>5</v>
      </c>
      <c r="L49" s="7">
        <v>4</v>
      </c>
      <c r="M49" s="7">
        <v>2</v>
      </c>
      <c r="N49" s="7">
        <v>1</v>
      </c>
      <c r="O49" s="7">
        <v>0</v>
      </c>
      <c r="P49" s="38"/>
      <c r="Q49" s="39">
        <f t="shared" si="0"/>
        <v>0</v>
      </c>
      <c r="R49" s="40">
        <f t="shared" si="1"/>
        <v>0</v>
      </c>
    </row>
    <row r="50" spans="1:18" s="41" customFormat="1" ht="147" customHeight="1" x14ac:dyDescent="0.25">
      <c r="A50" s="128"/>
      <c r="B50" s="140"/>
      <c r="C50" s="144"/>
      <c r="D50" s="140"/>
      <c r="E50" s="3">
        <v>0.5</v>
      </c>
      <c r="F50" s="3">
        <f t="shared" si="2"/>
        <v>0.50000000000000011</v>
      </c>
      <c r="G50" s="8" t="s">
        <v>173</v>
      </c>
      <c r="H50" s="10">
        <v>1</v>
      </c>
      <c r="I50" s="5" t="s">
        <v>41</v>
      </c>
      <c r="J50" s="6">
        <v>100</v>
      </c>
      <c r="K50" s="7">
        <v>95</v>
      </c>
      <c r="L50" s="7">
        <v>90</v>
      </c>
      <c r="M50" s="7">
        <v>85</v>
      </c>
      <c r="N50" s="7">
        <v>80</v>
      </c>
      <c r="O50" s="7" t="s">
        <v>42</v>
      </c>
      <c r="P50" s="38"/>
      <c r="Q50" s="39">
        <f t="shared" si="0"/>
        <v>0</v>
      </c>
      <c r="R50" s="40">
        <f t="shared" si="1"/>
        <v>0</v>
      </c>
    </row>
    <row r="51" spans="1:18" s="41" customFormat="1" ht="147" customHeight="1" x14ac:dyDescent="0.25">
      <c r="A51" s="128"/>
      <c r="B51" s="140"/>
      <c r="C51" s="144"/>
      <c r="D51" s="140" t="s">
        <v>174</v>
      </c>
      <c r="E51" s="3">
        <v>0.75</v>
      </c>
      <c r="F51" s="3">
        <f t="shared" si="2"/>
        <v>0.75000000000000011</v>
      </c>
      <c r="G51" s="8" t="s">
        <v>175</v>
      </c>
      <c r="H51" s="10">
        <v>1</v>
      </c>
      <c r="I51" s="5" t="s">
        <v>41</v>
      </c>
      <c r="J51" s="6">
        <v>100</v>
      </c>
      <c r="K51" s="7">
        <v>95</v>
      </c>
      <c r="L51" s="7">
        <v>90</v>
      </c>
      <c r="M51" s="7">
        <v>85</v>
      </c>
      <c r="N51" s="7">
        <v>80</v>
      </c>
      <c r="O51" s="7" t="s">
        <v>42</v>
      </c>
      <c r="P51" s="38"/>
      <c r="Q51" s="39">
        <f t="shared" si="0"/>
        <v>0</v>
      </c>
      <c r="R51" s="40">
        <f t="shared" si="1"/>
        <v>0</v>
      </c>
    </row>
    <row r="52" spans="1:18" s="41" customFormat="1" ht="147" customHeight="1" x14ac:dyDescent="0.25">
      <c r="A52" s="128"/>
      <c r="B52" s="140"/>
      <c r="C52" s="144"/>
      <c r="D52" s="140"/>
      <c r="E52" s="3">
        <v>0.75</v>
      </c>
      <c r="F52" s="3">
        <f t="shared" si="2"/>
        <v>0.75000000000000011</v>
      </c>
      <c r="G52" s="8" t="s">
        <v>176</v>
      </c>
      <c r="H52" s="10">
        <v>1</v>
      </c>
      <c r="I52" s="5" t="s">
        <v>41</v>
      </c>
      <c r="J52" s="6">
        <v>100</v>
      </c>
      <c r="K52" s="7">
        <v>95</v>
      </c>
      <c r="L52" s="7">
        <v>90</v>
      </c>
      <c r="M52" s="7">
        <v>85</v>
      </c>
      <c r="N52" s="7">
        <v>80</v>
      </c>
      <c r="O52" s="7" t="s">
        <v>42</v>
      </c>
      <c r="P52" s="38"/>
      <c r="Q52" s="39">
        <f t="shared" si="0"/>
        <v>0</v>
      </c>
      <c r="R52" s="40">
        <f t="shared" si="1"/>
        <v>0</v>
      </c>
    </row>
    <row r="53" spans="1:18" s="41" customFormat="1" ht="147" customHeight="1" x14ac:dyDescent="0.25">
      <c r="A53" s="128"/>
      <c r="B53" s="140"/>
      <c r="C53" s="145"/>
      <c r="D53" s="2" t="s">
        <v>177</v>
      </c>
      <c r="E53" s="3">
        <v>1</v>
      </c>
      <c r="F53" s="3">
        <f t="shared" si="2"/>
        <v>1.0000000000000002</v>
      </c>
      <c r="G53" s="2" t="s">
        <v>178</v>
      </c>
      <c r="H53" s="10">
        <v>0.9</v>
      </c>
      <c r="I53" s="1" t="s">
        <v>41</v>
      </c>
      <c r="J53" s="6" t="s">
        <v>74</v>
      </c>
      <c r="K53" s="7">
        <v>90</v>
      </c>
      <c r="L53" s="7">
        <v>80</v>
      </c>
      <c r="M53" s="7">
        <v>70</v>
      </c>
      <c r="N53" s="7">
        <v>50</v>
      </c>
      <c r="O53" s="7" t="s">
        <v>52</v>
      </c>
      <c r="P53" s="38"/>
      <c r="Q53" s="39">
        <f t="shared" si="0"/>
        <v>0</v>
      </c>
      <c r="R53" s="40">
        <f t="shared" si="1"/>
        <v>0</v>
      </c>
    </row>
    <row r="54" spans="1:18" s="41" customFormat="1" ht="147" customHeight="1" x14ac:dyDescent="0.25">
      <c r="A54" s="139">
        <v>4</v>
      </c>
      <c r="B54" s="140" t="s">
        <v>179</v>
      </c>
      <c r="C54" s="142">
        <f>SUM(E54:E61)</f>
        <v>2</v>
      </c>
      <c r="D54" s="140" t="s">
        <v>180</v>
      </c>
      <c r="E54" s="3">
        <v>0.25</v>
      </c>
      <c r="F54" s="3">
        <f t="shared" si="2"/>
        <v>0.25000000000000006</v>
      </c>
      <c r="G54" s="8" t="s">
        <v>181</v>
      </c>
      <c r="H54" s="10">
        <v>1</v>
      </c>
      <c r="I54" s="5" t="s">
        <v>41</v>
      </c>
      <c r="J54" s="6">
        <v>100</v>
      </c>
      <c r="K54" s="7">
        <v>95</v>
      </c>
      <c r="L54" s="7">
        <v>90</v>
      </c>
      <c r="M54" s="7">
        <v>85</v>
      </c>
      <c r="N54" s="7">
        <v>80</v>
      </c>
      <c r="O54" s="7" t="s">
        <v>42</v>
      </c>
      <c r="P54" s="38"/>
      <c r="Q54" s="39">
        <f t="shared" si="0"/>
        <v>0</v>
      </c>
      <c r="R54" s="40">
        <f t="shared" si="1"/>
        <v>0</v>
      </c>
    </row>
    <row r="55" spans="1:18" s="41" customFormat="1" ht="147" customHeight="1" x14ac:dyDescent="0.25">
      <c r="A55" s="139"/>
      <c r="B55" s="140"/>
      <c r="C55" s="142"/>
      <c r="D55" s="140"/>
      <c r="E55" s="3">
        <v>0.25</v>
      </c>
      <c r="F55" s="3">
        <f t="shared" si="2"/>
        <v>0.25000000000000006</v>
      </c>
      <c r="G55" s="8" t="s">
        <v>182</v>
      </c>
      <c r="H55" s="10">
        <v>1</v>
      </c>
      <c r="I55" s="5" t="s">
        <v>41</v>
      </c>
      <c r="J55" s="6">
        <v>100</v>
      </c>
      <c r="K55" s="7">
        <v>95</v>
      </c>
      <c r="L55" s="7">
        <v>90</v>
      </c>
      <c r="M55" s="7">
        <v>85</v>
      </c>
      <c r="N55" s="7">
        <v>80</v>
      </c>
      <c r="O55" s="7" t="s">
        <v>42</v>
      </c>
      <c r="P55" s="38"/>
      <c r="Q55" s="39">
        <f t="shared" si="0"/>
        <v>0</v>
      </c>
      <c r="R55" s="40">
        <f t="shared" si="1"/>
        <v>0</v>
      </c>
    </row>
    <row r="56" spans="1:18" s="41" customFormat="1" ht="147" customHeight="1" x14ac:dyDescent="0.25">
      <c r="A56" s="139"/>
      <c r="B56" s="140"/>
      <c r="C56" s="142"/>
      <c r="D56" s="140"/>
      <c r="E56" s="3">
        <v>0.25</v>
      </c>
      <c r="F56" s="3">
        <f t="shared" si="2"/>
        <v>0.25000000000000006</v>
      </c>
      <c r="G56" s="8" t="s">
        <v>183</v>
      </c>
      <c r="H56" s="10">
        <v>0.9</v>
      </c>
      <c r="I56" s="1" t="s">
        <v>41</v>
      </c>
      <c r="J56" s="6" t="s">
        <v>74</v>
      </c>
      <c r="K56" s="7">
        <v>90</v>
      </c>
      <c r="L56" s="7">
        <v>80</v>
      </c>
      <c r="M56" s="7">
        <v>70</v>
      </c>
      <c r="N56" s="7">
        <v>50</v>
      </c>
      <c r="O56" s="7" t="s">
        <v>52</v>
      </c>
      <c r="P56" s="38"/>
      <c r="Q56" s="39">
        <f t="shared" si="0"/>
        <v>0</v>
      </c>
      <c r="R56" s="40">
        <f t="shared" si="1"/>
        <v>0</v>
      </c>
    </row>
    <row r="57" spans="1:18" s="41" customFormat="1" ht="147" customHeight="1" x14ac:dyDescent="0.25">
      <c r="A57" s="139"/>
      <c r="B57" s="140"/>
      <c r="C57" s="142"/>
      <c r="D57" s="140"/>
      <c r="E57" s="3">
        <v>0.25</v>
      </c>
      <c r="F57" s="3">
        <f t="shared" si="2"/>
        <v>0.25000000000000006</v>
      </c>
      <c r="G57" s="8" t="s">
        <v>184</v>
      </c>
      <c r="H57" s="10">
        <v>0.9</v>
      </c>
      <c r="I57" s="1" t="s">
        <v>41</v>
      </c>
      <c r="J57" s="6" t="s">
        <v>74</v>
      </c>
      <c r="K57" s="7">
        <v>90</v>
      </c>
      <c r="L57" s="7">
        <v>80</v>
      </c>
      <c r="M57" s="7">
        <v>70</v>
      </c>
      <c r="N57" s="7">
        <v>50</v>
      </c>
      <c r="O57" s="7" t="s">
        <v>52</v>
      </c>
      <c r="P57" s="38"/>
      <c r="Q57" s="39">
        <f t="shared" si="0"/>
        <v>0</v>
      </c>
      <c r="R57" s="40">
        <f t="shared" si="1"/>
        <v>0</v>
      </c>
    </row>
    <row r="58" spans="1:18" s="41" customFormat="1" ht="147" customHeight="1" x14ac:dyDescent="0.25">
      <c r="A58" s="139"/>
      <c r="B58" s="140"/>
      <c r="C58" s="142"/>
      <c r="D58" s="140"/>
      <c r="E58" s="3">
        <v>0.25</v>
      </c>
      <c r="F58" s="3">
        <f t="shared" si="2"/>
        <v>0.25000000000000006</v>
      </c>
      <c r="G58" s="8" t="s">
        <v>185</v>
      </c>
      <c r="H58" s="10">
        <v>0.8</v>
      </c>
      <c r="I58" s="1" t="s">
        <v>41</v>
      </c>
      <c r="J58" s="6" t="s">
        <v>63</v>
      </c>
      <c r="K58" s="7">
        <v>80</v>
      </c>
      <c r="L58" s="7">
        <v>75</v>
      </c>
      <c r="M58" s="7">
        <v>70</v>
      </c>
      <c r="N58" s="7">
        <v>50</v>
      </c>
      <c r="O58" s="7" t="s">
        <v>52</v>
      </c>
      <c r="P58" s="38"/>
      <c r="Q58" s="39">
        <f t="shared" si="0"/>
        <v>0</v>
      </c>
      <c r="R58" s="40">
        <f t="shared" si="1"/>
        <v>0</v>
      </c>
    </row>
    <row r="59" spans="1:18" s="41" customFormat="1" ht="147" customHeight="1" x14ac:dyDescent="0.25">
      <c r="A59" s="139"/>
      <c r="B59" s="140"/>
      <c r="C59" s="142"/>
      <c r="D59" s="140"/>
      <c r="E59" s="3">
        <v>0.25</v>
      </c>
      <c r="F59" s="3">
        <f t="shared" si="2"/>
        <v>0.25000000000000006</v>
      </c>
      <c r="G59" s="8" t="s">
        <v>186</v>
      </c>
      <c r="H59" s="10">
        <v>1</v>
      </c>
      <c r="I59" s="5" t="s">
        <v>41</v>
      </c>
      <c r="J59" s="6">
        <v>100</v>
      </c>
      <c r="K59" s="7">
        <v>95</v>
      </c>
      <c r="L59" s="7">
        <v>90</v>
      </c>
      <c r="M59" s="7">
        <v>85</v>
      </c>
      <c r="N59" s="7">
        <v>80</v>
      </c>
      <c r="O59" s="7" t="s">
        <v>42</v>
      </c>
      <c r="P59" s="38"/>
      <c r="Q59" s="39">
        <f t="shared" si="0"/>
        <v>0</v>
      </c>
      <c r="R59" s="40">
        <f t="shared" si="1"/>
        <v>0</v>
      </c>
    </row>
    <row r="60" spans="1:18" s="41" customFormat="1" ht="147" customHeight="1" x14ac:dyDescent="0.25">
      <c r="A60" s="139"/>
      <c r="B60" s="140"/>
      <c r="C60" s="142"/>
      <c r="D60" s="140"/>
      <c r="E60" s="3">
        <v>0.25</v>
      </c>
      <c r="F60" s="3">
        <f t="shared" si="2"/>
        <v>0.25000000000000006</v>
      </c>
      <c r="G60" s="8" t="s">
        <v>187</v>
      </c>
      <c r="H60" s="10">
        <v>1</v>
      </c>
      <c r="I60" s="5" t="s">
        <v>41</v>
      </c>
      <c r="J60" s="6">
        <v>100</v>
      </c>
      <c r="K60" s="7">
        <v>95</v>
      </c>
      <c r="L60" s="7">
        <v>90</v>
      </c>
      <c r="M60" s="7">
        <v>85</v>
      </c>
      <c r="N60" s="7">
        <v>80</v>
      </c>
      <c r="O60" s="7" t="s">
        <v>42</v>
      </c>
      <c r="P60" s="38"/>
      <c r="Q60" s="39">
        <f t="shared" si="0"/>
        <v>0</v>
      </c>
      <c r="R60" s="40">
        <f t="shared" si="1"/>
        <v>0</v>
      </c>
    </row>
    <row r="61" spans="1:18" s="41" customFormat="1" ht="147" customHeight="1" x14ac:dyDescent="0.25">
      <c r="A61" s="139"/>
      <c r="B61" s="140"/>
      <c r="C61" s="142"/>
      <c r="D61" s="140"/>
      <c r="E61" s="3">
        <v>0.25</v>
      </c>
      <c r="F61" s="3">
        <f t="shared" si="2"/>
        <v>0.25000000000000006</v>
      </c>
      <c r="G61" s="8" t="s">
        <v>188</v>
      </c>
      <c r="H61" s="10">
        <v>1</v>
      </c>
      <c r="I61" s="5" t="s">
        <v>41</v>
      </c>
      <c r="J61" s="6">
        <v>100</v>
      </c>
      <c r="K61" s="7">
        <v>95</v>
      </c>
      <c r="L61" s="7">
        <v>90</v>
      </c>
      <c r="M61" s="7">
        <v>85</v>
      </c>
      <c r="N61" s="7">
        <v>80</v>
      </c>
      <c r="O61" s="7" t="s">
        <v>42</v>
      </c>
      <c r="P61" s="38"/>
      <c r="Q61" s="39">
        <f t="shared" si="0"/>
        <v>0</v>
      </c>
      <c r="R61" s="40">
        <f t="shared" si="1"/>
        <v>0</v>
      </c>
    </row>
    <row r="62" spans="1:18" s="41" customFormat="1" ht="147" customHeight="1" x14ac:dyDescent="0.25">
      <c r="A62" s="139">
        <v>5</v>
      </c>
      <c r="B62" s="140" t="s">
        <v>189</v>
      </c>
      <c r="C62" s="142">
        <f>SUM(E62:E69)</f>
        <v>3</v>
      </c>
      <c r="D62" s="140" t="s">
        <v>190</v>
      </c>
      <c r="E62" s="3">
        <v>0.375</v>
      </c>
      <c r="F62" s="3">
        <f t="shared" si="2"/>
        <v>0.37500000000000006</v>
      </c>
      <c r="G62" s="8" t="s">
        <v>191</v>
      </c>
      <c r="H62" s="10">
        <v>1</v>
      </c>
      <c r="I62" s="5" t="s">
        <v>41</v>
      </c>
      <c r="J62" s="6">
        <v>100</v>
      </c>
      <c r="K62" s="7">
        <v>95</v>
      </c>
      <c r="L62" s="7">
        <v>90</v>
      </c>
      <c r="M62" s="7">
        <v>85</v>
      </c>
      <c r="N62" s="7">
        <v>80</v>
      </c>
      <c r="O62" s="7" t="s">
        <v>42</v>
      </c>
      <c r="P62" s="38"/>
      <c r="Q62" s="39">
        <f t="shared" si="0"/>
        <v>0</v>
      </c>
      <c r="R62" s="40">
        <f t="shared" si="1"/>
        <v>0</v>
      </c>
    </row>
    <row r="63" spans="1:18" s="41" customFormat="1" ht="147" customHeight="1" x14ac:dyDescent="0.25">
      <c r="A63" s="139"/>
      <c r="B63" s="140"/>
      <c r="C63" s="142"/>
      <c r="D63" s="140"/>
      <c r="E63" s="3">
        <v>0.375</v>
      </c>
      <c r="F63" s="3">
        <f t="shared" si="2"/>
        <v>0.37500000000000006</v>
      </c>
      <c r="G63" s="8" t="s">
        <v>192</v>
      </c>
      <c r="H63" s="10">
        <v>1</v>
      </c>
      <c r="I63" s="5" t="s">
        <v>41</v>
      </c>
      <c r="J63" s="6">
        <v>100</v>
      </c>
      <c r="K63" s="7">
        <v>95</v>
      </c>
      <c r="L63" s="7">
        <v>90</v>
      </c>
      <c r="M63" s="7">
        <v>85</v>
      </c>
      <c r="N63" s="7">
        <v>80</v>
      </c>
      <c r="O63" s="7" t="s">
        <v>42</v>
      </c>
      <c r="P63" s="38"/>
      <c r="Q63" s="39">
        <f t="shared" si="0"/>
        <v>0</v>
      </c>
      <c r="R63" s="40">
        <f t="shared" si="1"/>
        <v>0</v>
      </c>
    </row>
    <row r="64" spans="1:18" s="41" customFormat="1" ht="147" customHeight="1" x14ac:dyDescent="0.25">
      <c r="A64" s="139"/>
      <c r="B64" s="140"/>
      <c r="C64" s="142"/>
      <c r="D64" s="140"/>
      <c r="E64" s="3">
        <v>0.375</v>
      </c>
      <c r="F64" s="3">
        <f t="shared" si="2"/>
        <v>0.37500000000000006</v>
      </c>
      <c r="G64" s="8" t="s">
        <v>193</v>
      </c>
      <c r="H64" s="10">
        <v>0.9</v>
      </c>
      <c r="I64" s="1" t="s">
        <v>41</v>
      </c>
      <c r="J64" s="6" t="s">
        <v>74</v>
      </c>
      <c r="K64" s="7">
        <v>90</v>
      </c>
      <c r="L64" s="7">
        <v>80</v>
      </c>
      <c r="M64" s="7">
        <v>70</v>
      </c>
      <c r="N64" s="7">
        <v>50</v>
      </c>
      <c r="O64" s="7" t="s">
        <v>52</v>
      </c>
      <c r="P64" s="38"/>
      <c r="Q64" s="39">
        <f t="shared" si="0"/>
        <v>0</v>
      </c>
      <c r="R64" s="40">
        <f t="shared" si="1"/>
        <v>0</v>
      </c>
    </row>
    <row r="65" spans="1:18" s="41" customFormat="1" ht="147" customHeight="1" x14ac:dyDescent="0.25">
      <c r="A65" s="139"/>
      <c r="B65" s="140"/>
      <c r="C65" s="142"/>
      <c r="D65" s="140"/>
      <c r="E65" s="3">
        <v>0.375</v>
      </c>
      <c r="F65" s="3">
        <f t="shared" si="2"/>
        <v>0.37500000000000006</v>
      </c>
      <c r="G65" s="8" t="s">
        <v>194</v>
      </c>
      <c r="H65" s="10">
        <v>0.9</v>
      </c>
      <c r="I65" s="1" t="s">
        <v>41</v>
      </c>
      <c r="J65" s="6" t="s">
        <v>74</v>
      </c>
      <c r="K65" s="7">
        <v>90</v>
      </c>
      <c r="L65" s="7">
        <v>80</v>
      </c>
      <c r="M65" s="7">
        <v>70</v>
      </c>
      <c r="N65" s="7">
        <v>50</v>
      </c>
      <c r="O65" s="7" t="s">
        <v>52</v>
      </c>
      <c r="P65" s="38"/>
      <c r="Q65" s="39">
        <f t="shared" si="0"/>
        <v>0</v>
      </c>
      <c r="R65" s="40">
        <f t="shared" si="1"/>
        <v>0</v>
      </c>
    </row>
    <row r="66" spans="1:18" s="41" customFormat="1" ht="147" customHeight="1" x14ac:dyDescent="0.25">
      <c r="A66" s="139"/>
      <c r="B66" s="140"/>
      <c r="C66" s="142"/>
      <c r="D66" s="140"/>
      <c r="E66" s="3">
        <v>0.375</v>
      </c>
      <c r="F66" s="3">
        <f t="shared" si="2"/>
        <v>0.37500000000000006</v>
      </c>
      <c r="G66" s="8" t="s">
        <v>195</v>
      </c>
      <c r="H66" s="10">
        <v>0.8</v>
      </c>
      <c r="I66" s="1" t="s">
        <v>41</v>
      </c>
      <c r="J66" s="6" t="s">
        <v>63</v>
      </c>
      <c r="K66" s="7">
        <v>80</v>
      </c>
      <c r="L66" s="7">
        <v>75</v>
      </c>
      <c r="M66" s="7">
        <v>70</v>
      </c>
      <c r="N66" s="7">
        <v>50</v>
      </c>
      <c r="O66" s="7" t="s">
        <v>52</v>
      </c>
      <c r="P66" s="38"/>
      <c r="Q66" s="39">
        <f t="shared" si="0"/>
        <v>0</v>
      </c>
      <c r="R66" s="40">
        <f t="shared" si="1"/>
        <v>0</v>
      </c>
    </row>
    <row r="67" spans="1:18" s="41" customFormat="1" ht="147" customHeight="1" x14ac:dyDescent="0.25">
      <c r="A67" s="139"/>
      <c r="B67" s="140"/>
      <c r="C67" s="142"/>
      <c r="D67" s="140"/>
      <c r="E67" s="3">
        <v>0.375</v>
      </c>
      <c r="F67" s="3">
        <f t="shared" si="2"/>
        <v>0.37500000000000006</v>
      </c>
      <c r="G67" s="8" t="s">
        <v>196</v>
      </c>
      <c r="H67" s="10">
        <v>1</v>
      </c>
      <c r="I67" s="5" t="s">
        <v>41</v>
      </c>
      <c r="J67" s="6">
        <v>100</v>
      </c>
      <c r="K67" s="7">
        <v>95</v>
      </c>
      <c r="L67" s="7">
        <v>90</v>
      </c>
      <c r="M67" s="7">
        <v>85</v>
      </c>
      <c r="N67" s="7">
        <v>80</v>
      </c>
      <c r="O67" s="7" t="s">
        <v>42</v>
      </c>
      <c r="P67" s="38"/>
      <c r="Q67" s="39">
        <f t="shared" si="0"/>
        <v>0</v>
      </c>
      <c r="R67" s="40">
        <f t="shared" si="1"/>
        <v>0</v>
      </c>
    </row>
    <row r="68" spans="1:18" s="41" customFormat="1" ht="147" customHeight="1" x14ac:dyDescent="0.25">
      <c r="A68" s="139"/>
      <c r="B68" s="140"/>
      <c r="C68" s="142"/>
      <c r="D68" s="140"/>
      <c r="E68" s="3">
        <v>0.375</v>
      </c>
      <c r="F68" s="3">
        <f t="shared" si="2"/>
        <v>0.37500000000000006</v>
      </c>
      <c r="G68" s="8" t="s">
        <v>197</v>
      </c>
      <c r="H68" s="10">
        <v>1</v>
      </c>
      <c r="I68" s="5" t="s">
        <v>41</v>
      </c>
      <c r="J68" s="6">
        <v>100</v>
      </c>
      <c r="K68" s="7">
        <v>95</v>
      </c>
      <c r="L68" s="7">
        <v>90</v>
      </c>
      <c r="M68" s="7">
        <v>85</v>
      </c>
      <c r="N68" s="7">
        <v>80</v>
      </c>
      <c r="O68" s="7" t="s">
        <v>42</v>
      </c>
      <c r="P68" s="38"/>
      <c r="Q68" s="39">
        <f t="shared" si="0"/>
        <v>0</v>
      </c>
      <c r="R68" s="40">
        <f t="shared" si="1"/>
        <v>0</v>
      </c>
    </row>
    <row r="69" spans="1:18" s="41" customFormat="1" ht="147" customHeight="1" x14ac:dyDescent="0.25">
      <c r="A69" s="139"/>
      <c r="B69" s="140"/>
      <c r="C69" s="142"/>
      <c r="D69" s="140"/>
      <c r="E69" s="12">
        <v>0.375</v>
      </c>
      <c r="F69" s="3">
        <f t="shared" si="2"/>
        <v>0.37500000000000006</v>
      </c>
      <c r="G69" s="8" t="s">
        <v>198</v>
      </c>
      <c r="H69" s="10">
        <v>1</v>
      </c>
      <c r="I69" s="5" t="s">
        <v>41</v>
      </c>
      <c r="J69" s="6">
        <v>100</v>
      </c>
      <c r="K69" s="7">
        <v>95</v>
      </c>
      <c r="L69" s="7">
        <v>90</v>
      </c>
      <c r="M69" s="7">
        <v>85</v>
      </c>
      <c r="N69" s="7">
        <v>80</v>
      </c>
      <c r="O69" s="7" t="s">
        <v>42</v>
      </c>
      <c r="P69" s="38"/>
      <c r="Q69" s="39">
        <f t="shared" si="0"/>
        <v>0</v>
      </c>
      <c r="R69" s="40">
        <f t="shared" si="1"/>
        <v>0</v>
      </c>
    </row>
    <row r="70" spans="1:18" s="41" customFormat="1" ht="147" customHeight="1" x14ac:dyDescent="0.25">
      <c r="A70" s="127">
        <v>6</v>
      </c>
      <c r="B70" s="136" t="s">
        <v>199</v>
      </c>
      <c r="C70" s="143">
        <v>5</v>
      </c>
      <c r="D70" s="136" t="s">
        <v>200</v>
      </c>
      <c r="E70" s="3">
        <v>0.5</v>
      </c>
      <c r="F70" s="3">
        <f t="shared" si="2"/>
        <v>0.50000000000000011</v>
      </c>
      <c r="G70" s="2" t="s">
        <v>201</v>
      </c>
      <c r="H70" s="10">
        <v>1</v>
      </c>
      <c r="I70" s="5" t="s">
        <v>41</v>
      </c>
      <c r="J70" s="6">
        <v>100</v>
      </c>
      <c r="K70" s="7">
        <v>95</v>
      </c>
      <c r="L70" s="7">
        <v>90</v>
      </c>
      <c r="M70" s="7">
        <v>85</v>
      </c>
      <c r="N70" s="7">
        <v>80</v>
      </c>
      <c r="O70" s="7" t="s">
        <v>42</v>
      </c>
      <c r="P70" s="38"/>
      <c r="Q70" s="39">
        <f t="shared" si="0"/>
        <v>0</v>
      </c>
      <c r="R70" s="40">
        <f t="shared" si="1"/>
        <v>0</v>
      </c>
    </row>
    <row r="71" spans="1:18" s="41" customFormat="1" ht="147" customHeight="1" x14ac:dyDescent="0.25">
      <c r="A71" s="128"/>
      <c r="B71" s="137"/>
      <c r="C71" s="144"/>
      <c r="D71" s="138"/>
      <c r="E71" s="3">
        <v>0.5</v>
      </c>
      <c r="F71" s="3">
        <f t="shared" si="2"/>
        <v>0.50000000000000011</v>
      </c>
      <c r="G71" s="2" t="s">
        <v>202</v>
      </c>
      <c r="H71" s="10">
        <v>1</v>
      </c>
      <c r="I71" s="5" t="s">
        <v>41</v>
      </c>
      <c r="J71" s="6">
        <v>100</v>
      </c>
      <c r="K71" s="7">
        <v>95</v>
      </c>
      <c r="L71" s="7">
        <v>90</v>
      </c>
      <c r="M71" s="7">
        <v>85</v>
      </c>
      <c r="N71" s="7">
        <v>80</v>
      </c>
      <c r="O71" s="7" t="s">
        <v>42</v>
      </c>
      <c r="P71" s="38"/>
      <c r="Q71" s="39">
        <f t="shared" si="0"/>
        <v>0</v>
      </c>
      <c r="R71" s="40">
        <f t="shared" si="1"/>
        <v>0</v>
      </c>
    </row>
    <row r="72" spans="1:18" s="41" customFormat="1" ht="147" customHeight="1" x14ac:dyDescent="0.25">
      <c r="A72" s="128"/>
      <c r="B72" s="137"/>
      <c r="C72" s="144"/>
      <c r="D72" s="136" t="s">
        <v>203</v>
      </c>
      <c r="E72" s="3">
        <v>0.5</v>
      </c>
      <c r="F72" s="3">
        <f t="shared" si="2"/>
        <v>0.50000000000000011</v>
      </c>
      <c r="G72" s="2" t="s">
        <v>204</v>
      </c>
      <c r="H72" s="10">
        <v>1</v>
      </c>
      <c r="I72" s="5" t="s">
        <v>41</v>
      </c>
      <c r="J72" s="6">
        <v>100</v>
      </c>
      <c r="K72" s="7">
        <v>95</v>
      </c>
      <c r="L72" s="7">
        <v>90</v>
      </c>
      <c r="M72" s="7">
        <v>85</v>
      </c>
      <c r="N72" s="7">
        <v>80</v>
      </c>
      <c r="O72" s="7" t="s">
        <v>42</v>
      </c>
      <c r="P72" s="38"/>
      <c r="Q72" s="39">
        <f t="shared" si="0"/>
        <v>0</v>
      </c>
      <c r="R72" s="40">
        <f t="shared" si="1"/>
        <v>0</v>
      </c>
    </row>
    <row r="73" spans="1:18" s="41" customFormat="1" ht="147" customHeight="1" x14ac:dyDescent="0.25">
      <c r="A73" s="128"/>
      <c r="B73" s="137"/>
      <c r="C73" s="144"/>
      <c r="D73" s="138"/>
      <c r="E73" s="3">
        <v>0.5</v>
      </c>
      <c r="F73" s="3">
        <f t="shared" si="2"/>
        <v>0.50000000000000011</v>
      </c>
      <c r="G73" s="2" t="s">
        <v>205</v>
      </c>
      <c r="H73" s="10">
        <v>1</v>
      </c>
      <c r="I73" s="5" t="s">
        <v>41</v>
      </c>
      <c r="J73" s="6">
        <v>100</v>
      </c>
      <c r="K73" s="7">
        <v>95</v>
      </c>
      <c r="L73" s="7">
        <v>90</v>
      </c>
      <c r="M73" s="7">
        <v>85</v>
      </c>
      <c r="N73" s="7">
        <v>80</v>
      </c>
      <c r="O73" s="7" t="s">
        <v>42</v>
      </c>
      <c r="P73" s="38"/>
      <c r="Q73" s="39">
        <f t="shared" si="0"/>
        <v>0</v>
      </c>
      <c r="R73" s="40">
        <f t="shared" si="1"/>
        <v>0</v>
      </c>
    </row>
    <row r="74" spans="1:18" s="41" customFormat="1" ht="147" customHeight="1" x14ac:dyDescent="0.25">
      <c r="A74" s="128"/>
      <c r="B74" s="137"/>
      <c r="C74" s="144"/>
      <c r="D74" s="136" t="s">
        <v>206</v>
      </c>
      <c r="E74" s="3">
        <v>0.3</v>
      </c>
      <c r="F74" s="3">
        <f t="shared" si="2"/>
        <v>0.30000000000000004</v>
      </c>
      <c r="G74" s="2" t="s">
        <v>207</v>
      </c>
      <c r="H74" s="10">
        <v>1</v>
      </c>
      <c r="I74" s="5" t="s">
        <v>41</v>
      </c>
      <c r="J74" s="6">
        <v>100</v>
      </c>
      <c r="K74" s="7">
        <v>95</v>
      </c>
      <c r="L74" s="7">
        <v>90</v>
      </c>
      <c r="M74" s="7">
        <v>85</v>
      </c>
      <c r="N74" s="7">
        <v>80</v>
      </c>
      <c r="O74" s="7" t="s">
        <v>42</v>
      </c>
      <c r="P74" s="38"/>
      <c r="Q74" s="39">
        <f t="shared" si="0"/>
        <v>0</v>
      </c>
      <c r="R74" s="40">
        <f t="shared" si="1"/>
        <v>0</v>
      </c>
    </row>
    <row r="75" spans="1:18" s="41" customFormat="1" ht="147" customHeight="1" x14ac:dyDescent="0.25">
      <c r="A75" s="128"/>
      <c r="B75" s="137"/>
      <c r="C75" s="144"/>
      <c r="D75" s="137"/>
      <c r="E75" s="3">
        <v>0.3</v>
      </c>
      <c r="F75" s="3">
        <f t="shared" si="2"/>
        <v>0.30000000000000004</v>
      </c>
      <c r="G75" s="2" t="s">
        <v>208</v>
      </c>
      <c r="H75" s="10">
        <v>1</v>
      </c>
      <c r="I75" s="5" t="s">
        <v>41</v>
      </c>
      <c r="J75" s="6">
        <v>100</v>
      </c>
      <c r="K75" s="7">
        <v>95</v>
      </c>
      <c r="L75" s="7">
        <v>90</v>
      </c>
      <c r="M75" s="7">
        <v>85</v>
      </c>
      <c r="N75" s="7">
        <v>80</v>
      </c>
      <c r="O75" s="7" t="s">
        <v>42</v>
      </c>
      <c r="P75" s="38"/>
      <c r="Q75" s="39">
        <f t="shared" si="0"/>
        <v>0</v>
      </c>
      <c r="R75" s="40">
        <f t="shared" si="1"/>
        <v>0</v>
      </c>
    </row>
    <row r="76" spans="1:18" s="41" customFormat="1" ht="147" customHeight="1" x14ac:dyDescent="0.25">
      <c r="A76" s="128"/>
      <c r="B76" s="137"/>
      <c r="C76" s="144"/>
      <c r="D76" s="138"/>
      <c r="E76" s="3">
        <v>0.4</v>
      </c>
      <c r="F76" s="3">
        <f t="shared" si="2"/>
        <v>0.40000000000000008</v>
      </c>
      <c r="G76" s="2" t="s">
        <v>209</v>
      </c>
      <c r="H76" s="10">
        <v>1</v>
      </c>
      <c r="I76" s="5" t="s">
        <v>41</v>
      </c>
      <c r="J76" s="6">
        <v>100</v>
      </c>
      <c r="K76" s="7">
        <v>95</v>
      </c>
      <c r="L76" s="7">
        <v>90</v>
      </c>
      <c r="M76" s="7">
        <v>85</v>
      </c>
      <c r="N76" s="7">
        <v>80</v>
      </c>
      <c r="O76" s="7" t="s">
        <v>42</v>
      </c>
      <c r="P76" s="38"/>
      <c r="Q76" s="39">
        <f t="shared" si="0"/>
        <v>0</v>
      </c>
      <c r="R76" s="40">
        <f t="shared" si="1"/>
        <v>0</v>
      </c>
    </row>
    <row r="77" spans="1:18" s="41" customFormat="1" ht="147" customHeight="1" x14ac:dyDescent="0.25">
      <c r="A77" s="128"/>
      <c r="B77" s="137"/>
      <c r="C77" s="144"/>
      <c r="D77" s="136" t="s">
        <v>210</v>
      </c>
      <c r="E77" s="3">
        <v>1</v>
      </c>
      <c r="F77" s="3">
        <f t="shared" si="2"/>
        <v>1.0000000000000002</v>
      </c>
      <c r="G77" s="2" t="s">
        <v>211</v>
      </c>
      <c r="H77" s="10">
        <v>1</v>
      </c>
      <c r="I77" s="5" t="s">
        <v>41</v>
      </c>
      <c r="J77" s="6">
        <v>100</v>
      </c>
      <c r="K77" s="7">
        <v>95</v>
      </c>
      <c r="L77" s="7">
        <v>90</v>
      </c>
      <c r="M77" s="7">
        <v>85</v>
      </c>
      <c r="N77" s="7">
        <v>80</v>
      </c>
      <c r="O77" s="7" t="s">
        <v>42</v>
      </c>
      <c r="P77" s="38"/>
      <c r="Q77" s="39">
        <f t="shared" si="0"/>
        <v>0</v>
      </c>
      <c r="R77" s="40">
        <f t="shared" si="1"/>
        <v>0</v>
      </c>
    </row>
    <row r="78" spans="1:18" s="41" customFormat="1" ht="147" customHeight="1" x14ac:dyDescent="0.25">
      <c r="A78" s="129"/>
      <c r="B78" s="138"/>
      <c r="C78" s="145"/>
      <c r="D78" s="138"/>
      <c r="E78" s="3">
        <v>1</v>
      </c>
      <c r="F78" s="3">
        <f t="shared" si="2"/>
        <v>1.0000000000000002</v>
      </c>
      <c r="G78" s="2" t="s">
        <v>212</v>
      </c>
      <c r="H78" s="10">
        <v>1</v>
      </c>
      <c r="I78" s="5" t="s">
        <v>41</v>
      </c>
      <c r="J78" s="6">
        <v>100</v>
      </c>
      <c r="K78" s="7">
        <v>95</v>
      </c>
      <c r="L78" s="7">
        <v>90</v>
      </c>
      <c r="M78" s="7">
        <v>85</v>
      </c>
      <c r="N78" s="7">
        <v>80</v>
      </c>
      <c r="O78" s="7" t="s">
        <v>42</v>
      </c>
      <c r="P78" s="38"/>
      <c r="Q78" s="39">
        <f t="shared" si="0"/>
        <v>0</v>
      </c>
      <c r="R78" s="40">
        <f t="shared" si="1"/>
        <v>0</v>
      </c>
    </row>
    <row r="79" spans="1:18" s="41" customFormat="1" ht="147" customHeight="1" x14ac:dyDescent="0.25">
      <c r="A79" s="127">
        <v>7</v>
      </c>
      <c r="B79" s="136" t="s">
        <v>213</v>
      </c>
      <c r="C79" s="143">
        <v>3</v>
      </c>
      <c r="D79" s="136" t="s">
        <v>214</v>
      </c>
      <c r="E79" s="3">
        <v>0.3</v>
      </c>
      <c r="F79" s="3">
        <f t="shared" si="2"/>
        <v>0.30000000000000004</v>
      </c>
      <c r="G79" s="2" t="s">
        <v>215</v>
      </c>
      <c r="H79" s="10">
        <v>1</v>
      </c>
      <c r="I79" s="5" t="s">
        <v>41</v>
      </c>
      <c r="J79" s="6">
        <v>100</v>
      </c>
      <c r="K79" s="7">
        <v>95</v>
      </c>
      <c r="L79" s="7">
        <v>90</v>
      </c>
      <c r="M79" s="7">
        <v>85</v>
      </c>
      <c r="N79" s="7">
        <v>80</v>
      </c>
      <c r="O79" s="7" t="s">
        <v>42</v>
      </c>
      <c r="P79" s="38"/>
      <c r="Q79" s="39">
        <f t="shared" si="0"/>
        <v>0</v>
      </c>
      <c r="R79" s="40">
        <f t="shared" si="1"/>
        <v>0</v>
      </c>
    </row>
    <row r="80" spans="1:18" s="41" customFormat="1" ht="147" customHeight="1" x14ac:dyDescent="0.25">
      <c r="A80" s="128"/>
      <c r="B80" s="137"/>
      <c r="C80" s="144"/>
      <c r="D80" s="137"/>
      <c r="E80" s="3">
        <v>0.3</v>
      </c>
      <c r="F80" s="3">
        <f t="shared" si="2"/>
        <v>0.30000000000000004</v>
      </c>
      <c r="G80" s="2" t="s">
        <v>216</v>
      </c>
      <c r="H80" s="10">
        <v>1</v>
      </c>
      <c r="I80" s="5" t="s">
        <v>41</v>
      </c>
      <c r="J80" s="6">
        <v>100</v>
      </c>
      <c r="K80" s="7">
        <v>95</v>
      </c>
      <c r="L80" s="7">
        <v>90</v>
      </c>
      <c r="M80" s="7">
        <v>85</v>
      </c>
      <c r="N80" s="7">
        <v>80</v>
      </c>
      <c r="O80" s="7" t="s">
        <v>42</v>
      </c>
      <c r="P80" s="38"/>
      <c r="Q80" s="39">
        <f t="shared" si="0"/>
        <v>0</v>
      </c>
      <c r="R80" s="40">
        <f t="shared" si="1"/>
        <v>0</v>
      </c>
    </row>
    <row r="81" spans="1:18" s="41" customFormat="1" ht="147" customHeight="1" x14ac:dyDescent="0.25">
      <c r="A81" s="128"/>
      <c r="B81" s="137"/>
      <c r="C81" s="144"/>
      <c r="D81" s="138"/>
      <c r="E81" s="3">
        <v>0.4</v>
      </c>
      <c r="F81" s="3">
        <f t="shared" si="2"/>
        <v>0.40000000000000008</v>
      </c>
      <c r="G81" s="2" t="s">
        <v>217</v>
      </c>
      <c r="H81" s="10">
        <v>1</v>
      </c>
      <c r="I81" s="5" t="s">
        <v>41</v>
      </c>
      <c r="J81" s="6">
        <v>100</v>
      </c>
      <c r="K81" s="7">
        <v>95</v>
      </c>
      <c r="L81" s="7">
        <v>90</v>
      </c>
      <c r="M81" s="7">
        <v>85</v>
      </c>
      <c r="N81" s="7">
        <v>80</v>
      </c>
      <c r="O81" s="7" t="s">
        <v>42</v>
      </c>
      <c r="P81" s="38"/>
      <c r="Q81" s="39">
        <f t="shared" si="0"/>
        <v>0</v>
      </c>
      <c r="R81" s="40">
        <f t="shared" si="1"/>
        <v>0</v>
      </c>
    </row>
    <row r="82" spans="1:18" s="41" customFormat="1" ht="147" customHeight="1" x14ac:dyDescent="0.25">
      <c r="A82" s="128"/>
      <c r="B82" s="137"/>
      <c r="C82" s="144"/>
      <c r="D82" s="136" t="s">
        <v>218</v>
      </c>
      <c r="E82" s="3">
        <v>0.35</v>
      </c>
      <c r="F82" s="3">
        <f t="shared" si="2"/>
        <v>0.35000000000000003</v>
      </c>
      <c r="G82" s="2" t="s">
        <v>219</v>
      </c>
      <c r="H82" s="10">
        <v>1</v>
      </c>
      <c r="I82" s="5" t="s">
        <v>41</v>
      </c>
      <c r="J82" s="6">
        <v>100</v>
      </c>
      <c r="K82" s="7">
        <v>95</v>
      </c>
      <c r="L82" s="7">
        <v>90</v>
      </c>
      <c r="M82" s="7">
        <v>85</v>
      </c>
      <c r="N82" s="7">
        <v>80</v>
      </c>
      <c r="O82" s="7" t="s">
        <v>42</v>
      </c>
      <c r="P82" s="38"/>
      <c r="Q82" s="39">
        <f t="shared" si="0"/>
        <v>0</v>
      </c>
      <c r="R82" s="40">
        <f t="shared" si="1"/>
        <v>0</v>
      </c>
    </row>
    <row r="83" spans="1:18" s="41" customFormat="1" ht="147" customHeight="1" x14ac:dyDescent="0.25">
      <c r="A83" s="128"/>
      <c r="B83" s="137"/>
      <c r="C83" s="144"/>
      <c r="D83" s="138"/>
      <c r="E83" s="3">
        <v>0.35</v>
      </c>
      <c r="F83" s="3">
        <f t="shared" si="2"/>
        <v>0.35000000000000003</v>
      </c>
      <c r="G83" s="2" t="s">
        <v>220</v>
      </c>
      <c r="H83" s="10">
        <v>1</v>
      </c>
      <c r="I83" s="5" t="s">
        <v>41</v>
      </c>
      <c r="J83" s="6">
        <v>100</v>
      </c>
      <c r="K83" s="7">
        <v>95</v>
      </c>
      <c r="L83" s="7">
        <v>90</v>
      </c>
      <c r="M83" s="7">
        <v>85</v>
      </c>
      <c r="N83" s="7">
        <v>80</v>
      </c>
      <c r="O83" s="7" t="s">
        <v>42</v>
      </c>
      <c r="P83" s="38"/>
      <c r="Q83" s="39">
        <f t="shared" si="0"/>
        <v>0</v>
      </c>
      <c r="R83" s="40">
        <f t="shared" si="1"/>
        <v>0</v>
      </c>
    </row>
    <row r="84" spans="1:18" s="41" customFormat="1" ht="147" customHeight="1" x14ac:dyDescent="0.25">
      <c r="A84" s="128"/>
      <c r="B84" s="137"/>
      <c r="C84" s="144"/>
      <c r="D84" s="136" t="s">
        <v>221</v>
      </c>
      <c r="E84" s="3">
        <v>0.2</v>
      </c>
      <c r="F84" s="3">
        <f t="shared" ref="F84:F147" si="3">E84/$E$148 * 100</f>
        <v>0.20000000000000004</v>
      </c>
      <c r="G84" s="2" t="s">
        <v>222</v>
      </c>
      <c r="H84" s="10">
        <v>1</v>
      </c>
      <c r="I84" s="5" t="s">
        <v>41</v>
      </c>
      <c r="J84" s="6">
        <v>100</v>
      </c>
      <c r="K84" s="7">
        <v>95</v>
      </c>
      <c r="L84" s="7">
        <v>90</v>
      </c>
      <c r="M84" s="7">
        <v>85</v>
      </c>
      <c r="N84" s="7">
        <v>80</v>
      </c>
      <c r="O84" s="7" t="s">
        <v>42</v>
      </c>
      <c r="P84" s="38"/>
      <c r="Q84" s="39">
        <f t="shared" si="0"/>
        <v>0</v>
      </c>
      <c r="R84" s="40">
        <f t="shared" si="1"/>
        <v>0</v>
      </c>
    </row>
    <row r="85" spans="1:18" s="41" customFormat="1" ht="147" customHeight="1" x14ac:dyDescent="0.25">
      <c r="A85" s="128"/>
      <c r="B85" s="137"/>
      <c r="C85" s="144"/>
      <c r="D85" s="138"/>
      <c r="E85" s="3">
        <v>0.3</v>
      </c>
      <c r="F85" s="3">
        <f t="shared" si="3"/>
        <v>0.30000000000000004</v>
      </c>
      <c r="G85" s="2" t="s">
        <v>223</v>
      </c>
      <c r="H85" s="1">
        <v>4</v>
      </c>
      <c r="I85" s="5" t="s">
        <v>56</v>
      </c>
      <c r="J85" s="6">
        <v>4</v>
      </c>
      <c r="K85" s="7">
        <v>3</v>
      </c>
      <c r="L85" s="7">
        <v>2</v>
      </c>
      <c r="M85" s="7">
        <v>1</v>
      </c>
      <c r="N85" s="7">
        <v>0</v>
      </c>
      <c r="O85" s="7">
        <v>0</v>
      </c>
      <c r="P85" s="38"/>
      <c r="Q85" s="39">
        <f t="shared" si="0"/>
        <v>0</v>
      </c>
      <c r="R85" s="40">
        <f t="shared" si="1"/>
        <v>0</v>
      </c>
    </row>
    <row r="86" spans="1:18" s="41" customFormat="1" ht="147" customHeight="1" x14ac:dyDescent="0.25">
      <c r="A86" s="128"/>
      <c r="B86" s="137"/>
      <c r="C86" s="144"/>
      <c r="D86" s="136" t="s">
        <v>224</v>
      </c>
      <c r="E86" s="3">
        <v>0.25</v>
      </c>
      <c r="F86" s="3">
        <f t="shared" si="3"/>
        <v>0.25000000000000006</v>
      </c>
      <c r="G86" s="2" t="s">
        <v>225</v>
      </c>
      <c r="H86" s="10">
        <v>1</v>
      </c>
      <c r="I86" s="5" t="s">
        <v>41</v>
      </c>
      <c r="J86" s="6">
        <v>100</v>
      </c>
      <c r="K86" s="7">
        <v>95</v>
      </c>
      <c r="L86" s="7">
        <v>90</v>
      </c>
      <c r="M86" s="7">
        <v>85</v>
      </c>
      <c r="N86" s="7">
        <v>80</v>
      </c>
      <c r="O86" s="7" t="s">
        <v>42</v>
      </c>
      <c r="P86" s="38"/>
      <c r="Q86" s="39">
        <f t="shared" si="0"/>
        <v>0</v>
      </c>
      <c r="R86" s="40">
        <f t="shared" si="1"/>
        <v>0</v>
      </c>
    </row>
    <row r="87" spans="1:18" s="41" customFormat="1" ht="147" customHeight="1" x14ac:dyDescent="0.25">
      <c r="A87" s="128"/>
      <c r="B87" s="137"/>
      <c r="C87" s="144"/>
      <c r="D87" s="138"/>
      <c r="E87" s="3">
        <v>0.25</v>
      </c>
      <c r="F87" s="3">
        <f t="shared" si="3"/>
        <v>0.25000000000000006</v>
      </c>
      <c r="G87" s="2" t="s">
        <v>226</v>
      </c>
      <c r="H87" s="10">
        <v>1</v>
      </c>
      <c r="I87" s="5" t="s">
        <v>41</v>
      </c>
      <c r="J87" s="6">
        <v>100</v>
      </c>
      <c r="K87" s="7">
        <v>95</v>
      </c>
      <c r="L87" s="7">
        <v>90</v>
      </c>
      <c r="M87" s="7">
        <v>85</v>
      </c>
      <c r="N87" s="7">
        <v>80</v>
      </c>
      <c r="O87" s="7" t="s">
        <v>42</v>
      </c>
      <c r="P87" s="38"/>
      <c r="Q87" s="39">
        <f t="shared" si="0"/>
        <v>0</v>
      </c>
      <c r="R87" s="40">
        <f t="shared" si="1"/>
        <v>0</v>
      </c>
    </row>
    <row r="88" spans="1:18" s="41" customFormat="1" ht="147" customHeight="1" x14ac:dyDescent="0.25">
      <c r="A88" s="128"/>
      <c r="B88" s="137"/>
      <c r="C88" s="144"/>
      <c r="D88" s="136" t="s">
        <v>227</v>
      </c>
      <c r="E88" s="3">
        <v>0.15</v>
      </c>
      <c r="F88" s="3">
        <f t="shared" si="3"/>
        <v>0.15000000000000002</v>
      </c>
      <c r="G88" s="2" t="s">
        <v>228</v>
      </c>
      <c r="H88" s="10">
        <v>1</v>
      </c>
      <c r="I88" s="5" t="s">
        <v>41</v>
      </c>
      <c r="J88" s="6">
        <v>100</v>
      </c>
      <c r="K88" s="7">
        <v>95</v>
      </c>
      <c r="L88" s="7">
        <v>90</v>
      </c>
      <c r="M88" s="7">
        <v>85</v>
      </c>
      <c r="N88" s="7">
        <v>80</v>
      </c>
      <c r="O88" s="7" t="s">
        <v>42</v>
      </c>
      <c r="P88" s="38"/>
      <c r="Q88" s="39">
        <f t="shared" si="0"/>
        <v>0</v>
      </c>
      <c r="R88" s="40">
        <f t="shared" si="1"/>
        <v>0</v>
      </c>
    </row>
    <row r="89" spans="1:18" s="41" customFormat="1" ht="147" customHeight="1" x14ac:dyDescent="0.25">
      <c r="A89" s="129"/>
      <c r="B89" s="138"/>
      <c r="C89" s="145"/>
      <c r="D89" s="138"/>
      <c r="E89" s="12">
        <v>0.15</v>
      </c>
      <c r="F89" s="3">
        <f t="shared" si="3"/>
        <v>0.15000000000000002</v>
      </c>
      <c r="G89" s="14" t="s">
        <v>229</v>
      </c>
      <c r="H89" s="10">
        <v>1</v>
      </c>
      <c r="I89" s="5" t="s">
        <v>41</v>
      </c>
      <c r="J89" s="6">
        <v>100</v>
      </c>
      <c r="K89" s="7">
        <v>95</v>
      </c>
      <c r="L89" s="7">
        <v>90</v>
      </c>
      <c r="M89" s="7">
        <v>85</v>
      </c>
      <c r="N89" s="7">
        <v>80</v>
      </c>
      <c r="O89" s="7" t="s">
        <v>42</v>
      </c>
      <c r="P89" s="38"/>
      <c r="Q89" s="39">
        <f t="shared" si="0"/>
        <v>0</v>
      </c>
      <c r="R89" s="40">
        <f t="shared" si="1"/>
        <v>0</v>
      </c>
    </row>
    <row r="90" spans="1:18" s="41" customFormat="1" ht="147" customHeight="1" x14ac:dyDescent="0.25">
      <c r="A90" s="127">
        <v>8</v>
      </c>
      <c r="B90" s="136" t="s">
        <v>230</v>
      </c>
      <c r="C90" s="143">
        <f>SUM(E90:E100)</f>
        <v>5</v>
      </c>
      <c r="D90" s="136" t="s">
        <v>231</v>
      </c>
      <c r="E90" s="3">
        <v>0.3</v>
      </c>
      <c r="F90" s="3">
        <f t="shared" si="3"/>
        <v>0.30000000000000004</v>
      </c>
      <c r="G90" s="2" t="s">
        <v>232</v>
      </c>
      <c r="H90" s="10">
        <v>1</v>
      </c>
      <c r="I90" s="5" t="s">
        <v>41</v>
      </c>
      <c r="J90" s="6">
        <v>100</v>
      </c>
      <c r="K90" s="7">
        <v>95</v>
      </c>
      <c r="L90" s="7">
        <v>90</v>
      </c>
      <c r="M90" s="7">
        <v>85</v>
      </c>
      <c r="N90" s="7">
        <v>80</v>
      </c>
      <c r="O90" s="7" t="s">
        <v>42</v>
      </c>
      <c r="P90" s="38"/>
      <c r="Q90" s="39">
        <f t="shared" si="0"/>
        <v>0</v>
      </c>
      <c r="R90" s="40">
        <f t="shared" si="1"/>
        <v>0</v>
      </c>
    </row>
    <row r="91" spans="1:18" s="41" customFormat="1" ht="147" customHeight="1" x14ac:dyDescent="0.25">
      <c r="A91" s="128"/>
      <c r="B91" s="137"/>
      <c r="C91" s="144"/>
      <c r="D91" s="137"/>
      <c r="E91" s="3">
        <v>0.3</v>
      </c>
      <c r="F91" s="3">
        <f t="shared" si="3"/>
        <v>0.30000000000000004</v>
      </c>
      <c r="G91" s="2" t="s">
        <v>233</v>
      </c>
      <c r="H91" s="10">
        <v>0.8</v>
      </c>
      <c r="I91" s="1" t="s">
        <v>41</v>
      </c>
      <c r="J91" s="6" t="s">
        <v>63</v>
      </c>
      <c r="K91" s="7">
        <v>80</v>
      </c>
      <c r="L91" s="7">
        <v>75</v>
      </c>
      <c r="M91" s="7">
        <v>70</v>
      </c>
      <c r="N91" s="7">
        <v>50</v>
      </c>
      <c r="O91" s="7" t="s">
        <v>52</v>
      </c>
      <c r="P91" s="38"/>
      <c r="Q91" s="39">
        <f t="shared" si="0"/>
        <v>0</v>
      </c>
      <c r="R91" s="40">
        <f t="shared" si="1"/>
        <v>0</v>
      </c>
    </row>
    <row r="92" spans="1:18" s="41" customFormat="1" ht="147" customHeight="1" x14ac:dyDescent="0.25">
      <c r="A92" s="128"/>
      <c r="B92" s="137"/>
      <c r="C92" s="144"/>
      <c r="D92" s="138"/>
      <c r="E92" s="3">
        <v>0.4</v>
      </c>
      <c r="F92" s="3">
        <f t="shared" si="3"/>
        <v>0.40000000000000008</v>
      </c>
      <c r="G92" s="2" t="s">
        <v>234</v>
      </c>
      <c r="H92" s="10">
        <v>0.9</v>
      </c>
      <c r="I92" s="1" t="s">
        <v>41</v>
      </c>
      <c r="J92" s="6" t="s">
        <v>74</v>
      </c>
      <c r="K92" s="7">
        <v>90</v>
      </c>
      <c r="L92" s="7">
        <v>80</v>
      </c>
      <c r="M92" s="7">
        <v>70</v>
      </c>
      <c r="N92" s="7">
        <v>50</v>
      </c>
      <c r="O92" s="7" t="s">
        <v>52</v>
      </c>
      <c r="P92" s="38"/>
      <c r="Q92" s="39">
        <f t="shared" si="0"/>
        <v>0</v>
      </c>
      <c r="R92" s="40">
        <f t="shared" si="1"/>
        <v>0</v>
      </c>
    </row>
    <row r="93" spans="1:18" s="41" customFormat="1" ht="147" customHeight="1" x14ac:dyDescent="0.25">
      <c r="A93" s="128"/>
      <c r="B93" s="137"/>
      <c r="C93" s="144"/>
      <c r="D93" s="136" t="s">
        <v>235</v>
      </c>
      <c r="E93" s="3">
        <v>0.5</v>
      </c>
      <c r="F93" s="3">
        <f t="shared" si="3"/>
        <v>0.50000000000000011</v>
      </c>
      <c r="G93" s="2" t="s">
        <v>236</v>
      </c>
      <c r="H93" s="10">
        <v>0.75</v>
      </c>
      <c r="I93" s="5" t="s">
        <v>41</v>
      </c>
      <c r="J93" s="6" t="s">
        <v>51</v>
      </c>
      <c r="K93" s="7">
        <v>75</v>
      </c>
      <c r="L93" s="7">
        <v>70</v>
      </c>
      <c r="M93" s="7">
        <v>60</v>
      </c>
      <c r="N93" s="7">
        <v>50</v>
      </c>
      <c r="O93" s="7" t="s">
        <v>52</v>
      </c>
      <c r="P93" s="38"/>
      <c r="Q93" s="39">
        <f t="shared" si="0"/>
        <v>0</v>
      </c>
      <c r="R93" s="40">
        <f t="shared" si="1"/>
        <v>0</v>
      </c>
    </row>
    <row r="94" spans="1:18" s="41" customFormat="1" ht="147" customHeight="1" x14ac:dyDescent="0.25">
      <c r="A94" s="128"/>
      <c r="B94" s="137"/>
      <c r="C94" s="144"/>
      <c r="D94" s="138"/>
      <c r="E94" s="3">
        <v>0.5</v>
      </c>
      <c r="F94" s="3">
        <f t="shared" si="3"/>
        <v>0.50000000000000011</v>
      </c>
      <c r="G94" s="2" t="s">
        <v>237</v>
      </c>
      <c r="H94" s="10">
        <v>0.9</v>
      </c>
      <c r="I94" s="1" t="s">
        <v>41</v>
      </c>
      <c r="J94" s="6" t="s">
        <v>74</v>
      </c>
      <c r="K94" s="7">
        <v>90</v>
      </c>
      <c r="L94" s="7">
        <v>80</v>
      </c>
      <c r="M94" s="7">
        <v>70</v>
      </c>
      <c r="N94" s="7">
        <v>50</v>
      </c>
      <c r="O94" s="7" t="s">
        <v>52</v>
      </c>
      <c r="P94" s="38"/>
      <c r="Q94" s="39">
        <f t="shared" si="0"/>
        <v>0</v>
      </c>
      <c r="R94" s="40">
        <f t="shared" si="1"/>
        <v>0</v>
      </c>
    </row>
    <row r="95" spans="1:18" s="41" customFormat="1" ht="147" customHeight="1" x14ac:dyDescent="0.25">
      <c r="A95" s="128"/>
      <c r="B95" s="137"/>
      <c r="C95" s="144"/>
      <c r="D95" s="136" t="s">
        <v>238</v>
      </c>
      <c r="E95" s="3">
        <v>0.5</v>
      </c>
      <c r="F95" s="3">
        <f t="shared" si="3"/>
        <v>0.50000000000000011</v>
      </c>
      <c r="G95" s="2" t="s">
        <v>239</v>
      </c>
      <c r="H95" s="10">
        <v>0.8</v>
      </c>
      <c r="I95" s="1" t="s">
        <v>41</v>
      </c>
      <c r="J95" s="6" t="s">
        <v>63</v>
      </c>
      <c r="K95" s="7">
        <v>80</v>
      </c>
      <c r="L95" s="7">
        <v>75</v>
      </c>
      <c r="M95" s="7">
        <v>70</v>
      </c>
      <c r="N95" s="7">
        <v>50</v>
      </c>
      <c r="O95" s="7" t="s">
        <v>52</v>
      </c>
      <c r="P95" s="38"/>
      <c r="Q95" s="39">
        <f t="shared" si="0"/>
        <v>0</v>
      </c>
      <c r="R95" s="40">
        <f t="shared" si="1"/>
        <v>0</v>
      </c>
    </row>
    <row r="96" spans="1:18" s="41" customFormat="1" ht="147" customHeight="1" x14ac:dyDescent="0.25">
      <c r="A96" s="128"/>
      <c r="B96" s="137"/>
      <c r="C96" s="144"/>
      <c r="D96" s="138"/>
      <c r="E96" s="3">
        <v>0.5</v>
      </c>
      <c r="F96" s="3">
        <f t="shared" si="3"/>
        <v>0.50000000000000011</v>
      </c>
      <c r="G96" s="2" t="s">
        <v>240</v>
      </c>
      <c r="H96" s="10">
        <v>0.9</v>
      </c>
      <c r="I96" s="1" t="s">
        <v>41</v>
      </c>
      <c r="J96" s="6" t="s">
        <v>74</v>
      </c>
      <c r="K96" s="7">
        <v>90</v>
      </c>
      <c r="L96" s="7">
        <v>80</v>
      </c>
      <c r="M96" s="7">
        <v>70</v>
      </c>
      <c r="N96" s="7">
        <v>50</v>
      </c>
      <c r="O96" s="7" t="s">
        <v>52</v>
      </c>
      <c r="P96" s="38"/>
      <c r="Q96" s="39">
        <f t="shared" si="0"/>
        <v>0</v>
      </c>
      <c r="R96" s="40">
        <f t="shared" si="1"/>
        <v>0</v>
      </c>
    </row>
    <row r="97" spans="1:18" s="41" customFormat="1" ht="147" customHeight="1" x14ac:dyDescent="0.25">
      <c r="A97" s="128"/>
      <c r="B97" s="137"/>
      <c r="C97" s="144"/>
      <c r="D97" s="136" t="s">
        <v>241</v>
      </c>
      <c r="E97" s="3">
        <v>0.5</v>
      </c>
      <c r="F97" s="3">
        <f t="shared" si="3"/>
        <v>0.50000000000000011</v>
      </c>
      <c r="G97" s="2" t="s">
        <v>242</v>
      </c>
      <c r="H97" s="10">
        <v>1</v>
      </c>
      <c r="I97" s="5" t="s">
        <v>41</v>
      </c>
      <c r="J97" s="6">
        <v>100</v>
      </c>
      <c r="K97" s="7">
        <v>95</v>
      </c>
      <c r="L97" s="7">
        <v>90</v>
      </c>
      <c r="M97" s="7">
        <v>85</v>
      </c>
      <c r="N97" s="7">
        <v>80</v>
      </c>
      <c r="O97" s="7" t="s">
        <v>42</v>
      </c>
      <c r="P97" s="38"/>
      <c r="Q97" s="39">
        <f t="shared" si="0"/>
        <v>0</v>
      </c>
      <c r="R97" s="40">
        <f t="shared" si="1"/>
        <v>0</v>
      </c>
    </row>
    <row r="98" spans="1:18" s="41" customFormat="1" ht="147" customHeight="1" x14ac:dyDescent="0.25">
      <c r="A98" s="128"/>
      <c r="B98" s="137"/>
      <c r="C98" s="144"/>
      <c r="D98" s="138"/>
      <c r="E98" s="3">
        <v>0.5</v>
      </c>
      <c r="F98" s="3">
        <f t="shared" si="3"/>
        <v>0.50000000000000011</v>
      </c>
      <c r="G98" s="2" t="s">
        <v>243</v>
      </c>
      <c r="H98" s="10">
        <v>1</v>
      </c>
      <c r="I98" s="5" t="s">
        <v>41</v>
      </c>
      <c r="J98" s="6">
        <v>100</v>
      </c>
      <c r="K98" s="7">
        <v>95</v>
      </c>
      <c r="L98" s="7">
        <v>90</v>
      </c>
      <c r="M98" s="7">
        <v>85</v>
      </c>
      <c r="N98" s="7">
        <v>80</v>
      </c>
      <c r="O98" s="7" t="s">
        <v>42</v>
      </c>
      <c r="P98" s="38"/>
      <c r="Q98" s="39">
        <f t="shared" si="0"/>
        <v>0</v>
      </c>
      <c r="R98" s="40">
        <f t="shared" si="1"/>
        <v>0</v>
      </c>
    </row>
    <row r="99" spans="1:18" s="41" customFormat="1" ht="147" customHeight="1" x14ac:dyDescent="0.25">
      <c r="A99" s="128"/>
      <c r="B99" s="137"/>
      <c r="C99" s="144"/>
      <c r="D99" s="136" t="s">
        <v>244</v>
      </c>
      <c r="E99" s="3">
        <v>0.5</v>
      </c>
      <c r="F99" s="3">
        <f t="shared" si="3"/>
        <v>0.50000000000000011</v>
      </c>
      <c r="G99" s="2" t="s">
        <v>245</v>
      </c>
      <c r="H99" s="10">
        <v>0.8</v>
      </c>
      <c r="I99" s="1" t="s">
        <v>41</v>
      </c>
      <c r="J99" s="6" t="s">
        <v>63</v>
      </c>
      <c r="K99" s="7">
        <v>80</v>
      </c>
      <c r="L99" s="7">
        <v>75</v>
      </c>
      <c r="M99" s="7">
        <v>70</v>
      </c>
      <c r="N99" s="7">
        <v>50</v>
      </c>
      <c r="O99" s="7" t="s">
        <v>52</v>
      </c>
      <c r="P99" s="38"/>
      <c r="Q99" s="39">
        <f t="shared" si="0"/>
        <v>0</v>
      </c>
      <c r="R99" s="40">
        <f t="shared" si="1"/>
        <v>0</v>
      </c>
    </row>
    <row r="100" spans="1:18" s="41" customFormat="1" ht="147" customHeight="1" x14ac:dyDescent="0.25">
      <c r="A100" s="129"/>
      <c r="B100" s="138"/>
      <c r="C100" s="145"/>
      <c r="D100" s="138"/>
      <c r="E100" s="3">
        <v>0.5</v>
      </c>
      <c r="F100" s="3">
        <f t="shared" si="3"/>
        <v>0.50000000000000011</v>
      </c>
      <c r="G100" s="2" t="s">
        <v>246</v>
      </c>
      <c r="H100" s="4">
        <v>0.2</v>
      </c>
      <c r="I100" s="5" t="s">
        <v>41</v>
      </c>
      <c r="J100" s="6" t="s">
        <v>95</v>
      </c>
      <c r="K100" s="7">
        <v>20</v>
      </c>
      <c r="L100" s="7">
        <v>15</v>
      </c>
      <c r="M100" s="7">
        <v>10</v>
      </c>
      <c r="N100" s="7">
        <v>5</v>
      </c>
      <c r="O100" s="7" t="s">
        <v>86</v>
      </c>
      <c r="P100" s="38"/>
      <c r="Q100" s="39">
        <f t="shared" si="0"/>
        <v>0</v>
      </c>
      <c r="R100" s="40">
        <f t="shared" si="1"/>
        <v>0</v>
      </c>
    </row>
    <row r="101" spans="1:18" s="41" customFormat="1" ht="147" customHeight="1" x14ac:dyDescent="0.25">
      <c r="A101" s="127">
        <v>9</v>
      </c>
      <c r="B101" s="136" t="s">
        <v>247</v>
      </c>
      <c r="C101" s="143">
        <f>SUM(E101:E110)</f>
        <v>5</v>
      </c>
      <c r="D101" s="136" t="s">
        <v>293</v>
      </c>
      <c r="E101" s="3">
        <v>0.7</v>
      </c>
      <c r="F101" s="3">
        <f t="shared" si="3"/>
        <v>0.70000000000000007</v>
      </c>
      <c r="G101" s="2" t="s">
        <v>248</v>
      </c>
      <c r="H101" s="10">
        <v>0.8</v>
      </c>
      <c r="I101" s="1" t="s">
        <v>41</v>
      </c>
      <c r="J101" s="6" t="s">
        <v>63</v>
      </c>
      <c r="K101" s="7">
        <v>80</v>
      </c>
      <c r="L101" s="7">
        <v>75</v>
      </c>
      <c r="M101" s="7">
        <v>70</v>
      </c>
      <c r="N101" s="7">
        <v>50</v>
      </c>
      <c r="O101" s="7" t="s">
        <v>52</v>
      </c>
      <c r="P101" s="38"/>
      <c r="Q101" s="39">
        <f t="shared" ref="Q101:Q147" si="4">IF(OR(TRIM(P101)="",P101=0),0,
IF(P101&lt;N101,50,
IF(P101&lt;M101,60,
IF(P101&lt;L101,70,
IF(P101&lt;K101,80,
IF(ISNUMBER(J101),
    IF(P101&lt;J101,IF(P101&gt;=K101,90,80),100),
    IF(P101=K101,90,100)
))))))</f>
        <v>0</v>
      </c>
      <c r="R101" s="40">
        <f t="shared" ref="R101:R147" si="5">F101*Q101/100</f>
        <v>0</v>
      </c>
    </row>
    <row r="102" spans="1:18" s="41" customFormat="1" ht="147" customHeight="1" x14ac:dyDescent="0.25">
      <c r="A102" s="128"/>
      <c r="B102" s="137"/>
      <c r="C102" s="144"/>
      <c r="D102" s="138"/>
      <c r="E102" s="3">
        <v>0.3</v>
      </c>
      <c r="F102" s="3">
        <f t="shared" si="3"/>
        <v>0.30000000000000004</v>
      </c>
      <c r="G102" s="2" t="s">
        <v>249</v>
      </c>
      <c r="H102" s="10">
        <v>1</v>
      </c>
      <c r="I102" s="5" t="s">
        <v>41</v>
      </c>
      <c r="J102" s="6">
        <v>100</v>
      </c>
      <c r="K102" s="7">
        <v>95</v>
      </c>
      <c r="L102" s="7">
        <v>90</v>
      </c>
      <c r="M102" s="7">
        <v>85</v>
      </c>
      <c r="N102" s="7">
        <v>80</v>
      </c>
      <c r="O102" s="7" t="s">
        <v>42</v>
      </c>
      <c r="P102" s="38"/>
      <c r="Q102" s="39">
        <f t="shared" si="4"/>
        <v>0</v>
      </c>
      <c r="R102" s="40">
        <f t="shared" si="5"/>
        <v>0</v>
      </c>
    </row>
    <row r="103" spans="1:18" s="41" customFormat="1" ht="147" customHeight="1" x14ac:dyDescent="0.25">
      <c r="A103" s="128"/>
      <c r="B103" s="137"/>
      <c r="C103" s="144"/>
      <c r="D103" s="136" t="s">
        <v>250</v>
      </c>
      <c r="E103" s="3">
        <v>0.5</v>
      </c>
      <c r="F103" s="3">
        <f t="shared" si="3"/>
        <v>0.50000000000000011</v>
      </c>
      <c r="G103" s="2" t="s">
        <v>251</v>
      </c>
      <c r="H103" s="10">
        <v>1</v>
      </c>
      <c r="I103" s="5" t="s">
        <v>41</v>
      </c>
      <c r="J103" s="6">
        <v>100</v>
      </c>
      <c r="K103" s="7">
        <v>95</v>
      </c>
      <c r="L103" s="7">
        <v>90</v>
      </c>
      <c r="M103" s="7">
        <v>85</v>
      </c>
      <c r="N103" s="7">
        <v>80</v>
      </c>
      <c r="O103" s="7" t="s">
        <v>42</v>
      </c>
      <c r="P103" s="38"/>
      <c r="Q103" s="39">
        <f t="shared" si="4"/>
        <v>0</v>
      </c>
      <c r="R103" s="40">
        <f t="shared" si="5"/>
        <v>0</v>
      </c>
    </row>
    <row r="104" spans="1:18" s="41" customFormat="1" ht="147" customHeight="1" x14ac:dyDescent="0.25">
      <c r="A104" s="128"/>
      <c r="B104" s="137"/>
      <c r="C104" s="144"/>
      <c r="D104" s="138"/>
      <c r="E104" s="3">
        <v>0.5</v>
      </c>
      <c r="F104" s="3">
        <f t="shared" si="3"/>
        <v>0.50000000000000011</v>
      </c>
      <c r="G104" s="2" t="s">
        <v>252</v>
      </c>
      <c r="H104" s="10">
        <v>0.8</v>
      </c>
      <c r="I104" s="1" t="s">
        <v>41</v>
      </c>
      <c r="J104" s="6" t="s">
        <v>63</v>
      </c>
      <c r="K104" s="7">
        <v>80</v>
      </c>
      <c r="L104" s="7">
        <v>75</v>
      </c>
      <c r="M104" s="7">
        <v>70</v>
      </c>
      <c r="N104" s="7">
        <v>50</v>
      </c>
      <c r="O104" s="7" t="s">
        <v>52</v>
      </c>
      <c r="P104" s="38"/>
      <c r="Q104" s="39">
        <f t="shared" si="4"/>
        <v>0</v>
      </c>
      <c r="R104" s="40">
        <f t="shared" si="5"/>
        <v>0</v>
      </c>
    </row>
    <row r="105" spans="1:18" s="41" customFormat="1" ht="147" customHeight="1" x14ac:dyDescent="0.25">
      <c r="A105" s="128"/>
      <c r="B105" s="137"/>
      <c r="C105" s="144"/>
      <c r="D105" s="136" t="s">
        <v>253</v>
      </c>
      <c r="E105" s="3">
        <v>0.5</v>
      </c>
      <c r="F105" s="3">
        <f t="shared" si="3"/>
        <v>0.50000000000000011</v>
      </c>
      <c r="G105" s="2" t="s">
        <v>254</v>
      </c>
      <c r="H105" s="1">
        <v>10</v>
      </c>
      <c r="I105" s="5" t="s">
        <v>55</v>
      </c>
      <c r="J105" s="6" t="s">
        <v>85</v>
      </c>
      <c r="K105" s="7">
        <v>10</v>
      </c>
      <c r="L105" s="7">
        <v>8</v>
      </c>
      <c r="M105" s="7">
        <v>6</v>
      </c>
      <c r="N105" s="7">
        <v>5</v>
      </c>
      <c r="O105" s="7" t="s">
        <v>86</v>
      </c>
      <c r="P105" s="38"/>
      <c r="Q105" s="39">
        <f t="shared" si="4"/>
        <v>0</v>
      </c>
      <c r="R105" s="40">
        <f t="shared" si="5"/>
        <v>0</v>
      </c>
    </row>
    <row r="106" spans="1:18" s="41" customFormat="1" ht="147" customHeight="1" x14ac:dyDescent="0.25">
      <c r="A106" s="128"/>
      <c r="B106" s="137"/>
      <c r="C106" s="144"/>
      <c r="D106" s="138"/>
      <c r="E106" s="3">
        <v>0.5</v>
      </c>
      <c r="F106" s="3">
        <f t="shared" si="3"/>
        <v>0.50000000000000011</v>
      </c>
      <c r="G106" s="2" t="s">
        <v>255</v>
      </c>
      <c r="H106" s="10">
        <v>0.8</v>
      </c>
      <c r="I106" s="1" t="s">
        <v>41</v>
      </c>
      <c r="J106" s="6" t="s">
        <v>63</v>
      </c>
      <c r="K106" s="7">
        <v>80</v>
      </c>
      <c r="L106" s="7">
        <v>75</v>
      </c>
      <c r="M106" s="7">
        <v>70</v>
      </c>
      <c r="N106" s="7">
        <v>50</v>
      </c>
      <c r="O106" s="7" t="s">
        <v>52</v>
      </c>
      <c r="P106" s="38"/>
      <c r="Q106" s="39">
        <f t="shared" si="4"/>
        <v>0</v>
      </c>
      <c r="R106" s="40">
        <f t="shared" si="5"/>
        <v>0</v>
      </c>
    </row>
    <row r="107" spans="1:18" s="41" customFormat="1" ht="147" customHeight="1" x14ac:dyDescent="0.25">
      <c r="A107" s="128"/>
      <c r="B107" s="137"/>
      <c r="C107" s="144"/>
      <c r="D107" s="136" t="s">
        <v>256</v>
      </c>
      <c r="E107" s="3">
        <v>0.5</v>
      </c>
      <c r="F107" s="3">
        <f t="shared" si="3"/>
        <v>0.50000000000000011</v>
      </c>
      <c r="G107" s="2" t="s">
        <v>257</v>
      </c>
      <c r="H107" s="1">
        <v>5</v>
      </c>
      <c r="I107" s="5" t="s">
        <v>55</v>
      </c>
      <c r="J107" s="6" t="s">
        <v>83</v>
      </c>
      <c r="K107" s="7">
        <v>5</v>
      </c>
      <c r="L107" s="7">
        <v>4</v>
      </c>
      <c r="M107" s="7">
        <v>3</v>
      </c>
      <c r="N107" s="7">
        <v>2</v>
      </c>
      <c r="O107" s="7">
        <v>1</v>
      </c>
      <c r="P107" s="38"/>
      <c r="Q107" s="39">
        <f t="shared" si="4"/>
        <v>0</v>
      </c>
      <c r="R107" s="40">
        <f t="shared" si="5"/>
        <v>0</v>
      </c>
    </row>
    <row r="108" spans="1:18" s="41" customFormat="1" ht="147" customHeight="1" x14ac:dyDescent="0.25">
      <c r="A108" s="128"/>
      <c r="B108" s="137"/>
      <c r="C108" s="144"/>
      <c r="D108" s="138"/>
      <c r="E108" s="3">
        <v>0.5</v>
      </c>
      <c r="F108" s="3">
        <f t="shared" si="3"/>
        <v>0.50000000000000011</v>
      </c>
      <c r="G108" s="2" t="s">
        <v>258</v>
      </c>
      <c r="H108" s="1">
        <v>10</v>
      </c>
      <c r="I108" s="5" t="s">
        <v>55</v>
      </c>
      <c r="J108" s="6" t="s">
        <v>85</v>
      </c>
      <c r="K108" s="7">
        <v>10</v>
      </c>
      <c r="L108" s="7">
        <v>8</v>
      </c>
      <c r="M108" s="7">
        <v>6</v>
      </c>
      <c r="N108" s="7">
        <v>5</v>
      </c>
      <c r="O108" s="7" t="s">
        <v>86</v>
      </c>
      <c r="P108" s="38"/>
      <c r="Q108" s="39">
        <f t="shared" si="4"/>
        <v>0</v>
      </c>
      <c r="R108" s="40">
        <f t="shared" si="5"/>
        <v>0</v>
      </c>
    </row>
    <row r="109" spans="1:18" s="41" customFormat="1" ht="147" customHeight="1" x14ac:dyDescent="0.25">
      <c r="A109" s="128"/>
      <c r="B109" s="137"/>
      <c r="C109" s="144"/>
      <c r="D109" s="136" t="s">
        <v>259</v>
      </c>
      <c r="E109" s="3">
        <v>0.8</v>
      </c>
      <c r="F109" s="3">
        <f t="shared" si="3"/>
        <v>0.80000000000000016</v>
      </c>
      <c r="G109" s="2" t="s">
        <v>260</v>
      </c>
      <c r="H109" s="10">
        <v>0.8</v>
      </c>
      <c r="I109" s="1" t="s">
        <v>41</v>
      </c>
      <c r="J109" s="6" t="s">
        <v>63</v>
      </c>
      <c r="K109" s="7">
        <v>80</v>
      </c>
      <c r="L109" s="7">
        <v>75</v>
      </c>
      <c r="M109" s="7">
        <v>70</v>
      </c>
      <c r="N109" s="7">
        <v>50</v>
      </c>
      <c r="O109" s="7" t="s">
        <v>52</v>
      </c>
      <c r="P109" s="38"/>
      <c r="Q109" s="39">
        <f t="shared" si="4"/>
        <v>0</v>
      </c>
      <c r="R109" s="40">
        <f t="shared" si="5"/>
        <v>0</v>
      </c>
    </row>
    <row r="110" spans="1:18" s="41" customFormat="1" ht="147" customHeight="1" x14ac:dyDescent="0.25">
      <c r="A110" s="129"/>
      <c r="B110" s="138"/>
      <c r="C110" s="145"/>
      <c r="D110" s="138"/>
      <c r="E110" s="12">
        <v>0.2</v>
      </c>
      <c r="F110" s="3">
        <f t="shared" si="3"/>
        <v>0.20000000000000004</v>
      </c>
      <c r="G110" s="14" t="s">
        <v>261</v>
      </c>
      <c r="H110" s="10">
        <v>0.2</v>
      </c>
      <c r="I110" s="5" t="s">
        <v>41</v>
      </c>
      <c r="J110" s="6" t="s">
        <v>95</v>
      </c>
      <c r="K110" s="7">
        <v>20</v>
      </c>
      <c r="L110" s="7">
        <v>15</v>
      </c>
      <c r="M110" s="7">
        <v>10</v>
      </c>
      <c r="N110" s="7">
        <v>5</v>
      </c>
      <c r="O110" s="7" t="s">
        <v>86</v>
      </c>
      <c r="P110" s="38"/>
      <c r="Q110" s="39">
        <f t="shared" si="4"/>
        <v>0</v>
      </c>
      <c r="R110" s="40">
        <f t="shared" si="5"/>
        <v>0</v>
      </c>
    </row>
    <row r="111" spans="1:18" s="41" customFormat="1" ht="147" customHeight="1" x14ac:dyDescent="0.25">
      <c r="A111" s="127">
        <v>10</v>
      </c>
      <c r="B111" s="136" t="s">
        <v>262</v>
      </c>
      <c r="C111" s="143">
        <v>7</v>
      </c>
      <c r="D111" s="136" t="s">
        <v>263</v>
      </c>
      <c r="E111" s="3">
        <v>1.5</v>
      </c>
      <c r="F111" s="3">
        <f t="shared" si="3"/>
        <v>1.5000000000000002</v>
      </c>
      <c r="G111" s="2" t="s">
        <v>264</v>
      </c>
      <c r="H111" s="1">
        <v>20</v>
      </c>
      <c r="I111" s="6" t="s">
        <v>55</v>
      </c>
      <c r="J111" s="6" t="s">
        <v>95</v>
      </c>
      <c r="K111" s="7">
        <v>20</v>
      </c>
      <c r="L111" s="7">
        <v>15</v>
      </c>
      <c r="M111" s="7">
        <v>10</v>
      </c>
      <c r="N111" s="7">
        <v>5</v>
      </c>
      <c r="O111" s="7" t="s">
        <v>86</v>
      </c>
      <c r="P111" s="38"/>
      <c r="Q111" s="39">
        <f t="shared" si="4"/>
        <v>0</v>
      </c>
      <c r="R111" s="40">
        <f t="shared" si="5"/>
        <v>0</v>
      </c>
    </row>
    <row r="112" spans="1:18" s="41" customFormat="1" ht="147" customHeight="1" x14ac:dyDescent="0.25">
      <c r="A112" s="128"/>
      <c r="B112" s="137"/>
      <c r="C112" s="144"/>
      <c r="D112" s="138"/>
      <c r="E112" s="3">
        <v>1</v>
      </c>
      <c r="F112" s="3">
        <f t="shared" si="3"/>
        <v>1.0000000000000002</v>
      </c>
      <c r="G112" s="2" t="s">
        <v>265</v>
      </c>
      <c r="H112" s="1">
        <v>5</v>
      </c>
      <c r="I112" s="5" t="s">
        <v>55</v>
      </c>
      <c r="J112" s="6" t="s">
        <v>83</v>
      </c>
      <c r="K112" s="7">
        <v>5</v>
      </c>
      <c r="L112" s="7">
        <v>4</v>
      </c>
      <c r="M112" s="7">
        <v>3</v>
      </c>
      <c r="N112" s="7">
        <v>2</v>
      </c>
      <c r="O112" s="7">
        <v>1</v>
      </c>
      <c r="P112" s="38"/>
      <c r="Q112" s="39">
        <f t="shared" si="4"/>
        <v>0</v>
      </c>
      <c r="R112" s="40">
        <f t="shared" si="5"/>
        <v>0</v>
      </c>
    </row>
    <row r="113" spans="1:18" s="41" customFormat="1" ht="147" customHeight="1" x14ac:dyDescent="0.25">
      <c r="A113" s="128"/>
      <c r="B113" s="137"/>
      <c r="C113" s="144"/>
      <c r="D113" s="130" t="s">
        <v>266</v>
      </c>
      <c r="E113" s="3">
        <v>0.5</v>
      </c>
      <c r="F113" s="3">
        <f t="shared" si="3"/>
        <v>0.50000000000000011</v>
      </c>
      <c r="G113" s="2" t="s">
        <v>267</v>
      </c>
      <c r="H113" s="10">
        <v>0.2</v>
      </c>
      <c r="I113" s="5" t="s">
        <v>41</v>
      </c>
      <c r="J113" s="6" t="s">
        <v>95</v>
      </c>
      <c r="K113" s="7">
        <v>20</v>
      </c>
      <c r="L113" s="7">
        <v>15</v>
      </c>
      <c r="M113" s="7">
        <v>10</v>
      </c>
      <c r="N113" s="7">
        <v>5</v>
      </c>
      <c r="O113" s="7" t="s">
        <v>86</v>
      </c>
      <c r="P113" s="38"/>
      <c r="Q113" s="39">
        <f t="shared" si="4"/>
        <v>0</v>
      </c>
      <c r="R113" s="40">
        <f t="shared" si="5"/>
        <v>0</v>
      </c>
    </row>
    <row r="114" spans="1:18" s="41" customFormat="1" ht="147" customHeight="1" x14ac:dyDescent="0.25">
      <c r="A114" s="128"/>
      <c r="B114" s="137"/>
      <c r="C114" s="144"/>
      <c r="D114" s="132"/>
      <c r="E114" s="3">
        <v>0.5</v>
      </c>
      <c r="F114" s="3">
        <f t="shared" si="3"/>
        <v>0.50000000000000011</v>
      </c>
      <c r="G114" s="2" t="s">
        <v>268</v>
      </c>
      <c r="H114" s="1">
        <v>20</v>
      </c>
      <c r="I114" s="5" t="s">
        <v>55</v>
      </c>
      <c r="J114" s="6" t="s">
        <v>95</v>
      </c>
      <c r="K114" s="7">
        <v>20</v>
      </c>
      <c r="L114" s="7">
        <v>15</v>
      </c>
      <c r="M114" s="7">
        <v>10</v>
      </c>
      <c r="N114" s="7">
        <v>5</v>
      </c>
      <c r="O114" s="7" t="s">
        <v>86</v>
      </c>
      <c r="P114" s="38"/>
      <c r="Q114" s="39">
        <f t="shared" si="4"/>
        <v>0</v>
      </c>
      <c r="R114" s="40">
        <f t="shared" si="5"/>
        <v>0</v>
      </c>
    </row>
    <row r="115" spans="1:18" s="41" customFormat="1" ht="147" customHeight="1" x14ac:dyDescent="0.25">
      <c r="A115" s="128"/>
      <c r="B115" s="137"/>
      <c r="C115" s="144"/>
      <c r="D115" s="136" t="s">
        <v>269</v>
      </c>
      <c r="E115" s="3">
        <v>0.5</v>
      </c>
      <c r="F115" s="3">
        <f t="shared" si="3"/>
        <v>0.50000000000000011</v>
      </c>
      <c r="G115" s="2" t="s">
        <v>270</v>
      </c>
      <c r="H115" s="1">
        <v>5</v>
      </c>
      <c r="I115" s="5" t="s">
        <v>55</v>
      </c>
      <c r="J115" s="6" t="s">
        <v>83</v>
      </c>
      <c r="K115" s="7">
        <v>5</v>
      </c>
      <c r="L115" s="7">
        <v>4</v>
      </c>
      <c r="M115" s="7">
        <v>3</v>
      </c>
      <c r="N115" s="7">
        <v>2</v>
      </c>
      <c r="O115" s="7">
        <v>1</v>
      </c>
      <c r="P115" s="38"/>
      <c r="Q115" s="39">
        <f t="shared" si="4"/>
        <v>0</v>
      </c>
      <c r="R115" s="40">
        <f t="shared" si="5"/>
        <v>0</v>
      </c>
    </row>
    <row r="116" spans="1:18" s="41" customFormat="1" ht="147" customHeight="1" x14ac:dyDescent="0.25">
      <c r="A116" s="128"/>
      <c r="B116" s="137"/>
      <c r="C116" s="144"/>
      <c r="D116" s="138"/>
      <c r="E116" s="3">
        <v>0.5</v>
      </c>
      <c r="F116" s="3">
        <f t="shared" si="3"/>
        <v>0.50000000000000011</v>
      </c>
      <c r="G116" s="2" t="s">
        <v>271</v>
      </c>
      <c r="H116" s="10">
        <v>1</v>
      </c>
      <c r="I116" s="5" t="s">
        <v>41</v>
      </c>
      <c r="J116" s="6">
        <v>100</v>
      </c>
      <c r="K116" s="7">
        <v>95</v>
      </c>
      <c r="L116" s="7">
        <v>90</v>
      </c>
      <c r="M116" s="7">
        <v>85</v>
      </c>
      <c r="N116" s="7">
        <v>80</v>
      </c>
      <c r="O116" s="7" t="s">
        <v>42</v>
      </c>
      <c r="P116" s="38"/>
      <c r="Q116" s="39">
        <f t="shared" si="4"/>
        <v>0</v>
      </c>
      <c r="R116" s="40">
        <f t="shared" si="5"/>
        <v>0</v>
      </c>
    </row>
    <row r="117" spans="1:18" s="41" customFormat="1" ht="147" customHeight="1" x14ac:dyDescent="0.25">
      <c r="A117" s="128"/>
      <c r="B117" s="137"/>
      <c r="C117" s="144"/>
      <c r="D117" s="130" t="s">
        <v>272</v>
      </c>
      <c r="E117" s="3">
        <v>1</v>
      </c>
      <c r="F117" s="3">
        <f t="shared" si="3"/>
        <v>1.0000000000000002</v>
      </c>
      <c r="G117" s="2" t="s">
        <v>273</v>
      </c>
      <c r="H117" s="10">
        <v>1</v>
      </c>
      <c r="I117" s="5" t="s">
        <v>41</v>
      </c>
      <c r="J117" s="6">
        <v>100</v>
      </c>
      <c r="K117" s="7">
        <v>95</v>
      </c>
      <c r="L117" s="7">
        <v>90</v>
      </c>
      <c r="M117" s="7">
        <v>85</v>
      </c>
      <c r="N117" s="7">
        <v>80</v>
      </c>
      <c r="O117" s="7" t="s">
        <v>42</v>
      </c>
      <c r="P117" s="38"/>
      <c r="Q117" s="39">
        <f t="shared" si="4"/>
        <v>0</v>
      </c>
      <c r="R117" s="40">
        <f t="shared" si="5"/>
        <v>0</v>
      </c>
    </row>
    <row r="118" spans="1:18" s="41" customFormat="1" ht="147" customHeight="1" x14ac:dyDescent="0.25">
      <c r="A118" s="128"/>
      <c r="B118" s="137"/>
      <c r="C118" s="144"/>
      <c r="D118" s="132"/>
      <c r="E118" s="3">
        <v>0.5</v>
      </c>
      <c r="F118" s="3">
        <f t="shared" si="3"/>
        <v>0.50000000000000011</v>
      </c>
      <c r="G118" s="2" t="s">
        <v>274</v>
      </c>
      <c r="H118" s="10">
        <v>0.8</v>
      </c>
      <c r="I118" s="1" t="s">
        <v>41</v>
      </c>
      <c r="J118" s="6" t="s">
        <v>63</v>
      </c>
      <c r="K118" s="7">
        <v>80</v>
      </c>
      <c r="L118" s="7">
        <v>75</v>
      </c>
      <c r="M118" s="7">
        <v>70</v>
      </c>
      <c r="N118" s="7">
        <v>50</v>
      </c>
      <c r="O118" s="7" t="s">
        <v>52</v>
      </c>
      <c r="P118" s="38"/>
      <c r="Q118" s="39">
        <f t="shared" si="4"/>
        <v>0</v>
      </c>
      <c r="R118" s="40">
        <f t="shared" si="5"/>
        <v>0</v>
      </c>
    </row>
    <row r="119" spans="1:18" s="41" customFormat="1" ht="147" customHeight="1" x14ac:dyDescent="0.25">
      <c r="A119" s="128"/>
      <c r="B119" s="137"/>
      <c r="C119" s="144"/>
      <c r="D119" s="130" t="s">
        <v>275</v>
      </c>
      <c r="E119" s="3">
        <v>0.5</v>
      </c>
      <c r="F119" s="3">
        <f t="shared" si="3"/>
        <v>0.50000000000000011</v>
      </c>
      <c r="G119" s="2" t="s">
        <v>276</v>
      </c>
      <c r="H119" s="10">
        <v>0.8</v>
      </c>
      <c r="I119" s="1" t="s">
        <v>41</v>
      </c>
      <c r="J119" s="6" t="s">
        <v>63</v>
      </c>
      <c r="K119" s="7">
        <v>80</v>
      </c>
      <c r="L119" s="7">
        <v>75</v>
      </c>
      <c r="M119" s="7">
        <v>70</v>
      </c>
      <c r="N119" s="7">
        <v>50</v>
      </c>
      <c r="O119" s="7" t="s">
        <v>52</v>
      </c>
      <c r="P119" s="38"/>
      <c r="Q119" s="39">
        <f t="shared" si="4"/>
        <v>0</v>
      </c>
      <c r="R119" s="40">
        <f t="shared" si="5"/>
        <v>0</v>
      </c>
    </row>
    <row r="120" spans="1:18" s="41" customFormat="1" ht="147" customHeight="1" x14ac:dyDescent="0.25">
      <c r="A120" s="129"/>
      <c r="B120" s="138"/>
      <c r="C120" s="145"/>
      <c r="D120" s="132"/>
      <c r="E120" s="13">
        <v>0.5</v>
      </c>
      <c r="F120" s="3">
        <f t="shared" si="3"/>
        <v>0.50000000000000011</v>
      </c>
      <c r="G120" s="15" t="s">
        <v>277</v>
      </c>
      <c r="H120" s="10">
        <v>0.3</v>
      </c>
      <c r="I120" s="1" t="s">
        <v>41</v>
      </c>
      <c r="J120" s="6" t="s">
        <v>156</v>
      </c>
      <c r="K120" s="7">
        <v>30</v>
      </c>
      <c r="L120" s="7">
        <v>25</v>
      </c>
      <c r="M120" s="7">
        <v>20</v>
      </c>
      <c r="N120" s="7">
        <v>10</v>
      </c>
      <c r="O120" s="7" t="s">
        <v>278</v>
      </c>
      <c r="P120" s="38"/>
      <c r="Q120" s="39">
        <f t="shared" si="4"/>
        <v>0</v>
      </c>
      <c r="R120" s="40">
        <f t="shared" si="5"/>
        <v>0</v>
      </c>
    </row>
    <row r="121" spans="1:18" s="41" customFormat="1" ht="147" customHeight="1" x14ac:dyDescent="0.25">
      <c r="A121" s="139">
        <v>11</v>
      </c>
      <c r="B121" s="140" t="s">
        <v>279</v>
      </c>
      <c r="C121" s="142">
        <f>SUM(E121:E128)</f>
        <v>3</v>
      </c>
      <c r="D121" s="136" t="s">
        <v>280</v>
      </c>
      <c r="E121" s="3">
        <v>0.5</v>
      </c>
      <c r="F121" s="3">
        <f t="shared" si="3"/>
        <v>0.50000000000000011</v>
      </c>
      <c r="G121" s="2" t="s">
        <v>281</v>
      </c>
      <c r="H121" s="10">
        <v>1</v>
      </c>
      <c r="I121" s="5" t="s">
        <v>41</v>
      </c>
      <c r="J121" s="6">
        <v>100</v>
      </c>
      <c r="K121" s="7">
        <v>95</v>
      </c>
      <c r="L121" s="7">
        <v>90</v>
      </c>
      <c r="M121" s="7">
        <v>85</v>
      </c>
      <c r="N121" s="7">
        <v>80</v>
      </c>
      <c r="O121" s="7" t="s">
        <v>42</v>
      </c>
      <c r="P121" s="38"/>
      <c r="Q121" s="39">
        <f t="shared" si="4"/>
        <v>0</v>
      </c>
      <c r="R121" s="40">
        <f t="shared" si="5"/>
        <v>0</v>
      </c>
    </row>
    <row r="122" spans="1:18" s="41" customFormat="1" ht="147" customHeight="1" x14ac:dyDescent="0.25">
      <c r="A122" s="139"/>
      <c r="B122" s="140"/>
      <c r="C122" s="142"/>
      <c r="D122" s="138"/>
      <c r="E122" s="3">
        <v>0.5</v>
      </c>
      <c r="F122" s="3">
        <f t="shared" si="3"/>
        <v>0.50000000000000011</v>
      </c>
      <c r="G122" s="2" t="s">
        <v>282</v>
      </c>
      <c r="H122" s="10">
        <v>1</v>
      </c>
      <c r="I122" s="5" t="s">
        <v>41</v>
      </c>
      <c r="J122" s="6">
        <v>100</v>
      </c>
      <c r="K122" s="7">
        <v>95</v>
      </c>
      <c r="L122" s="7">
        <v>90</v>
      </c>
      <c r="M122" s="7">
        <v>85</v>
      </c>
      <c r="N122" s="7">
        <v>80</v>
      </c>
      <c r="O122" s="7" t="s">
        <v>42</v>
      </c>
      <c r="P122" s="38"/>
      <c r="Q122" s="39">
        <f t="shared" si="4"/>
        <v>0</v>
      </c>
      <c r="R122" s="40">
        <f t="shared" si="5"/>
        <v>0</v>
      </c>
    </row>
    <row r="123" spans="1:18" s="41" customFormat="1" ht="147" customHeight="1" x14ac:dyDescent="0.25">
      <c r="A123" s="139"/>
      <c r="B123" s="140"/>
      <c r="C123" s="142"/>
      <c r="D123" s="136" t="s">
        <v>283</v>
      </c>
      <c r="E123" s="3">
        <v>0.35</v>
      </c>
      <c r="F123" s="3">
        <f t="shared" si="3"/>
        <v>0.35000000000000003</v>
      </c>
      <c r="G123" s="2" t="s">
        <v>284</v>
      </c>
      <c r="H123" s="10">
        <v>1</v>
      </c>
      <c r="I123" s="5" t="s">
        <v>41</v>
      </c>
      <c r="J123" s="6">
        <v>100</v>
      </c>
      <c r="K123" s="7">
        <v>95</v>
      </c>
      <c r="L123" s="7">
        <v>90</v>
      </c>
      <c r="M123" s="7">
        <v>85</v>
      </c>
      <c r="N123" s="7">
        <v>80</v>
      </c>
      <c r="O123" s="7" t="s">
        <v>42</v>
      </c>
      <c r="P123" s="38"/>
      <c r="Q123" s="39">
        <f t="shared" si="4"/>
        <v>0</v>
      </c>
      <c r="R123" s="40">
        <f t="shared" si="5"/>
        <v>0</v>
      </c>
    </row>
    <row r="124" spans="1:18" s="41" customFormat="1" ht="147" customHeight="1" x14ac:dyDescent="0.25">
      <c r="A124" s="139"/>
      <c r="B124" s="140"/>
      <c r="C124" s="142"/>
      <c r="D124" s="138"/>
      <c r="E124" s="3">
        <v>0.35</v>
      </c>
      <c r="F124" s="3">
        <f t="shared" si="3"/>
        <v>0.35000000000000003</v>
      </c>
      <c r="G124" s="2" t="s">
        <v>285</v>
      </c>
      <c r="H124" s="10">
        <v>1</v>
      </c>
      <c r="I124" s="5" t="s">
        <v>41</v>
      </c>
      <c r="J124" s="6">
        <v>100</v>
      </c>
      <c r="K124" s="7">
        <v>95</v>
      </c>
      <c r="L124" s="7">
        <v>90</v>
      </c>
      <c r="M124" s="7">
        <v>85</v>
      </c>
      <c r="N124" s="7">
        <v>80</v>
      </c>
      <c r="O124" s="7" t="s">
        <v>42</v>
      </c>
      <c r="P124" s="38"/>
      <c r="Q124" s="39">
        <f t="shared" si="4"/>
        <v>0</v>
      </c>
      <c r="R124" s="40">
        <f t="shared" si="5"/>
        <v>0</v>
      </c>
    </row>
    <row r="125" spans="1:18" s="41" customFormat="1" ht="147" customHeight="1" x14ac:dyDescent="0.25">
      <c r="A125" s="139"/>
      <c r="B125" s="140"/>
      <c r="C125" s="142"/>
      <c r="D125" s="140" t="s">
        <v>286</v>
      </c>
      <c r="E125" s="3">
        <v>0.2</v>
      </c>
      <c r="F125" s="3">
        <f t="shared" si="3"/>
        <v>0.20000000000000004</v>
      </c>
      <c r="G125" s="2" t="s">
        <v>287</v>
      </c>
      <c r="H125" s="10">
        <v>1</v>
      </c>
      <c r="I125" s="5" t="s">
        <v>41</v>
      </c>
      <c r="J125" s="6">
        <v>100</v>
      </c>
      <c r="K125" s="7">
        <v>95</v>
      </c>
      <c r="L125" s="7">
        <v>90</v>
      </c>
      <c r="M125" s="7">
        <v>85</v>
      </c>
      <c r="N125" s="7">
        <v>80</v>
      </c>
      <c r="O125" s="7" t="s">
        <v>42</v>
      </c>
      <c r="P125" s="38"/>
      <c r="Q125" s="39">
        <f t="shared" si="4"/>
        <v>0</v>
      </c>
      <c r="R125" s="40">
        <f t="shared" si="5"/>
        <v>0</v>
      </c>
    </row>
    <row r="126" spans="1:18" s="41" customFormat="1" ht="147" customHeight="1" x14ac:dyDescent="0.25">
      <c r="A126" s="139"/>
      <c r="B126" s="140"/>
      <c r="C126" s="142"/>
      <c r="D126" s="140"/>
      <c r="E126" s="3">
        <v>0.1</v>
      </c>
      <c r="F126" s="3">
        <f t="shared" si="3"/>
        <v>0.10000000000000002</v>
      </c>
      <c r="G126" s="2" t="s">
        <v>288</v>
      </c>
      <c r="H126" s="10">
        <v>1</v>
      </c>
      <c r="I126" s="5" t="s">
        <v>41</v>
      </c>
      <c r="J126" s="6">
        <v>100</v>
      </c>
      <c r="K126" s="7">
        <v>95</v>
      </c>
      <c r="L126" s="7">
        <v>90</v>
      </c>
      <c r="M126" s="7">
        <v>85</v>
      </c>
      <c r="N126" s="7">
        <v>80</v>
      </c>
      <c r="O126" s="7" t="s">
        <v>42</v>
      </c>
      <c r="P126" s="38"/>
      <c r="Q126" s="39">
        <f t="shared" si="4"/>
        <v>0</v>
      </c>
      <c r="R126" s="40">
        <f t="shared" si="5"/>
        <v>0</v>
      </c>
    </row>
    <row r="127" spans="1:18" s="41" customFormat="1" ht="147" customHeight="1" x14ac:dyDescent="0.25">
      <c r="A127" s="139"/>
      <c r="B127" s="140"/>
      <c r="C127" s="142"/>
      <c r="D127" s="8" t="s">
        <v>289</v>
      </c>
      <c r="E127" s="3">
        <v>0.5</v>
      </c>
      <c r="F127" s="3">
        <f t="shared" si="3"/>
        <v>0.50000000000000011</v>
      </c>
      <c r="G127" s="2" t="s">
        <v>290</v>
      </c>
      <c r="H127" s="10">
        <v>1</v>
      </c>
      <c r="I127" s="5" t="s">
        <v>41</v>
      </c>
      <c r="J127" s="6">
        <v>100</v>
      </c>
      <c r="K127" s="7">
        <v>95</v>
      </c>
      <c r="L127" s="7">
        <v>90</v>
      </c>
      <c r="M127" s="7">
        <v>85</v>
      </c>
      <c r="N127" s="7">
        <v>80</v>
      </c>
      <c r="O127" s="7" t="s">
        <v>42</v>
      </c>
      <c r="P127" s="38"/>
      <c r="Q127" s="39">
        <f t="shared" si="4"/>
        <v>0</v>
      </c>
      <c r="R127" s="40">
        <f t="shared" si="5"/>
        <v>0</v>
      </c>
    </row>
    <row r="128" spans="1:18" s="41" customFormat="1" ht="147" customHeight="1" x14ac:dyDescent="0.25">
      <c r="A128" s="139"/>
      <c r="B128" s="140"/>
      <c r="C128" s="142"/>
      <c r="D128" s="8" t="s">
        <v>291</v>
      </c>
      <c r="E128" s="12">
        <v>0.5</v>
      </c>
      <c r="F128" s="3">
        <f t="shared" si="3"/>
        <v>0.50000000000000011</v>
      </c>
      <c r="G128" s="14" t="s">
        <v>292</v>
      </c>
      <c r="H128" s="10">
        <v>1</v>
      </c>
      <c r="I128" s="5" t="s">
        <v>41</v>
      </c>
      <c r="J128" s="6">
        <v>100</v>
      </c>
      <c r="K128" s="7">
        <v>95</v>
      </c>
      <c r="L128" s="7">
        <v>90</v>
      </c>
      <c r="M128" s="7">
        <v>85</v>
      </c>
      <c r="N128" s="7">
        <v>80</v>
      </c>
      <c r="O128" s="7" t="s">
        <v>42</v>
      </c>
      <c r="P128" s="38"/>
      <c r="Q128" s="39">
        <f t="shared" si="4"/>
        <v>0</v>
      </c>
      <c r="R128" s="40">
        <f t="shared" si="5"/>
        <v>0</v>
      </c>
    </row>
    <row r="129" spans="1:18" s="41" customFormat="1" ht="147" customHeight="1" x14ac:dyDescent="0.25">
      <c r="A129" s="139">
        <v>12</v>
      </c>
      <c r="B129" s="140" t="s">
        <v>80</v>
      </c>
      <c r="C129" s="141">
        <f>SUM(E129:E131)</f>
        <v>5</v>
      </c>
      <c r="D129" s="140" t="s">
        <v>81</v>
      </c>
      <c r="E129" s="3">
        <v>2</v>
      </c>
      <c r="F129" s="3">
        <f t="shared" si="3"/>
        <v>2.0000000000000004</v>
      </c>
      <c r="G129" s="2" t="s">
        <v>82</v>
      </c>
      <c r="H129" s="1">
        <v>5</v>
      </c>
      <c r="I129" s="5" t="s">
        <v>55</v>
      </c>
      <c r="J129" s="6" t="s">
        <v>83</v>
      </c>
      <c r="K129" s="7">
        <v>5</v>
      </c>
      <c r="L129" s="7">
        <v>4</v>
      </c>
      <c r="M129" s="7">
        <v>3</v>
      </c>
      <c r="N129" s="7">
        <v>2</v>
      </c>
      <c r="O129" s="7">
        <v>1</v>
      </c>
      <c r="P129" s="38"/>
      <c r="Q129" s="39">
        <f t="shared" si="4"/>
        <v>0</v>
      </c>
      <c r="R129" s="40">
        <f t="shared" si="5"/>
        <v>0</v>
      </c>
    </row>
    <row r="130" spans="1:18" s="41" customFormat="1" ht="147" customHeight="1" x14ac:dyDescent="0.25">
      <c r="A130" s="139"/>
      <c r="B130" s="140"/>
      <c r="C130" s="141"/>
      <c r="D130" s="140"/>
      <c r="E130" s="3">
        <v>2</v>
      </c>
      <c r="F130" s="3">
        <f t="shared" si="3"/>
        <v>2.0000000000000004</v>
      </c>
      <c r="G130" s="2" t="s">
        <v>84</v>
      </c>
      <c r="H130" s="10">
        <v>0.1</v>
      </c>
      <c r="I130" s="1" t="s">
        <v>41</v>
      </c>
      <c r="J130" s="6" t="s">
        <v>85</v>
      </c>
      <c r="K130" s="7">
        <v>10</v>
      </c>
      <c r="L130" s="7">
        <v>7</v>
      </c>
      <c r="M130" s="7">
        <v>6</v>
      </c>
      <c r="N130" s="7">
        <v>5</v>
      </c>
      <c r="O130" s="7" t="s">
        <v>86</v>
      </c>
      <c r="P130" s="38"/>
      <c r="Q130" s="39">
        <f t="shared" si="4"/>
        <v>0</v>
      </c>
      <c r="R130" s="40">
        <f t="shared" si="5"/>
        <v>0</v>
      </c>
    </row>
    <row r="131" spans="1:18" s="41" customFormat="1" ht="147" customHeight="1" x14ac:dyDescent="0.25">
      <c r="A131" s="139"/>
      <c r="B131" s="140"/>
      <c r="C131" s="141"/>
      <c r="D131" s="140"/>
      <c r="E131" s="3">
        <v>1</v>
      </c>
      <c r="F131" s="3">
        <f t="shared" si="3"/>
        <v>1.0000000000000002</v>
      </c>
      <c r="G131" s="2" t="s">
        <v>87</v>
      </c>
      <c r="H131" s="1">
        <v>2</v>
      </c>
      <c r="I131" s="5" t="s">
        <v>55</v>
      </c>
      <c r="J131" s="6" t="s">
        <v>88</v>
      </c>
      <c r="K131" s="7">
        <v>2</v>
      </c>
      <c r="L131" s="7">
        <v>1</v>
      </c>
      <c r="M131" s="7">
        <v>0</v>
      </c>
      <c r="N131" s="7"/>
      <c r="O131" s="7"/>
      <c r="P131" s="38"/>
      <c r="Q131" s="39">
        <f t="shared" si="4"/>
        <v>0</v>
      </c>
      <c r="R131" s="40">
        <f t="shared" si="5"/>
        <v>0</v>
      </c>
    </row>
    <row r="132" spans="1:18" s="41" customFormat="1" ht="147" customHeight="1" x14ac:dyDescent="0.25">
      <c r="A132" s="139">
        <v>13</v>
      </c>
      <c r="B132" s="140" t="s">
        <v>295</v>
      </c>
      <c r="C132" s="141">
        <f>SUM(E132:E133)</f>
        <v>5</v>
      </c>
      <c r="D132" s="140" t="s">
        <v>294</v>
      </c>
      <c r="E132" s="3">
        <v>3</v>
      </c>
      <c r="F132" s="3">
        <f t="shared" si="3"/>
        <v>3.0000000000000004</v>
      </c>
      <c r="G132" s="2" t="s">
        <v>89</v>
      </c>
      <c r="H132" s="1">
        <v>5</v>
      </c>
      <c r="I132" s="1" t="s">
        <v>55</v>
      </c>
      <c r="J132" s="6" t="s">
        <v>83</v>
      </c>
      <c r="K132" s="7">
        <v>5</v>
      </c>
      <c r="L132" s="7">
        <v>4</v>
      </c>
      <c r="M132" s="7">
        <v>3</v>
      </c>
      <c r="N132" s="7">
        <v>2</v>
      </c>
      <c r="O132" s="7">
        <v>1</v>
      </c>
      <c r="P132" s="38"/>
      <c r="Q132" s="39">
        <f t="shared" si="4"/>
        <v>0</v>
      </c>
      <c r="R132" s="40">
        <f t="shared" si="5"/>
        <v>0</v>
      </c>
    </row>
    <row r="133" spans="1:18" s="41" customFormat="1" ht="147" customHeight="1" x14ac:dyDescent="0.25">
      <c r="A133" s="139"/>
      <c r="B133" s="140"/>
      <c r="C133" s="141"/>
      <c r="D133" s="140"/>
      <c r="E133" s="3">
        <v>2</v>
      </c>
      <c r="F133" s="3">
        <f t="shared" si="3"/>
        <v>2.0000000000000004</v>
      </c>
      <c r="G133" s="2" t="s">
        <v>90</v>
      </c>
      <c r="H133" s="1">
        <v>5</v>
      </c>
      <c r="I133" s="1" t="s">
        <v>55</v>
      </c>
      <c r="J133" s="6" t="s">
        <v>83</v>
      </c>
      <c r="K133" s="7">
        <v>5</v>
      </c>
      <c r="L133" s="7">
        <v>4</v>
      </c>
      <c r="M133" s="7">
        <v>3</v>
      </c>
      <c r="N133" s="7">
        <v>2</v>
      </c>
      <c r="O133" s="7">
        <v>1</v>
      </c>
      <c r="P133" s="38"/>
      <c r="Q133" s="39">
        <f t="shared" si="4"/>
        <v>0</v>
      </c>
      <c r="R133" s="40">
        <f t="shared" si="5"/>
        <v>0</v>
      </c>
    </row>
    <row r="134" spans="1:18" s="41" customFormat="1" ht="147" customHeight="1" x14ac:dyDescent="0.25">
      <c r="A134" s="127">
        <v>14</v>
      </c>
      <c r="B134" s="136" t="s">
        <v>91</v>
      </c>
      <c r="C134" s="133">
        <f>SUM(E134:E136)</f>
        <v>5</v>
      </c>
      <c r="D134" s="136" t="s">
        <v>92</v>
      </c>
      <c r="E134" s="3">
        <v>1</v>
      </c>
      <c r="F134" s="3">
        <f t="shared" si="3"/>
        <v>1.0000000000000002</v>
      </c>
      <c r="G134" s="2" t="s">
        <v>93</v>
      </c>
      <c r="H134" s="1">
        <v>5</v>
      </c>
      <c r="I134" s="1" t="s">
        <v>55</v>
      </c>
      <c r="J134" s="6" t="s">
        <v>83</v>
      </c>
      <c r="K134" s="7">
        <v>5</v>
      </c>
      <c r="L134" s="7">
        <v>4</v>
      </c>
      <c r="M134" s="7">
        <v>3</v>
      </c>
      <c r="N134" s="7">
        <v>2</v>
      </c>
      <c r="O134" s="7">
        <v>1</v>
      </c>
      <c r="P134" s="38"/>
      <c r="Q134" s="39">
        <f t="shared" si="4"/>
        <v>0</v>
      </c>
      <c r="R134" s="40">
        <f t="shared" si="5"/>
        <v>0</v>
      </c>
    </row>
    <row r="135" spans="1:18" s="41" customFormat="1" ht="147" customHeight="1" x14ac:dyDescent="0.25">
      <c r="A135" s="128"/>
      <c r="B135" s="137"/>
      <c r="C135" s="134"/>
      <c r="D135" s="137"/>
      <c r="E135" s="3">
        <v>2</v>
      </c>
      <c r="F135" s="3">
        <f t="shared" si="3"/>
        <v>2.0000000000000004</v>
      </c>
      <c r="G135" s="2" t="s">
        <v>94</v>
      </c>
      <c r="H135" s="10">
        <v>0.2</v>
      </c>
      <c r="I135" s="5" t="s">
        <v>41</v>
      </c>
      <c r="J135" s="6" t="s">
        <v>95</v>
      </c>
      <c r="K135" s="7">
        <v>20</v>
      </c>
      <c r="L135" s="7">
        <v>15</v>
      </c>
      <c r="M135" s="7">
        <v>10</v>
      </c>
      <c r="N135" s="7">
        <v>5</v>
      </c>
      <c r="O135" s="7" t="s">
        <v>86</v>
      </c>
      <c r="P135" s="38"/>
      <c r="Q135" s="39">
        <f t="shared" si="4"/>
        <v>0</v>
      </c>
      <c r="R135" s="40">
        <f t="shared" si="5"/>
        <v>0</v>
      </c>
    </row>
    <row r="136" spans="1:18" s="41" customFormat="1" ht="147" customHeight="1" x14ac:dyDescent="0.25">
      <c r="A136" s="129"/>
      <c r="B136" s="138"/>
      <c r="C136" s="135"/>
      <c r="D136" s="138"/>
      <c r="E136" s="3">
        <v>2</v>
      </c>
      <c r="F136" s="3">
        <f t="shared" si="3"/>
        <v>2.0000000000000004</v>
      </c>
      <c r="G136" s="2" t="s">
        <v>96</v>
      </c>
      <c r="H136" s="10">
        <v>0.8</v>
      </c>
      <c r="I136" s="1" t="s">
        <v>41</v>
      </c>
      <c r="J136" s="6" t="s">
        <v>63</v>
      </c>
      <c r="K136" s="7">
        <v>80</v>
      </c>
      <c r="L136" s="7">
        <v>75</v>
      </c>
      <c r="M136" s="7">
        <v>70</v>
      </c>
      <c r="N136" s="7">
        <v>50</v>
      </c>
      <c r="O136" s="7" t="s">
        <v>52</v>
      </c>
      <c r="P136" s="38"/>
      <c r="Q136" s="39">
        <f t="shared" si="4"/>
        <v>0</v>
      </c>
      <c r="R136" s="40">
        <f t="shared" si="5"/>
        <v>0</v>
      </c>
    </row>
    <row r="137" spans="1:18" s="41" customFormat="1" ht="147" customHeight="1" x14ac:dyDescent="0.25">
      <c r="A137" s="139">
        <v>15</v>
      </c>
      <c r="B137" s="140" t="s">
        <v>97</v>
      </c>
      <c r="C137" s="141">
        <f>SUM(E137:E138)</f>
        <v>5</v>
      </c>
      <c r="D137" s="140" t="s">
        <v>98</v>
      </c>
      <c r="E137" s="3">
        <v>3</v>
      </c>
      <c r="F137" s="3">
        <f t="shared" si="3"/>
        <v>3.0000000000000004</v>
      </c>
      <c r="G137" s="2" t="s">
        <v>99</v>
      </c>
      <c r="H137" s="10">
        <v>0.8</v>
      </c>
      <c r="I137" s="1" t="s">
        <v>41</v>
      </c>
      <c r="J137" s="6" t="s">
        <v>63</v>
      </c>
      <c r="K137" s="7">
        <v>80</v>
      </c>
      <c r="L137" s="7">
        <v>75</v>
      </c>
      <c r="M137" s="7">
        <v>70</v>
      </c>
      <c r="N137" s="7">
        <v>50</v>
      </c>
      <c r="O137" s="7" t="s">
        <v>52</v>
      </c>
      <c r="P137" s="38"/>
      <c r="Q137" s="39">
        <f t="shared" si="4"/>
        <v>0</v>
      </c>
      <c r="R137" s="40">
        <f t="shared" si="5"/>
        <v>0</v>
      </c>
    </row>
    <row r="138" spans="1:18" s="41" customFormat="1" ht="147" customHeight="1" x14ac:dyDescent="0.25">
      <c r="A138" s="139"/>
      <c r="B138" s="140"/>
      <c r="C138" s="141"/>
      <c r="D138" s="140"/>
      <c r="E138" s="3">
        <v>2</v>
      </c>
      <c r="F138" s="3">
        <f t="shared" si="3"/>
        <v>2.0000000000000004</v>
      </c>
      <c r="G138" s="2" t="s">
        <v>100</v>
      </c>
      <c r="H138" s="10">
        <v>0.8</v>
      </c>
      <c r="I138" s="1" t="s">
        <v>41</v>
      </c>
      <c r="J138" s="6" t="s">
        <v>63</v>
      </c>
      <c r="K138" s="7">
        <v>80</v>
      </c>
      <c r="L138" s="7">
        <v>75</v>
      </c>
      <c r="M138" s="7">
        <v>70</v>
      </c>
      <c r="N138" s="7">
        <v>50</v>
      </c>
      <c r="O138" s="7" t="s">
        <v>52</v>
      </c>
      <c r="P138" s="38"/>
      <c r="Q138" s="39">
        <f t="shared" si="4"/>
        <v>0</v>
      </c>
      <c r="R138" s="40">
        <f t="shared" si="5"/>
        <v>0</v>
      </c>
    </row>
    <row r="139" spans="1:18" s="41" customFormat="1" ht="147" customHeight="1" x14ac:dyDescent="0.25">
      <c r="A139" s="127">
        <v>16</v>
      </c>
      <c r="B139" s="130" t="s">
        <v>101</v>
      </c>
      <c r="C139" s="133">
        <v>7</v>
      </c>
      <c r="D139" s="136" t="s">
        <v>296</v>
      </c>
      <c r="E139" s="3">
        <v>2</v>
      </c>
      <c r="F139" s="3">
        <f t="shared" si="3"/>
        <v>2.0000000000000004</v>
      </c>
      <c r="G139" s="2" t="s">
        <v>102</v>
      </c>
      <c r="H139" s="10">
        <v>1</v>
      </c>
      <c r="I139" s="5" t="s">
        <v>41</v>
      </c>
      <c r="J139" s="6">
        <v>100</v>
      </c>
      <c r="K139" s="7">
        <v>95</v>
      </c>
      <c r="L139" s="7">
        <v>90</v>
      </c>
      <c r="M139" s="7">
        <v>85</v>
      </c>
      <c r="N139" s="7">
        <v>80</v>
      </c>
      <c r="O139" s="7" t="s">
        <v>42</v>
      </c>
      <c r="P139" s="38"/>
      <c r="Q139" s="39">
        <f t="shared" si="4"/>
        <v>0</v>
      </c>
      <c r="R139" s="40">
        <f t="shared" si="5"/>
        <v>0</v>
      </c>
    </row>
    <row r="140" spans="1:18" s="41" customFormat="1" ht="147" customHeight="1" x14ac:dyDescent="0.25">
      <c r="A140" s="128"/>
      <c r="B140" s="131"/>
      <c r="C140" s="134"/>
      <c r="D140" s="137"/>
      <c r="E140" s="3">
        <v>2</v>
      </c>
      <c r="F140" s="3">
        <f t="shared" si="3"/>
        <v>2.0000000000000004</v>
      </c>
      <c r="G140" s="2" t="s">
        <v>103</v>
      </c>
      <c r="H140" s="10">
        <v>1</v>
      </c>
      <c r="I140" s="5" t="s">
        <v>41</v>
      </c>
      <c r="J140" s="6">
        <v>100</v>
      </c>
      <c r="K140" s="7">
        <v>95</v>
      </c>
      <c r="L140" s="7">
        <v>90</v>
      </c>
      <c r="M140" s="7">
        <v>85</v>
      </c>
      <c r="N140" s="7">
        <v>80</v>
      </c>
      <c r="O140" s="7" t="s">
        <v>42</v>
      </c>
      <c r="P140" s="38"/>
      <c r="Q140" s="39">
        <f t="shared" si="4"/>
        <v>0</v>
      </c>
      <c r="R140" s="40">
        <f t="shared" si="5"/>
        <v>0</v>
      </c>
    </row>
    <row r="141" spans="1:18" s="41" customFormat="1" ht="147" customHeight="1" x14ac:dyDescent="0.25">
      <c r="A141" s="129"/>
      <c r="B141" s="132"/>
      <c r="C141" s="135"/>
      <c r="D141" s="138"/>
      <c r="E141" s="3">
        <v>3</v>
      </c>
      <c r="F141" s="3">
        <f t="shared" si="3"/>
        <v>3.0000000000000004</v>
      </c>
      <c r="G141" s="2" t="s">
        <v>102</v>
      </c>
      <c r="H141" s="10">
        <v>1</v>
      </c>
      <c r="I141" s="5" t="s">
        <v>41</v>
      </c>
      <c r="J141" s="6">
        <v>100</v>
      </c>
      <c r="K141" s="7">
        <v>95</v>
      </c>
      <c r="L141" s="7">
        <v>90</v>
      </c>
      <c r="M141" s="7">
        <v>85</v>
      </c>
      <c r="N141" s="7">
        <v>80</v>
      </c>
      <c r="O141" s="7" t="s">
        <v>42</v>
      </c>
      <c r="P141" s="38"/>
      <c r="Q141" s="39">
        <f t="shared" si="4"/>
        <v>0</v>
      </c>
      <c r="R141" s="40">
        <f t="shared" si="5"/>
        <v>0</v>
      </c>
    </row>
    <row r="142" spans="1:18" s="41" customFormat="1" ht="147" customHeight="1" x14ac:dyDescent="0.25">
      <c r="A142" s="139">
        <v>17</v>
      </c>
      <c r="B142" s="140" t="s">
        <v>104</v>
      </c>
      <c r="C142" s="141">
        <f>SUM(E142:E147)</f>
        <v>10</v>
      </c>
      <c r="D142" s="140" t="s">
        <v>105</v>
      </c>
      <c r="E142" s="3">
        <v>2</v>
      </c>
      <c r="F142" s="3">
        <f t="shared" si="3"/>
        <v>2.0000000000000004</v>
      </c>
      <c r="G142" s="2" t="s">
        <v>106</v>
      </c>
      <c r="H142" s="4">
        <v>0.8</v>
      </c>
      <c r="I142" s="1" t="s">
        <v>41</v>
      </c>
      <c r="J142" s="6" t="s">
        <v>63</v>
      </c>
      <c r="K142" s="7">
        <v>80</v>
      </c>
      <c r="L142" s="7">
        <v>75</v>
      </c>
      <c r="M142" s="7">
        <v>70</v>
      </c>
      <c r="N142" s="7">
        <v>50</v>
      </c>
      <c r="O142" s="7" t="s">
        <v>52</v>
      </c>
      <c r="P142" s="38"/>
      <c r="Q142" s="39">
        <f t="shared" si="4"/>
        <v>0</v>
      </c>
      <c r="R142" s="40">
        <f t="shared" si="5"/>
        <v>0</v>
      </c>
    </row>
    <row r="143" spans="1:18" s="41" customFormat="1" ht="147" customHeight="1" x14ac:dyDescent="0.25">
      <c r="A143" s="139"/>
      <c r="B143" s="140"/>
      <c r="C143" s="141"/>
      <c r="D143" s="140"/>
      <c r="E143" s="3">
        <v>1</v>
      </c>
      <c r="F143" s="3">
        <f t="shared" si="3"/>
        <v>1.0000000000000002</v>
      </c>
      <c r="G143" s="2" t="s">
        <v>107</v>
      </c>
      <c r="H143" s="4">
        <v>0.8</v>
      </c>
      <c r="I143" s="1" t="s">
        <v>41</v>
      </c>
      <c r="J143" s="6" t="s">
        <v>63</v>
      </c>
      <c r="K143" s="7">
        <v>80</v>
      </c>
      <c r="L143" s="7">
        <v>75</v>
      </c>
      <c r="M143" s="7">
        <v>70</v>
      </c>
      <c r="N143" s="7">
        <v>50</v>
      </c>
      <c r="O143" s="7" t="s">
        <v>52</v>
      </c>
      <c r="P143" s="38"/>
      <c r="Q143" s="39">
        <f t="shared" si="4"/>
        <v>0</v>
      </c>
      <c r="R143" s="40">
        <f t="shared" si="5"/>
        <v>0</v>
      </c>
    </row>
    <row r="144" spans="1:18" s="41" customFormat="1" ht="147" customHeight="1" x14ac:dyDescent="0.25">
      <c r="A144" s="139"/>
      <c r="B144" s="140"/>
      <c r="C144" s="141"/>
      <c r="D144" s="140"/>
      <c r="E144" s="3">
        <v>1</v>
      </c>
      <c r="F144" s="3">
        <f t="shared" si="3"/>
        <v>1.0000000000000002</v>
      </c>
      <c r="G144" s="2" t="s">
        <v>108</v>
      </c>
      <c r="H144" s="1">
        <v>5</v>
      </c>
      <c r="I144" s="1" t="s">
        <v>55</v>
      </c>
      <c r="J144" s="6" t="s">
        <v>83</v>
      </c>
      <c r="K144" s="7">
        <v>5</v>
      </c>
      <c r="L144" s="7">
        <v>4</v>
      </c>
      <c r="M144" s="7">
        <v>3</v>
      </c>
      <c r="N144" s="7">
        <v>2</v>
      </c>
      <c r="O144" s="7">
        <v>1</v>
      </c>
      <c r="P144" s="38"/>
      <c r="Q144" s="39">
        <f t="shared" si="4"/>
        <v>0</v>
      </c>
      <c r="R144" s="40">
        <f t="shared" si="5"/>
        <v>0</v>
      </c>
    </row>
    <row r="145" spans="1:18" s="41" customFormat="1" ht="147" customHeight="1" x14ac:dyDescent="0.25">
      <c r="A145" s="139"/>
      <c r="B145" s="140"/>
      <c r="C145" s="141"/>
      <c r="D145" s="140"/>
      <c r="E145" s="3">
        <v>2</v>
      </c>
      <c r="F145" s="3">
        <f t="shared" si="3"/>
        <v>2.0000000000000004</v>
      </c>
      <c r="G145" s="2" t="s">
        <v>109</v>
      </c>
      <c r="H145" s="4">
        <v>0.7</v>
      </c>
      <c r="I145" s="5" t="s">
        <v>41</v>
      </c>
      <c r="J145" s="6" t="s">
        <v>110</v>
      </c>
      <c r="K145" s="7">
        <v>70</v>
      </c>
      <c r="L145" s="7">
        <v>60</v>
      </c>
      <c r="M145" s="7">
        <v>50</v>
      </c>
      <c r="N145" s="7">
        <v>40</v>
      </c>
      <c r="O145" s="7" t="s">
        <v>111</v>
      </c>
      <c r="P145" s="38"/>
      <c r="Q145" s="39">
        <f t="shared" si="4"/>
        <v>0</v>
      </c>
      <c r="R145" s="40">
        <f t="shared" si="5"/>
        <v>0</v>
      </c>
    </row>
    <row r="146" spans="1:18" s="41" customFormat="1" ht="147" customHeight="1" x14ac:dyDescent="0.25">
      <c r="A146" s="139"/>
      <c r="B146" s="140"/>
      <c r="C146" s="141"/>
      <c r="D146" s="140" t="s">
        <v>112</v>
      </c>
      <c r="E146" s="3">
        <v>2</v>
      </c>
      <c r="F146" s="3">
        <f t="shared" si="3"/>
        <v>2.0000000000000004</v>
      </c>
      <c r="G146" s="2" t="s">
        <v>113</v>
      </c>
      <c r="H146" s="4">
        <v>0.5</v>
      </c>
      <c r="I146" s="5" t="s">
        <v>41</v>
      </c>
      <c r="J146" s="6" t="s">
        <v>47</v>
      </c>
      <c r="K146" s="7">
        <v>50</v>
      </c>
      <c r="L146" s="7">
        <v>45</v>
      </c>
      <c r="M146" s="7">
        <v>40</v>
      </c>
      <c r="N146" s="7">
        <v>25</v>
      </c>
      <c r="O146" s="7" t="s">
        <v>48</v>
      </c>
      <c r="P146" s="38"/>
      <c r="Q146" s="39">
        <f t="shared" si="4"/>
        <v>0</v>
      </c>
      <c r="R146" s="40">
        <f t="shared" si="5"/>
        <v>0</v>
      </c>
    </row>
    <row r="147" spans="1:18" s="41" customFormat="1" ht="147" customHeight="1" x14ac:dyDescent="0.25">
      <c r="A147" s="139"/>
      <c r="B147" s="140"/>
      <c r="C147" s="141"/>
      <c r="D147" s="140"/>
      <c r="E147" s="3">
        <v>2</v>
      </c>
      <c r="F147" s="3">
        <f t="shared" si="3"/>
        <v>2.0000000000000004</v>
      </c>
      <c r="G147" s="2" t="s">
        <v>114</v>
      </c>
      <c r="H147" s="11">
        <v>5</v>
      </c>
      <c r="I147" s="1" t="s">
        <v>55</v>
      </c>
      <c r="J147" s="6" t="s">
        <v>83</v>
      </c>
      <c r="K147" s="7">
        <v>5</v>
      </c>
      <c r="L147" s="7">
        <v>4</v>
      </c>
      <c r="M147" s="7">
        <v>3</v>
      </c>
      <c r="N147" s="7">
        <v>2</v>
      </c>
      <c r="O147" s="7">
        <v>1</v>
      </c>
      <c r="P147" s="38"/>
      <c r="Q147" s="39">
        <f t="shared" si="4"/>
        <v>0</v>
      </c>
      <c r="R147" s="40">
        <f t="shared" si="5"/>
        <v>0</v>
      </c>
    </row>
    <row r="148" spans="1:18" s="52" customFormat="1" ht="44.25" x14ac:dyDescent="0.25">
      <c r="A148" s="42"/>
      <c r="B148" s="43" t="s">
        <v>115</v>
      </c>
      <c r="C148" s="44">
        <f>SUM(C19:C147)</f>
        <v>100</v>
      </c>
      <c r="D148" s="43"/>
      <c r="E148" s="44">
        <f>SUM(E19:E147)</f>
        <v>99.999999999999986</v>
      </c>
      <c r="F148" s="44">
        <f>SUM(F19:F147)</f>
        <v>100</v>
      </c>
      <c r="G148" s="45"/>
      <c r="H148" s="46"/>
      <c r="I148" s="47"/>
      <c r="J148" s="48"/>
      <c r="K148" s="48"/>
      <c r="L148" s="48"/>
      <c r="M148" s="48"/>
      <c r="N148" s="48"/>
      <c r="O148" s="48"/>
      <c r="P148" s="49"/>
      <c r="Q148" s="50"/>
      <c r="R148" s="51">
        <f>SUM(R19:R147)</f>
        <v>0</v>
      </c>
    </row>
    <row r="149" spans="1:18" s="54" customFormat="1" ht="66" customHeight="1" x14ac:dyDescent="0.7">
      <c r="A149" s="53"/>
      <c r="G149" s="55"/>
      <c r="H149" s="55"/>
      <c r="I149" s="239" t="s">
        <v>307</v>
      </c>
      <c r="J149" s="240"/>
      <c r="K149" s="240"/>
      <c r="L149" s="240"/>
      <c r="M149" s="240"/>
      <c r="N149" s="240"/>
      <c r="O149" s="240"/>
      <c r="P149" s="240"/>
      <c r="Q149" s="241"/>
      <c r="R149" s="56">
        <f>R148/100 * 70</f>
        <v>0</v>
      </c>
    </row>
    <row r="150" spans="1:18" s="61" customFormat="1" ht="36" x14ac:dyDescent="0.55000000000000004">
      <c r="A150" s="242" t="s">
        <v>116</v>
      </c>
      <c r="B150" s="243"/>
      <c r="C150" s="243"/>
      <c r="D150" s="243"/>
      <c r="E150" s="243"/>
      <c r="F150" s="243"/>
      <c r="G150" s="244"/>
      <c r="H150" s="245"/>
      <c r="I150" s="245"/>
      <c r="J150" s="245"/>
      <c r="K150" s="245"/>
      <c r="L150" s="231" t="s">
        <v>121</v>
      </c>
      <c r="M150" s="57" t="s">
        <v>117</v>
      </c>
      <c r="N150" s="57"/>
      <c r="O150" s="57"/>
      <c r="P150" s="58"/>
      <c r="Q150" s="59"/>
      <c r="R150" s="60"/>
    </row>
    <row r="151" spans="1:18" s="61" customFormat="1" ht="31.5" customHeight="1" x14ac:dyDescent="0.55000000000000004">
      <c r="A151" s="62"/>
      <c r="B151" s="63"/>
      <c r="C151" s="246" t="s">
        <v>118</v>
      </c>
      <c r="D151" s="246"/>
      <c r="E151" s="246"/>
      <c r="F151" s="246"/>
      <c r="G151" s="246"/>
      <c r="H151" s="64" t="s">
        <v>308</v>
      </c>
      <c r="I151" s="64" t="s">
        <v>309</v>
      </c>
      <c r="J151" s="64"/>
      <c r="K151" s="65"/>
      <c r="L151" s="232"/>
      <c r="M151" s="66"/>
      <c r="N151" s="66"/>
      <c r="O151" s="66"/>
      <c r="P151" s="67"/>
      <c r="Q151" s="59"/>
      <c r="R151" s="60"/>
    </row>
    <row r="152" spans="1:18" s="61" customFormat="1" ht="36" customHeight="1" x14ac:dyDescent="0.55000000000000004">
      <c r="A152" s="68">
        <v>1</v>
      </c>
      <c r="B152" s="69" t="s">
        <v>122</v>
      </c>
      <c r="C152" s="216"/>
      <c r="D152" s="217"/>
      <c r="E152" s="217"/>
      <c r="F152" s="217"/>
      <c r="G152" s="218"/>
      <c r="H152" s="70"/>
      <c r="I152" s="70"/>
      <c r="J152" s="70"/>
      <c r="K152" s="70"/>
      <c r="L152" s="71"/>
      <c r="M152" s="72" t="s">
        <v>32</v>
      </c>
      <c r="N152" s="214" t="s">
        <v>123</v>
      </c>
      <c r="O152" s="215"/>
      <c r="P152" s="67"/>
      <c r="Q152" s="59"/>
      <c r="R152" s="60"/>
    </row>
    <row r="153" spans="1:18" s="61" customFormat="1" ht="84.75" customHeight="1" x14ac:dyDescent="0.55000000000000004">
      <c r="A153" s="75" t="s">
        <v>124</v>
      </c>
      <c r="B153" s="76" t="s">
        <v>310</v>
      </c>
      <c r="C153" s="219"/>
      <c r="D153" s="220"/>
      <c r="E153" s="220"/>
      <c r="F153" s="220"/>
      <c r="G153" s="221"/>
      <c r="H153" s="77">
        <v>4</v>
      </c>
      <c r="I153" s="78">
        <v>4</v>
      </c>
      <c r="J153" s="77"/>
      <c r="K153" s="77"/>
      <c r="L153" s="71"/>
      <c r="M153" s="72" t="s">
        <v>33</v>
      </c>
      <c r="N153" s="214" t="s">
        <v>125</v>
      </c>
      <c r="O153" s="215"/>
      <c r="P153" s="67"/>
      <c r="Q153" s="59"/>
      <c r="R153" s="60"/>
    </row>
    <row r="154" spans="1:18" s="61" customFormat="1" ht="82.5" customHeight="1" x14ac:dyDescent="0.55000000000000004">
      <c r="A154" s="75" t="s">
        <v>126</v>
      </c>
      <c r="B154" s="76" t="s">
        <v>311</v>
      </c>
      <c r="C154" s="219"/>
      <c r="D154" s="220"/>
      <c r="E154" s="220"/>
      <c r="F154" s="220"/>
      <c r="G154" s="221"/>
      <c r="H154" s="77">
        <v>2</v>
      </c>
      <c r="I154" s="78">
        <v>2</v>
      </c>
      <c r="J154" s="77"/>
      <c r="K154" s="77"/>
      <c r="L154" s="71"/>
      <c r="M154" s="72" t="s">
        <v>34</v>
      </c>
      <c r="N154" s="214" t="s">
        <v>127</v>
      </c>
      <c r="O154" s="215"/>
      <c r="P154" s="67"/>
      <c r="Q154" s="59"/>
      <c r="R154" s="60"/>
    </row>
    <row r="155" spans="1:18" s="61" customFormat="1" ht="78.75" customHeight="1" x14ac:dyDescent="0.55000000000000004">
      <c r="A155" s="75" t="s">
        <v>128</v>
      </c>
      <c r="B155" s="76" t="s">
        <v>129</v>
      </c>
      <c r="C155" s="219"/>
      <c r="D155" s="220"/>
      <c r="E155" s="220"/>
      <c r="F155" s="220"/>
      <c r="G155" s="221"/>
      <c r="H155" s="77">
        <v>2</v>
      </c>
      <c r="I155" s="78">
        <v>2</v>
      </c>
      <c r="J155" s="77"/>
      <c r="K155" s="77"/>
      <c r="L155" s="71"/>
      <c r="M155" s="72" t="s">
        <v>35</v>
      </c>
      <c r="N155" s="214" t="s">
        <v>130</v>
      </c>
      <c r="O155" s="215"/>
      <c r="P155" s="67"/>
      <c r="Q155" s="59"/>
      <c r="R155" s="60"/>
    </row>
    <row r="156" spans="1:18" s="61" customFormat="1" ht="36" x14ac:dyDescent="0.55000000000000004">
      <c r="A156" s="79">
        <v>2</v>
      </c>
      <c r="B156" s="80" t="s">
        <v>131</v>
      </c>
      <c r="C156" s="208"/>
      <c r="D156" s="209"/>
      <c r="E156" s="209"/>
      <c r="F156" s="209"/>
      <c r="G156" s="210"/>
      <c r="H156" s="77"/>
      <c r="I156" s="78"/>
      <c r="J156" s="77"/>
      <c r="K156" s="77"/>
      <c r="L156" s="71"/>
      <c r="M156" s="72" t="s">
        <v>36</v>
      </c>
      <c r="N156" s="214" t="s">
        <v>132</v>
      </c>
      <c r="O156" s="215"/>
      <c r="P156" s="67"/>
      <c r="Q156" s="59"/>
      <c r="R156" s="60"/>
    </row>
    <row r="157" spans="1:18" s="61" customFormat="1" ht="82.5" customHeight="1" x14ac:dyDescent="0.55000000000000004">
      <c r="A157" s="75" t="s">
        <v>124</v>
      </c>
      <c r="B157" s="81" t="s">
        <v>312</v>
      </c>
      <c r="C157" s="200"/>
      <c r="D157" s="201"/>
      <c r="E157" s="201"/>
      <c r="F157" s="201"/>
      <c r="G157" s="202"/>
      <c r="H157" s="77">
        <v>2</v>
      </c>
      <c r="I157" s="78">
        <v>2</v>
      </c>
      <c r="J157" s="77"/>
      <c r="K157" s="77"/>
      <c r="L157" s="71"/>
      <c r="M157" s="72" t="s">
        <v>37</v>
      </c>
      <c r="N157" s="214" t="s">
        <v>133</v>
      </c>
      <c r="O157" s="215"/>
      <c r="P157" s="82"/>
      <c r="Q157" s="59"/>
      <c r="R157" s="60"/>
    </row>
    <row r="158" spans="1:18" s="61" customFormat="1" ht="114.75" customHeight="1" x14ac:dyDescent="0.55000000000000004">
      <c r="A158" s="75" t="s">
        <v>126</v>
      </c>
      <c r="B158" s="81" t="s">
        <v>313</v>
      </c>
      <c r="C158" s="200"/>
      <c r="D158" s="201"/>
      <c r="E158" s="201"/>
      <c r="F158" s="201"/>
      <c r="G158" s="202"/>
      <c r="H158" s="77">
        <v>2</v>
      </c>
      <c r="I158" s="78">
        <v>2</v>
      </c>
      <c r="J158" s="77"/>
      <c r="K158" s="77"/>
      <c r="L158" s="71"/>
      <c r="M158" s="67" t="s">
        <v>121</v>
      </c>
      <c r="N158" s="73" t="s">
        <v>134</v>
      </c>
      <c r="O158" s="74"/>
      <c r="P158" s="82"/>
      <c r="Q158" s="59"/>
      <c r="R158" s="60"/>
    </row>
    <row r="159" spans="1:18" s="61" customFormat="1" ht="72" customHeight="1" x14ac:dyDescent="0.55000000000000004">
      <c r="A159" s="75" t="s">
        <v>128</v>
      </c>
      <c r="B159" s="81" t="s">
        <v>314</v>
      </c>
      <c r="C159" s="200"/>
      <c r="D159" s="201"/>
      <c r="E159" s="201"/>
      <c r="F159" s="201"/>
      <c r="G159" s="202"/>
      <c r="H159" s="77">
        <v>2</v>
      </c>
      <c r="I159" s="78">
        <v>2</v>
      </c>
      <c r="J159" s="77"/>
      <c r="K159" s="77"/>
      <c r="L159" s="71"/>
      <c r="M159" s="67" t="s">
        <v>135</v>
      </c>
      <c r="N159" s="73" t="s">
        <v>136</v>
      </c>
      <c r="O159" s="74"/>
      <c r="P159" s="82"/>
      <c r="Q159" s="59"/>
      <c r="R159" s="60"/>
    </row>
    <row r="160" spans="1:18" s="61" customFormat="1" ht="66" customHeight="1" x14ac:dyDescent="0.55000000000000004">
      <c r="A160" s="79">
        <v>3</v>
      </c>
      <c r="B160" s="80" t="s">
        <v>137</v>
      </c>
      <c r="C160" s="208"/>
      <c r="D160" s="209"/>
      <c r="E160" s="209"/>
      <c r="F160" s="209"/>
      <c r="G160" s="210"/>
      <c r="H160" s="77"/>
      <c r="I160" s="78"/>
      <c r="J160" s="77"/>
      <c r="K160" s="77"/>
      <c r="L160" s="71"/>
      <c r="M160" s="67" t="s">
        <v>119</v>
      </c>
      <c r="N160" s="73" t="s">
        <v>138</v>
      </c>
      <c r="O160" s="74"/>
      <c r="P160" s="82"/>
      <c r="Q160" s="59"/>
      <c r="R160" s="60"/>
    </row>
    <row r="161" spans="1:18" s="61" customFormat="1" ht="72" customHeight="1" x14ac:dyDescent="0.55000000000000004">
      <c r="A161" s="75" t="s">
        <v>124</v>
      </c>
      <c r="B161" s="81" t="s">
        <v>139</v>
      </c>
      <c r="C161" s="211"/>
      <c r="D161" s="212"/>
      <c r="E161" s="212"/>
      <c r="F161" s="212"/>
      <c r="G161" s="213"/>
      <c r="H161" s="77">
        <v>2</v>
      </c>
      <c r="I161" s="78">
        <v>2</v>
      </c>
      <c r="J161" s="77"/>
      <c r="K161" s="77"/>
      <c r="L161" s="71"/>
      <c r="M161" s="67" t="s">
        <v>120</v>
      </c>
      <c r="N161" s="73" t="s">
        <v>140</v>
      </c>
      <c r="O161" s="74"/>
      <c r="P161" s="82"/>
      <c r="Q161" s="59"/>
      <c r="R161" s="60"/>
    </row>
    <row r="162" spans="1:18" s="61" customFormat="1" ht="72" customHeight="1" x14ac:dyDescent="0.55000000000000004">
      <c r="A162" s="75" t="s">
        <v>126</v>
      </c>
      <c r="B162" s="81" t="s">
        <v>315</v>
      </c>
      <c r="C162" s="211"/>
      <c r="D162" s="212"/>
      <c r="E162" s="212"/>
      <c r="F162" s="212"/>
      <c r="G162" s="213"/>
      <c r="H162" s="77">
        <v>2</v>
      </c>
      <c r="I162" s="78">
        <v>2</v>
      </c>
      <c r="J162" s="77"/>
      <c r="K162" s="77"/>
      <c r="L162" s="71"/>
      <c r="M162" s="67" t="s">
        <v>141</v>
      </c>
      <c r="N162" s="73" t="s">
        <v>142</v>
      </c>
      <c r="O162" s="74"/>
      <c r="P162" s="82"/>
      <c r="Q162" s="59"/>
      <c r="R162" s="60"/>
    </row>
    <row r="163" spans="1:18" s="61" customFormat="1" ht="44.25" customHeight="1" x14ac:dyDescent="0.55000000000000004">
      <c r="A163" s="75" t="s">
        <v>128</v>
      </c>
      <c r="B163" s="81" t="s">
        <v>316</v>
      </c>
      <c r="C163" s="211"/>
      <c r="D163" s="212"/>
      <c r="E163" s="212"/>
      <c r="F163" s="212"/>
      <c r="G163" s="213"/>
      <c r="H163" s="77">
        <v>2</v>
      </c>
      <c r="I163" s="78">
        <v>2</v>
      </c>
      <c r="J163" s="77"/>
      <c r="K163" s="77"/>
      <c r="L163" s="71"/>
      <c r="M163" s="83"/>
      <c r="N163" s="83"/>
      <c r="O163" s="83"/>
      <c r="P163" s="84"/>
      <c r="Q163" s="59"/>
      <c r="R163" s="60"/>
    </row>
    <row r="164" spans="1:18" s="61" customFormat="1" ht="31.5" customHeight="1" x14ac:dyDescent="0.55000000000000004">
      <c r="A164" s="198" t="s">
        <v>143</v>
      </c>
      <c r="B164" s="199"/>
      <c r="C164" s="199"/>
      <c r="D164" s="199"/>
      <c r="E164" s="199"/>
      <c r="F164" s="199"/>
      <c r="G164" s="199"/>
      <c r="H164" s="85">
        <f>SUM(H153:H163)</f>
        <v>20</v>
      </c>
      <c r="I164" s="85">
        <f>SUM(I153:I163)</f>
        <v>20</v>
      </c>
      <c r="J164" s="85"/>
      <c r="K164" s="86"/>
      <c r="L164" s="71"/>
      <c r="M164" s="83"/>
      <c r="N164" s="83"/>
      <c r="O164" s="83"/>
      <c r="P164" s="84"/>
      <c r="Q164" s="59"/>
      <c r="R164" s="60"/>
    </row>
    <row r="165" spans="1:18" s="61" customFormat="1" ht="36" customHeight="1" x14ac:dyDescent="0.55000000000000004">
      <c r="A165" s="87" t="s">
        <v>124</v>
      </c>
      <c r="B165" s="88" t="s">
        <v>144</v>
      </c>
      <c r="C165" s="200" t="s">
        <v>145</v>
      </c>
      <c r="D165" s="201"/>
      <c r="E165" s="201"/>
      <c r="F165" s="201"/>
      <c r="G165" s="202"/>
      <c r="H165" s="89">
        <v>4</v>
      </c>
      <c r="I165" s="90">
        <v>3.5</v>
      </c>
      <c r="J165" s="89"/>
      <c r="K165" s="91"/>
      <c r="L165" s="71"/>
      <c r="M165" s="83"/>
      <c r="N165" s="83"/>
      <c r="O165" s="83"/>
      <c r="P165" s="84"/>
      <c r="Q165" s="59"/>
      <c r="R165" s="60"/>
    </row>
    <row r="166" spans="1:18" s="61" customFormat="1" ht="129" customHeight="1" x14ac:dyDescent="0.55000000000000004">
      <c r="A166" s="87" t="s">
        <v>126</v>
      </c>
      <c r="B166" s="88" t="s">
        <v>146</v>
      </c>
      <c r="C166" s="200" t="s">
        <v>147</v>
      </c>
      <c r="D166" s="201"/>
      <c r="E166" s="201"/>
      <c r="F166" s="201"/>
      <c r="G166" s="202"/>
      <c r="H166" s="89">
        <v>3</v>
      </c>
      <c r="I166" s="90">
        <v>3</v>
      </c>
      <c r="J166" s="89"/>
      <c r="K166" s="91"/>
      <c r="L166" s="71"/>
      <c r="M166" s="83"/>
      <c r="N166" s="83"/>
      <c r="O166" s="83"/>
      <c r="P166" s="84"/>
      <c r="Q166" s="59"/>
      <c r="R166" s="60"/>
    </row>
    <row r="167" spans="1:18" s="61" customFormat="1" ht="69" customHeight="1" x14ac:dyDescent="0.55000000000000004">
      <c r="A167" s="87" t="s">
        <v>126</v>
      </c>
      <c r="B167" s="88" t="s">
        <v>148</v>
      </c>
      <c r="C167" s="200" t="s">
        <v>149</v>
      </c>
      <c r="D167" s="201"/>
      <c r="E167" s="201"/>
      <c r="F167" s="201"/>
      <c r="G167" s="202"/>
      <c r="H167" s="89">
        <v>3</v>
      </c>
      <c r="I167" s="90">
        <v>3</v>
      </c>
      <c r="J167" s="89"/>
      <c r="K167" s="91"/>
      <c r="L167" s="71"/>
      <c r="M167" s="83"/>
      <c r="N167" s="83"/>
      <c r="O167" s="83"/>
      <c r="P167" s="84"/>
      <c r="Q167" s="59"/>
      <c r="R167" s="60"/>
    </row>
    <row r="168" spans="1:18" s="61" customFormat="1" ht="46.5" customHeight="1" x14ac:dyDescent="0.55000000000000004">
      <c r="A168" s="92"/>
      <c r="B168" s="203" t="s">
        <v>150</v>
      </c>
      <c r="C168" s="203"/>
      <c r="D168" s="203"/>
      <c r="E168" s="93"/>
      <c r="F168" s="93"/>
      <c r="G168" s="93"/>
      <c r="H168" s="85">
        <f>SUM(H165:H167)</f>
        <v>10</v>
      </c>
      <c r="I168" s="85">
        <f>SUM(I165:I167)</f>
        <v>9.5</v>
      </c>
      <c r="J168" s="93"/>
      <c r="K168" s="94"/>
      <c r="L168" s="83"/>
      <c r="M168" s="83"/>
      <c r="N168" s="83"/>
      <c r="O168" s="83"/>
      <c r="P168" s="84"/>
      <c r="Q168" s="59"/>
      <c r="R168" s="60"/>
    </row>
    <row r="169" spans="1:18" s="97" customFormat="1" ht="45" customHeight="1" x14ac:dyDescent="0.7">
      <c r="A169" s="95"/>
      <c r="B169" s="204"/>
      <c r="C169" s="96"/>
      <c r="D169" s="96"/>
      <c r="E169" s="96"/>
      <c r="F169" s="207"/>
      <c r="G169" s="207"/>
      <c r="H169" s="207"/>
      <c r="I169" s="207"/>
      <c r="J169" s="207"/>
      <c r="K169" s="96"/>
      <c r="L169" s="96"/>
      <c r="M169" s="96"/>
      <c r="N169" s="96"/>
      <c r="O169" s="189" t="s">
        <v>317</v>
      </c>
      <c r="P169" s="190"/>
      <c r="Q169" s="189" t="s">
        <v>318</v>
      </c>
      <c r="R169" s="191"/>
    </row>
    <row r="170" spans="1:18" s="97" customFormat="1" ht="45" customHeight="1" x14ac:dyDescent="0.7">
      <c r="A170" s="95"/>
      <c r="B170" s="205"/>
      <c r="C170" s="178" t="s">
        <v>319</v>
      </c>
      <c r="D170" s="179"/>
      <c r="E170" s="179"/>
      <c r="F170" s="179"/>
      <c r="G170" s="179"/>
      <c r="H170" s="179"/>
      <c r="I170" s="179"/>
      <c r="J170" s="179"/>
      <c r="K170" s="180"/>
      <c r="L170" s="173"/>
      <c r="M170" s="174"/>
      <c r="N170" s="175"/>
      <c r="O170" s="176">
        <f>R149</f>
        <v>0</v>
      </c>
      <c r="P170" s="177"/>
      <c r="Q170" s="192">
        <f>O173/100 * 20</f>
        <v>5.8999999999999995</v>
      </c>
      <c r="R170" s="193"/>
    </row>
    <row r="171" spans="1:18" s="97" customFormat="1" ht="45" customHeight="1" x14ac:dyDescent="0.7">
      <c r="A171" s="95"/>
      <c r="B171" s="205"/>
      <c r="C171" s="179" t="s">
        <v>320</v>
      </c>
      <c r="D171" s="179"/>
      <c r="E171" s="179"/>
      <c r="F171" s="179"/>
      <c r="G171" s="179"/>
      <c r="H171" s="179"/>
      <c r="I171" s="179"/>
      <c r="J171" s="179"/>
      <c r="K171" s="179"/>
      <c r="L171" s="174"/>
      <c r="M171" s="174"/>
      <c r="N171" s="175"/>
      <c r="O171" s="176">
        <f>I164</f>
        <v>20</v>
      </c>
      <c r="P171" s="177"/>
      <c r="Q171" s="194"/>
      <c r="R171" s="195"/>
    </row>
    <row r="172" spans="1:18" s="97" customFormat="1" ht="45" customHeight="1" x14ac:dyDescent="0.7">
      <c r="A172" s="95"/>
      <c r="B172" s="205"/>
      <c r="C172" s="178" t="s">
        <v>321</v>
      </c>
      <c r="D172" s="179"/>
      <c r="E172" s="179"/>
      <c r="F172" s="179"/>
      <c r="G172" s="179"/>
      <c r="H172" s="179"/>
      <c r="I172" s="179"/>
      <c r="J172" s="179"/>
      <c r="K172" s="180"/>
      <c r="L172" s="173"/>
      <c r="M172" s="174"/>
      <c r="N172" s="175"/>
      <c r="O172" s="176">
        <f>I168</f>
        <v>9.5</v>
      </c>
      <c r="P172" s="177"/>
      <c r="Q172" s="194"/>
      <c r="R172" s="195"/>
    </row>
    <row r="173" spans="1:18" s="97" customFormat="1" ht="45" customHeight="1" x14ac:dyDescent="0.7">
      <c r="A173" s="95"/>
      <c r="B173" s="206"/>
      <c r="C173" s="178" t="s">
        <v>322</v>
      </c>
      <c r="D173" s="179"/>
      <c r="E173" s="179"/>
      <c r="F173" s="179"/>
      <c r="G173" s="179"/>
      <c r="H173" s="179"/>
      <c r="I173" s="179"/>
      <c r="J173" s="179"/>
      <c r="K173" s="180"/>
      <c r="L173" s="173"/>
      <c r="M173" s="174"/>
      <c r="N173" s="175"/>
      <c r="O173" s="176">
        <f>SUM(O170:P172)</f>
        <v>29.5</v>
      </c>
      <c r="P173" s="177"/>
      <c r="Q173" s="196"/>
      <c r="R173" s="197"/>
    </row>
    <row r="174" spans="1:18" s="97" customFormat="1" ht="64.900000000000006" customHeight="1" x14ac:dyDescent="0.7">
      <c r="A174" s="95"/>
      <c r="B174" s="181" t="s">
        <v>323</v>
      </c>
      <c r="C174" s="181"/>
      <c r="D174" s="181"/>
      <c r="E174" s="181"/>
      <c r="F174" s="181"/>
      <c r="G174" s="181"/>
      <c r="H174" s="98"/>
      <c r="I174" s="98"/>
      <c r="J174" s="98"/>
      <c r="K174" s="98"/>
      <c r="L174" s="98"/>
      <c r="M174" s="98"/>
      <c r="N174" s="98"/>
      <c r="O174" s="98"/>
      <c r="P174" s="98"/>
      <c r="Q174" s="98"/>
      <c r="R174" s="99"/>
    </row>
    <row r="175" spans="1:18" s="97" customFormat="1" ht="64.900000000000006" customHeight="1" x14ac:dyDescent="0.7">
      <c r="A175" s="95"/>
      <c r="B175" s="155" t="s">
        <v>324</v>
      </c>
      <c r="C175" s="155"/>
      <c r="D175" s="155"/>
      <c r="E175" s="155"/>
      <c r="F175" s="155"/>
      <c r="G175" s="155"/>
      <c r="H175" s="155"/>
      <c r="I175" s="155"/>
      <c r="J175" s="155"/>
      <c r="K175" s="155"/>
      <c r="L175" s="155"/>
      <c r="M175" s="155"/>
      <c r="N175" s="155"/>
      <c r="O175" s="155"/>
      <c r="P175" s="155"/>
      <c r="Q175" s="155"/>
      <c r="R175" s="156"/>
    </row>
    <row r="176" spans="1:18" s="97" customFormat="1" ht="48.75" customHeight="1" x14ac:dyDescent="0.7">
      <c r="A176" s="95"/>
      <c r="B176" s="157" t="s">
        <v>325</v>
      </c>
      <c r="C176" s="157"/>
      <c r="D176" s="157"/>
      <c r="E176" s="157"/>
      <c r="F176" s="157"/>
      <c r="G176" s="157"/>
      <c r="H176" s="100"/>
      <c r="I176" s="100"/>
      <c r="J176" s="100"/>
      <c r="K176" s="100"/>
      <c r="L176" s="100"/>
      <c r="M176" s="100"/>
      <c r="N176" s="100"/>
      <c r="O176" s="100"/>
      <c r="P176" s="100"/>
      <c r="Q176" s="100"/>
      <c r="R176" s="101"/>
    </row>
    <row r="177" spans="1:18" s="97" customFormat="1" ht="45.75" x14ac:dyDescent="0.7">
      <c r="A177" s="95"/>
      <c r="B177" s="155"/>
      <c r="C177" s="155"/>
      <c r="D177" s="155"/>
      <c r="E177" s="155"/>
      <c r="F177" s="155"/>
      <c r="G177" s="155"/>
      <c r="H177" s="155"/>
      <c r="I177" s="155"/>
      <c r="J177" s="155"/>
      <c r="K177" s="155"/>
      <c r="L177" s="155"/>
      <c r="M177" s="155"/>
      <c r="N177" s="155"/>
      <c r="O177" s="155"/>
      <c r="P177" s="155"/>
      <c r="Q177" s="155"/>
      <c r="R177" s="156"/>
    </row>
    <row r="178" spans="1:18" s="61" customFormat="1" ht="31.5" customHeight="1" x14ac:dyDescent="0.55000000000000004">
      <c r="A178" s="158" t="s">
        <v>326</v>
      </c>
      <c r="B178" s="159"/>
      <c r="C178" s="152"/>
      <c r="D178" s="164"/>
      <c r="E178" s="167" t="s">
        <v>327</v>
      </c>
      <c r="F178" s="146"/>
      <c r="G178" s="159" t="s">
        <v>328</v>
      </c>
      <c r="H178" s="152"/>
      <c r="I178" s="152"/>
      <c r="J178" s="152"/>
      <c r="K178" s="102"/>
      <c r="L178" s="71"/>
      <c r="M178" s="170"/>
      <c r="N178" s="170"/>
      <c r="O178" s="170"/>
      <c r="P178" s="170"/>
      <c r="Q178" s="170"/>
      <c r="R178" s="60"/>
    </row>
    <row r="179" spans="1:18" s="61" customFormat="1" ht="31.5" customHeight="1" x14ac:dyDescent="0.55000000000000004">
      <c r="A179" s="160"/>
      <c r="B179" s="161"/>
      <c r="C179" s="153"/>
      <c r="D179" s="165"/>
      <c r="E179" s="168"/>
      <c r="F179" s="147"/>
      <c r="G179" s="161"/>
      <c r="H179" s="153"/>
      <c r="I179" s="153"/>
      <c r="J179" s="153"/>
      <c r="K179" s="102"/>
      <c r="L179" s="71"/>
      <c r="M179" s="171"/>
      <c r="N179" s="171"/>
      <c r="O179" s="171"/>
      <c r="P179" s="171"/>
      <c r="Q179" s="171"/>
      <c r="R179" s="60"/>
    </row>
    <row r="180" spans="1:18" s="61" customFormat="1" ht="31.5" customHeight="1" x14ac:dyDescent="0.55000000000000004">
      <c r="A180" s="160"/>
      <c r="B180" s="161"/>
      <c r="C180" s="153"/>
      <c r="D180" s="165"/>
      <c r="E180" s="168"/>
      <c r="F180" s="147"/>
      <c r="G180" s="161"/>
      <c r="H180" s="153"/>
      <c r="I180" s="153"/>
      <c r="J180" s="153"/>
      <c r="K180" s="102"/>
      <c r="L180" s="71"/>
      <c r="M180" s="171"/>
      <c r="N180" s="171"/>
      <c r="O180" s="171"/>
      <c r="P180" s="171"/>
      <c r="Q180" s="171"/>
      <c r="R180" s="60"/>
    </row>
    <row r="181" spans="1:18" s="61" customFormat="1" ht="31.5" customHeight="1" x14ac:dyDescent="0.55000000000000004">
      <c r="A181" s="162"/>
      <c r="B181" s="163"/>
      <c r="C181" s="154"/>
      <c r="D181" s="166"/>
      <c r="E181" s="169"/>
      <c r="F181" s="148"/>
      <c r="G181" s="163"/>
      <c r="H181" s="154"/>
      <c r="I181" s="154"/>
      <c r="J181" s="154"/>
      <c r="K181" s="102"/>
      <c r="L181" s="71"/>
      <c r="M181" s="171"/>
      <c r="N181" s="171"/>
      <c r="O181" s="171"/>
      <c r="P181" s="171"/>
      <c r="Q181" s="171"/>
      <c r="R181" s="60"/>
    </row>
    <row r="182" spans="1:18" s="61" customFormat="1" ht="31.5" customHeight="1" x14ac:dyDescent="0.55000000000000004">
      <c r="A182" s="184" t="s">
        <v>151</v>
      </c>
      <c r="B182" s="149"/>
      <c r="C182" s="152"/>
      <c r="D182" s="164"/>
      <c r="E182" s="186" t="s">
        <v>329</v>
      </c>
      <c r="F182" s="146"/>
      <c r="G182" s="149" t="s">
        <v>329</v>
      </c>
      <c r="H182" s="152"/>
      <c r="I182" s="152"/>
      <c r="J182" s="152"/>
      <c r="K182" s="102"/>
      <c r="L182" s="71"/>
      <c r="M182" s="171"/>
      <c r="N182" s="171"/>
      <c r="O182" s="171"/>
      <c r="P182" s="171"/>
      <c r="Q182" s="171"/>
      <c r="R182" s="60"/>
    </row>
    <row r="183" spans="1:18" s="61" customFormat="1" ht="31.5" customHeight="1" x14ac:dyDescent="0.55000000000000004">
      <c r="A183" s="185"/>
      <c r="B183" s="150"/>
      <c r="C183" s="153"/>
      <c r="D183" s="165"/>
      <c r="E183" s="187"/>
      <c r="F183" s="147"/>
      <c r="G183" s="150"/>
      <c r="H183" s="153"/>
      <c r="I183" s="153"/>
      <c r="J183" s="153"/>
      <c r="K183" s="102"/>
      <c r="L183" s="71"/>
      <c r="M183" s="171"/>
      <c r="N183" s="171"/>
      <c r="O183" s="171"/>
      <c r="P183" s="171"/>
      <c r="Q183" s="171"/>
      <c r="R183" s="60"/>
    </row>
    <row r="184" spans="1:18" s="61" customFormat="1" ht="31.5" customHeight="1" x14ac:dyDescent="0.55000000000000004">
      <c r="A184" s="185"/>
      <c r="B184" s="150"/>
      <c r="C184" s="154"/>
      <c r="D184" s="166"/>
      <c r="E184" s="188"/>
      <c r="F184" s="148"/>
      <c r="G184" s="151"/>
      <c r="H184" s="154"/>
      <c r="I184" s="154"/>
      <c r="J184" s="154"/>
      <c r="K184" s="102"/>
      <c r="L184" s="71"/>
      <c r="M184" s="171"/>
      <c r="N184" s="171"/>
      <c r="O184" s="171"/>
      <c r="P184" s="171"/>
      <c r="Q184" s="171"/>
      <c r="R184" s="60"/>
    </row>
    <row r="185" spans="1:18" s="61" customFormat="1" ht="31.5" customHeight="1" x14ac:dyDescent="0.55000000000000004">
      <c r="A185" s="160" t="s">
        <v>152</v>
      </c>
      <c r="B185" s="161"/>
      <c r="C185" s="152"/>
      <c r="D185" s="164"/>
      <c r="E185" s="167" t="s">
        <v>330</v>
      </c>
      <c r="F185" s="146"/>
      <c r="G185" s="159" t="s">
        <v>330</v>
      </c>
      <c r="H185" s="152"/>
      <c r="I185" s="152"/>
      <c r="J185" s="152"/>
      <c r="K185" s="102"/>
      <c r="L185" s="71"/>
      <c r="M185" s="171"/>
      <c r="N185" s="171"/>
      <c r="O185" s="171"/>
      <c r="P185" s="171"/>
      <c r="Q185" s="171"/>
      <c r="R185" s="60"/>
    </row>
    <row r="186" spans="1:18" s="61" customFormat="1" ht="31.5" customHeight="1" x14ac:dyDescent="0.55000000000000004">
      <c r="A186" s="160"/>
      <c r="B186" s="161"/>
      <c r="C186" s="154"/>
      <c r="D186" s="166"/>
      <c r="E186" s="169"/>
      <c r="F186" s="148"/>
      <c r="G186" s="163"/>
      <c r="H186" s="154"/>
      <c r="I186" s="154"/>
      <c r="J186" s="154"/>
      <c r="K186" s="102"/>
      <c r="L186" s="71"/>
      <c r="M186" s="171"/>
      <c r="N186" s="171"/>
      <c r="O186" s="171"/>
      <c r="P186" s="171"/>
      <c r="Q186" s="171"/>
      <c r="R186" s="60"/>
    </row>
    <row r="187" spans="1:18" s="61" customFormat="1" ht="31.5" customHeight="1" thickBot="1" x14ac:dyDescent="0.6">
      <c r="A187" s="182"/>
      <c r="B187" s="183"/>
      <c r="C187" s="183"/>
      <c r="D187" s="183"/>
      <c r="E187" s="183"/>
      <c r="F187" s="183"/>
      <c r="G187" s="183"/>
      <c r="H187" s="183"/>
      <c r="I187" s="183"/>
      <c r="J187" s="183"/>
      <c r="K187" s="103"/>
      <c r="L187" s="104"/>
      <c r="M187" s="172"/>
      <c r="N187" s="172"/>
      <c r="O187" s="172"/>
      <c r="P187" s="172"/>
      <c r="Q187" s="172"/>
      <c r="R187" s="105"/>
    </row>
  </sheetData>
  <mergeCells count="204">
    <mergeCell ref="A10:B10"/>
    <mergeCell ref="I10:J10"/>
    <mergeCell ref="A11:B11"/>
    <mergeCell ref="I11:J11"/>
    <mergeCell ref="A12:I12"/>
    <mergeCell ref="A13:B13"/>
    <mergeCell ref="I13:J13"/>
    <mergeCell ref="A1:R3"/>
    <mergeCell ref="A4:J4"/>
    <mergeCell ref="K4:R15"/>
    <mergeCell ref="E5:H5"/>
    <mergeCell ref="A6:H6"/>
    <mergeCell ref="A7:B7"/>
    <mergeCell ref="I7:J7"/>
    <mergeCell ref="A8:B8"/>
    <mergeCell ref="I8:J8"/>
    <mergeCell ref="A9:I9"/>
    <mergeCell ref="A14:B14"/>
    <mergeCell ref="I14:J14"/>
    <mergeCell ref="A15:I15"/>
    <mergeCell ref="A16:I16"/>
    <mergeCell ref="A17:A18"/>
    <mergeCell ref="B17:B18"/>
    <mergeCell ref="C17:C18"/>
    <mergeCell ref="D17:D18"/>
    <mergeCell ref="E17:E18"/>
    <mergeCell ref="F17:F18"/>
    <mergeCell ref="A28:A39"/>
    <mergeCell ref="B28:B39"/>
    <mergeCell ref="C28:C39"/>
    <mergeCell ref="D28:D29"/>
    <mergeCell ref="D30:D32"/>
    <mergeCell ref="D33:D34"/>
    <mergeCell ref="D35:D36"/>
    <mergeCell ref="D37:D39"/>
    <mergeCell ref="R17:R18"/>
    <mergeCell ref="A19:A27"/>
    <mergeCell ref="B19:B27"/>
    <mergeCell ref="C19:C27"/>
    <mergeCell ref="D19:D21"/>
    <mergeCell ref="D22:D24"/>
    <mergeCell ref="D26:D27"/>
    <mergeCell ref="G17:G18"/>
    <mergeCell ref="H17:H18"/>
    <mergeCell ref="I17:I18"/>
    <mergeCell ref="J17:O17"/>
    <mergeCell ref="P17:P18"/>
    <mergeCell ref="Q17:Q18"/>
    <mergeCell ref="A54:A61"/>
    <mergeCell ref="B54:B61"/>
    <mergeCell ref="C54:C61"/>
    <mergeCell ref="D54:D61"/>
    <mergeCell ref="A62:A69"/>
    <mergeCell ref="B62:B69"/>
    <mergeCell ref="C62:C69"/>
    <mergeCell ref="D62:D69"/>
    <mergeCell ref="A40:A53"/>
    <mergeCell ref="B40:B53"/>
    <mergeCell ref="C40:C53"/>
    <mergeCell ref="D40:D42"/>
    <mergeCell ref="D43:D44"/>
    <mergeCell ref="D45:D46"/>
    <mergeCell ref="D47:D48"/>
    <mergeCell ref="D49:D50"/>
    <mergeCell ref="D51:D52"/>
    <mergeCell ref="A79:A89"/>
    <mergeCell ref="B79:B89"/>
    <mergeCell ref="C79:C89"/>
    <mergeCell ref="D79:D81"/>
    <mergeCell ref="D82:D83"/>
    <mergeCell ref="D84:D85"/>
    <mergeCell ref="D86:D87"/>
    <mergeCell ref="D88:D89"/>
    <mergeCell ref="A70:A78"/>
    <mergeCell ref="B70:B78"/>
    <mergeCell ref="C70:C78"/>
    <mergeCell ref="D70:D71"/>
    <mergeCell ref="D72:D73"/>
    <mergeCell ref="D74:D76"/>
    <mergeCell ref="D77:D78"/>
    <mergeCell ref="A101:A110"/>
    <mergeCell ref="B101:B110"/>
    <mergeCell ref="C101:C110"/>
    <mergeCell ref="D101:D102"/>
    <mergeCell ref="D103:D104"/>
    <mergeCell ref="D105:D106"/>
    <mergeCell ref="D107:D108"/>
    <mergeCell ref="D109:D110"/>
    <mergeCell ref="A90:A100"/>
    <mergeCell ref="B90:B100"/>
    <mergeCell ref="C90:C100"/>
    <mergeCell ref="D90:D92"/>
    <mergeCell ref="D93:D94"/>
    <mergeCell ref="D95:D96"/>
    <mergeCell ref="D97:D98"/>
    <mergeCell ref="D99:D100"/>
    <mergeCell ref="A121:A128"/>
    <mergeCell ref="B121:B128"/>
    <mergeCell ref="C121:C128"/>
    <mergeCell ref="D121:D122"/>
    <mergeCell ref="D123:D124"/>
    <mergeCell ref="D125:D126"/>
    <mergeCell ref="A111:A120"/>
    <mergeCell ref="B111:B120"/>
    <mergeCell ref="C111:C120"/>
    <mergeCell ref="D111:D112"/>
    <mergeCell ref="D113:D114"/>
    <mergeCell ref="D115:D116"/>
    <mergeCell ref="D117:D118"/>
    <mergeCell ref="D119:D120"/>
    <mergeCell ref="A134:A136"/>
    <mergeCell ref="B134:B136"/>
    <mergeCell ref="C134:C136"/>
    <mergeCell ref="D134:D136"/>
    <mergeCell ref="A137:A138"/>
    <mergeCell ref="B137:B138"/>
    <mergeCell ref="C137:C138"/>
    <mergeCell ref="D137:D138"/>
    <mergeCell ref="A129:A131"/>
    <mergeCell ref="B129:B131"/>
    <mergeCell ref="C129:C131"/>
    <mergeCell ref="D129:D131"/>
    <mergeCell ref="A132:A133"/>
    <mergeCell ref="B132:B133"/>
    <mergeCell ref="C132:C133"/>
    <mergeCell ref="D132:D133"/>
    <mergeCell ref="A139:A141"/>
    <mergeCell ref="B139:B141"/>
    <mergeCell ref="C139:C141"/>
    <mergeCell ref="D139:D141"/>
    <mergeCell ref="A142:A147"/>
    <mergeCell ref="B142:B147"/>
    <mergeCell ref="C142:C147"/>
    <mergeCell ref="D142:D145"/>
    <mergeCell ref="D146:D147"/>
    <mergeCell ref="C153:G153"/>
    <mergeCell ref="N153:O153"/>
    <mergeCell ref="C154:G154"/>
    <mergeCell ref="N154:O154"/>
    <mergeCell ref="C155:G155"/>
    <mergeCell ref="N155:O155"/>
    <mergeCell ref="I149:Q149"/>
    <mergeCell ref="A150:G150"/>
    <mergeCell ref="H150:K150"/>
    <mergeCell ref="L150:L151"/>
    <mergeCell ref="C151:G151"/>
    <mergeCell ref="C152:G152"/>
    <mergeCell ref="N152:O152"/>
    <mergeCell ref="C160:G160"/>
    <mergeCell ref="C161:G161"/>
    <mergeCell ref="C162:G162"/>
    <mergeCell ref="C163:G163"/>
    <mergeCell ref="A164:G164"/>
    <mergeCell ref="C165:G165"/>
    <mergeCell ref="C156:G156"/>
    <mergeCell ref="N156:O156"/>
    <mergeCell ref="C157:G157"/>
    <mergeCell ref="N157:O157"/>
    <mergeCell ref="C158:G158"/>
    <mergeCell ref="C159:G159"/>
    <mergeCell ref="C166:G166"/>
    <mergeCell ref="C167:G167"/>
    <mergeCell ref="B168:D168"/>
    <mergeCell ref="B169:B173"/>
    <mergeCell ref="F169:J169"/>
    <mergeCell ref="O169:P169"/>
    <mergeCell ref="O172:P172"/>
    <mergeCell ref="C173:K173"/>
    <mergeCell ref="L173:N173"/>
    <mergeCell ref="O173:P173"/>
    <mergeCell ref="Q169:R169"/>
    <mergeCell ref="C170:K170"/>
    <mergeCell ref="L170:N170"/>
    <mergeCell ref="O170:P170"/>
    <mergeCell ref="Q170:R173"/>
    <mergeCell ref="C171:K171"/>
    <mergeCell ref="L171:N171"/>
    <mergeCell ref="O171:P171"/>
    <mergeCell ref="C172:K172"/>
    <mergeCell ref="L172:N172"/>
    <mergeCell ref="B174:G174"/>
    <mergeCell ref="B175:R175"/>
    <mergeCell ref="B176:G176"/>
    <mergeCell ref="B177:R177"/>
    <mergeCell ref="A178:B181"/>
    <mergeCell ref="C178:D181"/>
    <mergeCell ref="E178:E181"/>
    <mergeCell ref="F178:F181"/>
    <mergeCell ref="G178:G181"/>
    <mergeCell ref="H178:J181"/>
    <mergeCell ref="F185:F186"/>
    <mergeCell ref="G185:G186"/>
    <mergeCell ref="H185:J186"/>
    <mergeCell ref="A187:J187"/>
    <mergeCell ref="M178:Q187"/>
    <mergeCell ref="A182:B184"/>
    <mergeCell ref="C182:D184"/>
    <mergeCell ref="E182:E184"/>
    <mergeCell ref="F182:F184"/>
    <mergeCell ref="G182:G184"/>
    <mergeCell ref="H182:J184"/>
    <mergeCell ref="A185:B186"/>
    <mergeCell ref="C185:D186"/>
    <mergeCell ref="E185:E186"/>
  </mergeCells>
  <pageMargins left="0.7" right="0.7" top="0.75" bottom="0.75" header="0.3" footer="0.3"/>
  <pageSetup scale="14"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92651-9941-4E2E-B8A8-AA7108DD8DD1}">
  <sheetPr>
    <pageSetUpPr fitToPage="1"/>
  </sheetPr>
  <dimension ref="A1:R187"/>
  <sheetViews>
    <sheetView zoomScale="30" zoomScaleNormal="30" workbookViewId="0">
      <selection activeCell="D11" sqref="D11"/>
    </sheetView>
  </sheetViews>
  <sheetFormatPr defaultRowHeight="31.5" customHeight="1" x14ac:dyDescent="0.55000000000000004"/>
  <cols>
    <col min="1" max="1" width="19.7109375" style="106" bestFit="1" customWidth="1"/>
    <col min="2" max="2" width="85.42578125" style="16" bestFit="1" customWidth="1"/>
    <col min="3" max="3" width="39.5703125" style="16" bestFit="1" customWidth="1"/>
    <col min="4" max="4" width="114.85546875" style="16" customWidth="1"/>
    <col min="5" max="5" width="64.7109375" style="106" bestFit="1" customWidth="1"/>
    <col min="6" max="6" width="42" style="106" customWidth="1"/>
    <col min="7" max="7" width="255.7109375" style="16" bestFit="1" customWidth="1"/>
    <col min="8" max="8" width="33" style="106" customWidth="1"/>
    <col min="9" max="9" width="62.42578125" style="106" customWidth="1"/>
    <col min="10" max="10" width="45.140625" style="106" customWidth="1"/>
    <col min="11" max="13" width="35.28515625" style="106" bestFit="1" customWidth="1"/>
    <col min="14" max="14" width="40.7109375" style="106" bestFit="1" customWidth="1"/>
    <col min="15" max="15" width="36.85546875" style="106" bestFit="1" customWidth="1"/>
    <col min="16" max="17" width="36.85546875" style="107" customWidth="1"/>
    <col min="18" max="18" width="36.85546875" style="108" customWidth="1"/>
    <col min="19" max="16384" width="9.140625" style="16"/>
  </cols>
  <sheetData>
    <row r="1" spans="1:18" ht="31.5" customHeight="1" x14ac:dyDescent="0.25">
      <c r="A1" s="259" t="s">
        <v>297</v>
      </c>
      <c r="B1" s="260"/>
      <c r="C1" s="260"/>
      <c r="D1" s="260"/>
      <c r="E1" s="260"/>
      <c r="F1" s="260"/>
      <c r="G1" s="260"/>
      <c r="H1" s="260"/>
      <c r="I1" s="260"/>
      <c r="J1" s="260"/>
      <c r="K1" s="260"/>
      <c r="L1" s="260"/>
      <c r="M1" s="260"/>
      <c r="N1" s="260"/>
      <c r="O1" s="260"/>
      <c r="P1" s="260"/>
      <c r="Q1" s="260"/>
      <c r="R1" s="261"/>
    </row>
    <row r="2" spans="1:18" ht="31.5" customHeight="1" x14ac:dyDescent="0.25">
      <c r="A2" s="262"/>
      <c r="B2" s="263"/>
      <c r="C2" s="263"/>
      <c r="D2" s="263"/>
      <c r="E2" s="263"/>
      <c r="F2" s="263"/>
      <c r="G2" s="263"/>
      <c r="H2" s="263"/>
      <c r="I2" s="263"/>
      <c r="J2" s="263"/>
      <c r="K2" s="263"/>
      <c r="L2" s="263"/>
      <c r="M2" s="263"/>
      <c r="N2" s="263"/>
      <c r="O2" s="263"/>
      <c r="P2" s="263"/>
      <c r="Q2" s="263"/>
      <c r="R2" s="264"/>
    </row>
    <row r="3" spans="1:18" ht="31.5" customHeight="1" thickBot="1" x14ac:dyDescent="0.3">
      <c r="A3" s="262"/>
      <c r="B3" s="263"/>
      <c r="C3" s="263"/>
      <c r="D3" s="263"/>
      <c r="E3" s="263"/>
      <c r="F3" s="263"/>
      <c r="G3" s="263"/>
      <c r="H3" s="263"/>
      <c r="I3" s="263"/>
      <c r="J3" s="263"/>
      <c r="K3" s="263"/>
      <c r="L3" s="263"/>
      <c r="M3" s="263"/>
      <c r="N3" s="263"/>
      <c r="O3" s="263"/>
      <c r="P3" s="263"/>
      <c r="Q3" s="263"/>
      <c r="R3" s="264"/>
    </row>
    <row r="4" spans="1:18" s="17" customFormat="1" ht="45.75" x14ac:dyDescent="0.25">
      <c r="A4" s="265" t="s">
        <v>0</v>
      </c>
      <c r="B4" s="266"/>
      <c r="C4" s="266"/>
      <c r="D4" s="266"/>
      <c r="E4" s="266"/>
      <c r="F4" s="266"/>
      <c r="G4" s="266"/>
      <c r="H4" s="266"/>
      <c r="I4" s="266"/>
      <c r="J4" s="266"/>
      <c r="K4" s="267"/>
      <c r="L4" s="268"/>
      <c r="M4" s="268"/>
      <c r="N4" s="268"/>
      <c r="O4" s="268"/>
      <c r="P4" s="268"/>
      <c r="Q4" s="268"/>
      <c r="R4" s="269"/>
    </row>
    <row r="5" spans="1:18" s="24" customFormat="1" ht="32.25" x14ac:dyDescent="0.5">
      <c r="A5" s="18" t="s">
        <v>1</v>
      </c>
      <c r="B5" s="19" t="s">
        <v>334</v>
      </c>
      <c r="C5" s="20" t="s">
        <v>3</v>
      </c>
      <c r="D5" s="21" t="s">
        <v>335</v>
      </c>
      <c r="E5" s="276"/>
      <c r="F5" s="276"/>
      <c r="G5" s="276"/>
      <c r="H5" s="276"/>
      <c r="I5" s="22"/>
      <c r="J5" s="23"/>
      <c r="K5" s="270"/>
      <c r="L5" s="271"/>
      <c r="M5" s="271"/>
      <c r="N5" s="271"/>
      <c r="O5" s="271"/>
      <c r="P5" s="271"/>
      <c r="Q5" s="271"/>
      <c r="R5" s="272"/>
    </row>
    <row r="6" spans="1:18" s="27" customFormat="1" ht="38.25" customHeight="1" x14ac:dyDescent="0.55000000000000004">
      <c r="A6" s="277" t="s">
        <v>5</v>
      </c>
      <c r="B6" s="278"/>
      <c r="C6" s="278"/>
      <c r="D6" s="278"/>
      <c r="E6" s="278"/>
      <c r="F6" s="278"/>
      <c r="G6" s="278"/>
      <c r="H6" s="278"/>
      <c r="I6" s="25"/>
      <c r="J6" s="26"/>
      <c r="K6" s="270"/>
      <c r="L6" s="271"/>
      <c r="M6" s="271"/>
      <c r="N6" s="271"/>
      <c r="O6" s="271"/>
      <c r="P6" s="271"/>
      <c r="Q6" s="271"/>
      <c r="R6" s="272"/>
    </row>
    <row r="7" spans="1:18" s="113" customFormat="1" ht="48.75" customHeight="1" x14ac:dyDescent="0.6">
      <c r="A7" s="279" t="s">
        <v>6</v>
      </c>
      <c r="B7" s="279"/>
      <c r="C7" s="109" t="s">
        <v>15</v>
      </c>
      <c r="D7" s="110" t="s">
        <v>7</v>
      </c>
      <c r="E7" s="109" t="s">
        <v>16</v>
      </c>
      <c r="F7" s="111" t="s">
        <v>8</v>
      </c>
      <c r="G7" s="112" t="s">
        <v>17</v>
      </c>
      <c r="H7" s="110" t="s">
        <v>9</v>
      </c>
      <c r="I7" s="249" t="s">
        <v>18</v>
      </c>
      <c r="J7" s="250"/>
      <c r="K7" s="270"/>
      <c r="L7" s="271"/>
      <c r="M7" s="271"/>
      <c r="N7" s="271"/>
      <c r="O7" s="271"/>
      <c r="P7" s="271"/>
      <c r="Q7" s="271"/>
      <c r="R7" s="272"/>
    </row>
    <row r="8" spans="1:18" s="113" customFormat="1" ht="57" customHeight="1" x14ac:dyDescent="0.6">
      <c r="A8" s="280" t="s">
        <v>10</v>
      </c>
      <c r="B8" s="280"/>
      <c r="C8" s="115">
        <v>60529</v>
      </c>
      <c r="D8" s="114" t="s">
        <v>11</v>
      </c>
      <c r="E8" s="116" t="s">
        <v>19</v>
      </c>
      <c r="F8" s="117" t="s">
        <v>12</v>
      </c>
      <c r="G8" s="118"/>
      <c r="H8" s="114" t="s">
        <v>13</v>
      </c>
      <c r="I8" s="253" t="s">
        <v>20</v>
      </c>
      <c r="J8" s="254"/>
      <c r="K8" s="270"/>
      <c r="L8" s="271"/>
      <c r="M8" s="271"/>
      <c r="N8" s="271"/>
      <c r="O8" s="271"/>
      <c r="P8" s="271"/>
      <c r="Q8" s="271"/>
      <c r="R8" s="272"/>
    </row>
    <row r="9" spans="1:18" s="113" customFormat="1" ht="62.25" customHeight="1" x14ac:dyDescent="0.6">
      <c r="A9" s="255" t="s">
        <v>14</v>
      </c>
      <c r="B9" s="255"/>
      <c r="C9" s="255"/>
      <c r="D9" s="255"/>
      <c r="E9" s="255"/>
      <c r="F9" s="255"/>
      <c r="G9" s="255"/>
      <c r="H9" s="255"/>
      <c r="I9" s="255"/>
      <c r="J9" s="119"/>
      <c r="K9" s="270"/>
      <c r="L9" s="271"/>
      <c r="M9" s="271"/>
      <c r="N9" s="271"/>
      <c r="O9" s="271"/>
      <c r="P9" s="271"/>
      <c r="Q9" s="271"/>
      <c r="R9" s="272"/>
    </row>
    <row r="10" spans="1:18" s="122" customFormat="1" ht="39" x14ac:dyDescent="0.6">
      <c r="A10" s="247" t="s">
        <v>6</v>
      </c>
      <c r="B10" s="248"/>
      <c r="C10" s="109"/>
      <c r="D10" s="120" t="s">
        <v>7</v>
      </c>
      <c r="E10" s="109"/>
      <c r="F10" s="121" t="s">
        <v>8</v>
      </c>
      <c r="G10" s="112"/>
      <c r="H10" s="120" t="s">
        <v>9</v>
      </c>
      <c r="I10" s="249"/>
      <c r="J10" s="250"/>
      <c r="K10" s="270"/>
      <c r="L10" s="271"/>
      <c r="M10" s="271"/>
      <c r="N10" s="271"/>
      <c r="O10" s="271"/>
      <c r="P10" s="271"/>
      <c r="Q10" s="271"/>
      <c r="R10" s="272"/>
    </row>
    <row r="11" spans="1:18" s="122" customFormat="1" ht="39.75" x14ac:dyDescent="0.6">
      <c r="A11" s="251" t="s">
        <v>10</v>
      </c>
      <c r="B11" s="252"/>
      <c r="C11" s="115"/>
      <c r="D11" s="123" t="s">
        <v>11</v>
      </c>
      <c r="E11" s="116"/>
      <c r="F11" s="124" t="s">
        <v>12</v>
      </c>
      <c r="G11" s="125"/>
      <c r="H11" s="123" t="s">
        <v>13</v>
      </c>
      <c r="I11" s="253"/>
      <c r="J11" s="254"/>
      <c r="K11" s="270"/>
      <c r="L11" s="271"/>
      <c r="M11" s="271"/>
      <c r="N11" s="271"/>
      <c r="O11" s="271"/>
      <c r="P11" s="271"/>
      <c r="Q11" s="271"/>
      <c r="R11" s="272"/>
    </row>
    <row r="12" spans="1:18" s="113" customFormat="1" ht="39" x14ac:dyDescent="0.6">
      <c r="A12" s="255" t="s">
        <v>21</v>
      </c>
      <c r="B12" s="255"/>
      <c r="C12" s="255"/>
      <c r="D12" s="255"/>
      <c r="E12" s="255"/>
      <c r="F12" s="255"/>
      <c r="G12" s="255"/>
      <c r="H12" s="255"/>
      <c r="I12" s="255"/>
      <c r="J12" s="119"/>
      <c r="K12" s="270"/>
      <c r="L12" s="271"/>
      <c r="M12" s="271"/>
      <c r="N12" s="271"/>
      <c r="O12" s="271"/>
      <c r="P12" s="271"/>
      <c r="Q12" s="271"/>
      <c r="R12" s="272"/>
    </row>
    <row r="13" spans="1:18" s="122" customFormat="1" ht="56.25" customHeight="1" x14ac:dyDescent="0.6">
      <c r="A13" s="256" t="s">
        <v>6</v>
      </c>
      <c r="B13" s="256"/>
      <c r="C13" s="109"/>
      <c r="D13" s="120" t="s">
        <v>7</v>
      </c>
      <c r="E13" s="109"/>
      <c r="F13" s="121" t="s">
        <v>8</v>
      </c>
      <c r="G13" s="112"/>
      <c r="H13" s="120" t="s">
        <v>9</v>
      </c>
      <c r="I13" s="257"/>
      <c r="J13" s="258"/>
      <c r="K13" s="270"/>
      <c r="L13" s="271"/>
      <c r="M13" s="271"/>
      <c r="N13" s="271"/>
      <c r="O13" s="271"/>
      <c r="P13" s="271"/>
      <c r="Q13" s="271"/>
      <c r="R13" s="272"/>
    </row>
    <row r="14" spans="1:18" s="122" customFormat="1" ht="57" customHeight="1" x14ac:dyDescent="0.6">
      <c r="A14" s="281" t="s">
        <v>10</v>
      </c>
      <c r="B14" s="281"/>
      <c r="C14" s="115"/>
      <c r="D14" s="123" t="s">
        <v>11</v>
      </c>
      <c r="E14" s="126"/>
      <c r="F14" s="124" t="s">
        <v>12</v>
      </c>
      <c r="G14" s="125"/>
      <c r="H14" s="123" t="s">
        <v>13</v>
      </c>
      <c r="I14" s="282"/>
      <c r="J14" s="283"/>
      <c r="K14" s="270"/>
      <c r="L14" s="271"/>
      <c r="M14" s="271"/>
      <c r="N14" s="271"/>
      <c r="O14" s="271"/>
      <c r="P14" s="271"/>
      <c r="Q14" s="271"/>
      <c r="R14" s="272"/>
    </row>
    <row r="15" spans="1:18" s="29" customFormat="1" ht="20.25" customHeight="1" thickBot="1" x14ac:dyDescent="0.75">
      <c r="A15" s="284"/>
      <c r="B15" s="285"/>
      <c r="C15" s="285"/>
      <c r="D15" s="285"/>
      <c r="E15" s="285"/>
      <c r="F15" s="285"/>
      <c r="G15" s="285"/>
      <c r="H15" s="285"/>
      <c r="I15" s="285"/>
      <c r="J15" s="28"/>
      <c r="K15" s="273"/>
      <c r="L15" s="274"/>
      <c r="M15" s="274"/>
      <c r="N15" s="274"/>
      <c r="O15" s="274"/>
      <c r="P15" s="274"/>
      <c r="Q15" s="274"/>
      <c r="R15" s="275"/>
    </row>
    <row r="16" spans="1:18" s="29" customFormat="1" ht="47.25" x14ac:dyDescent="0.7">
      <c r="A16" s="233" t="s">
        <v>22</v>
      </c>
      <c r="B16" s="234"/>
      <c r="C16" s="234"/>
      <c r="D16" s="234"/>
      <c r="E16" s="234"/>
      <c r="F16" s="234"/>
      <c r="G16" s="234"/>
      <c r="H16" s="234"/>
      <c r="I16" s="234"/>
      <c r="J16" s="30"/>
      <c r="K16" s="31"/>
      <c r="L16" s="32"/>
      <c r="M16" s="32"/>
      <c r="N16" s="32"/>
      <c r="O16" s="32"/>
      <c r="P16" s="33"/>
      <c r="Q16" s="33"/>
      <c r="R16" s="34"/>
    </row>
    <row r="17" spans="1:18" s="36" customFormat="1" ht="31.5" customHeight="1" x14ac:dyDescent="0.25">
      <c r="A17" s="235" t="s">
        <v>23</v>
      </c>
      <c r="B17" s="237" t="s">
        <v>24</v>
      </c>
      <c r="C17" s="238" t="s">
        <v>25</v>
      </c>
      <c r="D17" s="238" t="s">
        <v>26</v>
      </c>
      <c r="E17" s="238" t="s">
        <v>25</v>
      </c>
      <c r="F17" s="224" t="s">
        <v>27</v>
      </c>
      <c r="G17" s="224" t="s">
        <v>28</v>
      </c>
      <c r="H17" s="226" t="s">
        <v>29</v>
      </c>
      <c r="I17" s="224" t="s">
        <v>30</v>
      </c>
      <c r="J17" s="228" t="s">
        <v>31</v>
      </c>
      <c r="K17" s="229"/>
      <c r="L17" s="229"/>
      <c r="M17" s="229"/>
      <c r="N17" s="229"/>
      <c r="O17" s="230"/>
      <c r="P17" s="231" t="s">
        <v>298</v>
      </c>
      <c r="Q17" s="231" t="s">
        <v>299</v>
      </c>
      <c r="R17" s="222" t="s">
        <v>300</v>
      </c>
    </row>
    <row r="18" spans="1:18" s="36" customFormat="1" ht="36" x14ac:dyDescent="0.25">
      <c r="A18" s="236"/>
      <c r="B18" s="237"/>
      <c r="C18" s="237"/>
      <c r="D18" s="237"/>
      <c r="E18" s="237"/>
      <c r="F18" s="225"/>
      <c r="G18" s="225"/>
      <c r="H18" s="227"/>
      <c r="I18" s="225"/>
      <c r="J18" s="37" t="s">
        <v>301</v>
      </c>
      <c r="K18" s="35" t="s">
        <v>302</v>
      </c>
      <c r="L18" s="35" t="s">
        <v>303</v>
      </c>
      <c r="M18" s="37" t="s">
        <v>304</v>
      </c>
      <c r="N18" s="37" t="s">
        <v>305</v>
      </c>
      <c r="O18" s="37" t="s">
        <v>306</v>
      </c>
      <c r="P18" s="232"/>
      <c r="Q18" s="232"/>
      <c r="R18" s="223"/>
    </row>
    <row r="19" spans="1:18" s="41" customFormat="1" ht="147" customHeight="1" x14ac:dyDescent="0.25">
      <c r="A19" s="139">
        <v>1</v>
      </c>
      <c r="B19" s="140" t="s">
        <v>38</v>
      </c>
      <c r="C19" s="142">
        <f>SUM(E19:E27)</f>
        <v>13</v>
      </c>
      <c r="D19" s="136" t="s">
        <v>39</v>
      </c>
      <c r="E19" s="3">
        <v>1</v>
      </c>
      <c r="F19" s="3">
        <f>E19/$E$148 * 100</f>
        <v>1.0000000000000002</v>
      </c>
      <c r="G19" s="2" t="s">
        <v>40</v>
      </c>
      <c r="H19" s="4">
        <v>1</v>
      </c>
      <c r="I19" s="5" t="s">
        <v>41</v>
      </c>
      <c r="J19" s="6">
        <v>100</v>
      </c>
      <c r="K19" s="7">
        <v>95</v>
      </c>
      <c r="L19" s="7">
        <v>90</v>
      </c>
      <c r="M19" s="7">
        <v>85</v>
      </c>
      <c r="N19" s="7">
        <v>80</v>
      </c>
      <c r="O19" s="7" t="s">
        <v>42</v>
      </c>
      <c r="P19" s="38"/>
      <c r="Q19" s="39">
        <f t="shared" ref="Q19:Q100" si="0">IF(OR(TRIM(P19)="",P19=0),0,
IF(P19&lt;N19,50,
IF(P19&lt;M19,60,
IF(P19&lt;L19,70,
IF(P19&lt;K19,80,
IF(ISNUMBER(J19),
    IF(P19&lt;J19,IF(P19&gt;=K19,90,80),100),
    IF(P19=K19,90,100)
))))))</f>
        <v>0</v>
      </c>
      <c r="R19" s="40">
        <f t="shared" ref="R19:R100" si="1">F19*Q19/100</f>
        <v>0</v>
      </c>
    </row>
    <row r="20" spans="1:18" s="41" customFormat="1" ht="147" customHeight="1" x14ac:dyDescent="0.25">
      <c r="A20" s="139"/>
      <c r="B20" s="140"/>
      <c r="C20" s="142"/>
      <c r="D20" s="137"/>
      <c r="E20" s="3">
        <v>1</v>
      </c>
      <c r="F20" s="3">
        <f t="shared" ref="F20:F83" si="2">E20/$E$148 * 100</f>
        <v>1.0000000000000002</v>
      </c>
      <c r="G20" s="2" t="s">
        <v>43</v>
      </c>
      <c r="H20" s="4">
        <v>1</v>
      </c>
      <c r="I20" s="5" t="s">
        <v>41</v>
      </c>
      <c r="J20" s="6">
        <v>100</v>
      </c>
      <c r="K20" s="7">
        <v>95</v>
      </c>
      <c r="L20" s="7">
        <v>90</v>
      </c>
      <c r="M20" s="7">
        <v>85</v>
      </c>
      <c r="N20" s="7">
        <v>80</v>
      </c>
      <c r="O20" s="7" t="s">
        <v>42</v>
      </c>
      <c r="P20" s="38"/>
      <c r="Q20" s="39">
        <f t="shared" si="0"/>
        <v>0</v>
      </c>
      <c r="R20" s="40">
        <f t="shared" si="1"/>
        <v>0</v>
      </c>
    </row>
    <row r="21" spans="1:18" s="41" customFormat="1" ht="147" customHeight="1" x14ac:dyDescent="0.25">
      <c r="A21" s="139"/>
      <c r="B21" s="140"/>
      <c r="C21" s="142"/>
      <c r="D21" s="138"/>
      <c r="E21" s="3">
        <v>2</v>
      </c>
      <c r="F21" s="3">
        <f t="shared" si="2"/>
        <v>2.0000000000000004</v>
      </c>
      <c r="G21" s="2" t="s">
        <v>44</v>
      </c>
      <c r="H21" s="4">
        <v>1</v>
      </c>
      <c r="I21" s="5" t="s">
        <v>41</v>
      </c>
      <c r="J21" s="6">
        <v>100</v>
      </c>
      <c r="K21" s="7">
        <v>95</v>
      </c>
      <c r="L21" s="7">
        <v>90</v>
      </c>
      <c r="M21" s="7">
        <v>85</v>
      </c>
      <c r="N21" s="7">
        <v>80</v>
      </c>
      <c r="O21" s="7" t="s">
        <v>42</v>
      </c>
      <c r="P21" s="38"/>
      <c r="Q21" s="39">
        <f t="shared" si="0"/>
        <v>0</v>
      </c>
      <c r="R21" s="40">
        <f t="shared" si="1"/>
        <v>0</v>
      </c>
    </row>
    <row r="22" spans="1:18" s="41" customFormat="1" ht="147" customHeight="1" x14ac:dyDescent="0.25">
      <c r="A22" s="139"/>
      <c r="B22" s="140"/>
      <c r="C22" s="142"/>
      <c r="D22" s="140" t="s">
        <v>45</v>
      </c>
      <c r="E22" s="3">
        <v>2</v>
      </c>
      <c r="F22" s="3">
        <f t="shared" si="2"/>
        <v>2.0000000000000004</v>
      </c>
      <c r="G22" s="2" t="s">
        <v>46</v>
      </c>
      <c r="H22" s="4">
        <v>0.5</v>
      </c>
      <c r="I22" s="5" t="s">
        <v>41</v>
      </c>
      <c r="J22" s="6" t="s">
        <v>47</v>
      </c>
      <c r="K22" s="7">
        <v>50</v>
      </c>
      <c r="L22" s="7">
        <v>45</v>
      </c>
      <c r="M22" s="7">
        <v>40</v>
      </c>
      <c r="N22" s="7">
        <v>25</v>
      </c>
      <c r="O22" s="7" t="s">
        <v>48</v>
      </c>
      <c r="P22" s="38"/>
      <c r="Q22" s="39">
        <f t="shared" si="0"/>
        <v>0</v>
      </c>
      <c r="R22" s="40">
        <f t="shared" si="1"/>
        <v>0</v>
      </c>
    </row>
    <row r="23" spans="1:18" s="41" customFormat="1" ht="147" customHeight="1" x14ac:dyDescent="0.25">
      <c r="A23" s="139"/>
      <c r="B23" s="140"/>
      <c r="C23" s="142"/>
      <c r="D23" s="140"/>
      <c r="E23" s="3">
        <v>1</v>
      </c>
      <c r="F23" s="3">
        <f t="shared" si="2"/>
        <v>1.0000000000000002</v>
      </c>
      <c r="G23" s="2" t="s">
        <v>49</v>
      </c>
      <c r="H23" s="4">
        <v>0.5</v>
      </c>
      <c r="I23" s="5" t="s">
        <v>41</v>
      </c>
      <c r="J23" s="6" t="s">
        <v>47</v>
      </c>
      <c r="K23" s="7">
        <v>50</v>
      </c>
      <c r="L23" s="7">
        <v>45</v>
      </c>
      <c r="M23" s="7">
        <v>40</v>
      </c>
      <c r="N23" s="7">
        <v>25</v>
      </c>
      <c r="O23" s="7" t="s">
        <v>48</v>
      </c>
      <c r="P23" s="38"/>
      <c r="Q23" s="39">
        <f t="shared" si="0"/>
        <v>0</v>
      </c>
      <c r="R23" s="40">
        <f t="shared" si="1"/>
        <v>0</v>
      </c>
    </row>
    <row r="24" spans="1:18" s="41" customFormat="1" ht="147" customHeight="1" x14ac:dyDescent="0.25">
      <c r="A24" s="139"/>
      <c r="B24" s="140"/>
      <c r="C24" s="142"/>
      <c r="D24" s="140"/>
      <c r="E24" s="3">
        <v>1</v>
      </c>
      <c r="F24" s="3">
        <f t="shared" si="2"/>
        <v>1.0000000000000002</v>
      </c>
      <c r="G24" s="2" t="s">
        <v>50</v>
      </c>
      <c r="H24" s="4">
        <v>0.75</v>
      </c>
      <c r="I24" s="5" t="s">
        <v>41</v>
      </c>
      <c r="J24" s="6" t="s">
        <v>51</v>
      </c>
      <c r="K24" s="7">
        <v>75</v>
      </c>
      <c r="L24" s="7">
        <v>70</v>
      </c>
      <c r="M24" s="7">
        <v>60</v>
      </c>
      <c r="N24" s="7">
        <v>50</v>
      </c>
      <c r="O24" s="7" t="s">
        <v>52</v>
      </c>
      <c r="P24" s="38"/>
      <c r="Q24" s="39">
        <f t="shared" si="0"/>
        <v>0</v>
      </c>
      <c r="R24" s="40">
        <f t="shared" si="1"/>
        <v>0</v>
      </c>
    </row>
    <row r="25" spans="1:18" s="41" customFormat="1" ht="147" customHeight="1" thickBot="1" x14ac:dyDescent="0.3">
      <c r="A25" s="139"/>
      <c r="B25" s="140"/>
      <c r="C25" s="142"/>
      <c r="D25" s="8" t="s">
        <v>53</v>
      </c>
      <c r="E25" s="3">
        <v>4</v>
      </c>
      <c r="F25" s="3">
        <f t="shared" si="2"/>
        <v>4.0000000000000009</v>
      </c>
      <c r="G25" s="2" t="s">
        <v>54</v>
      </c>
      <c r="H25" s="9">
        <v>4</v>
      </c>
      <c r="I25" s="5" t="s">
        <v>55</v>
      </c>
      <c r="J25" s="6" t="s">
        <v>56</v>
      </c>
      <c r="K25" s="7">
        <v>4</v>
      </c>
      <c r="L25" s="7">
        <v>3</v>
      </c>
      <c r="M25" s="7">
        <v>2</v>
      </c>
      <c r="N25" s="7">
        <v>1</v>
      </c>
      <c r="O25" s="7">
        <v>0</v>
      </c>
      <c r="P25" s="38"/>
      <c r="Q25" s="39">
        <f t="shared" si="0"/>
        <v>0</v>
      </c>
      <c r="R25" s="40">
        <f t="shared" si="1"/>
        <v>0</v>
      </c>
    </row>
    <row r="26" spans="1:18" s="41" customFormat="1" ht="147" customHeight="1" x14ac:dyDescent="0.25">
      <c r="A26" s="139"/>
      <c r="B26" s="140"/>
      <c r="C26" s="142"/>
      <c r="D26" s="140" t="s">
        <v>57</v>
      </c>
      <c r="E26" s="3">
        <v>0.5</v>
      </c>
      <c r="F26" s="3">
        <f t="shared" si="2"/>
        <v>0.50000000000000011</v>
      </c>
      <c r="G26" s="2" t="s">
        <v>58</v>
      </c>
      <c r="H26" s="4">
        <v>0.5</v>
      </c>
      <c r="I26" s="5" t="s">
        <v>41</v>
      </c>
      <c r="J26" s="6" t="s">
        <v>47</v>
      </c>
      <c r="K26" s="7">
        <v>50</v>
      </c>
      <c r="L26" s="7">
        <v>45</v>
      </c>
      <c r="M26" s="7">
        <v>40</v>
      </c>
      <c r="N26" s="7">
        <v>25</v>
      </c>
      <c r="O26" s="7" t="s">
        <v>48</v>
      </c>
      <c r="P26" s="38"/>
      <c r="Q26" s="39">
        <f t="shared" si="0"/>
        <v>0</v>
      </c>
      <c r="R26" s="40">
        <f t="shared" si="1"/>
        <v>0</v>
      </c>
    </row>
    <row r="27" spans="1:18" s="41" customFormat="1" ht="147" customHeight="1" x14ac:dyDescent="0.25">
      <c r="A27" s="139"/>
      <c r="B27" s="140"/>
      <c r="C27" s="142"/>
      <c r="D27" s="140"/>
      <c r="E27" s="3">
        <v>0.5</v>
      </c>
      <c r="F27" s="3">
        <f t="shared" si="2"/>
        <v>0.50000000000000011</v>
      </c>
      <c r="G27" s="2" t="s">
        <v>59</v>
      </c>
      <c r="H27" s="4">
        <v>0.75</v>
      </c>
      <c r="I27" s="5" t="s">
        <v>41</v>
      </c>
      <c r="J27" s="6" t="s">
        <v>51</v>
      </c>
      <c r="K27" s="7">
        <v>75</v>
      </c>
      <c r="L27" s="7">
        <v>70</v>
      </c>
      <c r="M27" s="7">
        <v>60</v>
      </c>
      <c r="N27" s="7">
        <v>50</v>
      </c>
      <c r="O27" s="7" t="s">
        <v>52</v>
      </c>
      <c r="P27" s="38"/>
      <c r="Q27" s="39">
        <f t="shared" si="0"/>
        <v>0</v>
      </c>
      <c r="R27" s="40">
        <f t="shared" si="1"/>
        <v>0</v>
      </c>
    </row>
    <row r="28" spans="1:18" s="41" customFormat="1" ht="147" customHeight="1" x14ac:dyDescent="0.25">
      <c r="A28" s="127">
        <v>2</v>
      </c>
      <c r="B28" s="136" t="s">
        <v>60</v>
      </c>
      <c r="C28" s="143">
        <v>7</v>
      </c>
      <c r="D28" s="136" t="s">
        <v>61</v>
      </c>
      <c r="E28" s="3">
        <v>1</v>
      </c>
      <c r="F28" s="3">
        <f t="shared" si="2"/>
        <v>1.0000000000000002</v>
      </c>
      <c r="G28" s="2" t="s">
        <v>62</v>
      </c>
      <c r="H28" s="10">
        <v>0.8</v>
      </c>
      <c r="I28" s="1" t="s">
        <v>41</v>
      </c>
      <c r="J28" s="6" t="s">
        <v>63</v>
      </c>
      <c r="K28" s="7">
        <v>80</v>
      </c>
      <c r="L28" s="7">
        <v>75</v>
      </c>
      <c r="M28" s="7">
        <v>70</v>
      </c>
      <c r="N28" s="7">
        <v>50</v>
      </c>
      <c r="O28" s="7" t="s">
        <v>52</v>
      </c>
      <c r="P28" s="38"/>
      <c r="Q28" s="39">
        <f t="shared" si="0"/>
        <v>0</v>
      </c>
      <c r="R28" s="40">
        <f t="shared" si="1"/>
        <v>0</v>
      </c>
    </row>
    <row r="29" spans="1:18" s="41" customFormat="1" ht="147" customHeight="1" x14ac:dyDescent="0.25">
      <c r="A29" s="128"/>
      <c r="B29" s="137"/>
      <c r="C29" s="144"/>
      <c r="D29" s="138"/>
      <c r="E29" s="3">
        <v>1</v>
      </c>
      <c r="F29" s="3">
        <f t="shared" si="2"/>
        <v>1.0000000000000002</v>
      </c>
      <c r="G29" s="2" t="s">
        <v>64</v>
      </c>
      <c r="H29" s="10">
        <v>0.8</v>
      </c>
      <c r="I29" s="1" t="s">
        <v>41</v>
      </c>
      <c r="J29" s="6" t="s">
        <v>63</v>
      </c>
      <c r="K29" s="7">
        <v>80</v>
      </c>
      <c r="L29" s="7">
        <v>75</v>
      </c>
      <c r="M29" s="7">
        <v>70</v>
      </c>
      <c r="N29" s="7">
        <v>50</v>
      </c>
      <c r="O29" s="7" t="s">
        <v>52</v>
      </c>
      <c r="P29" s="38"/>
      <c r="Q29" s="39">
        <f t="shared" si="0"/>
        <v>0</v>
      </c>
      <c r="R29" s="40">
        <f t="shared" si="1"/>
        <v>0</v>
      </c>
    </row>
    <row r="30" spans="1:18" s="41" customFormat="1" ht="147" customHeight="1" x14ac:dyDescent="0.25">
      <c r="A30" s="128"/>
      <c r="B30" s="137"/>
      <c r="C30" s="144"/>
      <c r="D30" s="136" t="s">
        <v>65</v>
      </c>
      <c r="E30" s="3">
        <v>0.66666666666666663</v>
      </c>
      <c r="F30" s="3">
        <f t="shared" si="2"/>
        <v>0.66666666666666674</v>
      </c>
      <c r="G30" s="2" t="s">
        <v>66</v>
      </c>
      <c r="H30" s="10">
        <v>0.8</v>
      </c>
      <c r="I30" s="1" t="s">
        <v>41</v>
      </c>
      <c r="J30" s="6" t="s">
        <v>63</v>
      </c>
      <c r="K30" s="7">
        <v>80</v>
      </c>
      <c r="L30" s="7">
        <v>75</v>
      </c>
      <c r="M30" s="7">
        <v>70</v>
      </c>
      <c r="N30" s="7">
        <v>50</v>
      </c>
      <c r="O30" s="7" t="s">
        <v>52</v>
      </c>
      <c r="P30" s="38"/>
      <c r="Q30" s="39">
        <f t="shared" si="0"/>
        <v>0</v>
      </c>
      <c r="R30" s="40">
        <f t="shared" si="1"/>
        <v>0</v>
      </c>
    </row>
    <row r="31" spans="1:18" s="41" customFormat="1" ht="147" customHeight="1" x14ac:dyDescent="0.25">
      <c r="A31" s="128"/>
      <c r="B31" s="137"/>
      <c r="C31" s="144"/>
      <c r="D31" s="137"/>
      <c r="E31" s="3">
        <v>0.66666666666666663</v>
      </c>
      <c r="F31" s="3">
        <f t="shared" si="2"/>
        <v>0.66666666666666674</v>
      </c>
      <c r="G31" s="2" t="s">
        <v>67</v>
      </c>
      <c r="H31" s="10">
        <v>0.8</v>
      </c>
      <c r="I31" s="1" t="s">
        <v>41</v>
      </c>
      <c r="J31" s="6" t="s">
        <v>63</v>
      </c>
      <c r="K31" s="7">
        <v>80</v>
      </c>
      <c r="L31" s="7">
        <v>75</v>
      </c>
      <c r="M31" s="7">
        <v>70</v>
      </c>
      <c r="N31" s="7">
        <v>50</v>
      </c>
      <c r="O31" s="7" t="s">
        <v>52</v>
      </c>
      <c r="P31" s="38"/>
      <c r="Q31" s="39">
        <f t="shared" si="0"/>
        <v>0</v>
      </c>
      <c r="R31" s="40">
        <f t="shared" si="1"/>
        <v>0</v>
      </c>
    </row>
    <row r="32" spans="1:18" s="41" customFormat="1" ht="147" customHeight="1" x14ac:dyDescent="0.25">
      <c r="A32" s="128"/>
      <c r="B32" s="137"/>
      <c r="C32" s="144"/>
      <c r="D32" s="138"/>
      <c r="E32" s="3">
        <v>0.66666666666666663</v>
      </c>
      <c r="F32" s="3">
        <f t="shared" si="2"/>
        <v>0.66666666666666674</v>
      </c>
      <c r="G32" s="2" t="s">
        <v>68</v>
      </c>
      <c r="H32" s="10">
        <v>0.8</v>
      </c>
      <c r="I32" s="1" t="s">
        <v>41</v>
      </c>
      <c r="J32" s="6" t="s">
        <v>63</v>
      </c>
      <c r="K32" s="7">
        <v>80</v>
      </c>
      <c r="L32" s="7">
        <v>75</v>
      </c>
      <c r="M32" s="7">
        <v>70</v>
      </c>
      <c r="N32" s="7">
        <v>50</v>
      </c>
      <c r="O32" s="7" t="s">
        <v>52</v>
      </c>
      <c r="P32" s="38"/>
      <c r="Q32" s="39">
        <f t="shared" si="0"/>
        <v>0</v>
      </c>
      <c r="R32" s="40">
        <f t="shared" si="1"/>
        <v>0</v>
      </c>
    </row>
    <row r="33" spans="1:18" s="41" customFormat="1" ht="147" customHeight="1" x14ac:dyDescent="0.25">
      <c r="A33" s="128"/>
      <c r="B33" s="137"/>
      <c r="C33" s="144"/>
      <c r="D33" s="136" t="s">
        <v>69</v>
      </c>
      <c r="E33" s="3">
        <v>0.5</v>
      </c>
      <c r="F33" s="3">
        <f t="shared" si="2"/>
        <v>0.50000000000000011</v>
      </c>
      <c r="G33" s="2" t="s">
        <v>70</v>
      </c>
      <c r="H33" s="10">
        <v>0.8</v>
      </c>
      <c r="I33" s="1" t="s">
        <v>41</v>
      </c>
      <c r="J33" s="6" t="s">
        <v>63</v>
      </c>
      <c r="K33" s="7">
        <v>80</v>
      </c>
      <c r="L33" s="7">
        <v>75</v>
      </c>
      <c r="M33" s="7">
        <v>70</v>
      </c>
      <c r="N33" s="7">
        <v>50</v>
      </c>
      <c r="O33" s="7" t="s">
        <v>52</v>
      </c>
      <c r="P33" s="38"/>
      <c r="Q33" s="39">
        <f t="shared" si="0"/>
        <v>0</v>
      </c>
      <c r="R33" s="40">
        <f t="shared" si="1"/>
        <v>0</v>
      </c>
    </row>
    <row r="34" spans="1:18" s="41" customFormat="1" ht="147" customHeight="1" x14ac:dyDescent="0.25">
      <c r="A34" s="128"/>
      <c r="B34" s="137"/>
      <c r="C34" s="144"/>
      <c r="D34" s="138"/>
      <c r="E34" s="3">
        <v>0.5</v>
      </c>
      <c r="F34" s="3">
        <f t="shared" si="2"/>
        <v>0.50000000000000011</v>
      </c>
      <c r="G34" s="2" t="s">
        <v>71</v>
      </c>
      <c r="H34" s="10">
        <v>1</v>
      </c>
      <c r="I34" s="5" t="s">
        <v>41</v>
      </c>
      <c r="J34" s="6">
        <v>100</v>
      </c>
      <c r="K34" s="7">
        <v>95</v>
      </c>
      <c r="L34" s="7">
        <v>90</v>
      </c>
      <c r="M34" s="7">
        <v>85</v>
      </c>
      <c r="N34" s="7">
        <v>80</v>
      </c>
      <c r="O34" s="7" t="s">
        <v>42</v>
      </c>
      <c r="P34" s="38"/>
      <c r="Q34" s="39">
        <f t="shared" si="0"/>
        <v>0</v>
      </c>
      <c r="R34" s="40">
        <f t="shared" si="1"/>
        <v>0</v>
      </c>
    </row>
    <row r="35" spans="1:18" s="41" customFormat="1" ht="147" customHeight="1" x14ac:dyDescent="0.25">
      <c r="A35" s="128"/>
      <c r="B35" s="137"/>
      <c r="C35" s="144"/>
      <c r="D35" s="136" t="s">
        <v>72</v>
      </c>
      <c r="E35" s="3">
        <v>0.5</v>
      </c>
      <c r="F35" s="3">
        <f t="shared" si="2"/>
        <v>0.50000000000000011</v>
      </c>
      <c r="G35" s="2" t="s">
        <v>73</v>
      </c>
      <c r="H35" s="10">
        <v>0.9</v>
      </c>
      <c r="I35" s="1" t="s">
        <v>41</v>
      </c>
      <c r="J35" s="6" t="s">
        <v>74</v>
      </c>
      <c r="K35" s="7">
        <v>90</v>
      </c>
      <c r="L35" s="7">
        <v>80</v>
      </c>
      <c r="M35" s="7">
        <v>70</v>
      </c>
      <c r="N35" s="7">
        <v>50</v>
      </c>
      <c r="O35" s="7" t="s">
        <v>52</v>
      </c>
      <c r="P35" s="38"/>
      <c r="Q35" s="39">
        <f t="shared" si="0"/>
        <v>0</v>
      </c>
      <c r="R35" s="40">
        <f t="shared" si="1"/>
        <v>0</v>
      </c>
    </row>
    <row r="36" spans="1:18" s="41" customFormat="1" ht="147" customHeight="1" x14ac:dyDescent="0.25">
      <c r="A36" s="128"/>
      <c r="B36" s="137"/>
      <c r="C36" s="144"/>
      <c r="D36" s="138"/>
      <c r="E36" s="3">
        <v>0.5</v>
      </c>
      <c r="F36" s="3">
        <f t="shared" si="2"/>
        <v>0.50000000000000011</v>
      </c>
      <c r="G36" s="2" t="s">
        <v>75</v>
      </c>
      <c r="H36" s="10">
        <v>0.8</v>
      </c>
      <c r="I36" s="1" t="s">
        <v>41</v>
      </c>
      <c r="J36" s="6" t="s">
        <v>63</v>
      </c>
      <c r="K36" s="7">
        <v>80</v>
      </c>
      <c r="L36" s="7">
        <v>75</v>
      </c>
      <c r="M36" s="7">
        <v>70</v>
      </c>
      <c r="N36" s="7">
        <v>50</v>
      </c>
      <c r="O36" s="7" t="s">
        <v>52</v>
      </c>
      <c r="P36" s="38"/>
      <c r="Q36" s="39">
        <f t="shared" si="0"/>
        <v>0</v>
      </c>
      <c r="R36" s="40">
        <f t="shared" si="1"/>
        <v>0</v>
      </c>
    </row>
    <row r="37" spans="1:18" s="41" customFormat="1" ht="147" customHeight="1" x14ac:dyDescent="0.25">
      <c r="A37" s="128"/>
      <c r="B37" s="137"/>
      <c r="C37" s="144"/>
      <c r="D37" s="136" t="s">
        <v>76</v>
      </c>
      <c r="E37" s="3">
        <v>0.5</v>
      </c>
      <c r="F37" s="3">
        <f t="shared" si="2"/>
        <v>0.50000000000000011</v>
      </c>
      <c r="G37" s="2" t="s">
        <v>77</v>
      </c>
      <c r="H37" s="10">
        <v>1</v>
      </c>
      <c r="I37" s="5" t="s">
        <v>41</v>
      </c>
      <c r="J37" s="6">
        <v>100</v>
      </c>
      <c r="K37" s="7">
        <v>95</v>
      </c>
      <c r="L37" s="7">
        <v>90</v>
      </c>
      <c r="M37" s="7">
        <v>85</v>
      </c>
      <c r="N37" s="7">
        <v>80</v>
      </c>
      <c r="O37" s="7" t="s">
        <v>42</v>
      </c>
      <c r="P37" s="38"/>
      <c r="Q37" s="39">
        <f t="shared" si="0"/>
        <v>0</v>
      </c>
      <c r="R37" s="40">
        <f t="shared" si="1"/>
        <v>0</v>
      </c>
    </row>
    <row r="38" spans="1:18" s="41" customFormat="1" ht="147" customHeight="1" x14ac:dyDescent="0.25">
      <c r="A38" s="128"/>
      <c r="B38" s="137"/>
      <c r="C38" s="144"/>
      <c r="D38" s="137"/>
      <c r="E38" s="3">
        <v>0.25</v>
      </c>
      <c r="F38" s="3">
        <f t="shared" si="2"/>
        <v>0.25000000000000006</v>
      </c>
      <c r="G38" s="2" t="s">
        <v>78</v>
      </c>
      <c r="H38" s="10">
        <v>0.8</v>
      </c>
      <c r="I38" s="1" t="s">
        <v>41</v>
      </c>
      <c r="J38" s="6" t="s">
        <v>63</v>
      </c>
      <c r="K38" s="7">
        <v>80</v>
      </c>
      <c r="L38" s="7">
        <v>75</v>
      </c>
      <c r="M38" s="7">
        <v>70</v>
      </c>
      <c r="N38" s="7">
        <v>50</v>
      </c>
      <c r="O38" s="7" t="s">
        <v>52</v>
      </c>
      <c r="P38" s="38"/>
      <c r="Q38" s="39">
        <f t="shared" si="0"/>
        <v>0</v>
      </c>
      <c r="R38" s="40">
        <f t="shared" si="1"/>
        <v>0</v>
      </c>
    </row>
    <row r="39" spans="1:18" s="41" customFormat="1" ht="147" customHeight="1" x14ac:dyDescent="0.25">
      <c r="A39" s="129"/>
      <c r="B39" s="138"/>
      <c r="C39" s="145"/>
      <c r="D39" s="138"/>
      <c r="E39" s="3">
        <v>0.25</v>
      </c>
      <c r="F39" s="3">
        <f t="shared" si="2"/>
        <v>0.25000000000000006</v>
      </c>
      <c r="G39" s="2" t="s">
        <v>79</v>
      </c>
      <c r="H39" s="10">
        <v>1</v>
      </c>
      <c r="I39" s="5" t="s">
        <v>41</v>
      </c>
      <c r="J39" s="6">
        <v>100</v>
      </c>
      <c r="K39" s="7">
        <v>95</v>
      </c>
      <c r="L39" s="7">
        <v>90</v>
      </c>
      <c r="M39" s="7">
        <v>85</v>
      </c>
      <c r="N39" s="7">
        <v>80</v>
      </c>
      <c r="O39" s="7" t="s">
        <v>42</v>
      </c>
      <c r="P39" s="38"/>
      <c r="Q39" s="39">
        <f t="shared" si="0"/>
        <v>0</v>
      </c>
      <c r="R39" s="40">
        <f t="shared" si="1"/>
        <v>0</v>
      </c>
    </row>
    <row r="40" spans="1:18" s="41" customFormat="1" ht="147" customHeight="1" x14ac:dyDescent="0.25">
      <c r="A40" s="127">
        <v>3</v>
      </c>
      <c r="B40" s="140" t="s">
        <v>153</v>
      </c>
      <c r="C40" s="143">
        <f>SUM(E40:E53)</f>
        <v>10</v>
      </c>
      <c r="D40" s="140" t="s">
        <v>154</v>
      </c>
      <c r="E40" s="3">
        <v>0.5</v>
      </c>
      <c r="F40" s="3">
        <f t="shared" si="2"/>
        <v>0.50000000000000011</v>
      </c>
      <c r="G40" s="8" t="s">
        <v>155</v>
      </c>
      <c r="H40" s="1">
        <v>30</v>
      </c>
      <c r="I40" s="5" t="s">
        <v>55</v>
      </c>
      <c r="J40" s="6" t="s">
        <v>156</v>
      </c>
      <c r="K40" s="7">
        <v>30</v>
      </c>
      <c r="L40" s="7">
        <v>25</v>
      </c>
      <c r="M40" s="7">
        <v>20</v>
      </c>
      <c r="N40" s="7">
        <v>15</v>
      </c>
      <c r="O40" s="7" t="s">
        <v>157</v>
      </c>
      <c r="P40" s="38"/>
      <c r="Q40" s="39">
        <f t="shared" si="0"/>
        <v>0</v>
      </c>
      <c r="R40" s="40">
        <f t="shared" si="1"/>
        <v>0</v>
      </c>
    </row>
    <row r="41" spans="1:18" s="41" customFormat="1" ht="147" customHeight="1" x14ac:dyDescent="0.25">
      <c r="A41" s="128"/>
      <c r="B41" s="140"/>
      <c r="C41" s="144"/>
      <c r="D41" s="140"/>
      <c r="E41" s="3">
        <v>0.5</v>
      </c>
      <c r="F41" s="3">
        <f t="shared" si="2"/>
        <v>0.50000000000000011</v>
      </c>
      <c r="G41" s="8" t="s">
        <v>158</v>
      </c>
      <c r="H41" s="10">
        <v>1</v>
      </c>
      <c r="I41" s="5" t="s">
        <v>41</v>
      </c>
      <c r="J41" s="6">
        <v>100</v>
      </c>
      <c r="K41" s="7">
        <v>95</v>
      </c>
      <c r="L41" s="7">
        <v>90</v>
      </c>
      <c r="M41" s="7">
        <v>85</v>
      </c>
      <c r="N41" s="7">
        <v>80</v>
      </c>
      <c r="O41" s="7" t="s">
        <v>42</v>
      </c>
      <c r="P41" s="38"/>
      <c r="Q41" s="39">
        <f t="shared" si="0"/>
        <v>0</v>
      </c>
      <c r="R41" s="40">
        <f t="shared" si="1"/>
        <v>0</v>
      </c>
    </row>
    <row r="42" spans="1:18" s="41" customFormat="1" ht="147" customHeight="1" x14ac:dyDescent="0.25">
      <c r="A42" s="128"/>
      <c r="B42" s="140"/>
      <c r="C42" s="144"/>
      <c r="D42" s="140"/>
      <c r="E42" s="3">
        <v>0.5</v>
      </c>
      <c r="F42" s="3">
        <f t="shared" si="2"/>
        <v>0.50000000000000011</v>
      </c>
      <c r="G42" s="8" t="s">
        <v>159</v>
      </c>
      <c r="H42" s="10">
        <v>0.9</v>
      </c>
      <c r="I42" s="1" t="s">
        <v>41</v>
      </c>
      <c r="J42" s="6" t="s">
        <v>74</v>
      </c>
      <c r="K42" s="7">
        <v>90</v>
      </c>
      <c r="L42" s="7">
        <v>80</v>
      </c>
      <c r="M42" s="7">
        <v>70</v>
      </c>
      <c r="N42" s="7">
        <v>50</v>
      </c>
      <c r="O42" s="7" t="s">
        <v>52</v>
      </c>
      <c r="P42" s="38"/>
      <c r="Q42" s="39">
        <f t="shared" si="0"/>
        <v>0</v>
      </c>
      <c r="R42" s="40">
        <f t="shared" si="1"/>
        <v>0</v>
      </c>
    </row>
    <row r="43" spans="1:18" s="41" customFormat="1" ht="147" customHeight="1" x14ac:dyDescent="0.25">
      <c r="A43" s="128"/>
      <c r="B43" s="140"/>
      <c r="C43" s="144"/>
      <c r="D43" s="140" t="s">
        <v>160</v>
      </c>
      <c r="E43" s="3">
        <v>0.5</v>
      </c>
      <c r="F43" s="3">
        <f t="shared" si="2"/>
        <v>0.50000000000000011</v>
      </c>
      <c r="G43" s="8" t="s">
        <v>161</v>
      </c>
      <c r="H43" s="10">
        <v>1</v>
      </c>
      <c r="I43" s="5" t="s">
        <v>41</v>
      </c>
      <c r="J43" s="6">
        <v>100</v>
      </c>
      <c r="K43" s="7">
        <v>95</v>
      </c>
      <c r="L43" s="7">
        <v>90</v>
      </c>
      <c r="M43" s="7">
        <v>85</v>
      </c>
      <c r="N43" s="7">
        <v>80</v>
      </c>
      <c r="O43" s="7" t="s">
        <v>42</v>
      </c>
      <c r="P43" s="38"/>
      <c r="Q43" s="39">
        <f t="shared" si="0"/>
        <v>0</v>
      </c>
      <c r="R43" s="40">
        <f t="shared" si="1"/>
        <v>0</v>
      </c>
    </row>
    <row r="44" spans="1:18" s="41" customFormat="1" ht="147" customHeight="1" x14ac:dyDescent="0.25">
      <c r="A44" s="128"/>
      <c r="B44" s="140"/>
      <c r="C44" s="144"/>
      <c r="D44" s="140"/>
      <c r="E44" s="3">
        <v>0.5</v>
      </c>
      <c r="F44" s="3">
        <f t="shared" si="2"/>
        <v>0.50000000000000011</v>
      </c>
      <c r="G44" s="8" t="s">
        <v>162</v>
      </c>
      <c r="H44" s="10">
        <v>0.9</v>
      </c>
      <c r="I44" s="1" t="s">
        <v>41</v>
      </c>
      <c r="J44" s="6" t="s">
        <v>74</v>
      </c>
      <c r="K44" s="7">
        <v>90</v>
      </c>
      <c r="L44" s="7">
        <v>80</v>
      </c>
      <c r="M44" s="7">
        <v>70</v>
      </c>
      <c r="N44" s="7">
        <v>50</v>
      </c>
      <c r="O44" s="7" t="s">
        <v>52</v>
      </c>
      <c r="P44" s="38"/>
      <c r="Q44" s="39">
        <f t="shared" si="0"/>
        <v>0</v>
      </c>
      <c r="R44" s="40">
        <f t="shared" si="1"/>
        <v>0</v>
      </c>
    </row>
    <row r="45" spans="1:18" s="41" customFormat="1" ht="147" customHeight="1" x14ac:dyDescent="0.25">
      <c r="A45" s="128"/>
      <c r="B45" s="140"/>
      <c r="C45" s="144"/>
      <c r="D45" s="140" t="s">
        <v>163</v>
      </c>
      <c r="E45" s="3">
        <v>1</v>
      </c>
      <c r="F45" s="3">
        <f t="shared" si="2"/>
        <v>1.0000000000000002</v>
      </c>
      <c r="G45" s="8" t="s">
        <v>164</v>
      </c>
      <c r="H45" s="1">
        <v>4</v>
      </c>
      <c r="I45" s="5" t="s">
        <v>56</v>
      </c>
      <c r="J45" s="6">
        <v>4</v>
      </c>
      <c r="K45" s="7">
        <v>3</v>
      </c>
      <c r="L45" s="7">
        <v>2</v>
      </c>
      <c r="M45" s="7">
        <v>1</v>
      </c>
      <c r="N45" s="7">
        <v>0</v>
      </c>
      <c r="O45" s="7"/>
      <c r="P45" s="38"/>
      <c r="Q45" s="39">
        <f t="shared" si="0"/>
        <v>0</v>
      </c>
      <c r="R45" s="40">
        <f t="shared" si="1"/>
        <v>0</v>
      </c>
    </row>
    <row r="46" spans="1:18" s="41" customFormat="1" ht="147" customHeight="1" x14ac:dyDescent="0.25">
      <c r="A46" s="128"/>
      <c r="B46" s="140"/>
      <c r="C46" s="144"/>
      <c r="D46" s="140"/>
      <c r="E46" s="3">
        <v>1</v>
      </c>
      <c r="F46" s="3">
        <f t="shared" si="2"/>
        <v>1.0000000000000002</v>
      </c>
      <c r="G46" s="8" t="s">
        <v>165</v>
      </c>
      <c r="H46" s="10">
        <v>0.9</v>
      </c>
      <c r="I46" s="1" t="s">
        <v>41</v>
      </c>
      <c r="J46" s="6" t="s">
        <v>74</v>
      </c>
      <c r="K46" s="7">
        <v>90</v>
      </c>
      <c r="L46" s="7">
        <v>80</v>
      </c>
      <c r="M46" s="7">
        <v>70</v>
      </c>
      <c r="N46" s="7">
        <v>50</v>
      </c>
      <c r="O46" s="7" t="s">
        <v>52</v>
      </c>
      <c r="P46" s="38"/>
      <c r="Q46" s="39">
        <f t="shared" si="0"/>
        <v>0</v>
      </c>
      <c r="R46" s="40">
        <f t="shared" si="1"/>
        <v>0</v>
      </c>
    </row>
    <row r="47" spans="1:18" s="41" customFormat="1" ht="147" customHeight="1" x14ac:dyDescent="0.25">
      <c r="A47" s="128"/>
      <c r="B47" s="140"/>
      <c r="C47" s="144"/>
      <c r="D47" s="140" t="s">
        <v>166</v>
      </c>
      <c r="E47" s="3">
        <v>1</v>
      </c>
      <c r="F47" s="3">
        <f t="shared" si="2"/>
        <v>1.0000000000000002</v>
      </c>
      <c r="G47" s="8" t="s">
        <v>167</v>
      </c>
      <c r="H47" s="1">
        <v>20</v>
      </c>
      <c r="I47" s="5" t="s">
        <v>95</v>
      </c>
      <c r="J47" s="6">
        <v>20</v>
      </c>
      <c r="K47" s="7">
        <v>15</v>
      </c>
      <c r="L47" s="7">
        <v>10</v>
      </c>
      <c r="M47" s="7">
        <v>5</v>
      </c>
      <c r="N47" s="7">
        <v>3</v>
      </c>
      <c r="O47" s="7" t="s">
        <v>168</v>
      </c>
      <c r="P47" s="38"/>
      <c r="Q47" s="39">
        <f t="shared" si="0"/>
        <v>0</v>
      </c>
      <c r="R47" s="40">
        <f t="shared" si="1"/>
        <v>0</v>
      </c>
    </row>
    <row r="48" spans="1:18" s="41" customFormat="1" ht="147" customHeight="1" x14ac:dyDescent="0.25">
      <c r="A48" s="128"/>
      <c r="B48" s="140"/>
      <c r="C48" s="144"/>
      <c r="D48" s="140"/>
      <c r="E48" s="3">
        <v>1</v>
      </c>
      <c r="F48" s="3">
        <f t="shared" si="2"/>
        <v>1.0000000000000002</v>
      </c>
      <c r="G48" s="8" t="s">
        <v>169</v>
      </c>
      <c r="H48" s="1">
        <v>80</v>
      </c>
      <c r="I48" s="1" t="s">
        <v>41</v>
      </c>
      <c r="J48" s="6" t="s">
        <v>63</v>
      </c>
      <c r="K48" s="7">
        <v>80</v>
      </c>
      <c r="L48" s="7">
        <v>75</v>
      </c>
      <c r="M48" s="7">
        <v>70</v>
      </c>
      <c r="N48" s="7">
        <v>50</v>
      </c>
      <c r="O48" s="7" t="s">
        <v>52</v>
      </c>
      <c r="P48" s="38"/>
      <c r="Q48" s="39">
        <f t="shared" si="0"/>
        <v>0</v>
      </c>
      <c r="R48" s="40">
        <f t="shared" si="1"/>
        <v>0</v>
      </c>
    </row>
    <row r="49" spans="1:18" s="41" customFormat="1" ht="147" customHeight="1" x14ac:dyDescent="0.25">
      <c r="A49" s="128"/>
      <c r="B49" s="140"/>
      <c r="C49" s="144"/>
      <c r="D49" s="140" t="s">
        <v>170</v>
      </c>
      <c r="E49" s="3">
        <v>0.5</v>
      </c>
      <c r="F49" s="3">
        <f t="shared" si="2"/>
        <v>0.50000000000000011</v>
      </c>
      <c r="G49" s="8" t="s">
        <v>171</v>
      </c>
      <c r="H49" s="1">
        <v>6</v>
      </c>
      <c r="I49" s="5" t="s">
        <v>172</v>
      </c>
      <c r="J49" s="6">
        <v>6</v>
      </c>
      <c r="K49" s="7">
        <v>5</v>
      </c>
      <c r="L49" s="7">
        <v>4</v>
      </c>
      <c r="M49" s="7">
        <v>2</v>
      </c>
      <c r="N49" s="7">
        <v>1</v>
      </c>
      <c r="O49" s="7">
        <v>0</v>
      </c>
      <c r="P49" s="38"/>
      <c r="Q49" s="39">
        <f t="shared" si="0"/>
        <v>0</v>
      </c>
      <c r="R49" s="40">
        <f t="shared" si="1"/>
        <v>0</v>
      </c>
    </row>
    <row r="50" spans="1:18" s="41" customFormat="1" ht="147" customHeight="1" x14ac:dyDescent="0.25">
      <c r="A50" s="128"/>
      <c r="B50" s="140"/>
      <c r="C50" s="144"/>
      <c r="D50" s="140"/>
      <c r="E50" s="3">
        <v>0.5</v>
      </c>
      <c r="F50" s="3">
        <f t="shared" si="2"/>
        <v>0.50000000000000011</v>
      </c>
      <c r="G50" s="8" t="s">
        <v>173</v>
      </c>
      <c r="H50" s="10">
        <v>1</v>
      </c>
      <c r="I50" s="5" t="s">
        <v>41</v>
      </c>
      <c r="J50" s="6">
        <v>100</v>
      </c>
      <c r="K50" s="7">
        <v>95</v>
      </c>
      <c r="L50" s="7">
        <v>90</v>
      </c>
      <c r="M50" s="7">
        <v>85</v>
      </c>
      <c r="N50" s="7">
        <v>80</v>
      </c>
      <c r="O50" s="7" t="s">
        <v>42</v>
      </c>
      <c r="P50" s="38"/>
      <c r="Q50" s="39">
        <f t="shared" si="0"/>
        <v>0</v>
      </c>
      <c r="R50" s="40">
        <f t="shared" si="1"/>
        <v>0</v>
      </c>
    </row>
    <row r="51" spans="1:18" s="41" customFormat="1" ht="147" customHeight="1" x14ac:dyDescent="0.25">
      <c r="A51" s="128"/>
      <c r="B51" s="140"/>
      <c r="C51" s="144"/>
      <c r="D51" s="140" t="s">
        <v>174</v>
      </c>
      <c r="E51" s="3">
        <v>0.75</v>
      </c>
      <c r="F51" s="3">
        <f t="shared" si="2"/>
        <v>0.75000000000000011</v>
      </c>
      <c r="G51" s="8" t="s">
        <v>175</v>
      </c>
      <c r="H51" s="10">
        <v>1</v>
      </c>
      <c r="I51" s="5" t="s">
        <v>41</v>
      </c>
      <c r="J51" s="6">
        <v>100</v>
      </c>
      <c r="K51" s="7">
        <v>95</v>
      </c>
      <c r="L51" s="7">
        <v>90</v>
      </c>
      <c r="M51" s="7">
        <v>85</v>
      </c>
      <c r="N51" s="7">
        <v>80</v>
      </c>
      <c r="O51" s="7" t="s">
        <v>42</v>
      </c>
      <c r="P51" s="38"/>
      <c r="Q51" s="39">
        <f t="shared" si="0"/>
        <v>0</v>
      </c>
      <c r="R51" s="40">
        <f t="shared" si="1"/>
        <v>0</v>
      </c>
    </row>
    <row r="52" spans="1:18" s="41" customFormat="1" ht="147" customHeight="1" x14ac:dyDescent="0.25">
      <c r="A52" s="128"/>
      <c r="B52" s="140"/>
      <c r="C52" s="144"/>
      <c r="D52" s="140"/>
      <c r="E52" s="3">
        <v>0.75</v>
      </c>
      <c r="F52" s="3">
        <f t="shared" si="2"/>
        <v>0.75000000000000011</v>
      </c>
      <c r="G52" s="8" t="s">
        <v>176</v>
      </c>
      <c r="H52" s="10">
        <v>1</v>
      </c>
      <c r="I52" s="5" t="s">
        <v>41</v>
      </c>
      <c r="J52" s="6">
        <v>100</v>
      </c>
      <c r="K52" s="7">
        <v>95</v>
      </c>
      <c r="L52" s="7">
        <v>90</v>
      </c>
      <c r="M52" s="7">
        <v>85</v>
      </c>
      <c r="N52" s="7">
        <v>80</v>
      </c>
      <c r="O52" s="7" t="s">
        <v>42</v>
      </c>
      <c r="P52" s="38"/>
      <c r="Q52" s="39">
        <f t="shared" si="0"/>
        <v>0</v>
      </c>
      <c r="R52" s="40">
        <f t="shared" si="1"/>
        <v>0</v>
      </c>
    </row>
    <row r="53" spans="1:18" s="41" customFormat="1" ht="147" customHeight="1" x14ac:dyDescent="0.25">
      <c r="A53" s="128"/>
      <c r="B53" s="140"/>
      <c r="C53" s="145"/>
      <c r="D53" s="2" t="s">
        <v>177</v>
      </c>
      <c r="E53" s="3">
        <v>1</v>
      </c>
      <c r="F53" s="3">
        <f t="shared" si="2"/>
        <v>1.0000000000000002</v>
      </c>
      <c r="G53" s="2" t="s">
        <v>178</v>
      </c>
      <c r="H53" s="10">
        <v>0.9</v>
      </c>
      <c r="I53" s="1" t="s">
        <v>41</v>
      </c>
      <c r="J53" s="6" t="s">
        <v>74</v>
      </c>
      <c r="K53" s="7">
        <v>90</v>
      </c>
      <c r="L53" s="7">
        <v>80</v>
      </c>
      <c r="M53" s="7">
        <v>70</v>
      </c>
      <c r="N53" s="7">
        <v>50</v>
      </c>
      <c r="O53" s="7" t="s">
        <v>52</v>
      </c>
      <c r="P53" s="38"/>
      <c r="Q53" s="39">
        <f t="shared" si="0"/>
        <v>0</v>
      </c>
      <c r="R53" s="40">
        <f t="shared" si="1"/>
        <v>0</v>
      </c>
    </row>
    <row r="54" spans="1:18" s="41" customFormat="1" ht="147" customHeight="1" x14ac:dyDescent="0.25">
      <c r="A54" s="139">
        <v>4</v>
      </c>
      <c r="B54" s="140" t="s">
        <v>179</v>
      </c>
      <c r="C54" s="142">
        <f>SUM(E54:E61)</f>
        <v>2</v>
      </c>
      <c r="D54" s="140" t="s">
        <v>180</v>
      </c>
      <c r="E54" s="3">
        <v>0.25</v>
      </c>
      <c r="F54" s="3">
        <f t="shared" si="2"/>
        <v>0.25000000000000006</v>
      </c>
      <c r="G54" s="8" t="s">
        <v>181</v>
      </c>
      <c r="H54" s="10">
        <v>1</v>
      </c>
      <c r="I54" s="5" t="s">
        <v>41</v>
      </c>
      <c r="J54" s="6">
        <v>100</v>
      </c>
      <c r="K54" s="7">
        <v>95</v>
      </c>
      <c r="L54" s="7">
        <v>90</v>
      </c>
      <c r="M54" s="7">
        <v>85</v>
      </c>
      <c r="N54" s="7">
        <v>80</v>
      </c>
      <c r="O54" s="7" t="s">
        <v>42</v>
      </c>
      <c r="P54" s="38"/>
      <c r="Q54" s="39">
        <f t="shared" si="0"/>
        <v>0</v>
      </c>
      <c r="R54" s="40">
        <f t="shared" si="1"/>
        <v>0</v>
      </c>
    </row>
    <row r="55" spans="1:18" s="41" customFormat="1" ht="147" customHeight="1" x14ac:dyDescent="0.25">
      <c r="A55" s="139"/>
      <c r="B55" s="140"/>
      <c r="C55" s="142"/>
      <c r="D55" s="140"/>
      <c r="E55" s="3">
        <v>0.25</v>
      </c>
      <c r="F55" s="3">
        <f t="shared" si="2"/>
        <v>0.25000000000000006</v>
      </c>
      <c r="G55" s="8" t="s">
        <v>182</v>
      </c>
      <c r="H55" s="10">
        <v>1</v>
      </c>
      <c r="I55" s="5" t="s">
        <v>41</v>
      </c>
      <c r="J55" s="6">
        <v>100</v>
      </c>
      <c r="K55" s="7">
        <v>95</v>
      </c>
      <c r="L55" s="7">
        <v>90</v>
      </c>
      <c r="M55" s="7">
        <v>85</v>
      </c>
      <c r="N55" s="7">
        <v>80</v>
      </c>
      <c r="O55" s="7" t="s">
        <v>42</v>
      </c>
      <c r="P55" s="38"/>
      <c r="Q55" s="39">
        <f t="shared" si="0"/>
        <v>0</v>
      </c>
      <c r="R55" s="40">
        <f t="shared" si="1"/>
        <v>0</v>
      </c>
    </row>
    <row r="56" spans="1:18" s="41" customFormat="1" ht="147" customHeight="1" x14ac:dyDescent="0.25">
      <c r="A56" s="139"/>
      <c r="B56" s="140"/>
      <c r="C56" s="142"/>
      <c r="D56" s="140"/>
      <c r="E56" s="3">
        <v>0.25</v>
      </c>
      <c r="F56" s="3">
        <f t="shared" si="2"/>
        <v>0.25000000000000006</v>
      </c>
      <c r="G56" s="8" t="s">
        <v>183</v>
      </c>
      <c r="H56" s="10">
        <v>0.9</v>
      </c>
      <c r="I56" s="1" t="s">
        <v>41</v>
      </c>
      <c r="J56" s="6" t="s">
        <v>74</v>
      </c>
      <c r="K56" s="7">
        <v>90</v>
      </c>
      <c r="L56" s="7">
        <v>80</v>
      </c>
      <c r="M56" s="7">
        <v>70</v>
      </c>
      <c r="N56" s="7">
        <v>50</v>
      </c>
      <c r="O56" s="7" t="s">
        <v>52</v>
      </c>
      <c r="P56" s="38"/>
      <c r="Q56" s="39">
        <f t="shared" si="0"/>
        <v>0</v>
      </c>
      <c r="R56" s="40">
        <f t="shared" si="1"/>
        <v>0</v>
      </c>
    </row>
    <row r="57" spans="1:18" s="41" customFormat="1" ht="147" customHeight="1" x14ac:dyDescent="0.25">
      <c r="A57" s="139"/>
      <c r="B57" s="140"/>
      <c r="C57" s="142"/>
      <c r="D57" s="140"/>
      <c r="E57" s="3">
        <v>0.25</v>
      </c>
      <c r="F57" s="3">
        <f t="shared" si="2"/>
        <v>0.25000000000000006</v>
      </c>
      <c r="G57" s="8" t="s">
        <v>184</v>
      </c>
      <c r="H57" s="10">
        <v>0.9</v>
      </c>
      <c r="I57" s="1" t="s">
        <v>41</v>
      </c>
      <c r="J57" s="6" t="s">
        <v>74</v>
      </c>
      <c r="K57" s="7">
        <v>90</v>
      </c>
      <c r="L57" s="7">
        <v>80</v>
      </c>
      <c r="M57" s="7">
        <v>70</v>
      </c>
      <c r="N57" s="7">
        <v>50</v>
      </c>
      <c r="O57" s="7" t="s">
        <v>52</v>
      </c>
      <c r="P57" s="38"/>
      <c r="Q57" s="39">
        <f t="shared" si="0"/>
        <v>0</v>
      </c>
      <c r="R57" s="40">
        <f t="shared" si="1"/>
        <v>0</v>
      </c>
    </row>
    <row r="58" spans="1:18" s="41" customFormat="1" ht="147" customHeight="1" x14ac:dyDescent="0.25">
      <c r="A58" s="139"/>
      <c r="B58" s="140"/>
      <c r="C58" s="142"/>
      <c r="D58" s="140"/>
      <c r="E58" s="3">
        <v>0.25</v>
      </c>
      <c r="F58" s="3">
        <f t="shared" si="2"/>
        <v>0.25000000000000006</v>
      </c>
      <c r="G58" s="8" t="s">
        <v>185</v>
      </c>
      <c r="H58" s="10">
        <v>0.8</v>
      </c>
      <c r="I58" s="1" t="s">
        <v>41</v>
      </c>
      <c r="J58" s="6" t="s">
        <v>63</v>
      </c>
      <c r="K58" s="7">
        <v>80</v>
      </c>
      <c r="L58" s="7">
        <v>75</v>
      </c>
      <c r="M58" s="7">
        <v>70</v>
      </c>
      <c r="N58" s="7">
        <v>50</v>
      </c>
      <c r="O58" s="7" t="s">
        <v>52</v>
      </c>
      <c r="P58" s="38"/>
      <c r="Q58" s="39">
        <f t="shared" si="0"/>
        <v>0</v>
      </c>
      <c r="R58" s="40">
        <f t="shared" si="1"/>
        <v>0</v>
      </c>
    </row>
    <row r="59" spans="1:18" s="41" customFormat="1" ht="147" customHeight="1" x14ac:dyDescent="0.25">
      <c r="A59" s="139"/>
      <c r="B59" s="140"/>
      <c r="C59" s="142"/>
      <c r="D59" s="140"/>
      <c r="E59" s="3">
        <v>0.25</v>
      </c>
      <c r="F59" s="3">
        <f t="shared" si="2"/>
        <v>0.25000000000000006</v>
      </c>
      <c r="G59" s="8" t="s">
        <v>186</v>
      </c>
      <c r="H59" s="10">
        <v>1</v>
      </c>
      <c r="I59" s="5" t="s">
        <v>41</v>
      </c>
      <c r="J59" s="6">
        <v>100</v>
      </c>
      <c r="K59" s="7">
        <v>95</v>
      </c>
      <c r="L59" s="7">
        <v>90</v>
      </c>
      <c r="M59" s="7">
        <v>85</v>
      </c>
      <c r="N59" s="7">
        <v>80</v>
      </c>
      <c r="O59" s="7" t="s">
        <v>42</v>
      </c>
      <c r="P59" s="38"/>
      <c r="Q59" s="39">
        <f t="shared" si="0"/>
        <v>0</v>
      </c>
      <c r="R59" s="40">
        <f t="shared" si="1"/>
        <v>0</v>
      </c>
    </row>
    <row r="60" spans="1:18" s="41" customFormat="1" ht="147" customHeight="1" x14ac:dyDescent="0.25">
      <c r="A60" s="139"/>
      <c r="B60" s="140"/>
      <c r="C60" s="142"/>
      <c r="D60" s="140"/>
      <c r="E60" s="3">
        <v>0.25</v>
      </c>
      <c r="F60" s="3">
        <f t="shared" si="2"/>
        <v>0.25000000000000006</v>
      </c>
      <c r="G60" s="8" t="s">
        <v>187</v>
      </c>
      <c r="H60" s="10">
        <v>1</v>
      </c>
      <c r="I60" s="5" t="s">
        <v>41</v>
      </c>
      <c r="J60" s="6">
        <v>100</v>
      </c>
      <c r="K60" s="7">
        <v>95</v>
      </c>
      <c r="L60" s="7">
        <v>90</v>
      </c>
      <c r="M60" s="7">
        <v>85</v>
      </c>
      <c r="N60" s="7">
        <v>80</v>
      </c>
      <c r="O60" s="7" t="s">
        <v>42</v>
      </c>
      <c r="P60" s="38"/>
      <c r="Q60" s="39">
        <f t="shared" si="0"/>
        <v>0</v>
      </c>
      <c r="R60" s="40">
        <f t="shared" si="1"/>
        <v>0</v>
      </c>
    </row>
    <row r="61" spans="1:18" s="41" customFormat="1" ht="147" customHeight="1" x14ac:dyDescent="0.25">
      <c r="A61" s="139"/>
      <c r="B61" s="140"/>
      <c r="C61" s="142"/>
      <c r="D61" s="140"/>
      <c r="E61" s="3">
        <v>0.25</v>
      </c>
      <c r="F61" s="3">
        <f t="shared" si="2"/>
        <v>0.25000000000000006</v>
      </c>
      <c r="G61" s="8" t="s">
        <v>188</v>
      </c>
      <c r="H61" s="10">
        <v>1</v>
      </c>
      <c r="I61" s="5" t="s">
        <v>41</v>
      </c>
      <c r="J61" s="6">
        <v>100</v>
      </c>
      <c r="K61" s="7">
        <v>95</v>
      </c>
      <c r="L61" s="7">
        <v>90</v>
      </c>
      <c r="M61" s="7">
        <v>85</v>
      </c>
      <c r="N61" s="7">
        <v>80</v>
      </c>
      <c r="O61" s="7" t="s">
        <v>42</v>
      </c>
      <c r="P61" s="38"/>
      <c r="Q61" s="39">
        <f t="shared" si="0"/>
        <v>0</v>
      </c>
      <c r="R61" s="40">
        <f t="shared" si="1"/>
        <v>0</v>
      </c>
    </row>
    <row r="62" spans="1:18" s="41" customFormat="1" ht="147" customHeight="1" x14ac:dyDescent="0.25">
      <c r="A62" s="139">
        <v>5</v>
      </c>
      <c r="B62" s="140" t="s">
        <v>189</v>
      </c>
      <c r="C62" s="142">
        <f>SUM(E62:E69)</f>
        <v>3</v>
      </c>
      <c r="D62" s="140" t="s">
        <v>190</v>
      </c>
      <c r="E62" s="3">
        <v>0.375</v>
      </c>
      <c r="F62" s="3">
        <f t="shared" si="2"/>
        <v>0.37500000000000006</v>
      </c>
      <c r="G62" s="8" t="s">
        <v>191</v>
      </c>
      <c r="H62" s="10">
        <v>1</v>
      </c>
      <c r="I62" s="5" t="s">
        <v>41</v>
      </c>
      <c r="J62" s="6">
        <v>100</v>
      </c>
      <c r="K62" s="7">
        <v>95</v>
      </c>
      <c r="L62" s="7">
        <v>90</v>
      </c>
      <c r="M62" s="7">
        <v>85</v>
      </c>
      <c r="N62" s="7">
        <v>80</v>
      </c>
      <c r="O62" s="7" t="s">
        <v>42</v>
      </c>
      <c r="P62" s="38"/>
      <c r="Q62" s="39">
        <f t="shared" si="0"/>
        <v>0</v>
      </c>
      <c r="R62" s="40">
        <f t="shared" si="1"/>
        <v>0</v>
      </c>
    </row>
    <row r="63" spans="1:18" s="41" customFormat="1" ht="147" customHeight="1" x14ac:dyDescent="0.25">
      <c r="A63" s="139"/>
      <c r="B63" s="140"/>
      <c r="C63" s="142"/>
      <c r="D63" s="140"/>
      <c r="E63" s="3">
        <v>0.375</v>
      </c>
      <c r="F63" s="3">
        <f t="shared" si="2"/>
        <v>0.37500000000000006</v>
      </c>
      <c r="G63" s="8" t="s">
        <v>192</v>
      </c>
      <c r="H63" s="10">
        <v>1</v>
      </c>
      <c r="I63" s="5" t="s">
        <v>41</v>
      </c>
      <c r="J63" s="6">
        <v>100</v>
      </c>
      <c r="K63" s="7">
        <v>95</v>
      </c>
      <c r="L63" s="7">
        <v>90</v>
      </c>
      <c r="M63" s="7">
        <v>85</v>
      </c>
      <c r="N63" s="7">
        <v>80</v>
      </c>
      <c r="O63" s="7" t="s">
        <v>42</v>
      </c>
      <c r="P63" s="38"/>
      <c r="Q63" s="39">
        <f t="shared" si="0"/>
        <v>0</v>
      </c>
      <c r="R63" s="40">
        <f t="shared" si="1"/>
        <v>0</v>
      </c>
    </row>
    <row r="64" spans="1:18" s="41" customFormat="1" ht="147" customHeight="1" x14ac:dyDescent="0.25">
      <c r="A64" s="139"/>
      <c r="B64" s="140"/>
      <c r="C64" s="142"/>
      <c r="D64" s="140"/>
      <c r="E64" s="3">
        <v>0.375</v>
      </c>
      <c r="F64" s="3">
        <f t="shared" si="2"/>
        <v>0.37500000000000006</v>
      </c>
      <c r="G64" s="8" t="s">
        <v>193</v>
      </c>
      <c r="H64" s="10">
        <v>0.9</v>
      </c>
      <c r="I64" s="1" t="s">
        <v>41</v>
      </c>
      <c r="J64" s="6" t="s">
        <v>74</v>
      </c>
      <c r="K64" s="7">
        <v>90</v>
      </c>
      <c r="L64" s="7">
        <v>80</v>
      </c>
      <c r="M64" s="7">
        <v>70</v>
      </c>
      <c r="N64" s="7">
        <v>50</v>
      </c>
      <c r="O64" s="7" t="s">
        <v>52</v>
      </c>
      <c r="P64" s="38"/>
      <c r="Q64" s="39">
        <f t="shared" si="0"/>
        <v>0</v>
      </c>
      <c r="R64" s="40">
        <f t="shared" si="1"/>
        <v>0</v>
      </c>
    </row>
    <row r="65" spans="1:18" s="41" customFormat="1" ht="147" customHeight="1" x14ac:dyDescent="0.25">
      <c r="A65" s="139"/>
      <c r="B65" s="140"/>
      <c r="C65" s="142"/>
      <c r="D65" s="140"/>
      <c r="E65" s="3">
        <v>0.375</v>
      </c>
      <c r="F65" s="3">
        <f t="shared" si="2"/>
        <v>0.37500000000000006</v>
      </c>
      <c r="G65" s="8" t="s">
        <v>194</v>
      </c>
      <c r="H65" s="10">
        <v>0.9</v>
      </c>
      <c r="I65" s="1" t="s">
        <v>41</v>
      </c>
      <c r="J65" s="6" t="s">
        <v>74</v>
      </c>
      <c r="K65" s="7">
        <v>90</v>
      </c>
      <c r="L65" s="7">
        <v>80</v>
      </c>
      <c r="M65" s="7">
        <v>70</v>
      </c>
      <c r="N65" s="7">
        <v>50</v>
      </c>
      <c r="O65" s="7" t="s">
        <v>52</v>
      </c>
      <c r="P65" s="38"/>
      <c r="Q65" s="39">
        <f t="shared" si="0"/>
        <v>0</v>
      </c>
      <c r="R65" s="40">
        <f t="shared" si="1"/>
        <v>0</v>
      </c>
    </row>
    <row r="66" spans="1:18" s="41" customFormat="1" ht="147" customHeight="1" x14ac:dyDescent="0.25">
      <c r="A66" s="139"/>
      <c r="B66" s="140"/>
      <c r="C66" s="142"/>
      <c r="D66" s="140"/>
      <c r="E66" s="3">
        <v>0.375</v>
      </c>
      <c r="F66" s="3">
        <f t="shared" si="2"/>
        <v>0.37500000000000006</v>
      </c>
      <c r="G66" s="8" t="s">
        <v>195</v>
      </c>
      <c r="H66" s="10">
        <v>0.8</v>
      </c>
      <c r="I66" s="1" t="s">
        <v>41</v>
      </c>
      <c r="J66" s="6" t="s">
        <v>63</v>
      </c>
      <c r="K66" s="7">
        <v>80</v>
      </c>
      <c r="L66" s="7">
        <v>75</v>
      </c>
      <c r="M66" s="7">
        <v>70</v>
      </c>
      <c r="N66" s="7">
        <v>50</v>
      </c>
      <c r="O66" s="7" t="s">
        <v>52</v>
      </c>
      <c r="P66" s="38"/>
      <c r="Q66" s="39">
        <f t="shared" si="0"/>
        <v>0</v>
      </c>
      <c r="R66" s="40">
        <f t="shared" si="1"/>
        <v>0</v>
      </c>
    </row>
    <row r="67" spans="1:18" s="41" customFormat="1" ht="147" customHeight="1" x14ac:dyDescent="0.25">
      <c r="A67" s="139"/>
      <c r="B67" s="140"/>
      <c r="C67" s="142"/>
      <c r="D67" s="140"/>
      <c r="E67" s="3">
        <v>0.375</v>
      </c>
      <c r="F67" s="3">
        <f t="shared" si="2"/>
        <v>0.37500000000000006</v>
      </c>
      <c r="G67" s="8" t="s">
        <v>196</v>
      </c>
      <c r="H67" s="10">
        <v>1</v>
      </c>
      <c r="I67" s="5" t="s">
        <v>41</v>
      </c>
      <c r="J67" s="6">
        <v>100</v>
      </c>
      <c r="K67" s="7">
        <v>95</v>
      </c>
      <c r="L67" s="7">
        <v>90</v>
      </c>
      <c r="M67" s="7">
        <v>85</v>
      </c>
      <c r="N67" s="7">
        <v>80</v>
      </c>
      <c r="O67" s="7" t="s">
        <v>42</v>
      </c>
      <c r="P67" s="38"/>
      <c r="Q67" s="39">
        <f t="shared" si="0"/>
        <v>0</v>
      </c>
      <c r="R67" s="40">
        <f t="shared" si="1"/>
        <v>0</v>
      </c>
    </row>
    <row r="68" spans="1:18" s="41" customFormat="1" ht="147" customHeight="1" x14ac:dyDescent="0.25">
      <c r="A68" s="139"/>
      <c r="B68" s="140"/>
      <c r="C68" s="142"/>
      <c r="D68" s="140"/>
      <c r="E68" s="3">
        <v>0.375</v>
      </c>
      <c r="F68" s="3">
        <f t="shared" si="2"/>
        <v>0.37500000000000006</v>
      </c>
      <c r="G68" s="8" t="s">
        <v>197</v>
      </c>
      <c r="H68" s="10">
        <v>1</v>
      </c>
      <c r="I68" s="5" t="s">
        <v>41</v>
      </c>
      <c r="J68" s="6">
        <v>100</v>
      </c>
      <c r="K68" s="7">
        <v>95</v>
      </c>
      <c r="L68" s="7">
        <v>90</v>
      </c>
      <c r="M68" s="7">
        <v>85</v>
      </c>
      <c r="N68" s="7">
        <v>80</v>
      </c>
      <c r="O68" s="7" t="s">
        <v>42</v>
      </c>
      <c r="P68" s="38"/>
      <c r="Q68" s="39">
        <f t="shared" si="0"/>
        <v>0</v>
      </c>
      <c r="R68" s="40">
        <f t="shared" si="1"/>
        <v>0</v>
      </c>
    </row>
    <row r="69" spans="1:18" s="41" customFormat="1" ht="147" customHeight="1" x14ac:dyDescent="0.25">
      <c r="A69" s="139"/>
      <c r="B69" s="140"/>
      <c r="C69" s="142"/>
      <c r="D69" s="140"/>
      <c r="E69" s="12">
        <v>0.375</v>
      </c>
      <c r="F69" s="3">
        <f t="shared" si="2"/>
        <v>0.37500000000000006</v>
      </c>
      <c r="G69" s="8" t="s">
        <v>198</v>
      </c>
      <c r="H69" s="10">
        <v>1</v>
      </c>
      <c r="I69" s="5" t="s">
        <v>41</v>
      </c>
      <c r="J69" s="6">
        <v>100</v>
      </c>
      <c r="K69" s="7">
        <v>95</v>
      </c>
      <c r="L69" s="7">
        <v>90</v>
      </c>
      <c r="M69" s="7">
        <v>85</v>
      </c>
      <c r="N69" s="7">
        <v>80</v>
      </c>
      <c r="O69" s="7" t="s">
        <v>42</v>
      </c>
      <c r="P69" s="38"/>
      <c r="Q69" s="39">
        <f t="shared" si="0"/>
        <v>0</v>
      </c>
      <c r="R69" s="40">
        <f t="shared" si="1"/>
        <v>0</v>
      </c>
    </row>
    <row r="70" spans="1:18" s="41" customFormat="1" ht="147" customHeight="1" x14ac:dyDescent="0.25">
      <c r="A70" s="127">
        <v>6</v>
      </c>
      <c r="B70" s="136" t="s">
        <v>199</v>
      </c>
      <c r="C70" s="143">
        <v>5</v>
      </c>
      <c r="D70" s="136" t="s">
        <v>200</v>
      </c>
      <c r="E70" s="3">
        <v>0.5</v>
      </c>
      <c r="F70" s="3">
        <f t="shared" si="2"/>
        <v>0.50000000000000011</v>
      </c>
      <c r="G70" s="2" t="s">
        <v>201</v>
      </c>
      <c r="H70" s="10">
        <v>1</v>
      </c>
      <c r="I70" s="5" t="s">
        <v>41</v>
      </c>
      <c r="J70" s="6">
        <v>100</v>
      </c>
      <c r="K70" s="7">
        <v>95</v>
      </c>
      <c r="L70" s="7">
        <v>90</v>
      </c>
      <c r="M70" s="7">
        <v>85</v>
      </c>
      <c r="N70" s="7">
        <v>80</v>
      </c>
      <c r="O70" s="7" t="s">
        <v>42</v>
      </c>
      <c r="P70" s="38"/>
      <c r="Q70" s="39">
        <f t="shared" si="0"/>
        <v>0</v>
      </c>
      <c r="R70" s="40">
        <f t="shared" si="1"/>
        <v>0</v>
      </c>
    </row>
    <row r="71" spans="1:18" s="41" customFormat="1" ht="147" customHeight="1" x14ac:dyDescent="0.25">
      <c r="A71" s="128"/>
      <c r="B71" s="137"/>
      <c r="C71" s="144"/>
      <c r="D71" s="138"/>
      <c r="E71" s="3">
        <v>0.5</v>
      </c>
      <c r="F71" s="3">
        <f t="shared" si="2"/>
        <v>0.50000000000000011</v>
      </c>
      <c r="G71" s="2" t="s">
        <v>202</v>
      </c>
      <c r="H71" s="10">
        <v>1</v>
      </c>
      <c r="I71" s="5" t="s">
        <v>41</v>
      </c>
      <c r="J71" s="6">
        <v>100</v>
      </c>
      <c r="K71" s="7">
        <v>95</v>
      </c>
      <c r="L71" s="7">
        <v>90</v>
      </c>
      <c r="M71" s="7">
        <v>85</v>
      </c>
      <c r="N71" s="7">
        <v>80</v>
      </c>
      <c r="O71" s="7" t="s">
        <v>42</v>
      </c>
      <c r="P71" s="38"/>
      <c r="Q71" s="39">
        <f t="shared" si="0"/>
        <v>0</v>
      </c>
      <c r="R71" s="40">
        <f t="shared" si="1"/>
        <v>0</v>
      </c>
    </row>
    <row r="72" spans="1:18" s="41" customFormat="1" ht="147" customHeight="1" x14ac:dyDescent="0.25">
      <c r="A72" s="128"/>
      <c r="B72" s="137"/>
      <c r="C72" s="144"/>
      <c r="D72" s="136" t="s">
        <v>203</v>
      </c>
      <c r="E72" s="3">
        <v>0.5</v>
      </c>
      <c r="F72" s="3">
        <f t="shared" si="2"/>
        <v>0.50000000000000011</v>
      </c>
      <c r="G72" s="2" t="s">
        <v>204</v>
      </c>
      <c r="H72" s="10">
        <v>1</v>
      </c>
      <c r="I72" s="5" t="s">
        <v>41</v>
      </c>
      <c r="J72" s="6">
        <v>100</v>
      </c>
      <c r="K72" s="7">
        <v>95</v>
      </c>
      <c r="L72" s="7">
        <v>90</v>
      </c>
      <c r="M72" s="7">
        <v>85</v>
      </c>
      <c r="N72" s="7">
        <v>80</v>
      </c>
      <c r="O72" s="7" t="s">
        <v>42</v>
      </c>
      <c r="P72" s="38"/>
      <c r="Q72" s="39">
        <f t="shared" si="0"/>
        <v>0</v>
      </c>
      <c r="R72" s="40">
        <f t="shared" si="1"/>
        <v>0</v>
      </c>
    </row>
    <row r="73" spans="1:18" s="41" customFormat="1" ht="147" customHeight="1" x14ac:dyDescent="0.25">
      <c r="A73" s="128"/>
      <c r="B73" s="137"/>
      <c r="C73" s="144"/>
      <c r="D73" s="138"/>
      <c r="E73" s="3">
        <v>0.5</v>
      </c>
      <c r="F73" s="3">
        <f t="shared" si="2"/>
        <v>0.50000000000000011</v>
      </c>
      <c r="G73" s="2" t="s">
        <v>205</v>
      </c>
      <c r="H73" s="10">
        <v>1</v>
      </c>
      <c r="I73" s="5" t="s">
        <v>41</v>
      </c>
      <c r="J73" s="6">
        <v>100</v>
      </c>
      <c r="K73" s="7">
        <v>95</v>
      </c>
      <c r="L73" s="7">
        <v>90</v>
      </c>
      <c r="M73" s="7">
        <v>85</v>
      </c>
      <c r="N73" s="7">
        <v>80</v>
      </c>
      <c r="O73" s="7" t="s">
        <v>42</v>
      </c>
      <c r="P73" s="38"/>
      <c r="Q73" s="39">
        <f t="shared" si="0"/>
        <v>0</v>
      </c>
      <c r="R73" s="40">
        <f t="shared" si="1"/>
        <v>0</v>
      </c>
    </row>
    <row r="74" spans="1:18" s="41" customFormat="1" ht="147" customHeight="1" x14ac:dyDescent="0.25">
      <c r="A74" s="128"/>
      <c r="B74" s="137"/>
      <c r="C74" s="144"/>
      <c r="D74" s="136" t="s">
        <v>206</v>
      </c>
      <c r="E74" s="3">
        <v>0.3</v>
      </c>
      <c r="F74" s="3">
        <f t="shared" si="2"/>
        <v>0.30000000000000004</v>
      </c>
      <c r="G74" s="2" t="s">
        <v>207</v>
      </c>
      <c r="H74" s="10">
        <v>1</v>
      </c>
      <c r="I74" s="5" t="s">
        <v>41</v>
      </c>
      <c r="J74" s="6">
        <v>100</v>
      </c>
      <c r="K74" s="7">
        <v>95</v>
      </c>
      <c r="L74" s="7">
        <v>90</v>
      </c>
      <c r="M74" s="7">
        <v>85</v>
      </c>
      <c r="N74" s="7">
        <v>80</v>
      </c>
      <c r="O74" s="7" t="s">
        <v>42</v>
      </c>
      <c r="P74" s="38"/>
      <c r="Q74" s="39">
        <f t="shared" si="0"/>
        <v>0</v>
      </c>
      <c r="R74" s="40">
        <f t="shared" si="1"/>
        <v>0</v>
      </c>
    </row>
    <row r="75" spans="1:18" s="41" customFormat="1" ht="147" customHeight="1" x14ac:dyDescent="0.25">
      <c r="A75" s="128"/>
      <c r="B75" s="137"/>
      <c r="C75" s="144"/>
      <c r="D75" s="137"/>
      <c r="E75" s="3">
        <v>0.3</v>
      </c>
      <c r="F75" s="3">
        <f t="shared" si="2"/>
        <v>0.30000000000000004</v>
      </c>
      <c r="G75" s="2" t="s">
        <v>208</v>
      </c>
      <c r="H75" s="10">
        <v>1</v>
      </c>
      <c r="I75" s="5" t="s">
        <v>41</v>
      </c>
      <c r="J75" s="6">
        <v>100</v>
      </c>
      <c r="K75" s="7">
        <v>95</v>
      </c>
      <c r="L75" s="7">
        <v>90</v>
      </c>
      <c r="M75" s="7">
        <v>85</v>
      </c>
      <c r="N75" s="7">
        <v>80</v>
      </c>
      <c r="O75" s="7" t="s">
        <v>42</v>
      </c>
      <c r="P75" s="38"/>
      <c r="Q75" s="39">
        <f t="shared" si="0"/>
        <v>0</v>
      </c>
      <c r="R75" s="40">
        <f t="shared" si="1"/>
        <v>0</v>
      </c>
    </row>
    <row r="76" spans="1:18" s="41" customFormat="1" ht="147" customHeight="1" x14ac:dyDescent="0.25">
      <c r="A76" s="128"/>
      <c r="B76" s="137"/>
      <c r="C76" s="144"/>
      <c r="D76" s="138"/>
      <c r="E76" s="3">
        <v>0.4</v>
      </c>
      <c r="F76" s="3">
        <f t="shared" si="2"/>
        <v>0.40000000000000008</v>
      </c>
      <c r="G76" s="2" t="s">
        <v>209</v>
      </c>
      <c r="H76" s="10">
        <v>1</v>
      </c>
      <c r="I76" s="5" t="s">
        <v>41</v>
      </c>
      <c r="J76" s="6">
        <v>100</v>
      </c>
      <c r="K76" s="7">
        <v>95</v>
      </c>
      <c r="L76" s="7">
        <v>90</v>
      </c>
      <c r="M76" s="7">
        <v>85</v>
      </c>
      <c r="N76" s="7">
        <v>80</v>
      </c>
      <c r="O76" s="7" t="s">
        <v>42</v>
      </c>
      <c r="P76" s="38"/>
      <c r="Q76" s="39">
        <f t="shared" si="0"/>
        <v>0</v>
      </c>
      <c r="R76" s="40">
        <f t="shared" si="1"/>
        <v>0</v>
      </c>
    </row>
    <row r="77" spans="1:18" s="41" customFormat="1" ht="147" customHeight="1" x14ac:dyDescent="0.25">
      <c r="A77" s="128"/>
      <c r="B77" s="137"/>
      <c r="C77" s="144"/>
      <c r="D77" s="136" t="s">
        <v>210</v>
      </c>
      <c r="E77" s="3">
        <v>1</v>
      </c>
      <c r="F77" s="3">
        <f t="shared" si="2"/>
        <v>1.0000000000000002</v>
      </c>
      <c r="G77" s="2" t="s">
        <v>211</v>
      </c>
      <c r="H77" s="10">
        <v>1</v>
      </c>
      <c r="I77" s="5" t="s">
        <v>41</v>
      </c>
      <c r="J77" s="6">
        <v>100</v>
      </c>
      <c r="K77" s="7">
        <v>95</v>
      </c>
      <c r="L77" s="7">
        <v>90</v>
      </c>
      <c r="M77" s="7">
        <v>85</v>
      </c>
      <c r="N77" s="7">
        <v>80</v>
      </c>
      <c r="O77" s="7" t="s">
        <v>42</v>
      </c>
      <c r="P77" s="38"/>
      <c r="Q77" s="39">
        <f t="shared" si="0"/>
        <v>0</v>
      </c>
      <c r="R77" s="40">
        <f t="shared" si="1"/>
        <v>0</v>
      </c>
    </row>
    <row r="78" spans="1:18" s="41" customFormat="1" ht="147" customHeight="1" x14ac:dyDescent="0.25">
      <c r="A78" s="129"/>
      <c r="B78" s="138"/>
      <c r="C78" s="145"/>
      <c r="D78" s="138"/>
      <c r="E78" s="3">
        <v>1</v>
      </c>
      <c r="F78" s="3">
        <f t="shared" si="2"/>
        <v>1.0000000000000002</v>
      </c>
      <c r="G78" s="2" t="s">
        <v>212</v>
      </c>
      <c r="H78" s="10">
        <v>1</v>
      </c>
      <c r="I78" s="5" t="s">
        <v>41</v>
      </c>
      <c r="J78" s="6">
        <v>100</v>
      </c>
      <c r="K78" s="7">
        <v>95</v>
      </c>
      <c r="L78" s="7">
        <v>90</v>
      </c>
      <c r="M78" s="7">
        <v>85</v>
      </c>
      <c r="N78" s="7">
        <v>80</v>
      </c>
      <c r="O78" s="7" t="s">
        <v>42</v>
      </c>
      <c r="P78" s="38"/>
      <c r="Q78" s="39">
        <f t="shared" si="0"/>
        <v>0</v>
      </c>
      <c r="R78" s="40">
        <f t="shared" si="1"/>
        <v>0</v>
      </c>
    </row>
    <row r="79" spans="1:18" s="41" customFormat="1" ht="147" customHeight="1" x14ac:dyDescent="0.25">
      <c r="A79" s="127">
        <v>7</v>
      </c>
      <c r="B79" s="136" t="s">
        <v>213</v>
      </c>
      <c r="C79" s="143">
        <v>3</v>
      </c>
      <c r="D79" s="136" t="s">
        <v>214</v>
      </c>
      <c r="E79" s="3">
        <v>0.3</v>
      </c>
      <c r="F79" s="3">
        <f t="shared" si="2"/>
        <v>0.30000000000000004</v>
      </c>
      <c r="G79" s="2" t="s">
        <v>215</v>
      </c>
      <c r="H79" s="10">
        <v>1</v>
      </c>
      <c r="I79" s="5" t="s">
        <v>41</v>
      </c>
      <c r="J79" s="6">
        <v>100</v>
      </c>
      <c r="K79" s="7">
        <v>95</v>
      </c>
      <c r="L79" s="7">
        <v>90</v>
      </c>
      <c r="M79" s="7">
        <v>85</v>
      </c>
      <c r="N79" s="7">
        <v>80</v>
      </c>
      <c r="O79" s="7" t="s">
        <v>42</v>
      </c>
      <c r="P79" s="38"/>
      <c r="Q79" s="39">
        <f t="shared" si="0"/>
        <v>0</v>
      </c>
      <c r="R79" s="40">
        <f t="shared" si="1"/>
        <v>0</v>
      </c>
    </row>
    <row r="80" spans="1:18" s="41" customFormat="1" ht="147" customHeight="1" x14ac:dyDescent="0.25">
      <c r="A80" s="128"/>
      <c r="B80" s="137"/>
      <c r="C80" s="144"/>
      <c r="D80" s="137"/>
      <c r="E80" s="3">
        <v>0.3</v>
      </c>
      <c r="F80" s="3">
        <f t="shared" si="2"/>
        <v>0.30000000000000004</v>
      </c>
      <c r="G80" s="2" t="s">
        <v>216</v>
      </c>
      <c r="H80" s="10">
        <v>1</v>
      </c>
      <c r="I80" s="5" t="s">
        <v>41</v>
      </c>
      <c r="J80" s="6">
        <v>100</v>
      </c>
      <c r="K80" s="7">
        <v>95</v>
      </c>
      <c r="L80" s="7">
        <v>90</v>
      </c>
      <c r="M80" s="7">
        <v>85</v>
      </c>
      <c r="N80" s="7">
        <v>80</v>
      </c>
      <c r="O80" s="7" t="s">
        <v>42</v>
      </c>
      <c r="P80" s="38"/>
      <c r="Q80" s="39">
        <f t="shared" si="0"/>
        <v>0</v>
      </c>
      <c r="R80" s="40">
        <f t="shared" si="1"/>
        <v>0</v>
      </c>
    </row>
    <row r="81" spans="1:18" s="41" customFormat="1" ht="147" customHeight="1" x14ac:dyDescent="0.25">
      <c r="A81" s="128"/>
      <c r="B81" s="137"/>
      <c r="C81" s="144"/>
      <c r="D81" s="138"/>
      <c r="E81" s="3">
        <v>0.4</v>
      </c>
      <c r="F81" s="3">
        <f t="shared" si="2"/>
        <v>0.40000000000000008</v>
      </c>
      <c r="G81" s="2" t="s">
        <v>217</v>
      </c>
      <c r="H81" s="10">
        <v>1</v>
      </c>
      <c r="I81" s="5" t="s">
        <v>41</v>
      </c>
      <c r="J81" s="6">
        <v>100</v>
      </c>
      <c r="K81" s="7">
        <v>95</v>
      </c>
      <c r="L81" s="7">
        <v>90</v>
      </c>
      <c r="M81" s="7">
        <v>85</v>
      </c>
      <c r="N81" s="7">
        <v>80</v>
      </c>
      <c r="O81" s="7" t="s">
        <v>42</v>
      </c>
      <c r="P81" s="38"/>
      <c r="Q81" s="39">
        <f t="shared" si="0"/>
        <v>0</v>
      </c>
      <c r="R81" s="40">
        <f t="shared" si="1"/>
        <v>0</v>
      </c>
    </row>
    <row r="82" spans="1:18" s="41" customFormat="1" ht="147" customHeight="1" x14ac:dyDescent="0.25">
      <c r="A82" s="128"/>
      <c r="B82" s="137"/>
      <c r="C82" s="144"/>
      <c r="D82" s="136" t="s">
        <v>218</v>
      </c>
      <c r="E82" s="3">
        <v>0.35</v>
      </c>
      <c r="F82" s="3">
        <f t="shared" si="2"/>
        <v>0.35000000000000003</v>
      </c>
      <c r="G82" s="2" t="s">
        <v>219</v>
      </c>
      <c r="H82" s="10">
        <v>1</v>
      </c>
      <c r="I82" s="5" t="s">
        <v>41</v>
      </c>
      <c r="J82" s="6">
        <v>100</v>
      </c>
      <c r="K82" s="7">
        <v>95</v>
      </c>
      <c r="L82" s="7">
        <v>90</v>
      </c>
      <c r="M82" s="7">
        <v>85</v>
      </c>
      <c r="N82" s="7">
        <v>80</v>
      </c>
      <c r="O82" s="7" t="s">
        <v>42</v>
      </c>
      <c r="P82" s="38"/>
      <c r="Q82" s="39">
        <f t="shared" si="0"/>
        <v>0</v>
      </c>
      <c r="R82" s="40">
        <f t="shared" si="1"/>
        <v>0</v>
      </c>
    </row>
    <row r="83" spans="1:18" s="41" customFormat="1" ht="147" customHeight="1" x14ac:dyDescent="0.25">
      <c r="A83" s="128"/>
      <c r="B83" s="137"/>
      <c r="C83" s="144"/>
      <c r="D83" s="138"/>
      <c r="E83" s="3">
        <v>0.35</v>
      </c>
      <c r="F83" s="3">
        <f t="shared" si="2"/>
        <v>0.35000000000000003</v>
      </c>
      <c r="G83" s="2" t="s">
        <v>220</v>
      </c>
      <c r="H83" s="10">
        <v>1</v>
      </c>
      <c r="I83" s="5" t="s">
        <v>41</v>
      </c>
      <c r="J83" s="6">
        <v>100</v>
      </c>
      <c r="K83" s="7">
        <v>95</v>
      </c>
      <c r="L83" s="7">
        <v>90</v>
      </c>
      <c r="M83" s="7">
        <v>85</v>
      </c>
      <c r="N83" s="7">
        <v>80</v>
      </c>
      <c r="O83" s="7" t="s">
        <v>42</v>
      </c>
      <c r="P83" s="38"/>
      <c r="Q83" s="39">
        <f t="shared" si="0"/>
        <v>0</v>
      </c>
      <c r="R83" s="40">
        <f t="shared" si="1"/>
        <v>0</v>
      </c>
    </row>
    <row r="84" spans="1:18" s="41" customFormat="1" ht="147" customHeight="1" x14ac:dyDescent="0.25">
      <c r="A84" s="128"/>
      <c r="B84" s="137"/>
      <c r="C84" s="144"/>
      <c r="D84" s="136" t="s">
        <v>221</v>
      </c>
      <c r="E84" s="3">
        <v>0.2</v>
      </c>
      <c r="F84" s="3">
        <f t="shared" ref="F84:F147" si="3">E84/$E$148 * 100</f>
        <v>0.20000000000000004</v>
      </c>
      <c r="G84" s="2" t="s">
        <v>222</v>
      </c>
      <c r="H84" s="10">
        <v>1</v>
      </c>
      <c r="I84" s="5" t="s">
        <v>41</v>
      </c>
      <c r="J84" s="6">
        <v>100</v>
      </c>
      <c r="K84" s="7">
        <v>95</v>
      </c>
      <c r="L84" s="7">
        <v>90</v>
      </c>
      <c r="M84" s="7">
        <v>85</v>
      </c>
      <c r="N84" s="7">
        <v>80</v>
      </c>
      <c r="O84" s="7" t="s">
        <v>42</v>
      </c>
      <c r="P84" s="38"/>
      <c r="Q84" s="39">
        <f t="shared" si="0"/>
        <v>0</v>
      </c>
      <c r="R84" s="40">
        <f t="shared" si="1"/>
        <v>0</v>
      </c>
    </row>
    <row r="85" spans="1:18" s="41" customFormat="1" ht="147" customHeight="1" x14ac:dyDescent="0.25">
      <c r="A85" s="128"/>
      <c r="B85" s="137"/>
      <c r="C85" s="144"/>
      <c r="D85" s="138"/>
      <c r="E85" s="3">
        <v>0.3</v>
      </c>
      <c r="F85" s="3">
        <f t="shared" si="3"/>
        <v>0.30000000000000004</v>
      </c>
      <c r="G85" s="2" t="s">
        <v>223</v>
      </c>
      <c r="H85" s="1">
        <v>4</v>
      </c>
      <c r="I85" s="5" t="s">
        <v>56</v>
      </c>
      <c r="J85" s="6">
        <v>4</v>
      </c>
      <c r="K85" s="7">
        <v>3</v>
      </c>
      <c r="L85" s="7">
        <v>2</v>
      </c>
      <c r="M85" s="7">
        <v>1</v>
      </c>
      <c r="N85" s="7">
        <v>0</v>
      </c>
      <c r="O85" s="7">
        <v>0</v>
      </c>
      <c r="P85" s="38"/>
      <c r="Q85" s="39">
        <f t="shared" si="0"/>
        <v>0</v>
      </c>
      <c r="R85" s="40">
        <f t="shared" si="1"/>
        <v>0</v>
      </c>
    </row>
    <row r="86" spans="1:18" s="41" customFormat="1" ht="147" customHeight="1" x14ac:dyDescent="0.25">
      <c r="A86" s="128"/>
      <c r="B86" s="137"/>
      <c r="C86" s="144"/>
      <c r="D86" s="136" t="s">
        <v>224</v>
      </c>
      <c r="E86" s="3">
        <v>0.25</v>
      </c>
      <c r="F86" s="3">
        <f t="shared" si="3"/>
        <v>0.25000000000000006</v>
      </c>
      <c r="G86" s="2" t="s">
        <v>225</v>
      </c>
      <c r="H86" s="10">
        <v>1</v>
      </c>
      <c r="I86" s="5" t="s">
        <v>41</v>
      </c>
      <c r="J86" s="6">
        <v>100</v>
      </c>
      <c r="K86" s="7">
        <v>95</v>
      </c>
      <c r="L86" s="7">
        <v>90</v>
      </c>
      <c r="M86" s="7">
        <v>85</v>
      </c>
      <c r="N86" s="7">
        <v>80</v>
      </c>
      <c r="O86" s="7" t="s">
        <v>42</v>
      </c>
      <c r="P86" s="38"/>
      <c r="Q86" s="39">
        <f t="shared" si="0"/>
        <v>0</v>
      </c>
      <c r="R86" s="40">
        <f t="shared" si="1"/>
        <v>0</v>
      </c>
    </row>
    <row r="87" spans="1:18" s="41" customFormat="1" ht="147" customHeight="1" x14ac:dyDescent="0.25">
      <c r="A87" s="128"/>
      <c r="B87" s="137"/>
      <c r="C87" s="144"/>
      <c r="D87" s="138"/>
      <c r="E87" s="3">
        <v>0.25</v>
      </c>
      <c r="F87" s="3">
        <f t="shared" si="3"/>
        <v>0.25000000000000006</v>
      </c>
      <c r="G87" s="2" t="s">
        <v>226</v>
      </c>
      <c r="H87" s="10">
        <v>1</v>
      </c>
      <c r="I87" s="5" t="s">
        <v>41</v>
      </c>
      <c r="J87" s="6">
        <v>100</v>
      </c>
      <c r="K87" s="7">
        <v>95</v>
      </c>
      <c r="L87" s="7">
        <v>90</v>
      </c>
      <c r="M87" s="7">
        <v>85</v>
      </c>
      <c r="N87" s="7">
        <v>80</v>
      </c>
      <c r="O87" s="7" t="s">
        <v>42</v>
      </c>
      <c r="P87" s="38"/>
      <c r="Q87" s="39">
        <f t="shared" si="0"/>
        <v>0</v>
      </c>
      <c r="R87" s="40">
        <f t="shared" si="1"/>
        <v>0</v>
      </c>
    </row>
    <row r="88" spans="1:18" s="41" customFormat="1" ht="147" customHeight="1" x14ac:dyDescent="0.25">
      <c r="A88" s="128"/>
      <c r="B88" s="137"/>
      <c r="C88" s="144"/>
      <c r="D88" s="136" t="s">
        <v>227</v>
      </c>
      <c r="E88" s="3">
        <v>0.15</v>
      </c>
      <c r="F88" s="3">
        <f t="shared" si="3"/>
        <v>0.15000000000000002</v>
      </c>
      <c r="G88" s="2" t="s">
        <v>228</v>
      </c>
      <c r="H88" s="10">
        <v>1</v>
      </c>
      <c r="I88" s="5" t="s">
        <v>41</v>
      </c>
      <c r="J88" s="6">
        <v>100</v>
      </c>
      <c r="K88" s="7">
        <v>95</v>
      </c>
      <c r="L88" s="7">
        <v>90</v>
      </c>
      <c r="M88" s="7">
        <v>85</v>
      </c>
      <c r="N88" s="7">
        <v>80</v>
      </c>
      <c r="O88" s="7" t="s">
        <v>42</v>
      </c>
      <c r="P88" s="38"/>
      <c r="Q88" s="39">
        <f t="shared" si="0"/>
        <v>0</v>
      </c>
      <c r="R88" s="40">
        <f t="shared" si="1"/>
        <v>0</v>
      </c>
    </row>
    <row r="89" spans="1:18" s="41" customFormat="1" ht="147" customHeight="1" x14ac:dyDescent="0.25">
      <c r="A89" s="129"/>
      <c r="B89" s="138"/>
      <c r="C89" s="145"/>
      <c r="D89" s="138"/>
      <c r="E89" s="12">
        <v>0.15</v>
      </c>
      <c r="F89" s="3">
        <f t="shared" si="3"/>
        <v>0.15000000000000002</v>
      </c>
      <c r="G89" s="14" t="s">
        <v>229</v>
      </c>
      <c r="H89" s="10">
        <v>1</v>
      </c>
      <c r="I89" s="5" t="s">
        <v>41</v>
      </c>
      <c r="J89" s="6">
        <v>100</v>
      </c>
      <c r="K89" s="7">
        <v>95</v>
      </c>
      <c r="L89" s="7">
        <v>90</v>
      </c>
      <c r="M89" s="7">
        <v>85</v>
      </c>
      <c r="N89" s="7">
        <v>80</v>
      </c>
      <c r="O89" s="7" t="s">
        <v>42</v>
      </c>
      <c r="P89" s="38"/>
      <c r="Q89" s="39">
        <f t="shared" si="0"/>
        <v>0</v>
      </c>
      <c r="R89" s="40">
        <f t="shared" si="1"/>
        <v>0</v>
      </c>
    </row>
    <row r="90" spans="1:18" s="41" customFormat="1" ht="147" customHeight="1" x14ac:dyDescent="0.25">
      <c r="A90" s="127">
        <v>8</v>
      </c>
      <c r="B90" s="136" t="s">
        <v>230</v>
      </c>
      <c r="C90" s="143">
        <f>SUM(E90:E100)</f>
        <v>5</v>
      </c>
      <c r="D90" s="136" t="s">
        <v>231</v>
      </c>
      <c r="E90" s="3">
        <v>0.3</v>
      </c>
      <c r="F90" s="3">
        <f t="shared" si="3"/>
        <v>0.30000000000000004</v>
      </c>
      <c r="G90" s="2" t="s">
        <v>232</v>
      </c>
      <c r="H90" s="10">
        <v>1</v>
      </c>
      <c r="I90" s="5" t="s">
        <v>41</v>
      </c>
      <c r="J90" s="6">
        <v>100</v>
      </c>
      <c r="K90" s="7">
        <v>95</v>
      </c>
      <c r="L90" s="7">
        <v>90</v>
      </c>
      <c r="M90" s="7">
        <v>85</v>
      </c>
      <c r="N90" s="7">
        <v>80</v>
      </c>
      <c r="O90" s="7" t="s">
        <v>42</v>
      </c>
      <c r="P90" s="38"/>
      <c r="Q90" s="39">
        <f t="shared" si="0"/>
        <v>0</v>
      </c>
      <c r="R90" s="40">
        <f t="shared" si="1"/>
        <v>0</v>
      </c>
    </row>
    <row r="91" spans="1:18" s="41" customFormat="1" ht="147" customHeight="1" x14ac:dyDescent="0.25">
      <c r="A91" s="128"/>
      <c r="B91" s="137"/>
      <c r="C91" s="144"/>
      <c r="D91" s="137"/>
      <c r="E91" s="3">
        <v>0.3</v>
      </c>
      <c r="F91" s="3">
        <f t="shared" si="3"/>
        <v>0.30000000000000004</v>
      </c>
      <c r="G91" s="2" t="s">
        <v>233</v>
      </c>
      <c r="H91" s="10">
        <v>0.8</v>
      </c>
      <c r="I91" s="1" t="s">
        <v>41</v>
      </c>
      <c r="J91" s="6" t="s">
        <v>63</v>
      </c>
      <c r="K91" s="7">
        <v>80</v>
      </c>
      <c r="L91" s="7">
        <v>75</v>
      </c>
      <c r="M91" s="7">
        <v>70</v>
      </c>
      <c r="N91" s="7">
        <v>50</v>
      </c>
      <c r="O91" s="7" t="s">
        <v>52</v>
      </c>
      <c r="P91" s="38"/>
      <c r="Q91" s="39">
        <f t="shared" si="0"/>
        <v>0</v>
      </c>
      <c r="R91" s="40">
        <f t="shared" si="1"/>
        <v>0</v>
      </c>
    </row>
    <row r="92" spans="1:18" s="41" customFormat="1" ht="147" customHeight="1" x14ac:dyDescent="0.25">
      <c r="A92" s="128"/>
      <c r="B92" s="137"/>
      <c r="C92" s="144"/>
      <c r="D92" s="138"/>
      <c r="E92" s="3">
        <v>0.4</v>
      </c>
      <c r="F92" s="3">
        <f t="shared" si="3"/>
        <v>0.40000000000000008</v>
      </c>
      <c r="G92" s="2" t="s">
        <v>234</v>
      </c>
      <c r="H92" s="10">
        <v>0.9</v>
      </c>
      <c r="I92" s="1" t="s">
        <v>41</v>
      </c>
      <c r="J92" s="6" t="s">
        <v>74</v>
      </c>
      <c r="K92" s="7">
        <v>90</v>
      </c>
      <c r="L92" s="7">
        <v>80</v>
      </c>
      <c r="M92" s="7">
        <v>70</v>
      </c>
      <c r="N92" s="7">
        <v>50</v>
      </c>
      <c r="O92" s="7" t="s">
        <v>52</v>
      </c>
      <c r="P92" s="38"/>
      <c r="Q92" s="39">
        <f t="shared" si="0"/>
        <v>0</v>
      </c>
      <c r="R92" s="40">
        <f t="shared" si="1"/>
        <v>0</v>
      </c>
    </row>
    <row r="93" spans="1:18" s="41" customFormat="1" ht="147" customHeight="1" x14ac:dyDescent="0.25">
      <c r="A93" s="128"/>
      <c r="B93" s="137"/>
      <c r="C93" s="144"/>
      <c r="D93" s="136" t="s">
        <v>235</v>
      </c>
      <c r="E93" s="3">
        <v>0.5</v>
      </c>
      <c r="F93" s="3">
        <f t="shared" si="3"/>
        <v>0.50000000000000011</v>
      </c>
      <c r="G93" s="2" t="s">
        <v>236</v>
      </c>
      <c r="H93" s="10">
        <v>0.75</v>
      </c>
      <c r="I93" s="5" t="s">
        <v>41</v>
      </c>
      <c r="J93" s="6" t="s">
        <v>51</v>
      </c>
      <c r="K93" s="7">
        <v>75</v>
      </c>
      <c r="L93" s="7">
        <v>70</v>
      </c>
      <c r="M93" s="7">
        <v>60</v>
      </c>
      <c r="N93" s="7">
        <v>50</v>
      </c>
      <c r="O93" s="7" t="s">
        <v>52</v>
      </c>
      <c r="P93" s="38"/>
      <c r="Q93" s="39">
        <f t="shared" si="0"/>
        <v>0</v>
      </c>
      <c r="R93" s="40">
        <f t="shared" si="1"/>
        <v>0</v>
      </c>
    </row>
    <row r="94" spans="1:18" s="41" customFormat="1" ht="147" customHeight="1" x14ac:dyDescent="0.25">
      <c r="A94" s="128"/>
      <c r="B94" s="137"/>
      <c r="C94" s="144"/>
      <c r="D94" s="138"/>
      <c r="E94" s="3">
        <v>0.5</v>
      </c>
      <c r="F94" s="3">
        <f t="shared" si="3"/>
        <v>0.50000000000000011</v>
      </c>
      <c r="G94" s="2" t="s">
        <v>237</v>
      </c>
      <c r="H94" s="10">
        <v>0.9</v>
      </c>
      <c r="I94" s="1" t="s">
        <v>41</v>
      </c>
      <c r="J94" s="6" t="s">
        <v>74</v>
      </c>
      <c r="K94" s="7">
        <v>90</v>
      </c>
      <c r="L94" s="7">
        <v>80</v>
      </c>
      <c r="M94" s="7">
        <v>70</v>
      </c>
      <c r="N94" s="7">
        <v>50</v>
      </c>
      <c r="O94" s="7" t="s">
        <v>52</v>
      </c>
      <c r="P94" s="38"/>
      <c r="Q94" s="39">
        <f t="shared" si="0"/>
        <v>0</v>
      </c>
      <c r="R94" s="40">
        <f t="shared" si="1"/>
        <v>0</v>
      </c>
    </row>
    <row r="95" spans="1:18" s="41" customFormat="1" ht="147" customHeight="1" x14ac:dyDescent="0.25">
      <c r="A95" s="128"/>
      <c r="B95" s="137"/>
      <c r="C95" s="144"/>
      <c r="D95" s="136" t="s">
        <v>238</v>
      </c>
      <c r="E95" s="3">
        <v>0.5</v>
      </c>
      <c r="F95" s="3">
        <f t="shared" si="3"/>
        <v>0.50000000000000011</v>
      </c>
      <c r="G95" s="2" t="s">
        <v>239</v>
      </c>
      <c r="H95" s="10">
        <v>0.8</v>
      </c>
      <c r="I95" s="1" t="s">
        <v>41</v>
      </c>
      <c r="J95" s="6" t="s">
        <v>63</v>
      </c>
      <c r="K95" s="7">
        <v>80</v>
      </c>
      <c r="L95" s="7">
        <v>75</v>
      </c>
      <c r="M95" s="7">
        <v>70</v>
      </c>
      <c r="N95" s="7">
        <v>50</v>
      </c>
      <c r="O95" s="7" t="s">
        <v>52</v>
      </c>
      <c r="P95" s="38"/>
      <c r="Q95" s="39">
        <f t="shared" si="0"/>
        <v>0</v>
      </c>
      <c r="R95" s="40">
        <f t="shared" si="1"/>
        <v>0</v>
      </c>
    </row>
    <row r="96" spans="1:18" s="41" customFormat="1" ht="147" customHeight="1" x14ac:dyDescent="0.25">
      <c r="A96" s="128"/>
      <c r="B96" s="137"/>
      <c r="C96" s="144"/>
      <c r="D96" s="138"/>
      <c r="E96" s="3">
        <v>0.5</v>
      </c>
      <c r="F96" s="3">
        <f t="shared" si="3"/>
        <v>0.50000000000000011</v>
      </c>
      <c r="G96" s="2" t="s">
        <v>240</v>
      </c>
      <c r="H96" s="10">
        <v>0.9</v>
      </c>
      <c r="I96" s="1" t="s">
        <v>41</v>
      </c>
      <c r="J96" s="6" t="s">
        <v>74</v>
      </c>
      <c r="K96" s="7">
        <v>90</v>
      </c>
      <c r="L96" s="7">
        <v>80</v>
      </c>
      <c r="M96" s="7">
        <v>70</v>
      </c>
      <c r="N96" s="7">
        <v>50</v>
      </c>
      <c r="O96" s="7" t="s">
        <v>52</v>
      </c>
      <c r="P96" s="38"/>
      <c r="Q96" s="39">
        <f t="shared" si="0"/>
        <v>0</v>
      </c>
      <c r="R96" s="40">
        <f t="shared" si="1"/>
        <v>0</v>
      </c>
    </row>
    <row r="97" spans="1:18" s="41" customFormat="1" ht="147" customHeight="1" x14ac:dyDescent="0.25">
      <c r="A97" s="128"/>
      <c r="B97" s="137"/>
      <c r="C97" s="144"/>
      <c r="D97" s="136" t="s">
        <v>241</v>
      </c>
      <c r="E97" s="3">
        <v>0.5</v>
      </c>
      <c r="F97" s="3">
        <f t="shared" si="3"/>
        <v>0.50000000000000011</v>
      </c>
      <c r="G97" s="2" t="s">
        <v>242</v>
      </c>
      <c r="H97" s="10">
        <v>1</v>
      </c>
      <c r="I97" s="5" t="s">
        <v>41</v>
      </c>
      <c r="J97" s="6">
        <v>100</v>
      </c>
      <c r="K97" s="7">
        <v>95</v>
      </c>
      <c r="L97" s="7">
        <v>90</v>
      </c>
      <c r="M97" s="7">
        <v>85</v>
      </c>
      <c r="N97" s="7">
        <v>80</v>
      </c>
      <c r="O97" s="7" t="s">
        <v>42</v>
      </c>
      <c r="P97" s="38"/>
      <c r="Q97" s="39">
        <f t="shared" si="0"/>
        <v>0</v>
      </c>
      <c r="R97" s="40">
        <f t="shared" si="1"/>
        <v>0</v>
      </c>
    </row>
    <row r="98" spans="1:18" s="41" customFormat="1" ht="147" customHeight="1" x14ac:dyDescent="0.25">
      <c r="A98" s="128"/>
      <c r="B98" s="137"/>
      <c r="C98" s="144"/>
      <c r="D98" s="138"/>
      <c r="E98" s="3">
        <v>0.5</v>
      </c>
      <c r="F98" s="3">
        <f t="shared" si="3"/>
        <v>0.50000000000000011</v>
      </c>
      <c r="G98" s="2" t="s">
        <v>243</v>
      </c>
      <c r="H98" s="10">
        <v>1</v>
      </c>
      <c r="I98" s="5" t="s">
        <v>41</v>
      </c>
      <c r="J98" s="6">
        <v>100</v>
      </c>
      <c r="K98" s="7">
        <v>95</v>
      </c>
      <c r="L98" s="7">
        <v>90</v>
      </c>
      <c r="M98" s="7">
        <v>85</v>
      </c>
      <c r="N98" s="7">
        <v>80</v>
      </c>
      <c r="O98" s="7" t="s">
        <v>42</v>
      </c>
      <c r="P98" s="38"/>
      <c r="Q98" s="39">
        <f t="shared" si="0"/>
        <v>0</v>
      </c>
      <c r="R98" s="40">
        <f t="shared" si="1"/>
        <v>0</v>
      </c>
    </row>
    <row r="99" spans="1:18" s="41" customFormat="1" ht="147" customHeight="1" x14ac:dyDescent="0.25">
      <c r="A99" s="128"/>
      <c r="B99" s="137"/>
      <c r="C99" s="144"/>
      <c r="D99" s="136" t="s">
        <v>244</v>
      </c>
      <c r="E99" s="3">
        <v>0.5</v>
      </c>
      <c r="F99" s="3">
        <f t="shared" si="3"/>
        <v>0.50000000000000011</v>
      </c>
      <c r="G99" s="2" t="s">
        <v>245</v>
      </c>
      <c r="H99" s="10">
        <v>0.8</v>
      </c>
      <c r="I99" s="1" t="s">
        <v>41</v>
      </c>
      <c r="J99" s="6" t="s">
        <v>63</v>
      </c>
      <c r="K99" s="7">
        <v>80</v>
      </c>
      <c r="L99" s="7">
        <v>75</v>
      </c>
      <c r="M99" s="7">
        <v>70</v>
      </c>
      <c r="N99" s="7">
        <v>50</v>
      </c>
      <c r="O99" s="7" t="s">
        <v>52</v>
      </c>
      <c r="P99" s="38"/>
      <c r="Q99" s="39">
        <f t="shared" si="0"/>
        <v>0</v>
      </c>
      <c r="R99" s="40">
        <f t="shared" si="1"/>
        <v>0</v>
      </c>
    </row>
    <row r="100" spans="1:18" s="41" customFormat="1" ht="147" customHeight="1" x14ac:dyDescent="0.25">
      <c r="A100" s="129"/>
      <c r="B100" s="138"/>
      <c r="C100" s="145"/>
      <c r="D100" s="138"/>
      <c r="E100" s="3">
        <v>0.5</v>
      </c>
      <c r="F100" s="3">
        <f t="shared" si="3"/>
        <v>0.50000000000000011</v>
      </c>
      <c r="G100" s="2" t="s">
        <v>246</v>
      </c>
      <c r="H100" s="4">
        <v>0.2</v>
      </c>
      <c r="I100" s="5" t="s">
        <v>41</v>
      </c>
      <c r="J100" s="6" t="s">
        <v>95</v>
      </c>
      <c r="K100" s="7">
        <v>20</v>
      </c>
      <c r="L100" s="7">
        <v>15</v>
      </c>
      <c r="M100" s="7">
        <v>10</v>
      </c>
      <c r="N100" s="7">
        <v>5</v>
      </c>
      <c r="O100" s="7" t="s">
        <v>86</v>
      </c>
      <c r="P100" s="38"/>
      <c r="Q100" s="39">
        <f t="shared" si="0"/>
        <v>0</v>
      </c>
      <c r="R100" s="40">
        <f t="shared" si="1"/>
        <v>0</v>
      </c>
    </row>
    <row r="101" spans="1:18" s="41" customFormat="1" ht="147" customHeight="1" x14ac:dyDescent="0.25">
      <c r="A101" s="127">
        <v>9</v>
      </c>
      <c r="B101" s="136" t="s">
        <v>247</v>
      </c>
      <c r="C101" s="143">
        <f>SUM(E101:E110)</f>
        <v>5</v>
      </c>
      <c r="D101" s="136" t="s">
        <v>293</v>
      </c>
      <c r="E101" s="3">
        <v>0.7</v>
      </c>
      <c r="F101" s="3">
        <f t="shared" si="3"/>
        <v>0.70000000000000007</v>
      </c>
      <c r="G101" s="2" t="s">
        <v>248</v>
      </c>
      <c r="H101" s="10">
        <v>0.8</v>
      </c>
      <c r="I101" s="1" t="s">
        <v>41</v>
      </c>
      <c r="J101" s="6" t="s">
        <v>63</v>
      </c>
      <c r="K101" s="7">
        <v>80</v>
      </c>
      <c r="L101" s="7">
        <v>75</v>
      </c>
      <c r="M101" s="7">
        <v>70</v>
      </c>
      <c r="N101" s="7">
        <v>50</v>
      </c>
      <c r="O101" s="7" t="s">
        <v>52</v>
      </c>
      <c r="P101" s="38"/>
      <c r="Q101" s="39">
        <f t="shared" ref="Q101:Q147" si="4">IF(OR(TRIM(P101)="",P101=0),0,
IF(P101&lt;N101,50,
IF(P101&lt;M101,60,
IF(P101&lt;L101,70,
IF(P101&lt;K101,80,
IF(ISNUMBER(J101),
    IF(P101&lt;J101,IF(P101&gt;=K101,90,80),100),
    IF(P101=K101,90,100)
))))))</f>
        <v>0</v>
      </c>
      <c r="R101" s="40">
        <f t="shared" ref="R101:R147" si="5">F101*Q101/100</f>
        <v>0</v>
      </c>
    </row>
    <row r="102" spans="1:18" s="41" customFormat="1" ht="147" customHeight="1" x14ac:dyDescent="0.25">
      <c r="A102" s="128"/>
      <c r="B102" s="137"/>
      <c r="C102" s="144"/>
      <c r="D102" s="138"/>
      <c r="E102" s="3">
        <v>0.3</v>
      </c>
      <c r="F102" s="3">
        <f t="shared" si="3"/>
        <v>0.30000000000000004</v>
      </c>
      <c r="G102" s="2" t="s">
        <v>249</v>
      </c>
      <c r="H102" s="10">
        <v>1</v>
      </c>
      <c r="I102" s="5" t="s">
        <v>41</v>
      </c>
      <c r="J102" s="6">
        <v>100</v>
      </c>
      <c r="K102" s="7">
        <v>95</v>
      </c>
      <c r="L102" s="7">
        <v>90</v>
      </c>
      <c r="M102" s="7">
        <v>85</v>
      </c>
      <c r="N102" s="7">
        <v>80</v>
      </c>
      <c r="O102" s="7" t="s">
        <v>42</v>
      </c>
      <c r="P102" s="38"/>
      <c r="Q102" s="39">
        <f t="shared" si="4"/>
        <v>0</v>
      </c>
      <c r="R102" s="40">
        <f t="shared" si="5"/>
        <v>0</v>
      </c>
    </row>
    <row r="103" spans="1:18" s="41" customFormat="1" ht="147" customHeight="1" x14ac:dyDescent="0.25">
      <c r="A103" s="128"/>
      <c r="B103" s="137"/>
      <c r="C103" s="144"/>
      <c r="D103" s="136" t="s">
        <v>250</v>
      </c>
      <c r="E103" s="3">
        <v>0.5</v>
      </c>
      <c r="F103" s="3">
        <f t="shared" si="3"/>
        <v>0.50000000000000011</v>
      </c>
      <c r="G103" s="2" t="s">
        <v>251</v>
      </c>
      <c r="H103" s="10">
        <v>1</v>
      </c>
      <c r="I103" s="5" t="s">
        <v>41</v>
      </c>
      <c r="J103" s="6">
        <v>100</v>
      </c>
      <c r="K103" s="7">
        <v>95</v>
      </c>
      <c r="L103" s="7">
        <v>90</v>
      </c>
      <c r="M103" s="7">
        <v>85</v>
      </c>
      <c r="N103" s="7">
        <v>80</v>
      </c>
      <c r="O103" s="7" t="s">
        <v>42</v>
      </c>
      <c r="P103" s="38"/>
      <c r="Q103" s="39">
        <f t="shared" si="4"/>
        <v>0</v>
      </c>
      <c r="R103" s="40">
        <f t="shared" si="5"/>
        <v>0</v>
      </c>
    </row>
    <row r="104" spans="1:18" s="41" customFormat="1" ht="147" customHeight="1" x14ac:dyDescent="0.25">
      <c r="A104" s="128"/>
      <c r="B104" s="137"/>
      <c r="C104" s="144"/>
      <c r="D104" s="138"/>
      <c r="E104" s="3">
        <v>0.5</v>
      </c>
      <c r="F104" s="3">
        <f t="shared" si="3"/>
        <v>0.50000000000000011</v>
      </c>
      <c r="G104" s="2" t="s">
        <v>252</v>
      </c>
      <c r="H104" s="10">
        <v>0.8</v>
      </c>
      <c r="I104" s="1" t="s">
        <v>41</v>
      </c>
      <c r="J104" s="6" t="s">
        <v>63</v>
      </c>
      <c r="K104" s="7">
        <v>80</v>
      </c>
      <c r="L104" s="7">
        <v>75</v>
      </c>
      <c r="M104" s="7">
        <v>70</v>
      </c>
      <c r="N104" s="7">
        <v>50</v>
      </c>
      <c r="O104" s="7" t="s">
        <v>52</v>
      </c>
      <c r="P104" s="38"/>
      <c r="Q104" s="39">
        <f t="shared" si="4"/>
        <v>0</v>
      </c>
      <c r="R104" s="40">
        <f t="shared" si="5"/>
        <v>0</v>
      </c>
    </row>
    <row r="105" spans="1:18" s="41" customFormat="1" ht="147" customHeight="1" x14ac:dyDescent="0.25">
      <c r="A105" s="128"/>
      <c r="B105" s="137"/>
      <c r="C105" s="144"/>
      <c r="D105" s="136" t="s">
        <v>253</v>
      </c>
      <c r="E105" s="3">
        <v>0.5</v>
      </c>
      <c r="F105" s="3">
        <f t="shared" si="3"/>
        <v>0.50000000000000011</v>
      </c>
      <c r="G105" s="2" t="s">
        <v>254</v>
      </c>
      <c r="H105" s="1">
        <v>10</v>
      </c>
      <c r="I105" s="5" t="s">
        <v>55</v>
      </c>
      <c r="J105" s="6" t="s">
        <v>85</v>
      </c>
      <c r="K105" s="7">
        <v>10</v>
      </c>
      <c r="L105" s="7">
        <v>8</v>
      </c>
      <c r="M105" s="7">
        <v>6</v>
      </c>
      <c r="N105" s="7">
        <v>5</v>
      </c>
      <c r="O105" s="7" t="s">
        <v>86</v>
      </c>
      <c r="P105" s="38"/>
      <c r="Q105" s="39">
        <f t="shared" si="4"/>
        <v>0</v>
      </c>
      <c r="R105" s="40">
        <f t="shared" si="5"/>
        <v>0</v>
      </c>
    </row>
    <row r="106" spans="1:18" s="41" customFormat="1" ht="147" customHeight="1" x14ac:dyDescent="0.25">
      <c r="A106" s="128"/>
      <c r="B106" s="137"/>
      <c r="C106" s="144"/>
      <c r="D106" s="138"/>
      <c r="E106" s="3">
        <v>0.5</v>
      </c>
      <c r="F106" s="3">
        <f t="shared" si="3"/>
        <v>0.50000000000000011</v>
      </c>
      <c r="G106" s="2" t="s">
        <v>255</v>
      </c>
      <c r="H106" s="10">
        <v>0.8</v>
      </c>
      <c r="I106" s="1" t="s">
        <v>41</v>
      </c>
      <c r="J106" s="6" t="s">
        <v>63</v>
      </c>
      <c r="K106" s="7">
        <v>80</v>
      </c>
      <c r="L106" s="7">
        <v>75</v>
      </c>
      <c r="M106" s="7">
        <v>70</v>
      </c>
      <c r="N106" s="7">
        <v>50</v>
      </c>
      <c r="O106" s="7" t="s">
        <v>52</v>
      </c>
      <c r="P106" s="38"/>
      <c r="Q106" s="39">
        <f t="shared" si="4"/>
        <v>0</v>
      </c>
      <c r="R106" s="40">
        <f t="shared" si="5"/>
        <v>0</v>
      </c>
    </row>
    <row r="107" spans="1:18" s="41" customFormat="1" ht="147" customHeight="1" x14ac:dyDescent="0.25">
      <c r="A107" s="128"/>
      <c r="B107" s="137"/>
      <c r="C107" s="144"/>
      <c r="D107" s="136" t="s">
        <v>256</v>
      </c>
      <c r="E107" s="3">
        <v>0.5</v>
      </c>
      <c r="F107" s="3">
        <f t="shared" si="3"/>
        <v>0.50000000000000011</v>
      </c>
      <c r="G107" s="2" t="s">
        <v>257</v>
      </c>
      <c r="H107" s="1">
        <v>5</v>
      </c>
      <c r="I107" s="5" t="s">
        <v>55</v>
      </c>
      <c r="J107" s="6" t="s">
        <v>83</v>
      </c>
      <c r="K107" s="7">
        <v>5</v>
      </c>
      <c r="L107" s="7">
        <v>4</v>
      </c>
      <c r="M107" s="7">
        <v>3</v>
      </c>
      <c r="N107" s="7">
        <v>2</v>
      </c>
      <c r="O107" s="7">
        <v>1</v>
      </c>
      <c r="P107" s="38"/>
      <c r="Q107" s="39">
        <f t="shared" si="4"/>
        <v>0</v>
      </c>
      <c r="R107" s="40">
        <f t="shared" si="5"/>
        <v>0</v>
      </c>
    </row>
    <row r="108" spans="1:18" s="41" customFormat="1" ht="147" customHeight="1" x14ac:dyDescent="0.25">
      <c r="A108" s="128"/>
      <c r="B108" s="137"/>
      <c r="C108" s="144"/>
      <c r="D108" s="138"/>
      <c r="E108" s="3">
        <v>0.5</v>
      </c>
      <c r="F108" s="3">
        <f t="shared" si="3"/>
        <v>0.50000000000000011</v>
      </c>
      <c r="G108" s="2" t="s">
        <v>258</v>
      </c>
      <c r="H108" s="1">
        <v>10</v>
      </c>
      <c r="I108" s="5" t="s">
        <v>55</v>
      </c>
      <c r="J108" s="6" t="s">
        <v>85</v>
      </c>
      <c r="K108" s="7">
        <v>10</v>
      </c>
      <c r="L108" s="7">
        <v>8</v>
      </c>
      <c r="M108" s="7">
        <v>6</v>
      </c>
      <c r="N108" s="7">
        <v>5</v>
      </c>
      <c r="O108" s="7" t="s">
        <v>86</v>
      </c>
      <c r="P108" s="38"/>
      <c r="Q108" s="39">
        <f t="shared" si="4"/>
        <v>0</v>
      </c>
      <c r="R108" s="40">
        <f t="shared" si="5"/>
        <v>0</v>
      </c>
    </row>
    <row r="109" spans="1:18" s="41" customFormat="1" ht="147" customHeight="1" x14ac:dyDescent="0.25">
      <c r="A109" s="128"/>
      <c r="B109" s="137"/>
      <c r="C109" s="144"/>
      <c r="D109" s="136" t="s">
        <v>259</v>
      </c>
      <c r="E109" s="3">
        <v>0.8</v>
      </c>
      <c r="F109" s="3">
        <f t="shared" si="3"/>
        <v>0.80000000000000016</v>
      </c>
      <c r="G109" s="2" t="s">
        <v>260</v>
      </c>
      <c r="H109" s="10">
        <v>0.8</v>
      </c>
      <c r="I109" s="1" t="s">
        <v>41</v>
      </c>
      <c r="J109" s="6" t="s">
        <v>63</v>
      </c>
      <c r="K109" s="7">
        <v>80</v>
      </c>
      <c r="L109" s="7">
        <v>75</v>
      </c>
      <c r="M109" s="7">
        <v>70</v>
      </c>
      <c r="N109" s="7">
        <v>50</v>
      </c>
      <c r="O109" s="7" t="s">
        <v>52</v>
      </c>
      <c r="P109" s="38"/>
      <c r="Q109" s="39">
        <f t="shared" si="4"/>
        <v>0</v>
      </c>
      <c r="R109" s="40">
        <f t="shared" si="5"/>
        <v>0</v>
      </c>
    </row>
    <row r="110" spans="1:18" s="41" customFormat="1" ht="147" customHeight="1" x14ac:dyDescent="0.25">
      <c r="A110" s="129"/>
      <c r="B110" s="138"/>
      <c r="C110" s="145"/>
      <c r="D110" s="138"/>
      <c r="E110" s="12">
        <v>0.2</v>
      </c>
      <c r="F110" s="3">
        <f t="shared" si="3"/>
        <v>0.20000000000000004</v>
      </c>
      <c r="G110" s="14" t="s">
        <v>261</v>
      </c>
      <c r="H110" s="10">
        <v>0.2</v>
      </c>
      <c r="I110" s="5" t="s">
        <v>41</v>
      </c>
      <c r="J110" s="6" t="s">
        <v>95</v>
      </c>
      <c r="K110" s="7">
        <v>20</v>
      </c>
      <c r="L110" s="7">
        <v>15</v>
      </c>
      <c r="M110" s="7">
        <v>10</v>
      </c>
      <c r="N110" s="7">
        <v>5</v>
      </c>
      <c r="O110" s="7" t="s">
        <v>86</v>
      </c>
      <c r="P110" s="38"/>
      <c r="Q110" s="39">
        <f t="shared" si="4"/>
        <v>0</v>
      </c>
      <c r="R110" s="40">
        <f t="shared" si="5"/>
        <v>0</v>
      </c>
    </row>
    <row r="111" spans="1:18" s="41" customFormat="1" ht="147" customHeight="1" x14ac:dyDescent="0.25">
      <c r="A111" s="127">
        <v>10</v>
      </c>
      <c r="B111" s="136" t="s">
        <v>262</v>
      </c>
      <c r="C111" s="143">
        <v>7</v>
      </c>
      <c r="D111" s="136" t="s">
        <v>263</v>
      </c>
      <c r="E111" s="3">
        <v>1.5</v>
      </c>
      <c r="F111" s="3">
        <f t="shared" si="3"/>
        <v>1.5000000000000002</v>
      </c>
      <c r="G111" s="2" t="s">
        <v>264</v>
      </c>
      <c r="H111" s="1">
        <v>20</v>
      </c>
      <c r="I111" s="6" t="s">
        <v>55</v>
      </c>
      <c r="J111" s="6" t="s">
        <v>95</v>
      </c>
      <c r="K111" s="7">
        <v>20</v>
      </c>
      <c r="L111" s="7">
        <v>15</v>
      </c>
      <c r="M111" s="7">
        <v>10</v>
      </c>
      <c r="N111" s="7">
        <v>5</v>
      </c>
      <c r="O111" s="7" t="s">
        <v>86</v>
      </c>
      <c r="P111" s="38"/>
      <c r="Q111" s="39">
        <f t="shared" si="4"/>
        <v>0</v>
      </c>
      <c r="R111" s="40">
        <f t="shared" si="5"/>
        <v>0</v>
      </c>
    </row>
    <row r="112" spans="1:18" s="41" customFormat="1" ht="147" customHeight="1" x14ac:dyDescent="0.25">
      <c r="A112" s="128"/>
      <c r="B112" s="137"/>
      <c r="C112" s="144"/>
      <c r="D112" s="138"/>
      <c r="E112" s="3">
        <v>1</v>
      </c>
      <c r="F112" s="3">
        <f t="shared" si="3"/>
        <v>1.0000000000000002</v>
      </c>
      <c r="G112" s="2" t="s">
        <v>265</v>
      </c>
      <c r="H112" s="1">
        <v>5</v>
      </c>
      <c r="I112" s="5" t="s">
        <v>55</v>
      </c>
      <c r="J112" s="6" t="s">
        <v>83</v>
      </c>
      <c r="K112" s="7">
        <v>5</v>
      </c>
      <c r="L112" s="7">
        <v>4</v>
      </c>
      <c r="M112" s="7">
        <v>3</v>
      </c>
      <c r="N112" s="7">
        <v>2</v>
      </c>
      <c r="O112" s="7">
        <v>1</v>
      </c>
      <c r="P112" s="38"/>
      <c r="Q112" s="39">
        <f t="shared" si="4"/>
        <v>0</v>
      </c>
      <c r="R112" s="40">
        <f t="shared" si="5"/>
        <v>0</v>
      </c>
    </row>
    <row r="113" spans="1:18" s="41" customFormat="1" ht="147" customHeight="1" x14ac:dyDescent="0.25">
      <c r="A113" s="128"/>
      <c r="B113" s="137"/>
      <c r="C113" s="144"/>
      <c r="D113" s="130" t="s">
        <v>266</v>
      </c>
      <c r="E113" s="3">
        <v>0.5</v>
      </c>
      <c r="F113" s="3">
        <f t="shared" si="3"/>
        <v>0.50000000000000011</v>
      </c>
      <c r="G113" s="2" t="s">
        <v>267</v>
      </c>
      <c r="H113" s="10">
        <v>0.2</v>
      </c>
      <c r="I113" s="5" t="s">
        <v>41</v>
      </c>
      <c r="J113" s="6" t="s">
        <v>95</v>
      </c>
      <c r="K113" s="7">
        <v>20</v>
      </c>
      <c r="L113" s="7">
        <v>15</v>
      </c>
      <c r="M113" s="7">
        <v>10</v>
      </c>
      <c r="N113" s="7">
        <v>5</v>
      </c>
      <c r="O113" s="7" t="s">
        <v>86</v>
      </c>
      <c r="P113" s="38"/>
      <c r="Q113" s="39">
        <f t="shared" si="4"/>
        <v>0</v>
      </c>
      <c r="R113" s="40">
        <f t="shared" si="5"/>
        <v>0</v>
      </c>
    </row>
    <row r="114" spans="1:18" s="41" customFormat="1" ht="147" customHeight="1" x14ac:dyDescent="0.25">
      <c r="A114" s="128"/>
      <c r="B114" s="137"/>
      <c r="C114" s="144"/>
      <c r="D114" s="132"/>
      <c r="E114" s="3">
        <v>0.5</v>
      </c>
      <c r="F114" s="3">
        <f t="shared" si="3"/>
        <v>0.50000000000000011</v>
      </c>
      <c r="G114" s="2" t="s">
        <v>268</v>
      </c>
      <c r="H114" s="1">
        <v>20</v>
      </c>
      <c r="I114" s="5" t="s">
        <v>55</v>
      </c>
      <c r="J114" s="6" t="s">
        <v>95</v>
      </c>
      <c r="K114" s="7">
        <v>20</v>
      </c>
      <c r="L114" s="7">
        <v>15</v>
      </c>
      <c r="M114" s="7">
        <v>10</v>
      </c>
      <c r="N114" s="7">
        <v>5</v>
      </c>
      <c r="O114" s="7" t="s">
        <v>86</v>
      </c>
      <c r="P114" s="38"/>
      <c r="Q114" s="39">
        <f t="shared" si="4"/>
        <v>0</v>
      </c>
      <c r="R114" s="40">
        <f t="shared" si="5"/>
        <v>0</v>
      </c>
    </row>
    <row r="115" spans="1:18" s="41" customFormat="1" ht="147" customHeight="1" x14ac:dyDescent="0.25">
      <c r="A115" s="128"/>
      <c r="B115" s="137"/>
      <c r="C115" s="144"/>
      <c r="D115" s="136" t="s">
        <v>269</v>
      </c>
      <c r="E115" s="3">
        <v>0.5</v>
      </c>
      <c r="F115" s="3">
        <f t="shared" si="3"/>
        <v>0.50000000000000011</v>
      </c>
      <c r="G115" s="2" t="s">
        <v>270</v>
      </c>
      <c r="H115" s="1">
        <v>5</v>
      </c>
      <c r="I115" s="5" t="s">
        <v>55</v>
      </c>
      <c r="J115" s="6" t="s">
        <v>83</v>
      </c>
      <c r="K115" s="7">
        <v>5</v>
      </c>
      <c r="L115" s="7">
        <v>4</v>
      </c>
      <c r="M115" s="7">
        <v>3</v>
      </c>
      <c r="N115" s="7">
        <v>2</v>
      </c>
      <c r="O115" s="7">
        <v>1</v>
      </c>
      <c r="P115" s="38"/>
      <c r="Q115" s="39">
        <f t="shared" si="4"/>
        <v>0</v>
      </c>
      <c r="R115" s="40">
        <f t="shared" si="5"/>
        <v>0</v>
      </c>
    </row>
    <row r="116" spans="1:18" s="41" customFormat="1" ht="147" customHeight="1" x14ac:dyDescent="0.25">
      <c r="A116" s="128"/>
      <c r="B116" s="137"/>
      <c r="C116" s="144"/>
      <c r="D116" s="138"/>
      <c r="E116" s="3">
        <v>0.5</v>
      </c>
      <c r="F116" s="3">
        <f t="shared" si="3"/>
        <v>0.50000000000000011</v>
      </c>
      <c r="G116" s="2" t="s">
        <v>271</v>
      </c>
      <c r="H116" s="10">
        <v>1</v>
      </c>
      <c r="I116" s="5" t="s">
        <v>41</v>
      </c>
      <c r="J116" s="6">
        <v>100</v>
      </c>
      <c r="K116" s="7">
        <v>95</v>
      </c>
      <c r="L116" s="7">
        <v>90</v>
      </c>
      <c r="M116" s="7">
        <v>85</v>
      </c>
      <c r="N116" s="7">
        <v>80</v>
      </c>
      <c r="O116" s="7" t="s">
        <v>42</v>
      </c>
      <c r="P116" s="38"/>
      <c r="Q116" s="39">
        <f t="shared" si="4"/>
        <v>0</v>
      </c>
      <c r="R116" s="40">
        <f t="shared" si="5"/>
        <v>0</v>
      </c>
    </row>
    <row r="117" spans="1:18" s="41" customFormat="1" ht="147" customHeight="1" x14ac:dyDescent="0.25">
      <c r="A117" s="128"/>
      <c r="B117" s="137"/>
      <c r="C117" s="144"/>
      <c r="D117" s="130" t="s">
        <v>272</v>
      </c>
      <c r="E117" s="3">
        <v>1</v>
      </c>
      <c r="F117" s="3">
        <f t="shared" si="3"/>
        <v>1.0000000000000002</v>
      </c>
      <c r="G117" s="2" t="s">
        <v>273</v>
      </c>
      <c r="H117" s="10">
        <v>1</v>
      </c>
      <c r="I117" s="5" t="s">
        <v>41</v>
      </c>
      <c r="J117" s="6">
        <v>100</v>
      </c>
      <c r="K117" s="7">
        <v>95</v>
      </c>
      <c r="L117" s="7">
        <v>90</v>
      </c>
      <c r="M117" s="7">
        <v>85</v>
      </c>
      <c r="N117" s="7">
        <v>80</v>
      </c>
      <c r="O117" s="7" t="s">
        <v>42</v>
      </c>
      <c r="P117" s="38"/>
      <c r="Q117" s="39">
        <f t="shared" si="4"/>
        <v>0</v>
      </c>
      <c r="R117" s="40">
        <f t="shared" si="5"/>
        <v>0</v>
      </c>
    </row>
    <row r="118" spans="1:18" s="41" customFormat="1" ht="147" customHeight="1" x14ac:dyDescent="0.25">
      <c r="A118" s="128"/>
      <c r="B118" s="137"/>
      <c r="C118" s="144"/>
      <c r="D118" s="132"/>
      <c r="E118" s="3">
        <v>0.5</v>
      </c>
      <c r="F118" s="3">
        <f t="shared" si="3"/>
        <v>0.50000000000000011</v>
      </c>
      <c r="G118" s="2" t="s">
        <v>274</v>
      </c>
      <c r="H118" s="10">
        <v>0.8</v>
      </c>
      <c r="I118" s="1" t="s">
        <v>41</v>
      </c>
      <c r="J118" s="6" t="s">
        <v>63</v>
      </c>
      <c r="K118" s="7">
        <v>80</v>
      </c>
      <c r="L118" s="7">
        <v>75</v>
      </c>
      <c r="M118" s="7">
        <v>70</v>
      </c>
      <c r="N118" s="7">
        <v>50</v>
      </c>
      <c r="O118" s="7" t="s">
        <v>52</v>
      </c>
      <c r="P118" s="38"/>
      <c r="Q118" s="39">
        <f t="shared" si="4"/>
        <v>0</v>
      </c>
      <c r="R118" s="40">
        <f t="shared" si="5"/>
        <v>0</v>
      </c>
    </row>
    <row r="119" spans="1:18" s="41" customFormat="1" ht="147" customHeight="1" x14ac:dyDescent="0.25">
      <c r="A119" s="128"/>
      <c r="B119" s="137"/>
      <c r="C119" s="144"/>
      <c r="D119" s="130" t="s">
        <v>275</v>
      </c>
      <c r="E119" s="3">
        <v>0.5</v>
      </c>
      <c r="F119" s="3">
        <f t="shared" si="3"/>
        <v>0.50000000000000011</v>
      </c>
      <c r="G119" s="2" t="s">
        <v>276</v>
      </c>
      <c r="H119" s="10">
        <v>0.8</v>
      </c>
      <c r="I119" s="1" t="s">
        <v>41</v>
      </c>
      <c r="J119" s="6" t="s">
        <v>63</v>
      </c>
      <c r="K119" s="7">
        <v>80</v>
      </c>
      <c r="L119" s="7">
        <v>75</v>
      </c>
      <c r="M119" s="7">
        <v>70</v>
      </c>
      <c r="N119" s="7">
        <v>50</v>
      </c>
      <c r="O119" s="7" t="s">
        <v>52</v>
      </c>
      <c r="P119" s="38"/>
      <c r="Q119" s="39">
        <f t="shared" si="4"/>
        <v>0</v>
      </c>
      <c r="R119" s="40">
        <f t="shared" si="5"/>
        <v>0</v>
      </c>
    </row>
    <row r="120" spans="1:18" s="41" customFormat="1" ht="147" customHeight="1" x14ac:dyDescent="0.25">
      <c r="A120" s="129"/>
      <c r="B120" s="138"/>
      <c r="C120" s="145"/>
      <c r="D120" s="132"/>
      <c r="E120" s="13">
        <v>0.5</v>
      </c>
      <c r="F120" s="3">
        <f t="shared" si="3"/>
        <v>0.50000000000000011</v>
      </c>
      <c r="G120" s="15" t="s">
        <v>277</v>
      </c>
      <c r="H120" s="10">
        <v>0.3</v>
      </c>
      <c r="I120" s="1" t="s">
        <v>41</v>
      </c>
      <c r="J120" s="6" t="s">
        <v>156</v>
      </c>
      <c r="K120" s="7">
        <v>30</v>
      </c>
      <c r="L120" s="7">
        <v>25</v>
      </c>
      <c r="M120" s="7">
        <v>20</v>
      </c>
      <c r="N120" s="7">
        <v>10</v>
      </c>
      <c r="O120" s="7" t="s">
        <v>278</v>
      </c>
      <c r="P120" s="38"/>
      <c r="Q120" s="39">
        <f t="shared" si="4"/>
        <v>0</v>
      </c>
      <c r="R120" s="40">
        <f t="shared" si="5"/>
        <v>0</v>
      </c>
    </row>
    <row r="121" spans="1:18" s="41" customFormat="1" ht="147" customHeight="1" x14ac:dyDescent="0.25">
      <c r="A121" s="139">
        <v>11</v>
      </c>
      <c r="B121" s="140" t="s">
        <v>279</v>
      </c>
      <c r="C121" s="142">
        <f>SUM(E121:E128)</f>
        <v>3</v>
      </c>
      <c r="D121" s="136" t="s">
        <v>280</v>
      </c>
      <c r="E121" s="3">
        <v>0.5</v>
      </c>
      <c r="F121" s="3">
        <f t="shared" si="3"/>
        <v>0.50000000000000011</v>
      </c>
      <c r="G121" s="2" t="s">
        <v>281</v>
      </c>
      <c r="H121" s="10">
        <v>1</v>
      </c>
      <c r="I121" s="5" t="s">
        <v>41</v>
      </c>
      <c r="J121" s="6">
        <v>100</v>
      </c>
      <c r="K121" s="7">
        <v>95</v>
      </c>
      <c r="L121" s="7">
        <v>90</v>
      </c>
      <c r="M121" s="7">
        <v>85</v>
      </c>
      <c r="N121" s="7">
        <v>80</v>
      </c>
      <c r="O121" s="7" t="s">
        <v>42</v>
      </c>
      <c r="P121" s="38"/>
      <c r="Q121" s="39">
        <f t="shared" si="4"/>
        <v>0</v>
      </c>
      <c r="R121" s="40">
        <f t="shared" si="5"/>
        <v>0</v>
      </c>
    </row>
    <row r="122" spans="1:18" s="41" customFormat="1" ht="147" customHeight="1" x14ac:dyDescent="0.25">
      <c r="A122" s="139"/>
      <c r="B122" s="140"/>
      <c r="C122" s="142"/>
      <c r="D122" s="138"/>
      <c r="E122" s="3">
        <v>0.5</v>
      </c>
      <c r="F122" s="3">
        <f t="shared" si="3"/>
        <v>0.50000000000000011</v>
      </c>
      <c r="G122" s="2" t="s">
        <v>282</v>
      </c>
      <c r="H122" s="10">
        <v>1</v>
      </c>
      <c r="I122" s="5" t="s">
        <v>41</v>
      </c>
      <c r="J122" s="6">
        <v>100</v>
      </c>
      <c r="K122" s="7">
        <v>95</v>
      </c>
      <c r="L122" s="7">
        <v>90</v>
      </c>
      <c r="M122" s="7">
        <v>85</v>
      </c>
      <c r="N122" s="7">
        <v>80</v>
      </c>
      <c r="O122" s="7" t="s">
        <v>42</v>
      </c>
      <c r="P122" s="38"/>
      <c r="Q122" s="39">
        <f t="shared" si="4"/>
        <v>0</v>
      </c>
      <c r="R122" s="40">
        <f t="shared" si="5"/>
        <v>0</v>
      </c>
    </row>
    <row r="123" spans="1:18" s="41" customFormat="1" ht="147" customHeight="1" x14ac:dyDescent="0.25">
      <c r="A123" s="139"/>
      <c r="B123" s="140"/>
      <c r="C123" s="142"/>
      <c r="D123" s="136" t="s">
        <v>283</v>
      </c>
      <c r="E123" s="3">
        <v>0.35</v>
      </c>
      <c r="F123" s="3">
        <f t="shared" si="3"/>
        <v>0.35000000000000003</v>
      </c>
      <c r="G123" s="2" t="s">
        <v>284</v>
      </c>
      <c r="H123" s="10">
        <v>1</v>
      </c>
      <c r="I123" s="5" t="s">
        <v>41</v>
      </c>
      <c r="J123" s="6">
        <v>100</v>
      </c>
      <c r="K123" s="7">
        <v>95</v>
      </c>
      <c r="L123" s="7">
        <v>90</v>
      </c>
      <c r="M123" s="7">
        <v>85</v>
      </c>
      <c r="N123" s="7">
        <v>80</v>
      </c>
      <c r="O123" s="7" t="s">
        <v>42</v>
      </c>
      <c r="P123" s="38"/>
      <c r="Q123" s="39">
        <f t="shared" si="4"/>
        <v>0</v>
      </c>
      <c r="R123" s="40">
        <f t="shared" si="5"/>
        <v>0</v>
      </c>
    </row>
    <row r="124" spans="1:18" s="41" customFormat="1" ht="147" customHeight="1" x14ac:dyDescent="0.25">
      <c r="A124" s="139"/>
      <c r="B124" s="140"/>
      <c r="C124" s="142"/>
      <c r="D124" s="138"/>
      <c r="E124" s="3">
        <v>0.35</v>
      </c>
      <c r="F124" s="3">
        <f t="shared" si="3"/>
        <v>0.35000000000000003</v>
      </c>
      <c r="G124" s="2" t="s">
        <v>285</v>
      </c>
      <c r="H124" s="10">
        <v>1</v>
      </c>
      <c r="I124" s="5" t="s">
        <v>41</v>
      </c>
      <c r="J124" s="6">
        <v>100</v>
      </c>
      <c r="K124" s="7">
        <v>95</v>
      </c>
      <c r="L124" s="7">
        <v>90</v>
      </c>
      <c r="M124" s="7">
        <v>85</v>
      </c>
      <c r="N124" s="7">
        <v>80</v>
      </c>
      <c r="O124" s="7" t="s">
        <v>42</v>
      </c>
      <c r="P124" s="38"/>
      <c r="Q124" s="39">
        <f t="shared" si="4"/>
        <v>0</v>
      </c>
      <c r="R124" s="40">
        <f t="shared" si="5"/>
        <v>0</v>
      </c>
    </row>
    <row r="125" spans="1:18" s="41" customFormat="1" ht="147" customHeight="1" x14ac:dyDescent="0.25">
      <c r="A125" s="139"/>
      <c r="B125" s="140"/>
      <c r="C125" s="142"/>
      <c r="D125" s="140" t="s">
        <v>286</v>
      </c>
      <c r="E125" s="3">
        <v>0.2</v>
      </c>
      <c r="F125" s="3">
        <f t="shared" si="3"/>
        <v>0.20000000000000004</v>
      </c>
      <c r="G125" s="2" t="s">
        <v>287</v>
      </c>
      <c r="H125" s="10">
        <v>1</v>
      </c>
      <c r="I125" s="5" t="s">
        <v>41</v>
      </c>
      <c r="J125" s="6">
        <v>100</v>
      </c>
      <c r="K125" s="7">
        <v>95</v>
      </c>
      <c r="L125" s="7">
        <v>90</v>
      </c>
      <c r="M125" s="7">
        <v>85</v>
      </c>
      <c r="N125" s="7">
        <v>80</v>
      </c>
      <c r="O125" s="7" t="s">
        <v>42</v>
      </c>
      <c r="P125" s="38"/>
      <c r="Q125" s="39">
        <f t="shared" si="4"/>
        <v>0</v>
      </c>
      <c r="R125" s="40">
        <f t="shared" si="5"/>
        <v>0</v>
      </c>
    </row>
    <row r="126" spans="1:18" s="41" customFormat="1" ht="147" customHeight="1" x14ac:dyDescent="0.25">
      <c r="A126" s="139"/>
      <c r="B126" s="140"/>
      <c r="C126" s="142"/>
      <c r="D126" s="140"/>
      <c r="E126" s="3">
        <v>0.1</v>
      </c>
      <c r="F126" s="3">
        <f t="shared" si="3"/>
        <v>0.10000000000000002</v>
      </c>
      <c r="G126" s="2" t="s">
        <v>288</v>
      </c>
      <c r="H126" s="10">
        <v>1</v>
      </c>
      <c r="I126" s="5" t="s">
        <v>41</v>
      </c>
      <c r="J126" s="6">
        <v>100</v>
      </c>
      <c r="K126" s="7">
        <v>95</v>
      </c>
      <c r="L126" s="7">
        <v>90</v>
      </c>
      <c r="M126" s="7">
        <v>85</v>
      </c>
      <c r="N126" s="7">
        <v>80</v>
      </c>
      <c r="O126" s="7" t="s">
        <v>42</v>
      </c>
      <c r="P126" s="38"/>
      <c r="Q126" s="39">
        <f t="shared" si="4"/>
        <v>0</v>
      </c>
      <c r="R126" s="40">
        <f t="shared" si="5"/>
        <v>0</v>
      </c>
    </row>
    <row r="127" spans="1:18" s="41" customFormat="1" ht="147" customHeight="1" x14ac:dyDescent="0.25">
      <c r="A127" s="139"/>
      <c r="B127" s="140"/>
      <c r="C127" s="142"/>
      <c r="D127" s="8" t="s">
        <v>289</v>
      </c>
      <c r="E127" s="3">
        <v>0.5</v>
      </c>
      <c r="F127" s="3">
        <f t="shared" si="3"/>
        <v>0.50000000000000011</v>
      </c>
      <c r="G127" s="2" t="s">
        <v>290</v>
      </c>
      <c r="H127" s="10">
        <v>1</v>
      </c>
      <c r="I127" s="5" t="s">
        <v>41</v>
      </c>
      <c r="J127" s="6">
        <v>100</v>
      </c>
      <c r="K127" s="7">
        <v>95</v>
      </c>
      <c r="L127" s="7">
        <v>90</v>
      </c>
      <c r="M127" s="7">
        <v>85</v>
      </c>
      <c r="N127" s="7">
        <v>80</v>
      </c>
      <c r="O127" s="7" t="s">
        <v>42</v>
      </c>
      <c r="P127" s="38"/>
      <c r="Q127" s="39">
        <f t="shared" si="4"/>
        <v>0</v>
      </c>
      <c r="R127" s="40">
        <f t="shared" si="5"/>
        <v>0</v>
      </c>
    </row>
    <row r="128" spans="1:18" s="41" customFormat="1" ht="147" customHeight="1" x14ac:dyDescent="0.25">
      <c r="A128" s="139"/>
      <c r="B128" s="140"/>
      <c r="C128" s="142"/>
      <c r="D128" s="8" t="s">
        <v>291</v>
      </c>
      <c r="E128" s="12">
        <v>0.5</v>
      </c>
      <c r="F128" s="3">
        <f t="shared" si="3"/>
        <v>0.50000000000000011</v>
      </c>
      <c r="G128" s="14" t="s">
        <v>292</v>
      </c>
      <c r="H128" s="10">
        <v>1</v>
      </c>
      <c r="I128" s="5" t="s">
        <v>41</v>
      </c>
      <c r="J128" s="6">
        <v>100</v>
      </c>
      <c r="K128" s="7">
        <v>95</v>
      </c>
      <c r="L128" s="7">
        <v>90</v>
      </c>
      <c r="M128" s="7">
        <v>85</v>
      </c>
      <c r="N128" s="7">
        <v>80</v>
      </c>
      <c r="O128" s="7" t="s">
        <v>42</v>
      </c>
      <c r="P128" s="38"/>
      <c r="Q128" s="39">
        <f t="shared" si="4"/>
        <v>0</v>
      </c>
      <c r="R128" s="40">
        <f t="shared" si="5"/>
        <v>0</v>
      </c>
    </row>
    <row r="129" spans="1:18" s="41" customFormat="1" ht="147" customHeight="1" x14ac:dyDescent="0.25">
      <c r="A129" s="139">
        <v>12</v>
      </c>
      <c r="B129" s="140" t="s">
        <v>80</v>
      </c>
      <c r="C129" s="141">
        <f>SUM(E129:E131)</f>
        <v>5</v>
      </c>
      <c r="D129" s="140" t="s">
        <v>81</v>
      </c>
      <c r="E129" s="3">
        <v>2</v>
      </c>
      <c r="F129" s="3">
        <f t="shared" si="3"/>
        <v>2.0000000000000004</v>
      </c>
      <c r="G129" s="2" t="s">
        <v>82</v>
      </c>
      <c r="H129" s="1">
        <v>5</v>
      </c>
      <c r="I129" s="5" t="s">
        <v>55</v>
      </c>
      <c r="J129" s="6" t="s">
        <v>83</v>
      </c>
      <c r="K129" s="7">
        <v>5</v>
      </c>
      <c r="L129" s="7">
        <v>4</v>
      </c>
      <c r="M129" s="7">
        <v>3</v>
      </c>
      <c r="N129" s="7">
        <v>2</v>
      </c>
      <c r="O129" s="7">
        <v>1</v>
      </c>
      <c r="P129" s="38"/>
      <c r="Q129" s="39">
        <f t="shared" si="4"/>
        <v>0</v>
      </c>
      <c r="R129" s="40">
        <f t="shared" si="5"/>
        <v>0</v>
      </c>
    </row>
    <row r="130" spans="1:18" s="41" customFormat="1" ht="147" customHeight="1" x14ac:dyDescent="0.25">
      <c r="A130" s="139"/>
      <c r="B130" s="140"/>
      <c r="C130" s="141"/>
      <c r="D130" s="140"/>
      <c r="E130" s="3">
        <v>2</v>
      </c>
      <c r="F130" s="3">
        <f t="shared" si="3"/>
        <v>2.0000000000000004</v>
      </c>
      <c r="G130" s="2" t="s">
        <v>84</v>
      </c>
      <c r="H130" s="10">
        <v>0.1</v>
      </c>
      <c r="I130" s="1" t="s">
        <v>41</v>
      </c>
      <c r="J130" s="6" t="s">
        <v>85</v>
      </c>
      <c r="K130" s="7">
        <v>10</v>
      </c>
      <c r="L130" s="7">
        <v>7</v>
      </c>
      <c r="M130" s="7">
        <v>6</v>
      </c>
      <c r="N130" s="7">
        <v>5</v>
      </c>
      <c r="O130" s="7" t="s">
        <v>86</v>
      </c>
      <c r="P130" s="38"/>
      <c r="Q130" s="39">
        <f t="shared" si="4"/>
        <v>0</v>
      </c>
      <c r="R130" s="40">
        <f t="shared" si="5"/>
        <v>0</v>
      </c>
    </row>
    <row r="131" spans="1:18" s="41" customFormat="1" ht="147" customHeight="1" x14ac:dyDescent="0.25">
      <c r="A131" s="139"/>
      <c r="B131" s="140"/>
      <c r="C131" s="141"/>
      <c r="D131" s="140"/>
      <c r="E131" s="3">
        <v>1</v>
      </c>
      <c r="F131" s="3">
        <f t="shared" si="3"/>
        <v>1.0000000000000002</v>
      </c>
      <c r="G131" s="2" t="s">
        <v>87</v>
      </c>
      <c r="H131" s="1">
        <v>2</v>
      </c>
      <c r="I131" s="5" t="s">
        <v>55</v>
      </c>
      <c r="J131" s="6" t="s">
        <v>88</v>
      </c>
      <c r="K131" s="7">
        <v>2</v>
      </c>
      <c r="L131" s="7">
        <v>1</v>
      </c>
      <c r="M131" s="7">
        <v>0</v>
      </c>
      <c r="N131" s="7"/>
      <c r="O131" s="7"/>
      <c r="P131" s="38"/>
      <c r="Q131" s="39">
        <f t="shared" si="4"/>
        <v>0</v>
      </c>
      <c r="R131" s="40">
        <f t="shared" si="5"/>
        <v>0</v>
      </c>
    </row>
    <row r="132" spans="1:18" s="41" customFormat="1" ht="147" customHeight="1" x14ac:dyDescent="0.25">
      <c r="A132" s="139">
        <v>13</v>
      </c>
      <c r="B132" s="140" t="s">
        <v>295</v>
      </c>
      <c r="C132" s="141">
        <f>SUM(E132:E133)</f>
        <v>5</v>
      </c>
      <c r="D132" s="140" t="s">
        <v>294</v>
      </c>
      <c r="E132" s="3">
        <v>3</v>
      </c>
      <c r="F132" s="3">
        <f t="shared" si="3"/>
        <v>3.0000000000000004</v>
      </c>
      <c r="G132" s="2" t="s">
        <v>89</v>
      </c>
      <c r="H132" s="1">
        <v>5</v>
      </c>
      <c r="I132" s="1" t="s">
        <v>55</v>
      </c>
      <c r="J132" s="6" t="s">
        <v>83</v>
      </c>
      <c r="K132" s="7">
        <v>5</v>
      </c>
      <c r="L132" s="7">
        <v>4</v>
      </c>
      <c r="M132" s="7">
        <v>3</v>
      </c>
      <c r="N132" s="7">
        <v>2</v>
      </c>
      <c r="O132" s="7">
        <v>1</v>
      </c>
      <c r="P132" s="38"/>
      <c r="Q132" s="39">
        <f t="shared" si="4"/>
        <v>0</v>
      </c>
      <c r="R132" s="40">
        <f t="shared" si="5"/>
        <v>0</v>
      </c>
    </row>
    <row r="133" spans="1:18" s="41" customFormat="1" ht="147" customHeight="1" x14ac:dyDescent="0.25">
      <c r="A133" s="139"/>
      <c r="B133" s="140"/>
      <c r="C133" s="141"/>
      <c r="D133" s="140"/>
      <c r="E133" s="3">
        <v>2</v>
      </c>
      <c r="F133" s="3">
        <f t="shared" si="3"/>
        <v>2.0000000000000004</v>
      </c>
      <c r="G133" s="2" t="s">
        <v>90</v>
      </c>
      <c r="H133" s="1">
        <v>5</v>
      </c>
      <c r="I133" s="1" t="s">
        <v>55</v>
      </c>
      <c r="J133" s="6" t="s">
        <v>83</v>
      </c>
      <c r="K133" s="7">
        <v>5</v>
      </c>
      <c r="L133" s="7">
        <v>4</v>
      </c>
      <c r="M133" s="7">
        <v>3</v>
      </c>
      <c r="N133" s="7">
        <v>2</v>
      </c>
      <c r="O133" s="7">
        <v>1</v>
      </c>
      <c r="P133" s="38"/>
      <c r="Q133" s="39">
        <f t="shared" si="4"/>
        <v>0</v>
      </c>
      <c r="R133" s="40">
        <f t="shared" si="5"/>
        <v>0</v>
      </c>
    </row>
    <row r="134" spans="1:18" s="41" customFormat="1" ht="147" customHeight="1" x14ac:dyDescent="0.25">
      <c r="A134" s="127">
        <v>14</v>
      </c>
      <c r="B134" s="136" t="s">
        <v>91</v>
      </c>
      <c r="C134" s="133">
        <f>SUM(E134:E136)</f>
        <v>5</v>
      </c>
      <c r="D134" s="136" t="s">
        <v>92</v>
      </c>
      <c r="E134" s="3">
        <v>1</v>
      </c>
      <c r="F134" s="3">
        <f t="shared" si="3"/>
        <v>1.0000000000000002</v>
      </c>
      <c r="G134" s="2" t="s">
        <v>93</v>
      </c>
      <c r="H134" s="1">
        <v>5</v>
      </c>
      <c r="I134" s="1" t="s">
        <v>55</v>
      </c>
      <c r="J134" s="6" t="s">
        <v>83</v>
      </c>
      <c r="K134" s="7">
        <v>5</v>
      </c>
      <c r="L134" s="7">
        <v>4</v>
      </c>
      <c r="M134" s="7">
        <v>3</v>
      </c>
      <c r="N134" s="7">
        <v>2</v>
      </c>
      <c r="O134" s="7">
        <v>1</v>
      </c>
      <c r="P134" s="38"/>
      <c r="Q134" s="39">
        <f t="shared" si="4"/>
        <v>0</v>
      </c>
      <c r="R134" s="40">
        <f t="shared" si="5"/>
        <v>0</v>
      </c>
    </row>
    <row r="135" spans="1:18" s="41" customFormat="1" ht="147" customHeight="1" x14ac:dyDescent="0.25">
      <c r="A135" s="128"/>
      <c r="B135" s="137"/>
      <c r="C135" s="134"/>
      <c r="D135" s="137"/>
      <c r="E135" s="3">
        <v>2</v>
      </c>
      <c r="F135" s="3">
        <f t="shared" si="3"/>
        <v>2.0000000000000004</v>
      </c>
      <c r="G135" s="2" t="s">
        <v>94</v>
      </c>
      <c r="H135" s="10">
        <v>0.2</v>
      </c>
      <c r="I135" s="5" t="s">
        <v>41</v>
      </c>
      <c r="J135" s="6" t="s">
        <v>95</v>
      </c>
      <c r="K135" s="7">
        <v>20</v>
      </c>
      <c r="L135" s="7">
        <v>15</v>
      </c>
      <c r="M135" s="7">
        <v>10</v>
      </c>
      <c r="N135" s="7">
        <v>5</v>
      </c>
      <c r="O135" s="7" t="s">
        <v>86</v>
      </c>
      <c r="P135" s="38"/>
      <c r="Q135" s="39">
        <f t="shared" si="4"/>
        <v>0</v>
      </c>
      <c r="R135" s="40">
        <f t="shared" si="5"/>
        <v>0</v>
      </c>
    </row>
    <row r="136" spans="1:18" s="41" customFormat="1" ht="147" customHeight="1" x14ac:dyDescent="0.25">
      <c r="A136" s="129"/>
      <c r="B136" s="138"/>
      <c r="C136" s="135"/>
      <c r="D136" s="138"/>
      <c r="E136" s="3">
        <v>2</v>
      </c>
      <c r="F136" s="3">
        <f t="shared" si="3"/>
        <v>2.0000000000000004</v>
      </c>
      <c r="G136" s="2" t="s">
        <v>96</v>
      </c>
      <c r="H136" s="10">
        <v>0.8</v>
      </c>
      <c r="I136" s="1" t="s">
        <v>41</v>
      </c>
      <c r="J136" s="6" t="s">
        <v>63</v>
      </c>
      <c r="K136" s="7">
        <v>80</v>
      </c>
      <c r="L136" s="7">
        <v>75</v>
      </c>
      <c r="M136" s="7">
        <v>70</v>
      </c>
      <c r="N136" s="7">
        <v>50</v>
      </c>
      <c r="O136" s="7" t="s">
        <v>52</v>
      </c>
      <c r="P136" s="38"/>
      <c r="Q136" s="39">
        <f t="shared" si="4"/>
        <v>0</v>
      </c>
      <c r="R136" s="40">
        <f t="shared" si="5"/>
        <v>0</v>
      </c>
    </row>
    <row r="137" spans="1:18" s="41" customFormat="1" ht="147" customHeight="1" x14ac:dyDescent="0.25">
      <c r="A137" s="139">
        <v>15</v>
      </c>
      <c r="B137" s="140" t="s">
        <v>97</v>
      </c>
      <c r="C137" s="141">
        <f>SUM(E137:E138)</f>
        <v>5</v>
      </c>
      <c r="D137" s="140" t="s">
        <v>98</v>
      </c>
      <c r="E137" s="3">
        <v>3</v>
      </c>
      <c r="F137" s="3">
        <f t="shared" si="3"/>
        <v>3.0000000000000004</v>
      </c>
      <c r="G137" s="2" t="s">
        <v>99</v>
      </c>
      <c r="H137" s="10">
        <v>0.8</v>
      </c>
      <c r="I137" s="1" t="s">
        <v>41</v>
      </c>
      <c r="J137" s="6" t="s">
        <v>63</v>
      </c>
      <c r="K137" s="7">
        <v>80</v>
      </c>
      <c r="L137" s="7">
        <v>75</v>
      </c>
      <c r="M137" s="7">
        <v>70</v>
      </c>
      <c r="N137" s="7">
        <v>50</v>
      </c>
      <c r="O137" s="7" t="s">
        <v>52</v>
      </c>
      <c r="P137" s="38"/>
      <c r="Q137" s="39">
        <f t="shared" si="4"/>
        <v>0</v>
      </c>
      <c r="R137" s="40">
        <f t="shared" si="5"/>
        <v>0</v>
      </c>
    </row>
    <row r="138" spans="1:18" s="41" customFormat="1" ht="147" customHeight="1" x14ac:dyDescent="0.25">
      <c r="A138" s="139"/>
      <c r="B138" s="140"/>
      <c r="C138" s="141"/>
      <c r="D138" s="140"/>
      <c r="E138" s="3">
        <v>2</v>
      </c>
      <c r="F138" s="3">
        <f t="shared" si="3"/>
        <v>2.0000000000000004</v>
      </c>
      <c r="G138" s="2" t="s">
        <v>100</v>
      </c>
      <c r="H138" s="10">
        <v>0.8</v>
      </c>
      <c r="I138" s="1" t="s">
        <v>41</v>
      </c>
      <c r="J138" s="6" t="s">
        <v>63</v>
      </c>
      <c r="K138" s="7">
        <v>80</v>
      </c>
      <c r="L138" s="7">
        <v>75</v>
      </c>
      <c r="M138" s="7">
        <v>70</v>
      </c>
      <c r="N138" s="7">
        <v>50</v>
      </c>
      <c r="O138" s="7" t="s">
        <v>52</v>
      </c>
      <c r="P138" s="38"/>
      <c r="Q138" s="39">
        <f t="shared" si="4"/>
        <v>0</v>
      </c>
      <c r="R138" s="40">
        <f t="shared" si="5"/>
        <v>0</v>
      </c>
    </row>
    <row r="139" spans="1:18" s="41" customFormat="1" ht="147" customHeight="1" x14ac:dyDescent="0.25">
      <c r="A139" s="127">
        <v>16</v>
      </c>
      <c r="B139" s="130" t="s">
        <v>101</v>
      </c>
      <c r="C139" s="133">
        <v>7</v>
      </c>
      <c r="D139" s="136" t="s">
        <v>296</v>
      </c>
      <c r="E139" s="3">
        <v>2</v>
      </c>
      <c r="F139" s="3">
        <f t="shared" si="3"/>
        <v>2.0000000000000004</v>
      </c>
      <c r="G139" s="2" t="s">
        <v>102</v>
      </c>
      <c r="H139" s="10">
        <v>1</v>
      </c>
      <c r="I139" s="5" t="s">
        <v>41</v>
      </c>
      <c r="J139" s="6">
        <v>100</v>
      </c>
      <c r="K139" s="7">
        <v>95</v>
      </c>
      <c r="L139" s="7">
        <v>90</v>
      </c>
      <c r="M139" s="7">
        <v>85</v>
      </c>
      <c r="N139" s="7">
        <v>80</v>
      </c>
      <c r="O139" s="7" t="s">
        <v>42</v>
      </c>
      <c r="P139" s="38"/>
      <c r="Q139" s="39">
        <f t="shared" si="4"/>
        <v>0</v>
      </c>
      <c r="R139" s="40">
        <f t="shared" si="5"/>
        <v>0</v>
      </c>
    </row>
    <row r="140" spans="1:18" s="41" customFormat="1" ht="147" customHeight="1" x14ac:dyDescent="0.25">
      <c r="A140" s="128"/>
      <c r="B140" s="131"/>
      <c r="C140" s="134"/>
      <c r="D140" s="137"/>
      <c r="E140" s="3">
        <v>2</v>
      </c>
      <c r="F140" s="3">
        <f t="shared" si="3"/>
        <v>2.0000000000000004</v>
      </c>
      <c r="G140" s="2" t="s">
        <v>103</v>
      </c>
      <c r="H140" s="10">
        <v>1</v>
      </c>
      <c r="I140" s="5" t="s">
        <v>41</v>
      </c>
      <c r="J140" s="6">
        <v>100</v>
      </c>
      <c r="K140" s="7">
        <v>95</v>
      </c>
      <c r="L140" s="7">
        <v>90</v>
      </c>
      <c r="M140" s="7">
        <v>85</v>
      </c>
      <c r="N140" s="7">
        <v>80</v>
      </c>
      <c r="O140" s="7" t="s">
        <v>42</v>
      </c>
      <c r="P140" s="38"/>
      <c r="Q140" s="39">
        <f t="shared" si="4"/>
        <v>0</v>
      </c>
      <c r="R140" s="40">
        <f t="shared" si="5"/>
        <v>0</v>
      </c>
    </row>
    <row r="141" spans="1:18" s="41" customFormat="1" ht="147" customHeight="1" x14ac:dyDescent="0.25">
      <c r="A141" s="129"/>
      <c r="B141" s="132"/>
      <c r="C141" s="135"/>
      <c r="D141" s="138"/>
      <c r="E141" s="3">
        <v>3</v>
      </c>
      <c r="F141" s="3">
        <f t="shared" si="3"/>
        <v>3.0000000000000004</v>
      </c>
      <c r="G141" s="2" t="s">
        <v>102</v>
      </c>
      <c r="H141" s="10">
        <v>1</v>
      </c>
      <c r="I141" s="5" t="s">
        <v>41</v>
      </c>
      <c r="J141" s="6">
        <v>100</v>
      </c>
      <c r="K141" s="7">
        <v>95</v>
      </c>
      <c r="L141" s="7">
        <v>90</v>
      </c>
      <c r="M141" s="7">
        <v>85</v>
      </c>
      <c r="N141" s="7">
        <v>80</v>
      </c>
      <c r="O141" s="7" t="s">
        <v>42</v>
      </c>
      <c r="P141" s="38"/>
      <c r="Q141" s="39">
        <f t="shared" si="4"/>
        <v>0</v>
      </c>
      <c r="R141" s="40">
        <f t="shared" si="5"/>
        <v>0</v>
      </c>
    </row>
    <row r="142" spans="1:18" s="41" customFormat="1" ht="147" customHeight="1" x14ac:dyDescent="0.25">
      <c r="A142" s="139">
        <v>17</v>
      </c>
      <c r="B142" s="140" t="s">
        <v>104</v>
      </c>
      <c r="C142" s="141">
        <f>SUM(E142:E147)</f>
        <v>10</v>
      </c>
      <c r="D142" s="140" t="s">
        <v>105</v>
      </c>
      <c r="E142" s="3">
        <v>2</v>
      </c>
      <c r="F142" s="3">
        <f t="shared" si="3"/>
        <v>2.0000000000000004</v>
      </c>
      <c r="G142" s="2" t="s">
        <v>106</v>
      </c>
      <c r="H142" s="4">
        <v>0.8</v>
      </c>
      <c r="I142" s="1" t="s">
        <v>41</v>
      </c>
      <c r="J142" s="6" t="s">
        <v>63</v>
      </c>
      <c r="K142" s="7">
        <v>80</v>
      </c>
      <c r="L142" s="7">
        <v>75</v>
      </c>
      <c r="M142" s="7">
        <v>70</v>
      </c>
      <c r="N142" s="7">
        <v>50</v>
      </c>
      <c r="O142" s="7" t="s">
        <v>52</v>
      </c>
      <c r="P142" s="38"/>
      <c r="Q142" s="39">
        <f t="shared" si="4"/>
        <v>0</v>
      </c>
      <c r="R142" s="40">
        <f t="shared" si="5"/>
        <v>0</v>
      </c>
    </row>
    <row r="143" spans="1:18" s="41" customFormat="1" ht="147" customHeight="1" x14ac:dyDescent="0.25">
      <c r="A143" s="139"/>
      <c r="B143" s="140"/>
      <c r="C143" s="141"/>
      <c r="D143" s="140"/>
      <c r="E143" s="3">
        <v>1</v>
      </c>
      <c r="F143" s="3">
        <f t="shared" si="3"/>
        <v>1.0000000000000002</v>
      </c>
      <c r="G143" s="2" t="s">
        <v>107</v>
      </c>
      <c r="H143" s="4">
        <v>0.8</v>
      </c>
      <c r="I143" s="1" t="s">
        <v>41</v>
      </c>
      <c r="J143" s="6" t="s">
        <v>63</v>
      </c>
      <c r="K143" s="7">
        <v>80</v>
      </c>
      <c r="L143" s="7">
        <v>75</v>
      </c>
      <c r="M143" s="7">
        <v>70</v>
      </c>
      <c r="N143" s="7">
        <v>50</v>
      </c>
      <c r="O143" s="7" t="s">
        <v>52</v>
      </c>
      <c r="P143" s="38"/>
      <c r="Q143" s="39">
        <f t="shared" si="4"/>
        <v>0</v>
      </c>
      <c r="R143" s="40">
        <f t="shared" si="5"/>
        <v>0</v>
      </c>
    </row>
    <row r="144" spans="1:18" s="41" customFormat="1" ht="147" customHeight="1" x14ac:dyDescent="0.25">
      <c r="A144" s="139"/>
      <c r="B144" s="140"/>
      <c r="C144" s="141"/>
      <c r="D144" s="140"/>
      <c r="E144" s="3">
        <v>1</v>
      </c>
      <c r="F144" s="3">
        <f t="shared" si="3"/>
        <v>1.0000000000000002</v>
      </c>
      <c r="G144" s="2" t="s">
        <v>108</v>
      </c>
      <c r="H144" s="1">
        <v>5</v>
      </c>
      <c r="I144" s="1" t="s">
        <v>55</v>
      </c>
      <c r="J144" s="6" t="s">
        <v>83</v>
      </c>
      <c r="K144" s="7">
        <v>5</v>
      </c>
      <c r="L144" s="7">
        <v>4</v>
      </c>
      <c r="M144" s="7">
        <v>3</v>
      </c>
      <c r="N144" s="7">
        <v>2</v>
      </c>
      <c r="O144" s="7">
        <v>1</v>
      </c>
      <c r="P144" s="38"/>
      <c r="Q144" s="39">
        <f t="shared" si="4"/>
        <v>0</v>
      </c>
      <c r="R144" s="40">
        <f t="shared" si="5"/>
        <v>0</v>
      </c>
    </row>
    <row r="145" spans="1:18" s="41" customFormat="1" ht="147" customHeight="1" x14ac:dyDescent="0.25">
      <c r="A145" s="139"/>
      <c r="B145" s="140"/>
      <c r="C145" s="141"/>
      <c r="D145" s="140"/>
      <c r="E145" s="3">
        <v>2</v>
      </c>
      <c r="F145" s="3">
        <f t="shared" si="3"/>
        <v>2.0000000000000004</v>
      </c>
      <c r="G145" s="2" t="s">
        <v>109</v>
      </c>
      <c r="H145" s="4">
        <v>0.7</v>
      </c>
      <c r="I145" s="5" t="s">
        <v>41</v>
      </c>
      <c r="J145" s="6" t="s">
        <v>110</v>
      </c>
      <c r="K145" s="7">
        <v>70</v>
      </c>
      <c r="L145" s="7">
        <v>60</v>
      </c>
      <c r="M145" s="7">
        <v>50</v>
      </c>
      <c r="N145" s="7">
        <v>40</v>
      </c>
      <c r="O145" s="7" t="s">
        <v>111</v>
      </c>
      <c r="P145" s="38"/>
      <c r="Q145" s="39">
        <f t="shared" si="4"/>
        <v>0</v>
      </c>
      <c r="R145" s="40">
        <f t="shared" si="5"/>
        <v>0</v>
      </c>
    </row>
    <row r="146" spans="1:18" s="41" customFormat="1" ht="147" customHeight="1" x14ac:dyDescent="0.25">
      <c r="A146" s="139"/>
      <c r="B146" s="140"/>
      <c r="C146" s="141"/>
      <c r="D146" s="140" t="s">
        <v>112</v>
      </c>
      <c r="E146" s="3">
        <v>2</v>
      </c>
      <c r="F146" s="3">
        <f t="shared" si="3"/>
        <v>2.0000000000000004</v>
      </c>
      <c r="G146" s="2" t="s">
        <v>113</v>
      </c>
      <c r="H146" s="4">
        <v>0.5</v>
      </c>
      <c r="I146" s="5" t="s">
        <v>41</v>
      </c>
      <c r="J146" s="6" t="s">
        <v>47</v>
      </c>
      <c r="K146" s="7">
        <v>50</v>
      </c>
      <c r="L146" s="7">
        <v>45</v>
      </c>
      <c r="M146" s="7">
        <v>40</v>
      </c>
      <c r="N146" s="7">
        <v>25</v>
      </c>
      <c r="O146" s="7" t="s">
        <v>48</v>
      </c>
      <c r="P146" s="38"/>
      <c r="Q146" s="39">
        <f t="shared" si="4"/>
        <v>0</v>
      </c>
      <c r="R146" s="40">
        <f t="shared" si="5"/>
        <v>0</v>
      </c>
    </row>
    <row r="147" spans="1:18" s="41" customFormat="1" ht="147" customHeight="1" x14ac:dyDescent="0.25">
      <c r="A147" s="139"/>
      <c r="B147" s="140"/>
      <c r="C147" s="141"/>
      <c r="D147" s="140"/>
      <c r="E147" s="3">
        <v>2</v>
      </c>
      <c r="F147" s="3">
        <f t="shared" si="3"/>
        <v>2.0000000000000004</v>
      </c>
      <c r="G147" s="2" t="s">
        <v>114</v>
      </c>
      <c r="H147" s="11">
        <v>5</v>
      </c>
      <c r="I147" s="1" t="s">
        <v>55</v>
      </c>
      <c r="J147" s="6" t="s">
        <v>83</v>
      </c>
      <c r="K147" s="7">
        <v>5</v>
      </c>
      <c r="L147" s="7">
        <v>4</v>
      </c>
      <c r="M147" s="7">
        <v>3</v>
      </c>
      <c r="N147" s="7">
        <v>2</v>
      </c>
      <c r="O147" s="7">
        <v>1</v>
      </c>
      <c r="P147" s="38"/>
      <c r="Q147" s="39">
        <f t="shared" si="4"/>
        <v>0</v>
      </c>
      <c r="R147" s="40">
        <f t="shared" si="5"/>
        <v>0</v>
      </c>
    </row>
    <row r="148" spans="1:18" s="52" customFormat="1" ht="44.25" x14ac:dyDescent="0.25">
      <c r="A148" s="42"/>
      <c r="B148" s="43" t="s">
        <v>115</v>
      </c>
      <c r="C148" s="44">
        <f>SUM(C19:C147)</f>
        <v>100</v>
      </c>
      <c r="D148" s="43"/>
      <c r="E148" s="44">
        <f>SUM(E19:E147)</f>
        <v>99.999999999999986</v>
      </c>
      <c r="F148" s="44">
        <f>SUM(F19:F147)</f>
        <v>100</v>
      </c>
      <c r="G148" s="45"/>
      <c r="H148" s="46"/>
      <c r="I148" s="47"/>
      <c r="J148" s="48"/>
      <c r="K148" s="48"/>
      <c r="L148" s="48"/>
      <c r="M148" s="48"/>
      <c r="N148" s="48"/>
      <c r="O148" s="48"/>
      <c r="P148" s="49"/>
      <c r="Q148" s="50"/>
      <c r="R148" s="51">
        <f>SUM(R19:R147)</f>
        <v>0</v>
      </c>
    </row>
    <row r="149" spans="1:18" s="54" customFormat="1" ht="66" customHeight="1" x14ac:dyDescent="0.7">
      <c r="A149" s="53"/>
      <c r="G149" s="55"/>
      <c r="H149" s="55"/>
      <c r="I149" s="239" t="s">
        <v>307</v>
      </c>
      <c r="J149" s="240"/>
      <c r="K149" s="240"/>
      <c r="L149" s="240"/>
      <c r="M149" s="240"/>
      <c r="N149" s="240"/>
      <c r="O149" s="240"/>
      <c r="P149" s="240"/>
      <c r="Q149" s="241"/>
      <c r="R149" s="56">
        <f>R148/100 * 70</f>
        <v>0</v>
      </c>
    </row>
    <row r="150" spans="1:18" s="61" customFormat="1" ht="36" x14ac:dyDescent="0.55000000000000004">
      <c r="A150" s="242" t="s">
        <v>116</v>
      </c>
      <c r="B150" s="243"/>
      <c r="C150" s="243"/>
      <c r="D150" s="243"/>
      <c r="E150" s="243"/>
      <c r="F150" s="243"/>
      <c r="G150" s="244"/>
      <c r="H150" s="245"/>
      <c r="I150" s="245"/>
      <c r="J150" s="245"/>
      <c r="K150" s="245"/>
      <c r="L150" s="231" t="s">
        <v>121</v>
      </c>
      <c r="M150" s="57" t="s">
        <v>117</v>
      </c>
      <c r="N150" s="57"/>
      <c r="O150" s="57"/>
      <c r="P150" s="58"/>
      <c r="Q150" s="59"/>
      <c r="R150" s="60"/>
    </row>
    <row r="151" spans="1:18" s="61" customFormat="1" ht="31.5" customHeight="1" x14ac:dyDescent="0.55000000000000004">
      <c r="A151" s="62"/>
      <c r="B151" s="63"/>
      <c r="C151" s="246" t="s">
        <v>118</v>
      </c>
      <c r="D151" s="246"/>
      <c r="E151" s="246"/>
      <c r="F151" s="246"/>
      <c r="G151" s="246"/>
      <c r="H151" s="64" t="s">
        <v>308</v>
      </c>
      <c r="I151" s="64" t="s">
        <v>309</v>
      </c>
      <c r="J151" s="64"/>
      <c r="K151" s="65"/>
      <c r="L151" s="232"/>
      <c r="M151" s="66"/>
      <c r="N151" s="66"/>
      <c r="O151" s="66"/>
      <c r="P151" s="67"/>
      <c r="Q151" s="59"/>
      <c r="R151" s="60"/>
    </row>
    <row r="152" spans="1:18" s="61" customFormat="1" ht="36" customHeight="1" x14ac:dyDescent="0.55000000000000004">
      <c r="A152" s="68">
        <v>1</v>
      </c>
      <c r="B152" s="69" t="s">
        <v>122</v>
      </c>
      <c r="C152" s="216"/>
      <c r="D152" s="217"/>
      <c r="E152" s="217"/>
      <c r="F152" s="217"/>
      <c r="G152" s="218"/>
      <c r="H152" s="70"/>
      <c r="I152" s="70"/>
      <c r="J152" s="70"/>
      <c r="K152" s="70"/>
      <c r="L152" s="71"/>
      <c r="M152" s="72" t="s">
        <v>32</v>
      </c>
      <c r="N152" s="214" t="s">
        <v>123</v>
      </c>
      <c r="O152" s="215"/>
      <c r="P152" s="67"/>
      <c r="Q152" s="59"/>
      <c r="R152" s="60"/>
    </row>
    <row r="153" spans="1:18" s="61" customFormat="1" ht="84.75" customHeight="1" x14ac:dyDescent="0.55000000000000004">
      <c r="A153" s="75" t="s">
        <v>124</v>
      </c>
      <c r="B153" s="76" t="s">
        <v>310</v>
      </c>
      <c r="C153" s="219"/>
      <c r="D153" s="220"/>
      <c r="E153" s="220"/>
      <c r="F153" s="220"/>
      <c r="G153" s="221"/>
      <c r="H153" s="77">
        <v>4</v>
      </c>
      <c r="I153" s="78">
        <v>4</v>
      </c>
      <c r="J153" s="77"/>
      <c r="K153" s="77"/>
      <c r="L153" s="71"/>
      <c r="M153" s="72" t="s">
        <v>33</v>
      </c>
      <c r="N153" s="214" t="s">
        <v>125</v>
      </c>
      <c r="O153" s="215"/>
      <c r="P153" s="67"/>
      <c r="Q153" s="59"/>
      <c r="R153" s="60"/>
    </row>
    <row r="154" spans="1:18" s="61" customFormat="1" ht="82.5" customHeight="1" x14ac:dyDescent="0.55000000000000004">
      <c r="A154" s="75" t="s">
        <v>126</v>
      </c>
      <c r="B154" s="76" t="s">
        <v>311</v>
      </c>
      <c r="C154" s="219"/>
      <c r="D154" s="220"/>
      <c r="E154" s="220"/>
      <c r="F154" s="220"/>
      <c r="G154" s="221"/>
      <c r="H154" s="77">
        <v>2</v>
      </c>
      <c r="I154" s="78">
        <v>2</v>
      </c>
      <c r="J154" s="77"/>
      <c r="K154" s="77"/>
      <c r="L154" s="71"/>
      <c r="M154" s="72" t="s">
        <v>34</v>
      </c>
      <c r="N154" s="214" t="s">
        <v>127</v>
      </c>
      <c r="O154" s="215"/>
      <c r="P154" s="67"/>
      <c r="Q154" s="59"/>
      <c r="R154" s="60"/>
    </row>
    <row r="155" spans="1:18" s="61" customFormat="1" ht="78.75" customHeight="1" x14ac:dyDescent="0.55000000000000004">
      <c r="A155" s="75" t="s">
        <v>128</v>
      </c>
      <c r="B155" s="76" t="s">
        <v>129</v>
      </c>
      <c r="C155" s="219"/>
      <c r="D155" s="220"/>
      <c r="E155" s="220"/>
      <c r="F155" s="220"/>
      <c r="G155" s="221"/>
      <c r="H155" s="77">
        <v>2</v>
      </c>
      <c r="I155" s="78">
        <v>2</v>
      </c>
      <c r="J155" s="77"/>
      <c r="K155" s="77"/>
      <c r="L155" s="71"/>
      <c r="M155" s="72" t="s">
        <v>35</v>
      </c>
      <c r="N155" s="214" t="s">
        <v>130</v>
      </c>
      <c r="O155" s="215"/>
      <c r="P155" s="67"/>
      <c r="Q155" s="59"/>
      <c r="R155" s="60"/>
    </row>
    <row r="156" spans="1:18" s="61" customFormat="1" ht="36" x14ac:dyDescent="0.55000000000000004">
      <c r="A156" s="79">
        <v>2</v>
      </c>
      <c r="B156" s="80" t="s">
        <v>131</v>
      </c>
      <c r="C156" s="208"/>
      <c r="D156" s="209"/>
      <c r="E156" s="209"/>
      <c r="F156" s="209"/>
      <c r="G156" s="210"/>
      <c r="H156" s="77"/>
      <c r="I156" s="78"/>
      <c r="J156" s="77"/>
      <c r="K156" s="77"/>
      <c r="L156" s="71"/>
      <c r="M156" s="72" t="s">
        <v>36</v>
      </c>
      <c r="N156" s="214" t="s">
        <v>132</v>
      </c>
      <c r="O156" s="215"/>
      <c r="P156" s="67"/>
      <c r="Q156" s="59"/>
      <c r="R156" s="60"/>
    </row>
    <row r="157" spans="1:18" s="61" customFormat="1" ht="82.5" customHeight="1" x14ac:dyDescent="0.55000000000000004">
      <c r="A157" s="75" t="s">
        <v>124</v>
      </c>
      <c r="B157" s="81" t="s">
        <v>312</v>
      </c>
      <c r="C157" s="200"/>
      <c r="D157" s="201"/>
      <c r="E157" s="201"/>
      <c r="F157" s="201"/>
      <c r="G157" s="202"/>
      <c r="H157" s="77">
        <v>2</v>
      </c>
      <c r="I157" s="78">
        <v>2</v>
      </c>
      <c r="J157" s="77"/>
      <c r="K157" s="77"/>
      <c r="L157" s="71"/>
      <c r="M157" s="72" t="s">
        <v>37</v>
      </c>
      <c r="N157" s="214" t="s">
        <v>133</v>
      </c>
      <c r="O157" s="215"/>
      <c r="P157" s="82"/>
      <c r="Q157" s="59"/>
      <c r="R157" s="60"/>
    </row>
    <row r="158" spans="1:18" s="61" customFormat="1" ht="114.75" customHeight="1" x14ac:dyDescent="0.55000000000000004">
      <c r="A158" s="75" t="s">
        <v>126</v>
      </c>
      <c r="B158" s="81" t="s">
        <v>313</v>
      </c>
      <c r="C158" s="200"/>
      <c r="D158" s="201"/>
      <c r="E158" s="201"/>
      <c r="F158" s="201"/>
      <c r="G158" s="202"/>
      <c r="H158" s="77">
        <v>2</v>
      </c>
      <c r="I158" s="78">
        <v>2</v>
      </c>
      <c r="J158" s="77"/>
      <c r="K158" s="77"/>
      <c r="L158" s="71"/>
      <c r="M158" s="67" t="s">
        <v>121</v>
      </c>
      <c r="N158" s="73" t="s">
        <v>134</v>
      </c>
      <c r="O158" s="74"/>
      <c r="P158" s="82"/>
      <c r="Q158" s="59"/>
      <c r="R158" s="60"/>
    </row>
    <row r="159" spans="1:18" s="61" customFormat="1" ht="72" customHeight="1" x14ac:dyDescent="0.55000000000000004">
      <c r="A159" s="75" t="s">
        <v>128</v>
      </c>
      <c r="B159" s="81" t="s">
        <v>314</v>
      </c>
      <c r="C159" s="200"/>
      <c r="D159" s="201"/>
      <c r="E159" s="201"/>
      <c r="F159" s="201"/>
      <c r="G159" s="202"/>
      <c r="H159" s="77">
        <v>2</v>
      </c>
      <c r="I159" s="78">
        <v>2</v>
      </c>
      <c r="J159" s="77"/>
      <c r="K159" s="77"/>
      <c r="L159" s="71"/>
      <c r="M159" s="67" t="s">
        <v>135</v>
      </c>
      <c r="N159" s="73" t="s">
        <v>136</v>
      </c>
      <c r="O159" s="74"/>
      <c r="P159" s="82"/>
      <c r="Q159" s="59"/>
      <c r="R159" s="60"/>
    </row>
    <row r="160" spans="1:18" s="61" customFormat="1" ht="66" customHeight="1" x14ac:dyDescent="0.55000000000000004">
      <c r="A160" s="79">
        <v>3</v>
      </c>
      <c r="B160" s="80" t="s">
        <v>137</v>
      </c>
      <c r="C160" s="208"/>
      <c r="D160" s="209"/>
      <c r="E160" s="209"/>
      <c r="F160" s="209"/>
      <c r="G160" s="210"/>
      <c r="H160" s="77"/>
      <c r="I160" s="78"/>
      <c r="J160" s="77"/>
      <c r="K160" s="77"/>
      <c r="L160" s="71"/>
      <c r="M160" s="67" t="s">
        <v>119</v>
      </c>
      <c r="N160" s="73" t="s">
        <v>138</v>
      </c>
      <c r="O160" s="74"/>
      <c r="P160" s="82"/>
      <c r="Q160" s="59"/>
      <c r="R160" s="60"/>
    </row>
    <row r="161" spans="1:18" s="61" customFormat="1" ht="72" customHeight="1" x14ac:dyDescent="0.55000000000000004">
      <c r="A161" s="75" t="s">
        <v>124</v>
      </c>
      <c r="B161" s="81" t="s">
        <v>139</v>
      </c>
      <c r="C161" s="211"/>
      <c r="D161" s="212"/>
      <c r="E161" s="212"/>
      <c r="F161" s="212"/>
      <c r="G161" s="213"/>
      <c r="H161" s="77">
        <v>2</v>
      </c>
      <c r="I161" s="78">
        <v>2</v>
      </c>
      <c r="J161" s="77"/>
      <c r="K161" s="77"/>
      <c r="L161" s="71"/>
      <c r="M161" s="67" t="s">
        <v>120</v>
      </c>
      <c r="N161" s="73" t="s">
        <v>140</v>
      </c>
      <c r="O161" s="74"/>
      <c r="P161" s="82"/>
      <c r="Q161" s="59"/>
      <c r="R161" s="60"/>
    </row>
    <row r="162" spans="1:18" s="61" customFormat="1" ht="72" customHeight="1" x14ac:dyDescent="0.55000000000000004">
      <c r="A162" s="75" t="s">
        <v>126</v>
      </c>
      <c r="B162" s="81" t="s">
        <v>315</v>
      </c>
      <c r="C162" s="211"/>
      <c r="D162" s="212"/>
      <c r="E162" s="212"/>
      <c r="F162" s="212"/>
      <c r="G162" s="213"/>
      <c r="H162" s="77">
        <v>2</v>
      </c>
      <c r="I162" s="78">
        <v>2</v>
      </c>
      <c r="J162" s="77"/>
      <c r="K162" s="77"/>
      <c r="L162" s="71"/>
      <c r="M162" s="67" t="s">
        <v>141</v>
      </c>
      <c r="N162" s="73" t="s">
        <v>142</v>
      </c>
      <c r="O162" s="74"/>
      <c r="P162" s="82"/>
      <c r="Q162" s="59"/>
      <c r="R162" s="60"/>
    </row>
    <row r="163" spans="1:18" s="61" customFormat="1" ht="44.25" customHeight="1" x14ac:dyDescent="0.55000000000000004">
      <c r="A163" s="75" t="s">
        <v>128</v>
      </c>
      <c r="B163" s="81" t="s">
        <v>316</v>
      </c>
      <c r="C163" s="211"/>
      <c r="D163" s="212"/>
      <c r="E163" s="212"/>
      <c r="F163" s="212"/>
      <c r="G163" s="213"/>
      <c r="H163" s="77">
        <v>2</v>
      </c>
      <c r="I163" s="78">
        <v>2</v>
      </c>
      <c r="J163" s="77"/>
      <c r="K163" s="77"/>
      <c r="L163" s="71"/>
      <c r="M163" s="83"/>
      <c r="N163" s="83"/>
      <c r="O163" s="83"/>
      <c r="P163" s="84"/>
      <c r="Q163" s="59"/>
      <c r="R163" s="60"/>
    </row>
    <row r="164" spans="1:18" s="61" customFormat="1" ht="31.5" customHeight="1" x14ac:dyDescent="0.55000000000000004">
      <c r="A164" s="198" t="s">
        <v>143</v>
      </c>
      <c r="B164" s="199"/>
      <c r="C164" s="199"/>
      <c r="D164" s="199"/>
      <c r="E164" s="199"/>
      <c r="F164" s="199"/>
      <c r="G164" s="199"/>
      <c r="H164" s="85">
        <f>SUM(H153:H163)</f>
        <v>20</v>
      </c>
      <c r="I164" s="85">
        <f>SUM(I153:I163)</f>
        <v>20</v>
      </c>
      <c r="J164" s="85"/>
      <c r="K164" s="86"/>
      <c r="L164" s="71"/>
      <c r="M164" s="83"/>
      <c r="N164" s="83"/>
      <c r="O164" s="83"/>
      <c r="P164" s="84"/>
      <c r="Q164" s="59"/>
      <c r="R164" s="60"/>
    </row>
    <row r="165" spans="1:18" s="61" customFormat="1" ht="36" customHeight="1" x14ac:dyDescent="0.55000000000000004">
      <c r="A165" s="87" t="s">
        <v>124</v>
      </c>
      <c r="B165" s="88" t="s">
        <v>144</v>
      </c>
      <c r="C165" s="200" t="s">
        <v>145</v>
      </c>
      <c r="D165" s="201"/>
      <c r="E165" s="201"/>
      <c r="F165" s="201"/>
      <c r="G165" s="202"/>
      <c r="H165" s="89">
        <v>4</v>
      </c>
      <c r="I165" s="90">
        <v>3.5</v>
      </c>
      <c r="J165" s="89"/>
      <c r="K165" s="91"/>
      <c r="L165" s="71"/>
      <c r="M165" s="83"/>
      <c r="N165" s="83"/>
      <c r="O165" s="83"/>
      <c r="P165" s="84"/>
      <c r="Q165" s="59"/>
      <c r="R165" s="60"/>
    </row>
    <row r="166" spans="1:18" s="61" customFormat="1" ht="129" customHeight="1" x14ac:dyDescent="0.55000000000000004">
      <c r="A166" s="87" t="s">
        <v>126</v>
      </c>
      <c r="B166" s="88" t="s">
        <v>146</v>
      </c>
      <c r="C166" s="200" t="s">
        <v>147</v>
      </c>
      <c r="D166" s="201"/>
      <c r="E166" s="201"/>
      <c r="F166" s="201"/>
      <c r="G166" s="202"/>
      <c r="H166" s="89">
        <v>3</v>
      </c>
      <c r="I166" s="90">
        <v>3</v>
      </c>
      <c r="J166" s="89"/>
      <c r="K166" s="91"/>
      <c r="L166" s="71"/>
      <c r="M166" s="83"/>
      <c r="N166" s="83"/>
      <c r="O166" s="83"/>
      <c r="P166" s="84"/>
      <c r="Q166" s="59"/>
      <c r="R166" s="60"/>
    </row>
    <row r="167" spans="1:18" s="61" customFormat="1" ht="69" customHeight="1" x14ac:dyDescent="0.55000000000000004">
      <c r="A167" s="87" t="s">
        <v>126</v>
      </c>
      <c r="B167" s="88" t="s">
        <v>148</v>
      </c>
      <c r="C167" s="200" t="s">
        <v>149</v>
      </c>
      <c r="D167" s="201"/>
      <c r="E167" s="201"/>
      <c r="F167" s="201"/>
      <c r="G167" s="202"/>
      <c r="H167" s="89">
        <v>3</v>
      </c>
      <c r="I167" s="90">
        <v>3</v>
      </c>
      <c r="J167" s="89"/>
      <c r="K167" s="91"/>
      <c r="L167" s="71"/>
      <c r="M167" s="83"/>
      <c r="N167" s="83"/>
      <c r="O167" s="83"/>
      <c r="P167" s="84"/>
      <c r="Q167" s="59"/>
      <c r="R167" s="60"/>
    </row>
    <row r="168" spans="1:18" s="61" customFormat="1" ht="46.5" customHeight="1" x14ac:dyDescent="0.55000000000000004">
      <c r="A168" s="92"/>
      <c r="B168" s="203" t="s">
        <v>150</v>
      </c>
      <c r="C168" s="203"/>
      <c r="D168" s="203"/>
      <c r="E168" s="93"/>
      <c r="F168" s="93"/>
      <c r="G168" s="93"/>
      <c r="H168" s="85">
        <f>SUM(H165:H167)</f>
        <v>10</v>
      </c>
      <c r="I168" s="85">
        <f>SUM(I165:I167)</f>
        <v>9.5</v>
      </c>
      <c r="J168" s="93"/>
      <c r="K168" s="94"/>
      <c r="L168" s="83"/>
      <c r="M168" s="83"/>
      <c r="N168" s="83"/>
      <c r="O168" s="83"/>
      <c r="P168" s="84"/>
      <c r="Q168" s="59"/>
      <c r="R168" s="60"/>
    </row>
    <row r="169" spans="1:18" s="97" customFormat="1" ht="45" customHeight="1" x14ac:dyDescent="0.7">
      <c r="A169" s="95"/>
      <c r="B169" s="204"/>
      <c r="C169" s="96"/>
      <c r="D169" s="96"/>
      <c r="E169" s="96"/>
      <c r="F169" s="207"/>
      <c r="G169" s="207"/>
      <c r="H169" s="207"/>
      <c r="I169" s="207"/>
      <c r="J169" s="207"/>
      <c r="K169" s="96"/>
      <c r="L169" s="96"/>
      <c r="M169" s="96"/>
      <c r="N169" s="96"/>
      <c r="O169" s="189" t="s">
        <v>317</v>
      </c>
      <c r="P169" s="190"/>
      <c r="Q169" s="189" t="s">
        <v>318</v>
      </c>
      <c r="R169" s="191"/>
    </row>
    <row r="170" spans="1:18" s="97" customFormat="1" ht="45" customHeight="1" x14ac:dyDescent="0.7">
      <c r="A170" s="95"/>
      <c r="B170" s="205"/>
      <c r="C170" s="178" t="s">
        <v>319</v>
      </c>
      <c r="D170" s="179"/>
      <c r="E170" s="179"/>
      <c r="F170" s="179"/>
      <c r="G170" s="179"/>
      <c r="H170" s="179"/>
      <c r="I170" s="179"/>
      <c r="J170" s="179"/>
      <c r="K170" s="180"/>
      <c r="L170" s="173"/>
      <c r="M170" s="174"/>
      <c r="N170" s="175"/>
      <c r="O170" s="176">
        <f>R149</f>
        <v>0</v>
      </c>
      <c r="P170" s="177"/>
      <c r="Q170" s="192">
        <f>O173/100 * 20</f>
        <v>5.8999999999999995</v>
      </c>
      <c r="R170" s="193"/>
    </row>
    <row r="171" spans="1:18" s="97" customFormat="1" ht="45" customHeight="1" x14ac:dyDescent="0.7">
      <c r="A171" s="95"/>
      <c r="B171" s="205"/>
      <c r="C171" s="179" t="s">
        <v>320</v>
      </c>
      <c r="D171" s="179"/>
      <c r="E171" s="179"/>
      <c r="F171" s="179"/>
      <c r="G171" s="179"/>
      <c r="H171" s="179"/>
      <c r="I171" s="179"/>
      <c r="J171" s="179"/>
      <c r="K171" s="179"/>
      <c r="L171" s="174"/>
      <c r="M171" s="174"/>
      <c r="N171" s="175"/>
      <c r="O171" s="176">
        <f>I164</f>
        <v>20</v>
      </c>
      <c r="P171" s="177"/>
      <c r="Q171" s="194"/>
      <c r="R171" s="195"/>
    </row>
    <row r="172" spans="1:18" s="97" customFormat="1" ht="45" customHeight="1" x14ac:dyDescent="0.7">
      <c r="A172" s="95"/>
      <c r="B172" s="205"/>
      <c r="C172" s="178" t="s">
        <v>321</v>
      </c>
      <c r="D172" s="179"/>
      <c r="E172" s="179"/>
      <c r="F172" s="179"/>
      <c r="G172" s="179"/>
      <c r="H172" s="179"/>
      <c r="I172" s="179"/>
      <c r="J172" s="179"/>
      <c r="K172" s="180"/>
      <c r="L172" s="173"/>
      <c r="M172" s="174"/>
      <c r="N172" s="175"/>
      <c r="O172" s="176">
        <f>I168</f>
        <v>9.5</v>
      </c>
      <c r="P172" s="177"/>
      <c r="Q172" s="194"/>
      <c r="R172" s="195"/>
    </row>
    <row r="173" spans="1:18" s="97" customFormat="1" ht="45" customHeight="1" x14ac:dyDescent="0.7">
      <c r="A173" s="95"/>
      <c r="B173" s="206"/>
      <c r="C173" s="178" t="s">
        <v>322</v>
      </c>
      <c r="D173" s="179"/>
      <c r="E173" s="179"/>
      <c r="F173" s="179"/>
      <c r="G173" s="179"/>
      <c r="H173" s="179"/>
      <c r="I173" s="179"/>
      <c r="J173" s="179"/>
      <c r="K173" s="180"/>
      <c r="L173" s="173"/>
      <c r="M173" s="174"/>
      <c r="N173" s="175"/>
      <c r="O173" s="176">
        <f>SUM(O170:P172)</f>
        <v>29.5</v>
      </c>
      <c r="P173" s="177"/>
      <c r="Q173" s="196"/>
      <c r="R173" s="197"/>
    </row>
    <row r="174" spans="1:18" s="97" customFormat="1" ht="64.900000000000006" customHeight="1" x14ac:dyDescent="0.7">
      <c r="A174" s="95"/>
      <c r="B174" s="181" t="s">
        <v>323</v>
      </c>
      <c r="C174" s="181"/>
      <c r="D174" s="181"/>
      <c r="E174" s="181"/>
      <c r="F174" s="181"/>
      <c r="G174" s="181"/>
      <c r="H174" s="98"/>
      <c r="I174" s="98"/>
      <c r="J174" s="98"/>
      <c r="K174" s="98"/>
      <c r="L174" s="98"/>
      <c r="M174" s="98"/>
      <c r="N174" s="98"/>
      <c r="O174" s="98"/>
      <c r="P174" s="98"/>
      <c r="Q174" s="98"/>
      <c r="R174" s="99"/>
    </row>
    <row r="175" spans="1:18" s="97" customFormat="1" ht="64.900000000000006" customHeight="1" x14ac:dyDescent="0.7">
      <c r="A175" s="95"/>
      <c r="B175" s="155" t="s">
        <v>324</v>
      </c>
      <c r="C175" s="155"/>
      <c r="D175" s="155"/>
      <c r="E175" s="155"/>
      <c r="F175" s="155"/>
      <c r="G175" s="155"/>
      <c r="H175" s="155"/>
      <c r="I175" s="155"/>
      <c r="J175" s="155"/>
      <c r="K175" s="155"/>
      <c r="L175" s="155"/>
      <c r="M175" s="155"/>
      <c r="N175" s="155"/>
      <c r="O175" s="155"/>
      <c r="P175" s="155"/>
      <c r="Q175" s="155"/>
      <c r="R175" s="156"/>
    </row>
    <row r="176" spans="1:18" s="97" customFormat="1" ht="48.75" customHeight="1" x14ac:dyDescent="0.7">
      <c r="A176" s="95"/>
      <c r="B176" s="157" t="s">
        <v>325</v>
      </c>
      <c r="C176" s="157"/>
      <c r="D176" s="157"/>
      <c r="E176" s="157"/>
      <c r="F176" s="157"/>
      <c r="G176" s="157"/>
      <c r="H176" s="100"/>
      <c r="I176" s="100"/>
      <c r="J176" s="100"/>
      <c r="K176" s="100"/>
      <c r="L176" s="100"/>
      <c r="M176" s="100"/>
      <c r="N176" s="100"/>
      <c r="O176" s="100"/>
      <c r="P176" s="100"/>
      <c r="Q176" s="100"/>
      <c r="R176" s="101"/>
    </row>
    <row r="177" spans="1:18" s="97" customFormat="1" ht="45.75" x14ac:dyDescent="0.7">
      <c r="A177" s="95"/>
      <c r="B177" s="155"/>
      <c r="C177" s="155"/>
      <c r="D177" s="155"/>
      <c r="E177" s="155"/>
      <c r="F177" s="155"/>
      <c r="G177" s="155"/>
      <c r="H177" s="155"/>
      <c r="I177" s="155"/>
      <c r="J177" s="155"/>
      <c r="K177" s="155"/>
      <c r="L177" s="155"/>
      <c r="M177" s="155"/>
      <c r="N177" s="155"/>
      <c r="O177" s="155"/>
      <c r="P177" s="155"/>
      <c r="Q177" s="155"/>
      <c r="R177" s="156"/>
    </row>
    <row r="178" spans="1:18" s="61" customFormat="1" ht="31.5" customHeight="1" x14ac:dyDescent="0.55000000000000004">
      <c r="A178" s="158" t="s">
        <v>326</v>
      </c>
      <c r="B178" s="159"/>
      <c r="C178" s="152"/>
      <c r="D178" s="164"/>
      <c r="E178" s="167" t="s">
        <v>327</v>
      </c>
      <c r="F178" s="146"/>
      <c r="G178" s="159" t="s">
        <v>328</v>
      </c>
      <c r="H178" s="152"/>
      <c r="I178" s="152"/>
      <c r="J178" s="152"/>
      <c r="K178" s="102"/>
      <c r="L178" s="71"/>
      <c r="M178" s="170"/>
      <c r="N178" s="170"/>
      <c r="O178" s="170"/>
      <c r="P178" s="170"/>
      <c r="Q178" s="170"/>
      <c r="R178" s="60"/>
    </row>
    <row r="179" spans="1:18" s="61" customFormat="1" ht="31.5" customHeight="1" x14ac:dyDescent="0.55000000000000004">
      <c r="A179" s="160"/>
      <c r="B179" s="161"/>
      <c r="C179" s="153"/>
      <c r="D179" s="165"/>
      <c r="E179" s="168"/>
      <c r="F179" s="147"/>
      <c r="G179" s="161"/>
      <c r="H179" s="153"/>
      <c r="I179" s="153"/>
      <c r="J179" s="153"/>
      <c r="K179" s="102"/>
      <c r="L179" s="71"/>
      <c r="M179" s="171"/>
      <c r="N179" s="171"/>
      <c r="O179" s="171"/>
      <c r="P179" s="171"/>
      <c r="Q179" s="171"/>
      <c r="R179" s="60"/>
    </row>
    <row r="180" spans="1:18" s="61" customFormat="1" ht="31.5" customHeight="1" x14ac:dyDescent="0.55000000000000004">
      <c r="A180" s="160"/>
      <c r="B180" s="161"/>
      <c r="C180" s="153"/>
      <c r="D180" s="165"/>
      <c r="E180" s="168"/>
      <c r="F180" s="147"/>
      <c r="G180" s="161"/>
      <c r="H180" s="153"/>
      <c r="I180" s="153"/>
      <c r="J180" s="153"/>
      <c r="K180" s="102"/>
      <c r="L180" s="71"/>
      <c r="M180" s="171"/>
      <c r="N180" s="171"/>
      <c r="O180" s="171"/>
      <c r="P180" s="171"/>
      <c r="Q180" s="171"/>
      <c r="R180" s="60"/>
    </row>
    <row r="181" spans="1:18" s="61" customFormat="1" ht="31.5" customHeight="1" x14ac:dyDescent="0.55000000000000004">
      <c r="A181" s="162"/>
      <c r="B181" s="163"/>
      <c r="C181" s="154"/>
      <c r="D181" s="166"/>
      <c r="E181" s="169"/>
      <c r="F181" s="148"/>
      <c r="G181" s="163"/>
      <c r="H181" s="154"/>
      <c r="I181" s="154"/>
      <c r="J181" s="154"/>
      <c r="K181" s="102"/>
      <c r="L181" s="71"/>
      <c r="M181" s="171"/>
      <c r="N181" s="171"/>
      <c r="O181" s="171"/>
      <c r="P181" s="171"/>
      <c r="Q181" s="171"/>
      <c r="R181" s="60"/>
    </row>
    <row r="182" spans="1:18" s="61" customFormat="1" ht="31.5" customHeight="1" x14ac:dyDescent="0.55000000000000004">
      <c r="A182" s="184" t="s">
        <v>151</v>
      </c>
      <c r="B182" s="149"/>
      <c r="C182" s="152"/>
      <c r="D182" s="164"/>
      <c r="E182" s="186" t="s">
        <v>329</v>
      </c>
      <c r="F182" s="146"/>
      <c r="G182" s="149" t="s">
        <v>329</v>
      </c>
      <c r="H182" s="152"/>
      <c r="I182" s="152"/>
      <c r="J182" s="152"/>
      <c r="K182" s="102"/>
      <c r="L182" s="71"/>
      <c r="M182" s="171"/>
      <c r="N182" s="171"/>
      <c r="O182" s="171"/>
      <c r="P182" s="171"/>
      <c r="Q182" s="171"/>
      <c r="R182" s="60"/>
    </row>
    <row r="183" spans="1:18" s="61" customFormat="1" ht="31.5" customHeight="1" x14ac:dyDescent="0.55000000000000004">
      <c r="A183" s="185"/>
      <c r="B183" s="150"/>
      <c r="C183" s="153"/>
      <c r="D183" s="165"/>
      <c r="E183" s="187"/>
      <c r="F183" s="147"/>
      <c r="G183" s="150"/>
      <c r="H183" s="153"/>
      <c r="I183" s="153"/>
      <c r="J183" s="153"/>
      <c r="K183" s="102"/>
      <c r="L183" s="71"/>
      <c r="M183" s="171"/>
      <c r="N183" s="171"/>
      <c r="O183" s="171"/>
      <c r="P183" s="171"/>
      <c r="Q183" s="171"/>
      <c r="R183" s="60"/>
    </row>
    <row r="184" spans="1:18" s="61" customFormat="1" ht="31.5" customHeight="1" x14ac:dyDescent="0.55000000000000004">
      <c r="A184" s="185"/>
      <c r="B184" s="150"/>
      <c r="C184" s="154"/>
      <c r="D184" s="166"/>
      <c r="E184" s="188"/>
      <c r="F184" s="148"/>
      <c r="G184" s="151"/>
      <c r="H184" s="154"/>
      <c r="I184" s="154"/>
      <c r="J184" s="154"/>
      <c r="K184" s="102"/>
      <c r="L184" s="71"/>
      <c r="M184" s="171"/>
      <c r="N184" s="171"/>
      <c r="O184" s="171"/>
      <c r="P184" s="171"/>
      <c r="Q184" s="171"/>
      <c r="R184" s="60"/>
    </row>
    <row r="185" spans="1:18" s="61" customFormat="1" ht="31.5" customHeight="1" x14ac:dyDescent="0.55000000000000004">
      <c r="A185" s="160" t="s">
        <v>152</v>
      </c>
      <c r="B185" s="161"/>
      <c r="C185" s="152"/>
      <c r="D185" s="164"/>
      <c r="E185" s="167" t="s">
        <v>330</v>
      </c>
      <c r="F185" s="146"/>
      <c r="G185" s="159" t="s">
        <v>330</v>
      </c>
      <c r="H185" s="152"/>
      <c r="I185" s="152"/>
      <c r="J185" s="152"/>
      <c r="K185" s="102"/>
      <c r="L185" s="71"/>
      <c r="M185" s="171"/>
      <c r="N185" s="171"/>
      <c r="O185" s="171"/>
      <c r="P185" s="171"/>
      <c r="Q185" s="171"/>
      <c r="R185" s="60"/>
    </row>
    <row r="186" spans="1:18" s="61" customFormat="1" ht="31.5" customHeight="1" x14ac:dyDescent="0.55000000000000004">
      <c r="A186" s="160"/>
      <c r="B186" s="161"/>
      <c r="C186" s="154"/>
      <c r="D186" s="166"/>
      <c r="E186" s="169"/>
      <c r="F186" s="148"/>
      <c r="G186" s="163"/>
      <c r="H186" s="154"/>
      <c r="I186" s="154"/>
      <c r="J186" s="154"/>
      <c r="K186" s="102"/>
      <c r="L186" s="71"/>
      <c r="M186" s="171"/>
      <c r="N186" s="171"/>
      <c r="O186" s="171"/>
      <c r="P186" s="171"/>
      <c r="Q186" s="171"/>
      <c r="R186" s="60"/>
    </row>
    <row r="187" spans="1:18" s="61" customFormat="1" ht="31.5" customHeight="1" thickBot="1" x14ac:dyDescent="0.6">
      <c r="A187" s="182"/>
      <c r="B187" s="183"/>
      <c r="C187" s="183"/>
      <c r="D187" s="183"/>
      <c r="E187" s="183"/>
      <c r="F187" s="183"/>
      <c r="G187" s="183"/>
      <c r="H187" s="183"/>
      <c r="I187" s="183"/>
      <c r="J187" s="183"/>
      <c r="K187" s="103"/>
      <c r="L187" s="104"/>
      <c r="M187" s="172"/>
      <c r="N187" s="172"/>
      <c r="O187" s="172"/>
      <c r="P187" s="172"/>
      <c r="Q187" s="172"/>
      <c r="R187" s="105"/>
    </row>
  </sheetData>
  <mergeCells count="204">
    <mergeCell ref="A10:B10"/>
    <mergeCell ref="I10:J10"/>
    <mergeCell ref="A11:B11"/>
    <mergeCell ref="I11:J11"/>
    <mergeCell ref="A12:I12"/>
    <mergeCell ref="A13:B13"/>
    <mergeCell ref="I13:J13"/>
    <mergeCell ref="A1:R3"/>
    <mergeCell ref="A4:J4"/>
    <mergeCell ref="K4:R15"/>
    <mergeCell ref="E5:H5"/>
    <mergeCell ref="A6:H6"/>
    <mergeCell ref="A7:B7"/>
    <mergeCell ref="I7:J7"/>
    <mergeCell ref="A8:B8"/>
    <mergeCell ref="I8:J8"/>
    <mergeCell ref="A9:I9"/>
    <mergeCell ref="A14:B14"/>
    <mergeCell ref="I14:J14"/>
    <mergeCell ref="A15:I15"/>
    <mergeCell ref="A16:I16"/>
    <mergeCell ref="A17:A18"/>
    <mergeCell ref="B17:B18"/>
    <mergeCell ref="C17:C18"/>
    <mergeCell ref="D17:D18"/>
    <mergeCell ref="E17:E18"/>
    <mergeCell ref="F17:F18"/>
    <mergeCell ref="A28:A39"/>
    <mergeCell ref="B28:B39"/>
    <mergeCell ref="C28:C39"/>
    <mergeCell ref="D28:D29"/>
    <mergeCell ref="D30:D32"/>
    <mergeCell ref="D33:D34"/>
    <mergeCell ref="D35:D36"/>
    <mergeCell ref="D37:D39"/>
    <mergeCell ref="R17:R18"/>
    <mergeCell ref="A19:A27"/>
    <mergeCell ref="B19:B27"/>
    <mergeCell ref="C19:C27"/>
    <mergeCell ref="D19:D21"/>
    <mergeCell ref="D22:D24"/>
    <mergeCell ref="D26:D27"/>
    <mergeCell ref="G17:G18"/>
    <mergeCell ref="H17:H18"/>
    <mergeCell ref="I17:I18"/>
    <mergeCell ref="J17:O17"/>
    <mergeCell ref="P17:P18"/>
    <mergeCell ref="Q17:Q18"/>
    <mergeCell ref="A54:A61"/>
    <mergeCell ref="B54:B61"/>
    <mergeCell ref="C54:C61"/>
    <mergeCell ref="D54:D61"/>
    <mergeCell ref="A62:A69"/>
    <mergeCell ref="B62:B69"/>
    <mergeCell ref="C62:C69"/>
    <mergeCell ref="D62:D69"/>
    <mergeCell ref="A40:A53"/>
    <mergeCell ref="B40:B53"/>
    <mergeCell ref="C40:C53"/>
    <mergeCell ref="D40:D42"/>
    <mergeCell ref="D43:D44"/>
    <mergeCell ref="D45:D46"/>
    <mergeCell ref="D47:D48"/>
    <mergeCell ref="D49:D50"/>
    <mergeCell ref="D51:D52"/>
    <mergeCell ref="A79:A89"/>
    <mergeCell ref="B79:B89"/>
    <mergeCell ref="C79:C89"/>
    <mergeCell ref="D79:D81"/>
    <mergeCell ref="D82:D83"/>
    <mergeCell ref="D84:D85"/>
    <mergeCell ref="D86:D87"/>
    <mergeCell ref="D88:D89"/>
    <mergeCell ref="A70:A78"/>
    <mergeCell ref="B70:B78"/>
    <mergeCell ref="C70:C78"/>
    <mergeCell ref="D70:D71"/>
    <mergeCell ref="D72:D73"/>
    <mergeCell ref="D74:D76"/>
    <mergeCell ref="D77:D78"/>
    <mergeCell ref="A101:A110"/>
    <mergeCell ref="B101:B110"/>
    <mergeCell ref="C101:C110"/>
    <mergeCell ref="D101:D102"/>
    <mergeCell ref="D103:D104"/>
    <mergeCell ref="D105:D106"/>
    <mergeCell ref="D107:D108"/>
    <mergeCell ref="D109:D110"/>
    <mergeCell ref="A90:A100"/>
    <mergeCell ref="B90:B100"/>
    <mergeCell ref="C90:C100"/>
    <mergeCell ref="D90:D92"/>
    <mergeCell ref="D93:D94"/>
    <mergeCell ref="D95:D96"/>
    <mergeCell ref="D97:D98"/>
    <mergeCell ref="D99:D100"/>
    <mergeCell ref="A121:A128"/>
    <mergeCell ref="B121:B128"/>
    <mergeCell ref="C121:C128"/>
    <mergeCell ref="D121:D122"/>
    <mergeCell ref="D123:D124"/>
    <mergeCell ref="D125:D126"/>
    <mergeCell ref="A111:A120"/>
    <mergeCell ref="B111:B120"/>
    <mergeCell ref="C111:C120"/>
    <mergeCell ref="D111:D112"/>
    <mergeCell ref="D113:D114"/>
    <mergeCell ref="D115:D116"/>
    <mergeCell ref="D117:D118"/>
    <mergeCell ref="D119:D120"/>
    <mergeCell ref="A134:A136"/>
    <mergeCell ref="B134:B136"/>
    <mergeCell ref="C134:C136"/>
    <mergeCell ref="D134:D136"/>
    <mergeCell ref="A137:A138"/>
    <mergeCell ref="B137:B138"/>
    <mergeCell ref="C137:C138"/>
    <mergeCell ref="D137:D138"/>
    <mergeCell ref="A129:A131"/>
    <mergeCell ref="B129:B131"/>
    <mergeCell ref="C129:C131"/>
    <mergeCell ref="D129:D131"/>
    <mergeCell ref="A132:A133"/>
    <mergeCell ref="B132:B133"/>
    <mergeCell ref="C132:C133"/>
    <mergeCell ref="D132:D133"/>
    <mergeCell ref="A139:A141"/>
    <mergeCell ref="B139:B141"/>
    <mergeCell ref="C139:C141"/>
    <mergeCell ref="D139:D141"/>
    <mergeCell ref="A142:A147"/>
    <mergeCell ref="B142:B147"/>
    <mergeCell ref="C142:C147"/>
    <mergeCell ref="D142:D145"/>
    <mergeCell ref="D146:D147"/>
    <mergeCell ref="C153:G153"/>
    <mergeCell ref="N153:O153"/>
    <mergeCell ref="C154:G154"/>
    <mergeCell ref="N154:O154"/>
    <mergeCell ref="C155:G155"/>
    <mergeCell ref="N155:O155"/>
    <mergeCell ref="I149:Q149"/>
    <mergeCell ref="A150:G150"/>
    <mergeCell ref="H150:K150"/>
    <mergeCell ref="L150:L151"/>
    <mergeCell ref="C151:G151"/>
    <mergeCell ref="C152:G152"/>
    <mergeCell ref="N152:O152"/>
    <mergeCell ref="C160:G160"/>
    <mergeCell ref="C161:G161"/>
    <mergeCell ref="C162:G162"/>
    <mergeCell ref="C163:G163"/>
    <mergeCell ref="A164:G164"/>
    <mergeCell ref="C165:G165"/>
    <mergeCell ref="C156:G156"/>
    <mergeCell ref="N156:O156"/>
    <mergeCell ref="C157:G157"/>
    <mergeCell ref="N157:O157"/>
    <mergeCell ref="C158:G158"/>
    <mergeCell ref="C159:G159"/>
    <mergeCell ref="C166:G166"/>
    <mergeCell ref="C167:G167"/>
    <mergeCell ref="B168:D168"/>
    <mergeCell ref="B169:B173"/>
    <mergeCell ref="F169:J169"/>
    <mergeCell ref="O169:P169"/>
    <mergeCell ref="O172:P172"/>
    <mergeCell ref="C173:K173"/>
    <mergeCell ref="L173:N173"/>
    <mergeCell ref="O173:P173"/>
    <mergeCell ref="Q169:R169"/>
    <mergeCell ref="C170:K170"/>
    <mergeCell ref="L170:N170"/>
    <mergeCell ref="O170:P170"/>
    <mergeCell ref="Q170:R173"/>
    <mergeCell ref="C171:K171"/>
    <mergeCell ref="L171:N171"/>
    <mergeCell ref="O171:P171"/>
    <mergeCell ref="C172:K172"/>
    <mergeCell ref="L172:N172"/>
    <mergeCell ref="B174:G174"/>
    <mergeCell ref="B175:R175"/>
    <mergeCell ref="B176:G176"/>
    <mergeCell ref="B177:R177"/>
    <mergeCell ref="A178:B181"/>
    <mergeCell ref="C178:D181"/>
    <mergeCell ref="E178:E181"/>
    <mergeCell ref="F178:F181"/>
    <mergeCell ref="G178:G181"/>
    <mergeCell ref="H178:J181"/>
    <mergeCell ref="F185:F186"/>
    <mergeCell ref="G185:G186"/>
    <mergeCell ref="H185:J186"/>
    <mergeCell ref="A187:J187"/>
    <mergeCell ref="M178:Q187"/>
    <mergeCell ref="A182:B184"/>
    <mergeCell ref="C182:D184"/>
    <mergeCell ref="E182:E184"/>
    <mergeCell ref="F182:F184"/>
    <mergeCell ref="G182:G184"/>
    <mergeCell ref="H182:J184"/>
    <mergeCell ref="A185:B186"/>
    <mergeCell ref="C185:D186"/>
    <mergeCell ref="E185:E186"/>
  </mergeCells>
  <pageMargins left="0.7" right="0.7" top="0.75" bottom="0.75" header="0.3" footer="0.3"/>
  <pageSetup scale="14"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A5D76-9B74-462C-943E-1D337068B887}">
  <sheetPr>
    <pageSetUpPr fitToPage="1"/>
  </sheetPr>
  <dimension ref="A1:R187"/>
  <sheetViews>
    <sheetView tabSelected="1" zoomScale="30" zoomScaleNormal="30" workbookViewId="0">
      <selection activeCell="E8" sqref="E8"/>
    </sheetView>
  </sheetViews>
  <sheetFormatPr defaultRowHeight="31.5" customHeight="1" x14ac:dyDescent="0.55000000000000004"/>
  <cols>
    <col min="1" max="1" width="19.7109375" style="106" bestFit="1" customWidth="1"/>
    <col min="2" max="2" width="85.42578125" style="16" bestFit="1" customWidth="1"/>
    <col min="3" max="3" width="39.5703125" style="16" bestFit="1" customWidth="1"/>
    <col min="4" max="4" width="114.85546875" style="16" customWidth="1"/>
    <col min="5" max="5" width="64.7109375" style="106" bestFit="1" customWidth="1"/>
    <col min="6" max="6" width="42" style="106" customWidth="1"/>
    <col min="7" max="7" width="255.7109375" style="16" bestFit="1" customWidth="1"/>
    <col min="8" max="8" width="33" style="106" customWidth="1"/>
    <col min="9" max="9" width="62.42578125" style="106" customWidth="1"/>
    <col min="10" max="10" width="45.140625" style="106" customWidth="1"/>
    <col min="11" max="13" width="35.28515625" style="106" bestFit="1" customWidth="1"/>
    <col min="14" max="14" width="40.7109375" style="106" bestFit="1" customWidth="1"/>
    <col min="15" max="15" width="36.85546875" style="106" bestFit="1" customWidth="1"/>
    <col min="16" max="17" width="36.85546875" style="107" customWidth="1"/>
    <col min="18" max="18" width="36.85546875" style="108" customWidth="1"/>
    <col min="19" max="16384" width="9.140625" style="16"/>
  </cols>
  <sheetData>
    <row r="1" spans="1:18" ht="31.5" customHeight="1" x14ac:dyDescent="0.25">
      <c r="A1" s="259" t="s">
        <v>297</v>
      </c>
      <c r="B1" s="260"/>
      <c r="C1" s="260"/>
      <c r="D1" s="260"/>
      <c r="E1" s="260"/>
      <c r="F1" s="260"/>
      <c r="G1" s="260"/>
      <c r="H1" s="260"/>
      <c r="I1" s="260"/>
      <c r="J1" s="260"/>
      <c r="K1" s="260"/>
      <c r="L1" s="260"/>
      <c r="M1" s="260"/>
      <c r="N1" s="260"/>
      <c r="O1" s="260"/>
      <c r="P1" s="260"/>
      <c r="Q1" s="260"/>
      <c r="R1" s="261"/>
    </row>
    <row r="2" spans="1:18" ht="31.5" customHeight="1" x14ac:dyDescent="0.25">
      <c r="A2" s="262"/>
      <c r="B2" s="263"/>
      <c r="C2" s="263"/>
      <c r="D2" s="263"/>
      <c r="E2" s="263"/>
      <c r="F2" s="263"/>
      <c r="G2" s="263"/>
      <c r="H2" s="263"/>
      <c r="I2" s="263"/>
      <c r="J2" s="263"/>
      <c r="K2" s="263"/>
      <c r="L2" s="263"/>
      <c r="M2" s="263"/>
      <c r="N2" s="263"/>
      <c r="O2" s="263"/>
      <c r="P2" s="263"/>
      <c r="Q2" s="263"/>
      <c r="R2" s="264"/>
    </row>
    <row r="3" spans="1:18" ht="31.5" customHeight="1" thickBot="1" x14ac:dyDescent="0.3">
      <c r="A3" s="262"/>
      <c r="B3" s="263"/>
      <c r="C3" s="263"/>
      <c r="D3" s="263"/>
      <c r="E3" s="263"/>
      <c r="F3" s="263"/>
      <c r="G3" s="263"/>
      <c r="H3" s="263"/>
      <c r="I3" s="263"/>
      <c r="J3" s="263"/>
      <c r="K3" s="263"/>
      <c r="L3" s="263"/>
      <c r="M3" s="263"/>
      <c r="N3" s="263"/>
      <c r="O3" s="263"/>
      <c r="P3" s="263"/>
      <c r="Q3" s="263"/>
      <c r="R3" s="264"/>
    </row>
    <row r="4" spans="1:18" s="17" customFormat="1" ht="45.75" x14ac:dyDescent="0.25">
      <c r="A4" s="265" t="s">
        <v>0</v>
      </c>
      <c r="B4" s="266"/>
      <c r="C4" s="266"/>
      <c r="D4" s="266"/>
      <c r="E4" s="266"/>
      <c r="F4" s="266"/>
      <c r="G4" s="266"/>
      <c r="H4" s="266"/>
      <c r="I4" s="266"/>
      <c r="J4" s="266"/>
      <c r="K4" s="267"/>
      <c r="L4" s="268"/>
      <c r="M4" s="268"/>
      <c r="N4" s="268"/>
      <c r="O4" s="268"/>
      <c r="P4" s="268"/>
      <c r="Q4" s="268"/>
      <c r="R4" s="269"/>
    </row>
    <row r="5" spans="1:18" s="24" customFormat="1" ht="32.25" x14ac:dyDescent="0.5">
      <c r="A5" s="18" t="s">
        <v>1</v>
      </c>
      <c r="B5" s="19" t="s">
        <v>336</v>
      </c>
      <c r="C5" s="20" t="s">
        <v>3</v>
      </c>
      <c r="D5" s="21" t="s">
        <v>4</v>
      </c>
      <c r="E5" s="276"/>
      <c r="F5" s="276"/>
      <c r="G5" s="276"/>
      <c r="H5" s="276"/>
      <c r="I5" s="22"/>
      <c r="J5" s="23"/>
      <c r="K5" s="270"/>
      <c r="L5" s="271"/>
      <c r="M5" s="271"/>
      <c r="N5" s="271"/>
      <c r="O5" s="271"/>
      <c r="P5" s="271"/>
      <c r="Q5" s="271"/>
      <c r="R5" s="272"/>
    </row>
    <row r="6" spans="1:18" s="27" customFormat="1" ht="38.25" customHeight="1" x14ac:dyDescent="0.55000000000000004">
      <c r="A6" s="277" t="s">
        <v>5</v>
      </c>
      <c r="B6" s="278"/>
      <c r="C6" s="278"/>
      <c r="D6" s="278"/>
      <c r="E6" s="278"/>
      <c r="F6" s="278"/>
      <c r="G6" s="278"/>
      <c r="H6" s="278"/>
      <c r="I6" s="25"/>
      <c r="J6" s="26"/>
      <c r="K6" s="270"/>
      <c r="L6" s="271"/>
      <c r="M6" s="271"/>
      <c r="N6" s="271"/>
      <c r="O6" s="271"/>
      <c r="P6" s="271"/>
      <c r="Q6" s="271"/>
      <c r="R6" s="272"/>
    </row>
    <row r="7" spans="1:18" s="113" customFormat="1" ht="48.75" customHeight="1" x14ac:dyDescent="0.6">
      <c r="A7" s="279" t="s">
        <v>6</v>
      </c>
      <c r="B7" s="279"/>
      <c r="C7" s="109" t="s">
        <v>15</v>
      </c>
      <c r="D7" s="110" t="s">
        <v>7</v>
      </c>
      <c r="E7" s="109" t="s">
        <v>16</v>
      </c>
      <c r="F7" s="111" t="s">
        <v>8</v>
      </c>
      <c r="G7" s="112" t="s">
        <v>17</v>
      </c>
      <c r="H7" s="110" t="s">
        <v>9</v>
      </c>
      <c r="I7" s="249" t="s">
        <v>18</v>
      </c>
      <c r="J7" s="250"/>
      <c r="K7" s="270"/>
      <c r="L7" s="271"/>
      <c r="M7" s="271"/>
      <c r="N7" s="271"/>
      <c r="O7" s="271"/>
      <c r="P7" s="271"/>
      <c r="Q7" s="271"/>
      <c r="R7" s="272"/>
    </row>
    <row r="8" spans="1:18" s="113" customFormat="1" ht="57" customHeight="1" x14ac:dyDescent="0.6">
      <c r="A8" s="280" t="s">
        <v>10</v>
      </c>
      <c r="B8" s="280"/>
      <c r="C8" s="115">
        <v>60529</v>
      </c>
      <c r="D8" s="114" t="s">
        <v>11</v>
      </c>
      <c r="E8" s="116" t="s">
        <v>337</v>
      </c>
      <c r="F8" s="117" t="s">
        <v>12</v>
      </c>
      <c r="G8" s="118"/>
      <c r="H8" s="114" t="s">
        <v>13</v>
      </c>
      <c r="I8" s="253" t="s">
        <v>20</v>
      </c>
      <c r="J8" s="254"/>
      <c r="K8" s="270"/>
      <c r="L8" s="271"/>
      <c r="M8" s="271"/>
      <c r="N8" s="271"/>
      <c r="O8" s="271"/>
      <c r="P8" s="271"/>
      <c r="Q8" s="271"/>
      <c r="R8" s="272"/>
    </row>
    <row r="9" spans="1:18" s="113" customFormat="1" ht="62.25" customHeight="1" x14ac:dyDescent="0.6">
      <c r="A9" s="255" t="s">
        <v>14</v>
      </c>
      <c r="B9" s="255"/>
      <c r="C9" s="255"/>
      <c r="D9" s="255"/>
      <c r="E9" s="255"/>
      <c r="F9" s="255"/>
      <c r="G9" s="255"/>
      <c r="H9" s="255"/>
      <c r="I9" s="255"/>
      <c r="J9" s="119"/>
      <c r="K9" s="270"/>
      <c r="L9" s="271"/>
      <c r="M9" s="271"/>
      <c r="N9" s="271"/>
      <c r="O9" s="271"/>
      <c r="P9" s="271"/>
      <c r="Q9" s="271"/>
      <c r="R9" s="272"/>
    </row>
    <row r="10" spans="1:18" s="122" customFormat="1" ht="39" x14ac:dyDescent="0.6">
      <c r="A10" s="247" t="s">
        <v>6</v>
      </c>
      <c r="B10" s="248"/>
      <c r="C10" s="109"/>
      <c r="D10" s="120" t="s">
        <v>7</v>
      </c>
      <c r="E10" s="109"/>
      <c r="F10" s="121" t="s">
        <v>8</v>
      </c>
      <c r="G10" s="112"/>
      <c r="H10" s="120" t="s">
        <v>9</v>
      </c>
      <c r="I10" s="249"/>
      <c r="J10" s="250"/>
      <c r="K10" s="270"/>
      <c r="L10" s="271"/>
      <c r="M10" s="271"/>
      <c r="N10" s="271"/>
      <c r="O10" s="271"/>
      <c r="P10" s="271"/>
      <c r="Q10" s="271"/>
      <c r="R10" s="272"/>
    </row>
    <row r="11" spans="1:18" s="122" customFormat="1" ht="39.75" x14ac:dyDescent="0.6">
      <c r="A11" s="251" t="s">
        <v>10</v>
      </c>
      <c r="B11" s="252"/>
      <c r="C11" s="115"/>
      <c r="D11" s="123" t="s">
        <v>11</v>
      </c>
      <c r="E11" s="116"/>
      <c r="F11" s="124" t="s">
        <v>12</v>
      </c>
      <c r="G11" s="125"/>
      <c r="H11" s="123" t="s">
        <v>13</v>
      </c>
      <c r="I11" s="253"/>
      <c r="J11" s="254"/>
      <c r="K11" s="270"/>
      <c r="L11" s="271"/>
      <c r="M11" s="271"/>
      <c r="N11" s="271"/>
      <c r="O11" s="271"/>
      <c r="P11" s="271"/>
      <c r="Q11" s="271"/>
      <c r="R11" s="272"/>
    </row>
    <row r="12" spans="1:18" s="113" customFormat="1" ht="39" x14ac:dyDescent="0.6">
      <c r="A12" s="255" t="s">
        <v>21</v>
      </c>
      <c r="B12" s="255"/>
      <c r="C12" s="255"/>
      <c r="D12" s="255"/>
      <c r="E12" s="255"/>
      <c r="F12" s="255"/>
      <c r="G12" s="255"/>
      <c r="H12" s="255"/>
      <c r="I12" s="255"/>
      <c r="J12" s="119"/>
      <c r="K12" s="270"/>
      <c r="L12" s="271"/>
      <c r="M12" s="271"/>
      <c r="N12" s="271"/>
      <c r="O12" s="271"/>
      <c r="P12" s="271"/>
      <c r="Q12" s="271"/>
      <c r="R12" s="272"/>
    </row>
    <row r="13" spans="1:18" s="122" customFormat="1" ht="56.25" customHeight="1" x14ac:dyDescent="0.6">
      <c r="A13" s="256" t="s">
        <v>6</v>
      </c>
      <c r="B13" s="256"/>
      <c r="C13" s="109"/>
      <c r="D13" s="120" t="s">
        <v>7</v>
      </c>
      <c r="E13" s="109"/>
      <c r="F13" s="121" t="s">
        <v>8</v>
      </c>
      <c r="G13" s="112"/>
      <c r="H13" s="120" t="s">
        <v>9</v>
      </c>
      <c r="I13" s="257"/>
      <c r="J13" s="258"/>
      <c r="K13" s="270"/>
      <c r="L13" s="271"/>
      <c r="M13" s="271"/>
      <c r="N13" s="271"/>
      <c r="O13" s="271"/>
      <c r="P13" s="271"/>
      <c r="Q13" s="271"/>
      <c r="R13" s="272"/>
    </row>
    <row r="14" spans="1:18" s="122" customFormat="1" ht="57" customHeight="1" x14ac:dyDescent="0.6">
      <c r="A14" s="281" t="s">
        <v>10</v>
      </c>
      <c r="B14" s="281"/>
      <c r="C14" s="115"/>
      <c r="D14" s="123" t="s">
        <v>11</v>
      </c>
      <c r="E14" s="126"/>
      <c r="F14" s="124" t="s">
        <v>12</v>
      </c>
      <c r="G14" s="125"/>
      <c r="H14" s="123" t="s">
        <v>13</v>
      </c>
      <c r="I14" s="282"/>
      <c r="J14" s="283"/>
      <c r="K14" s="270"/>
      <c r="L14" s="271"/>
      <c r="M14" s="271"/>
      <c r="N14" s="271"/>
      <c r="O14" s="271"/>
      <c r="P14" s="271"/>
      <c r="Q14" s="271"/>
      <c r="R14" s="272"/>
    </row>
    <row r="15" spans="1:18" s="29" customFormat="1" ht="20.25" customHeight="1" thickBot="1" x14ac:dyDescent="0.75">
      <c r="A15" s="284"/>
      <c r="B15" s="285"/>
      <c r="C15" s="285"/>
      <c r="D15" s="285"/>
      <c r="E15" s="285"/>
      <c r="F15" s="285"/>
      <c r="G15" s="285"/>
      <c r="H15" s="285"/>
      <c r="I15" s="285"/>
      <c r="J15" s="28"/>
      <c r="K15" s="273"/>
      <c r="L15" s="274"/>
      <c r="M15" s="274"/>
      <c r="N15" s="274"/>
      <c r="O15" s="274"/>
      <c r="P15" s="274"/>
      <c r="Q15" s="274"/>
      <c r="R15" s="275"/>
    </row>
    <row r="16" spans="1:18" s="29" customFormat="1" ht="47.25" x14ac:dyDescent="0.7">
      <c r="A16" s="233" t="s">
        <v>22</v>
      </c>
      <c r="B16" s="234"/>
      <c r="C16" s="234"/>
      <c r="D16" s="234"/>
      <c r="E16" s="234"/>
      <c r="F16" s="234"/>
      <c r="G16" s="234"/>
      <c r="H16" s="234"/>
      <c r="I16" s="234"/>
      <c r="J16" s="30"/>
      <c r="K16" s="31"/>
      <c r="L16" s="32"/>
      <c r="M16" s="32"/>
      <c r="N16" s="32"/>
      <c r="O16" s="32"/>
      <c r="P16" s="33"/>
      <c r="Q16" s="33"/>
      <c r="R16" s="34"/>
    </row>
    <row r="17" spans="1:18" s="36" customFormat="1" ht="31.5" customHeight="1" x14ac:dyDescent="0.25">
      <c r="A17" s="235" t="s">
        <v>23</v>
      </c>
      <c r="B17" s="237" t="s">
        <v>24</v>
      </c>
      <c r="C17" s="238" t="s">
        <v>25</v>
      </c>
      <c r="D17" s="238" t="s">
        <v>26</v>
      </c>
      <c r="E17" s="238" t="s">
        <v>25</v>
      </c>
      <c r="F17" s="224" t="s">
        <v>27</v>
      </c>
      <c r="G17" s="224" t="s">
        <v>28</v>
      </c>
      <c r="H17" s="226" t="s">
        <v>29</v>
      </c>
      <c r="I17" s="224" t="s">
        <v>30</v>
      </c>
      <c r="J17" s="228" t="s">
        <v>31</v>
      </c>
      <c r="K17" s="229"/>
      <c r="L17" s="229"/>
      <c r="M17" s="229"/>
      <c r="N17" s="229"/>
      <c r="O17" s="230"/>
      <c r="P17" s="231" t="s">
        <v>298</v>
      </c>
      <c r="Q17" s="231" t="s">
        <v>299</v>
      </c>
      <c r="R17" s="222" t="s">
        <v>300</v>
      </c>
    </row>
    <row r="18" spans="1:18" s="36" customFormat="1" ht="36" x14ac:dyDescent="0.25">
      <c r="A18" s="236"/>
      <c r="B18" s="237"/>
      <c r="C18" s="237"/>
      <c r="D18" s="237"/>
      <c r="E18" s="237"/>
      <c r="F18" s="225"/>
      <c r="G18" s="225"/>
      <c r="H18" s="227"/>
      <c r="I18" s="225"/>
      <c r="J18" s="37" t="s">
        <v>301</v>
      </c>
      <c r="K18" s="35" t="s">
        <v>302</v>
      </c>
      <c r="L18" s="35" t="s">
        <v>303</v>
      </c>
      <c r="M18" s="37" t="s">
        <v>304</v>
      </c>
      <c r="N18" s="37" t="s">
        <v>305</v>
      </c>
      <c r="O18" s="37" t="s">
        <v>306</v>
      </c>
      <c r="P18" s="232"/>
      <c r="Q18" s="232"/>
      <c r="R18" s="223"/>
    </row>
    <row r="19" spans="1:18" s="41" customFormat="1" ht="147" customHeight="1" x14ac:dyDescent="0.25">
      <c r="A19" s="139">
        <v>1</v>
      </c>
      <c r="B19" s="140" t="s">
        <v>38</v>
      </c>
      <c r="C19" s="142">
        <f>SUM(E19:E27)</f>
        <v>13</v>
      </c>
      <c r="D19" s="136" t="s">
        <v>39</v>
      </c>
      <c r="E19" s="3">
        <v>1</v>
      </c>
      <c r="F19" s="3">
        <f>E19/$E$148 * 100</f>
        <v>1.0000000000000002</v>
      </c>
      <c r="G19" s="2" t="s">
        <v>40</v>
      </c>
      <c r="H19" s="4">
        <v>1</v>
      </c>
      <c r="I19" s="5" t="s">
        <v>41</v>
      </c>
      <c r="J19" s="6">
        <v>100</v>
      </c>
      <c r="K19" s="7">
        <v>95</v>
      </c>
      <c r="L19" s="7">
        <v>90</v>
      </c>
      <c r="M19" s="7">
        <v>85</v>
      </c>
      <c r="N19" s="7">
        <v>80</v>
      </c>
      <c r="O19" s="7" t="s">
        <v>42</v>
      </c>
      <c r="P19" s="38"/>
      <c r="Q19" s="39">
        <f t="shared" ref="Q19:Q100" si="0">IF(OR(TRIM(P19)="",P19=0),0,
IF(P19&lt;N19,50,
IF(P19&lt;M19,60,
IF(P19&lt;L19,70,
IF(P19&lt;K19,80,
IF(ISNUMBER(J19),
    IF(P19&lt;J19,IF(P19&gt;=K19,90,80),100),
    IF(P19=K19,90,100)
))))))</f>
        <v>0</v>
      </c>
      <c r="R19" s="40">
        <f t="shared" ref="R19:R100" si="1">F19*Q19/100</f>
        <v>0</v>
      </c>
    </row>
    <row r="20" spans="1:18" s="41" customFormat="1" ht="147" customHeight="1" x14ac:dyDescent="0.25">
      <c r="A20" s="139"/>
      <c r="B20" s="140"/>
      <c r="C20" s="142"/>
      <c r="D20" s="137"/>
      <c r="E20" s="3">
        <v>1</v>
      </c>
      <c r="F20" s="3">
        <f t="shared" ref="F20:F83" si="2">E20/$E$148 * 100</f>
        <v>1.0000000000000002</v>
      </c>
      <c r="G20" s="2" t="s">
        <v>43</v>
      </c>
      <c r="H20" s="4">
        <v>1</v>
      </c>
      <c r="I20" s="5" t="s">
        <v>41</v>
      </c>
      <c r="J20" s="6">
        <v>100</v>
      </c>
      <c r="K20" s="7">
        <v>95</v>
      </c>
      <c r="L20" s="7">
        <v>90</v>
      </c>
      <c r="M20" s="7">
        <v>85</v>
      </c>
      <c r="N20" s="7">
        <v>80</v>
      </c>
      <c r="O20" s="7" t="s">
        <v>42</v>
      </c>
      <c r="P20" s="38"/>
      <c r="Q20" s="39">
        <f t="shared" si="0"/>
        <v>0</v>
      </c>
      <c r="R20" s="40">
        <f t="shared" si="1"/>
        <v>0</v>
      </c>
    </row>
    <row r="21" spans="1:18" s="41" customFormat="1" ht="147" customHeight="1" x14ac:dyDescent="0.25">
      <c r="A21" s="139"/>
      <c r="B21" s="140"/>
      <c r="C21" s="142"/>
      <c r="D21" s="138"/>
      <c r="E21" s="3">
        <v>2</v>
      </c>
      <c r="F21" s="3">
        <f t="shared" si="2"/>
        <v>2.0000000000000004</v>
      </c>
      <c r="G21" s="2" t="s">
        <v>44</v>
      </c>
      <c r="H21" s="4">
        <v>1</v>
      </c>
      <c r="I21" s="5" t="s">
        <v>41</v>
      </c>
      <c r="J21" s="6">
        <v>100</v>
      </c>
      <c r="K21" s="7">
        <v>95</v>
      </c>
      <c r="L21" s="7">
        <v>90</v>
      </c>
      <c r="M21" s="7">
        <v>85</v>
      </c>
      <c r="N21" s="7">
        <v>80</v>
      </c>
      <c r="O21" s="7" t="s">
        <v>42</v>
      </c>
      <c r="P21" s="38"/>
      <c r="Q21" s="39">
        <f t="shared" si="0"/>
        <v>0</v>
      </c>
      <c r="R21" s="40">
        <f t="shared" si="1"/>
        <v>0</v>
      </c>
    </row>
    <row r="22" spans="1:18" s="41" customFormat="1" ht="147" customHeight="1" x14ac:dyDescent="0.25">
      <c r="A22" s="139"/>
      <c r="B22" s="140"/>
      <c r="C22" s="142"/>
      <c r="D22" s="140" t="s">
        <v>45</v>
      </c>
      <c r="E22" s="3">
        <v>2</v>
      </c>
      <c r="F22" s="3">
        <f t="shared" si="2"/>
        <v>2.0000000000000004</v>
      </c>
      <c r="G22" s="2" t="s">
        <v>46</v>
      </c>
      <c r="H22" s="4">
        <v>0.5</v>
      </c>
      <c r="I22" s="5" t="s">
        <v>41</v>
      </c>
      <c r="J22" s="6" t="s">
        <v>47</v>
      </c>
      <c r="K22" s="7">
        <v>50</v>
      </c>
      <c r="L22" s="7">
        <v>45</v>
      </c>
      <c r="M22" s="7">
        <v>40</v>
      </c>
      <c r="N22" s="7">
        <v>25</v>
      </c>
      <c r="O22" s="7" t="s">
        <v>48</v>
      </c>
      <c r="P22" s="38"/>
      <c r="Q22" s="39">
        <f t="shared" si="0"/>
        <v>0</v>
      </c>
      <c r="R22" s="40">
        <f t="shared" si="1"/>
        <v>0</v>
      </c>
    </row>
    <row r="23" spans="1:18" s="41" customFormat="1" ht="147" customHeight="1" x14ac:dyDescent="0.25">
      <c r="A23" s="139"/>
      <c r="B23" s="140"/>
      <c r="C23" s="142"/>
      <c r="D23" s="140"/>
      <c r="E23" s="3">
        <v>1</v>
      </c>
      <c r="F23" s="3">
        <f t="shared" si="2"/>
        <v>1.0000000000000002</v>
      </c>
      <c r="G23" s="2" t="s">
        <v>49</v>
      </c>
      <c r="H23" s="4">
        <v>0.5</v>
      </c>
      <c r="I23" s="5" t="s">
        <v>41</v>
      </c>
      <c r="J23" s="6" t="s">
        <v>47</v>
      </c>
      <c r="K23" s="7">
        <v>50</v>
      </c>
      <c r="L23" s="7">
        <v>45</v>
      </c>
      <c r="M23" s="7">
        <v>40</v>
      </c>
      <c r="N23" s="7">
        <v>25</v>
      </c>
      <c r="O23" s="7" t="s">
        <v>48</v>
      </c>
      <c r="P23" s="38"/>
      <c r="Q23" s="39">
        <f t="shared" si="0"/>
        <v>0</v>
      </c>
      <c r="R23" s="40">
        <f t="shared" si="1"/>
        <v>0</v>
      </c>
    </row>
    <row r="24" spans="1:18" s="41" customFormat="1" ht="147" customHeight="1" x14ac:dyDescent="0.25">
      <c r="A24" s="139"/>
      <c r="B24" s="140"/>
      <c r="C24" s="142"/>
      <c r="D24" s="140"/>
      <c r="E24" s="3">
        <v>1</v>
      </c>
      <c r="F24" s="3">
        <f t="shared" si="2"/>
        <v>1.0000000000000002</v>
      </c>
      <c r="G24" s="2" t="s">
        <v>50</v>
      </c>
      <c r="H24" s="4">
        <v>0.75</v>
      </c>
      <c r="I24" s="5" t="s">
        <v>41</v>
      </c>
      <c r="J24" s="6" t="s">
        <v>51</v>
      </c>
      <c r="K24" s="7">
        <v>75</v>
      </c>
      <c r="L24" s="7">
        <v>70</v>
      </c>
      <c r="M24" s="7">
        <v>60</v>
      </c>
      <c r="N24" s="7">
        <v>50</v>
      </c>
      <c r="O24" s="7" t="s">
        <v>52</v>
      </c>
      <c r="P24" s="38"/>
      <c r="Q24" s="39">
        <f t="shared" si="0"/>
        <v>0</v>
      </c>
      <c r="R24" s="40">
        <f t="shared" si="1"/>
        <v>0</v>
      </c>
    </row>
    <row r="25" spans="1:18" s="41" customFormat="1" ht="147" customHeight="1" thickBot="1" x14ac:dyDescent="0.3">
      <c r="A25" s="139"/>
      <c r="B25" s="140"/>
      <c r="C25" s="142"/>
      <c r="D25" s="8" t="s">
        <v>53</v>
      </c>
      <c r="E25" s="3">
        <v>4</v>
      </c>
      <c r="F25" s="3">
        <f t="shared" si="2"/>
        <v>4.0000000000000009</v>
      </c>
      <c r="G25" s="2" t="s">
        <v>54</v>
      </c>
      <c r="H25" s="9">
        <v>4</v>
      </c>
      <c r="I25" s="5" t="s">
        <v>55</v>
      </c>
      <c r="J25" s="6" t="s">
        <v>56</v>
      </c>
      <c r="K25" s="7">
        <v>4</v>
      </c>
      <c r="L25" s="7">
        <v>3</v>
      </c>
      <c r="M25" s="7">
        <v>2</v>
      </c>
      <c r="N25" s="7">
        <v>1</v>
      </c>
      <c r="O25" s="7">
        <v>0</v>
      </c>
      <c r="P25" s="38"/>
      <c r="Q25" s="39">
        <f t="shared" si="0"/>
        <v>0</v>
      </c>
      <c r="R25" s="40">
        <f t="shared" si="1"/>
        <v>0</v>
      </c>
    </row>
    <row r="26" spans="1:18" s="41" customFormat="1" ht="147" customHeight="1" x14ac:dyDescent="0.25">
      <c r="A26" s="139"/>
      <c r="B26" s="140"/>
      <c r="C26" s="142"/>
      <c r="D26" s="140" t="s">
        <v>57</v>
      </c>
      <c r="E26" s="3">
        <v>0.5</v>
      </c>
      <c r="F26" s="3">
        <f t="shared" si="2"/>
        <v>0.50000000000000011</v>
      </c>
      <c r="G26" s="2" t="s">
        <v>58</v>
      </c>
      <c r="H26" s="4">
        <v>0.5</v>
      </c>
      <c r="I26" s="5" t="s">
        <v>41</v>
      </c>
      <c r="J26" s="6" t="s">
        <v>47</v>
      </c>
      <c r="K26" s="7">
        <v>50</v>
      </c>
      <c r="L26" s="7">
        <v>45</v>
      </c>
      <c r="M26" s="7">
        <v>40</v>
      </c>
      <c r="N26" s="7">
        <v>25</v>
      </c>
      <c r="O26" s="7" t="s">
        <v>48</v>
      </c>
      <c r="P26" s="38"/>
      <c r="Q26" s="39">
        <f t="shared" si="0"/>
        <v>0</v>
      </c>
      <c r="R26" s="40">
        <f t="shared" si="1"/>
        <v>0</v>
      </c>
    </row>
    <row r="27" spans="1:18" s="41" customFormat="1" ht="147" customHeight="1" x14ac:dyDescent="0.25">
      <c r="A27" s="139"/>
      <c r="B27" s="140"/>
      <c r="C27" s="142"/>
      <c r="D27" s="140"/>
      <c r="E27" s="3">
        <v>0.5</v>
      </c>
      <c r="F27" s="3">
        <f t="shared" si="2"/>
        <v>0.50000000000000011</v>
      </c>
      <c r="G27" s="2" t="s">
        <v>59</v>
      </c>
      <c r="H27" s="4">
        <v>0.75</v>
      </c>
      <c r="I27" s="5" t="s">
        <v>41</v>
      </c>
      <c r="J27" s="6" t="s">
        <v>51</v>
      </c>
      <c r="K27" s="7">
        <v>75</v>
      </c>
      <c r="L27" s="7">
        <v>70</v>
      </c>
      <c r="M27" s="7">
        <v>60</v>
      </c>
      <c r="N27" s="7">
        <v>50</v>
      </c>
      <c r="O27" s="7" t="s">
        <v>52</v>
      </c>
      <c r="P27" s="38"/>
      <c r="Q27" s="39">
        <f t="shared" si="0"/>
        <v>0</v>
      </c>
      <c r="R27" s="40">
        <f t="shared" si="1"/>
        <v>0</v>
      </c>
    </row>
    <row r="28" spans="1:18" s="41" customFormat="1" ht="147" customHeight="1" x14ac:dyDescent="0.25">
      <c r="A28" s="127">
        <v>2</v>
      </c>
      <c r="B28" s="136" t="s">
        <v>60</v>
      </c>
      <c r="C28" s="143">
        <v>7</v>
      </c>
      <c r="D28" s="136" t="s">
        <v>61</v>
      </c>
      <c r="E28" s="3">
        <v>1</v>
      </c>
      <c r="F28" s="3">
        <f t="shared" si="2"/>
        <v>1.0000000000000002</v>
      </c>
      <c r="G28" s="2" t="s">
        <v>62</v>
      </c>
      <c r="H28" s="10">
        <v>0.8</v>
      </c>
      <c r="I28" s="1" t="s">
        <v>41</v>
      </c>
      <c r="J28" s="6" t="s">
        <v>63</v>
      </c>
      <c r="K28" s="7">
        <v>80</v>
      </c>
      <c r="L28" s="7">
        <v>75</v>
      </c>
      <c r="M28" s="7">
        <v>70</v>
      </c>
      <c r="N28" s="7">
        <v>50</v>
      </c>
      <c r="O28" s="7" t="s">
        <v>52</v>
      </c>
      <c r="P28" s="38"/>
      <c r="Q28" s="39">
        <f t="shared" si="0"/>
        <v>0</v>
      </c>
      <c r="R28" s="40">
        <f t="shared" si="1"/>
        <v>0</v>
      </c>
    </row>
    <row r="29" spans="1:18" s="41" customFormat="1" ht="147" customHeight="1" x14ac:dyDescent="0.25">
      <c r="A29" s="128"/>
      <c r="B29" s="137"/>
      <c r="C29" s="144"/>
      <c r="D29" s="138"/>
      <c r="E29" s="3">
        <v>1</v>
      </c>
      <c r="F29" s="3">
        <f t="shared" si="2"/>
        <v>1.0000000000000002</v>
      </c>
      <c r="G29" s="2" t="s">
        <v>64</v>
      </c>
      <c r="H29" s="10">
        <v>0.8</v>
      </c>
      <c r="I29" s="1" t="s">
        <v>41</v>
      </c>
      <c r="J29" s="6" t="s">
        <v>63</v>
      </c>
      <c r="K29" s="7">
        <v>80</v>
      </c>
      <c r="L29" s="7">
        <v>75</v>
      </c>
      <c r="M29" s="7">
        <v>70</v>
      </c>
      <c r="N29" s="7">
        <v>50</v>
      </c>
      <c r="O29" s="7" t="s">
        <v>52</v>
      </c>
      <c r="P29" s="38"/>
      <c r="Q29" s="39">
        <f t="shared" si="0"/>
        <v>0</v>
      </c>
      <c r="R29" s="40">
        <f t="shared" si="1"/>
        <v>0</v>
      </c>
    </row>
    <row r="30" spans="1:18" s="41" customFormat="1" ht="147" customHeight="1" x14ac:dyDescent="0.25">
      <c r="A30" s="128"/>
      <c r="B30" s="137"/>
      <c r="C30" s="144"/>
      <c r="D30" s="136" t="s">
        <v>65</v>
      </c>
      <c r="E30" s="3">
        <v>0.66666666666666663</v>
      </c>
      <c r="F30" s="3">
        <f t="shared" si="2"/>
        <v>0.66666666666666674</v>
      </c>
      <c r="G30" s="2" t="s">
        <v>66</v>
      </c>
      <c r="H30" s="10">
        <v>0.8</v>
      </c>
      <c r="I30" s="1" t="s">
        <v>41</v>
      </c>
      <c r="J30" s="6" t="s">
        <v>63</v>
      </c>
      <c r="K30" s="7">
        <v>80</v>
      </c>
      <c r="L30" s="7">
        <v>75</v>
      </c>
      <c r="M30" s="7">
        <v>70</v>
      </c>
      <c r="N30" s="7">
        <v>50</v>
      </c>
      <c r="O30" s="7" t="s">
        <v>52</v>
      </c>
      <c r="P30" s="38"/>
      <c r="Q30" s="39">
        <f t="shared" si="0"/>
        <v>0</v>
      </c>
      <c r="R30" s="40">
        <f t="shared" si="1"/>
        <v>0</v>
      </c>
    </row>
    <row r="31" spans="1:18" s="41" customFormat="1" ht="147" customHeight="1" x14ac:dyDescent="0.25">
      <c r="A31" s="128"/>
      <c r="B31" s="137"/>
      <c r="C31" s="144"/>
      <c r="D31" s="137"/>
      <c r="E31" s="3">
        <v>0.66666666666666663</v>
      </c>
      <c r="F31" s="3">
        <f t="shared" si="2"/>
        <v>0.66666666666666674</v>
      </c>
      <c r="G31" s="2" t="s">
        <v>67</v>
      </c>
      <c r="H31" s="10">
        <v>0.8</v>
      </c>
      <c r="I31" s="1" t="s">
        <v>41</v>
      </c>
      <c r="J31" s="6" t="s">
        <v>63</v>
      </c>
      <c r="K31" s="7">
        <v>80</v>
      </c>
      <c r="L31" s="7">
        <v>75</v>
      </c>
      <c r="M31" s="7">
        <v>70</v>
      </c>
      <c r="N31" s="7">
        <v>50</v>
      </c>
      <c r="O31" s="7" t="s">
        <v>52</v>
      </c>
      <c r="P31" s="38"/>
      <c r="Q31" s="39">
        <f t="shared" si="0"/>
        <v>0</v>
      </c>
      <c r="R31" s="40">
        <f t="shared" si="1"/>
        <v>0</v>
      </c>
    </row>
    <row r="32" spans="1:18" s="41" customFormat="1" ht="147" customHeight="1" x14ac:dyDescent="0.25">
      <c r="A32" s="128"/>
      <c r="B32" s="137"/>
      <c r="C32" s="144"/>
      <c r="D32" s="138"/>
      <c r="E32" s="3">
        <v>0.66666666666666663</v>
      </c>
      <c r="F32" s="3">
        <f t="shared" si="2"/>
        <v>0.66666666666666674</v>
      </c>
      <c r="G32" s="2" t="s">
        <v>68</v>
      </c>
      <c r="H32" s="10">
        <v>0.8</v>
      </c>
      <c r="I32" s="1" t="s">
        <v>41</v>
      </c>
      <c r="J32" s="6" t="s">
        <v>63</v>
      </c>
      <c r="K32" s="7">
        <v>80</v>
      </c>
      <c r="L32" s="7">
        <v>75</v>
      </c>
      <c r="M32" s="7">
        <v>70</v>
      </c>
      <c r="N32" s="7">
        <v>50</v>
      </c>
      <c r="O32" s="7" t="s">
        <v>52</v>
      </c>
      <c r="P32" s="38"/>
      <c r="Q32" s="39">
        <f t="shared" si="0"/>
        <v>0</v>
      </c>
      <c r="R32" s="40">
        <f t="shared" si="1"/>
        <v>0</v>
      </c>
    </row>
    <row r="33" spans="1:18" s="41" customFormat="1" ht="147" customHeight="1" x14ac:dyDescent="0.25">
      <c r="A33" s="128"/>
      <c r="B33" s="137"/>
      <c r="C33" s="144"/>
      <c r="D33" s="136" t="s">
        <v>69</v>
      </c>
      <c r="E33" s="3">
        <v>0.5</v>
      </c>
      <c r="F33" s="3">
        <f t="shared" si="2"/>
        <v>0.50000000000000011</v>
      </c>
      <c r="G33" s="2" t="s">
        <v>70</v>
      </c>
      <c r="H33" s="10">
        <v>0.8</v>
      </c>
      <c r="I33" s="1" t="s">
        <v>41</v>
      </c>
      <c r="J33" s="6" t="s">
        <v>63</v>
      </c>
      <c r="K33" s="7">
        <v>80</v>
      </c>
      <c r="L33" s="7">
        <v>75</v>
      </c>
      <c r="M33" s="7">
        <v>70</v>
      </c>
      <c r="N33" s="7">
        <v>50</v>
      </c>
      <c r="O33" s="7" t="s">
        <v>52</v>
      </c>
      <c r="P33" s="38"/>
      <c r="Q33" s="39">
        <f t="shared" si="0"/>
        <v>0</v>
      </c>
      <c r="R33" s="40">
        <f t="shared" si="1"/>
        <v>0</v>
      </c>
    </row>
    <row r="34" spans="1:18" s="41" customFormat="1" ht="147" customHeight="1" x14ac:dyDescent="0.25">
      <c r="A34" s="128"/>
      <c r="B34" s="137"/>
      <c r="C34" s="144"/>
      <c r="D34" s="138"/>
      <c r="E34" s="3">
        <v>0.5</v>
      </c>
      <c r="F34" s="3">
        <f t="shared" si="2"/>
        <v>0.50000000000000011</v>
      </c>
      <c r="G34" s="2" t="s">
        <v>71</v>
      </c>
      <c r="H34" s="10">
        <v>1</v>
      </c>
      <c r="I34" s="5" t="s">
        <v>41</v>
      </c>
      <c r="J34" s="6">
        <v>100</v>
      </c>
      <c r="K34" s="7">
        <v>95</v>
      </c>
      <c r="L34" s="7">
        <v>90</v>
      </c>
      <c r="M34" s="7">
        <v>85</v>
      </c>
      <c r="N34" s="7">
        <v>80</v>
      </c>
      <c r="O34" s="7" t="s">
        <v>42</v>
      </c>
      <c r="P34" s="38"/>
      <c r="Q34" s="39">
        <f t="shared" si="0"/>
        <v>0</v>
      </c>
      <c r="R34" s="40">
        <f t="shared" si="1"/>
        <v>0</v>
      </c>
    </row>
    <row r="35" spans="1:18" s="41" customFormat="1" ht="147" customHeight="1" x14ac:dyDescent="0.25">
      <c r="A35" s="128"/>
      <c r="B35" s="137"/>
      <c r="C35" s="144"/>
      <c r="D35" s="136" t="s">
        <v>72</v>
      </c>
      <c r="E35" s="3">
        <v>0.5</v>
      </c>
      <c r="F35" s="3">
        <f t="shared" si="2"/>
        <v>0.50000000000000011</v>
      </c>
      <c r="G35" s="2" t="s">
        <v>73</v>
      </c>
      <c r="H35" s="10">
        <v>0.9</v>
      </c>
      <c r="I35" s="1" t="s">
        <v>41</v>
      </c>
      <c r="J35" s="6" t="s">
        <v>74</v>
      </c>
      <c r="K35" s="7">
        <v>90</v>
      </c>
      <c r="L35" s="7">
        <v>80</v>
      </c>
      <c r="M35" s="7">
        <v>70</v>
      </c>
      <c r="N35" s="7">
        <v>50</v>
      </c>
      <c r="O35" s="7" t="s">
        <v>52</v>
      </c>
      <c r="P35" s="38"/>
      <c r="Q35" s="39">
        <f t="shared" si="0"/>
        <v>0</v>
      </c>
      <c r="R35" s="40">
        <f t="shared" si="1"/>
        <v>0</v>
      </c>
    </row>
    <row r="36" spans="1:18" s="41" customFormat="1" ht="147" customHeight="1" x14ac:dyDescent="0.25">
      <c r="A36" s="128"/>
      <c r="B36" s="137"/>
      <c r="C36" s="144"/>
      <c r="D36" s="138"/>
      <c r="E36" s="3">
        <v>0.5</v>
      </c>
      <c r="F36" s="3">
        <f t="shared" si="2"/>
        <v>0.50000000000000011</v>
      </c>
      <c r="G36" s="2" t="s">
        <v>75</v>
      </c>
      <c r="H36" s="10">
        <v>0.8</v>
      </c>
      <c r="I36" s="1" t="s">
        <v>41</v>
      </c>
      <c r="J36" s="6" t="s">
        <v>63</v>
      </c>
      <c r="K36" s="7">
        <v>80</v>
      </c>
      <c r="L36" s="7">
        <v>75</v>
      </c>
      <c r="M36" s="7">
        <v>70</v>
      </c>
      <c r="N36" s="7">
        <v>50</v>
      </c>
      <c r="O36" s="7" t="s">
        <v>52</v>
      </c>
      <c r="P36" s="38"/>
      <c r="Q36" s="39">
        <f t="shared" si="0"/>
        <v>0</v>
      </c>
      <c r="R36" s="40">
        <f t="shared" si="1"/>
        <v>0</v>
      </c>
    </row>
    <row r="37" spans="1:18" s="41" customFormat="1" ht="147" customHeight="1" x14ac:dyDescent="0.25">
      <c r="A37" s="128"/>
      <c r="B37" s="137"/>
      <c r="C37" s="144"/>
      <c r="D37" s="136" t="s">
        <v>76</v>
      </c>
      <c r="E37" s="3">
        <v>0.5</v>
      </c>
      <c r="F37" s="3">
        <f t="shared" si="2"/>
        <v>0.50000000000000011</v>
      </c>
      <c r="G37" s="2" t="s">
        <v>77</v>
      </c>
      <c r="H37" s="10">
        <v>1</v>
      </c>
      <c r="I37" s="5" t="s">
        <v>41</v>
      </c>
      <c r="J37" s="6">
        <v>100</v>
      </c>
      <c r="K37" s="7">
        <v>95</v>
      </c>
      <c r="L37" s="7">
        <v>90</v>
      </c>
      <c r="M37" s="7">
        <v>85</v>
      </c>
      <c r="N37" s="7">
        <v>80</v>
      </c>
      <c r="O37" s="7" t="s">
        <v>42</v>
      </c>
      <c r="P37" s="38"/>
      <c r="Q37" s="39">
        <f t="shared" si="0"/>
        <v>0</v>
      </c>
      <c r="R37" s="40">
        <f t="shared" si="1"/>
        <v>0</v>
      </c>
    </row>
    <row r="38" spans="1:18" s="41" customFormat="1" ht="147" customHeight="1" x14ac:dyDescent="0.25">
      <c r="A38" s="128"/>
      <c r="B38" s="137"/>
      <c r="C38" s="144"/>
      <c r="D38" s="137"/>
      <c r="E38" s="3">
        <v>0.25</v>
      </c>
      <c r="F38" s="3">
        <f t="shared" si="2"/>
        <v>0.25000000000000006</v>
      </c>
      <c r="G38" s="2" t="s">
        <v>78</v>
      </c>
      <c r="H38" s="10">
        <v>0.8</v>
      </c>
      <c r="I38" s="1" t="s">
        <v>41</v>
      </c>
      <c r="J38" s="6" t="s">
        <v>63</v>
      </c>
      <c r="K38" s="7">
        <v>80</v>
      </c>
      <c r="L38" s="7">
        <v>75</v>
      </c>
      <c r="M38" s="7">
        <v>70</v>
      </c>
      <c r="N38" s="7">
        <v>50</v>
      </c>
      <c r="O38" s="7" t="s">
        <v>52</v>
      </c>
      <c r="P38" s="38"/>
      <c r="Q38" s="39">
        <f t="shared" si="0"/>
        <v>0</v>
      </c>
      <c r="R38" s="40">
        <f t="shared" si="1"/>
        <v>0</v>
      </c>
    </row>
    <row r="39" spans="1:18" s="41" customFormat="1" ht="147" customHeight="1" x14ac:dyDescent="0.25">
      <c r="A39" s="129"/>
      <c r="B39" s="138"/>
      <c r="C39" s="145"/>
      <c r="D39" s="138"/>
      <c r="E39" s="3">
        <v>0.25</v>
      </c>
      <c r="F39" s="3">
        <f t="shared" si="2"/>
        <v>0.25000000000000006</v>
      </c>
      <c r="G39" s="2" t="s">
        <v>79</v>
      </c>
      <c r="H39" s="10">
        <v>1</v>
      </c>
      <c r="I39" s="5" t="s">
        <v>41</v>
      </c>
      <c r="J39" s="6">
        <v>100</v>
      </c>
      <c r="K39" s="7">
        <v>95</v>
      </c>
      <c r="L39" s="7">
        <v>90</v>
      </c>
      <c r="M39" s="7">
        <v>85</v>
      </c>
      <c r="N39" s="7">
        <v>80</v>
      </c>
      <c r="O39" s="7" t="s">
        <v>42</v>
      </c>
      <c r="P39" s="38"/>
      <c r="Q39" s="39">
        <f t="shared" si="0"/>
        <v>0</v>
      </c>
      <c r="R39" s="40">
        <f t="shared" si="1"/>
        <v>0</v>
      </c>
    </row>
    <row r="40" spans="1:18" s="41" customFormat="1" ht="147" customHeight="1" x14ac:dyDescent="0.25">
      <c r="A40" s="127">
        <v>3</v>
      </c>
      <c r="B40" s="140" t="s">
        <v>153</v>
      </c>
      <c r="C40" s="143">
        <f>SUM(E40:E53)</f>
        <v>10</v>
      </c>
      <c r="D40" s="140" t="s">
        <v>154</v>
      </c>
      <c r="E40" s="3">
        <v>0.5</v>
      </c>
      <c r="F40" s="3">
        <f t="shared" si="2"/>
        <v>0.50000000000000011</v>
      </c>
      <c r="G40" s="8" t="s">
        <v>155</v>
      </c>
      <c r="H40" s="1">
        <v>30</v>
      </c>
      <c r="I40" s="5" t="s">
        <v>55</v>
      </c>
      <c r="J40" s="6" t="s">
        <v>156</v>
      </c>
      <c r="K40" s="7">
        <v>30</v>
      </c>
      <c r="L40" s="7">
        <v>25</v>
      </c>
      <c r="M40" s="7">
        <v>20</v>
      </c>
      <c r="N40" s="7">
        <v>15</v>
      </c>
      <c r="O40" s="7" t="s">
        <v>157</v>
      </c>
      <c r="P40" s="38"/>
      <c r="Q40" s="39">
        <f t="shared" si="0"/>
        <v>0</v>
      </c>
      <c r="R40" s="40">
        <f t="shared" si="1"/>
        <v>0</v>
      </c>
    </row>
    <row r="41" spans="1:18" s="41" customFormat="1" ht="147" customHeight="1" x14ac:dyDescent="0.25">
      <c r="A41" s="128"/>
      <c r="B41" s="140"/>
      <c r="C41" s="144"/>
      <c r="D41" s="140"/>
      <c r="E41" s="3">
        <v>0.5</v>
      </c>
      <c r="F41" s="3">
        <f t="shared" si="2"/>
        <v>0.50000000000000011</v>
      </c>
      <c r="G41" s="8" t="s">
        <v>158</v>
      </c>
      <c r="H41" s="10">
        <v>1</v>
      </c>
      <c r="I41" s="5" t="s">
        <v>41</v>
      </c>
      <c r="J41" s="6">
        <v>100</v>
      </c>
      <c r="K41" s="7">
        <v>95</v>
      </c>
      <c r="L41" s="7">
        <v>90</v>
      </c>
      <c r="M41" s="7">
        <v>85</v>
      </c>
      <c r="N41" s="7">
        <v>80</v>
      </c>
      <c r="O41" s="7" t="s">
        <v>42</v>
      </c>
      <c r="P41" s="38"/>
      <c r="Q41" s="39">
        <f t="shared" si="0"/>
        <v>0</v>
      </c>
      <c r="R41" s="40">
        <f t="shared" si="1"/>
        <v>0</v>
      </c>
    </row>
    <row r="42" spans="1:18" s="41" customFormat="1" ht="147" customHeight="1" x14ac:dyDescent="0.25">
      <c r="A42" s="128"/>
      <c r="B42" s="140"/>
      <c r="C42" s="144"/>
      <c r="D42" s="140"/>
      <c r="E42" s="3">
        <v>0.5</v>
      </c>
      <c r="F42" s="3">
        <f t="shared" si="2"/>
        <v>0.50000000000000011</v>
      </c>
      <c r="G42" s="8" t="s">
        <v>159</v>
      </c>
      <c r="H42" s="10">
        <v>0.9</v>
      </c>
      <c r="I42" s="1" t="s">
        <v>41</v>
      </c>
      <c r="J42" s="6" t="s">
        <v>74</v>
      </c>
      <c r="K42" s="7">
        <v>90</v>
      </c>
      <c r="L42" s="7">
        <v>80</v>
      </c>
      <c r="M42" s="7">
        <v>70</v>
      </c>
      <c r="N42" s="7">
        <v>50</v>
      </c>
      <c r="O42" s="7" t="s">
        <v>52</v>
      </c>
      <c r="P42" s="38"/>
      <c r="Q42" s="39">
        <f t="shared" si="0"/>
        <v>0</v>
      </c>
      <c r="R42" s="40">
        <f t="shared" si="1"/>
        <v>0</v>
      </c>
    </row>
    <row r="43" spans="1:18" s="41" customFormat="1" ht="147" customHeight="1" x14ac:dyDescent="0.25">
      <c r="A43" s="128"/>
      <c r="B43" s="140"/>
      <c r="C43" s="144"/>
      <c r="D43" s="140" t="s">
        <v>160</v>
      </c>
      <c r="E43" s="3">
        <v>0.5</v>
      </c>
      <c r="F43" s="3">
        <f t="shared" si="2"/>
        <v>0.50000000000000011</v>
      </c>
      <c r="G43" s="8" t="s">
        <v>161</v>
      </c>
      <c r="H43" s="10">
        <v>1</v>
      </c>
      <c r="I43" s="5" t="s">
        <v>41</v>
      </c>
      <c r="J43" s="6">
        <v>100</v>
      </c>
      <c r="K43" s="7">
        <v>95</v>
      </c>
      <c r="L43" s="7">
        <v>90</v>
      </c>
      <c r="M43" s="7">
        <v>85</v>
      </c>
      <c r="N43" s="7">
        <v>80</v>
      </c>
      <c r="O43" s="7" t="s">
        <v>42</v>
      </c>
      <c r="P43" s="38"/>
      <c r="Q43" s="39">
        <f t="shared" si="0"/>
        <v>0</v>
      </c>
      <c r="R43" s="40">
        <f t="shared" si="1"/>
        <v>0</v>
      </c>
    </row>
    <row r="44" spans="1:18" s="41" customFormat="1" ht="147" customHeight="1" x14ac:dyDescent="0.25">
      <c r="A44" s="128"/>
      <c r="B44" s="140"/>
      <c r="C44" s="144"/>
      <c r="D44" s="140"/>
      <c r="E44" s="3">
        <v>0.5</v>
      </c>
      <c r="F44" s="3">
        <f t="shared" si="2"/>
        <v>0.50000000000000011</v>
      </c>
      <c r="G44" s="8" t="s">
        <v>162</v>
      </c>
      <c r="H44" s="10">
        <v>0.9</v>
      </c>
      <c r="I44" s="1" t="s">
        <v>41</v>
      </c>
      <c r="J44" s="6" t="s">
        <v>74</v>
      </c>
      <c r="K44" s="7">
        <v>90</v>
      </c>
      <c r="L44" s="7">
        <v>80</v>
      </c>
      <c r="M44" s="7">
        <v>70</v>
      </c>
      <c r="N44" s="7">
        <v>50</v>
      </c>
      <c r="O44" s="7" t="s">
        <v>52</v>
      </c>
      <c r="P44" s="38"/>
      <c r="Q44" s="39">
        <f t="shared" si="0"/>
        <v>0</v>
      </c>
      <c r="R44" s="40">
        <f t="shared" si="1"/>
        <v>0</v>
      </c>
    </row>
    <row r="45" spans="1:18" s="41" customFormat="1" ht="147" customHeight="1" x14ac:dyDescent="0.25">
      <c r="A45" s="128"/>
      <c r="B45" s="140"/>
      <c r="C45" s="144"/>
      <c r="D45" s="140" t="s">
        <v>163</v>
      </c>
      <c r="E45" s="3">
        <v>1</v>
      </c>
      <c r="F45" s="3">
        <f t="shared" si="2"/>
        <v>1.0000000000000002</v>
      </c>
      <c r="G45" s="8" t="s">
        <v>164</v>
      </c>
      <c r="H45" s="1">
        <v>4</v>
      </c>
      <c r="I45" s="5" t="s">
        <v>56</v>
      </c>
      <c r="J45" s="6">
        <v>4</v>
      </c>
      <c r="K45" s="7">
        <v>3</v>
      </c>
      <c r="L45" s="7">
        <v>2</v>
      </c>
      <c r="M45" s="7">
        <v>1</v>
      </c>
      <c r="N45" s="7">
        <v>0</v>
      </c>
      <c r="O45" s="7"/>
      <c r="P45" s="38"/>
      <c r="Q45" s="39">
        <f t="shared" si="0"/>
        <v>0</v>
      </c>
      <c r="R45" s="40">
        <f t="shared" si="1"/>
        <v>0</v>
      </c>
    </row>
    <row r="46" spans="1:18" s="41" customFormat="1" ht="147" customHeight="1" x14ac:dyDescent="0.25">
      <c r="A46" s="128"/>
      <c r="B46" s="140"/>
      <c r="C46" s="144"/>
      <c r="D46" s="140"/>
      <c r="E46" s="3">
        <v>1</v>
      </c>
      <c r="F46" s="3">
        <f t="shared" si="2"/>
        <v>1.0000000000000002</v>
      </c>
      <c r="G46" s="8" t="s">
        <v>165</v>
      </c>
      <c r="H46" s="10">
        <v>0.9</v>
      </c>
      <c r="I46" s="1" t="s">
        <v>41</v>
      </c>
      <c r="J46" s="6" t="s">
        <v>74</v>
      </c>
      <c r="K46" s="7">
        <v>90</v>
      </c>
      <c r="L46" s="7">
        <v>80</v>
      </c>
      <c r="M46" s="7">
        <v>70</v>
      </c>
      <c r="N46" s="7">
        <v>50</v>
      </c>
      <c r="O46" s="7" t="s">
        <v>52</v>
      </c>
      <c r="P46" s="38"/>
      <c r="Q46" s="39">
        <f t="shared" si="0"/>
        <v>0</v>
      </c>
      <c r="R46" s="40">
        <f t="shared" si="1"/>
        <v>0</v>
      </c>
    </row>
    <row r="47" spans="1:18" s="41" customFormat="1" ht="147" customHeight="1" x14ac:dyDescent="0.25">
      <c r="A47" s="128"/>
      <c r="B47" s="140"/>
      <c r="C47" s="144"/>
      <c r="D47" s="140" t="s">
        <v>166</v>
      </c>
      <c r="E47" s="3">
        <v>1</v>
      </c>
      <c r="F47" s="3">
        <f t="shared" si="2"/>
        <v>1.0000000000000002</v>
      </c>
      <c r="G47" s="8" t="s">
        <v>167</v>
      </c>
      <c r="H47" s="1">
        <v>20</v>
      </c>
      <c r="I47" s="5" t="s">
        <v>95</v>
      </c>
      <c r="J47" s="6">
        <v>20</v>
      </c>
      <c r="K47" s="7">
        <v>15</v>
      </c>
      <c r="L47" s="7">
        <v>10</v>
      </c>
      <c r="M47" s="7">
        <v>5</v>
      </c>
      <c r="N47" s="7">
        <v>3</v>
      </c>
      <c r="O47" s="7" t="s">
        <v>168</v>
      </c>
      <c r="P47" s="38"/>
      <c r="Q47" s="39">
        <f t="shared" si="0"/>
        <v>0</v>
      </c>
      <c r="R47" s="40">
        <f t="shared" si="1"/>
        <v>0</v>
      </c>
    </row>
    <row r="48" spans="1:18" s="41" customFormat="1" ht="147" customHeight="1" x14ac:dyDescent="0.25">
      <c r="A48" s="128"/>
      <c r="B48" s="140"/>
      <c r="C48" s="144"/>
      <c r="D48" s="140"/>
      <c r="E48" s="3">
        <v>1</v>
      </c>
      <c r="F48" s="3">
        <f t="shared" si="2"/>
        <v>1.0000000000000002</v>
      </c>
      <c r="G48" s="8" t="s">
        <v>169</v>
      </c>
      <c r="H48" s="1">
        <v>80</v>
      </c>
      <c r="I48" s="1" t="s">
        <v>41</v>
      </c>
      <c r="J48" s="6" t="s">
        <v>63</v>
      </c>
      <c r="K48" s="7">
        <v>80</v>
      </c>
      <c r="L48" s="7">
        <v>75</v>
      </c>
      <c r="M48" s="7">
        <v>70</v>
      </c>
      <c r="N48" s="7">
        <v>50</v>
      </c>
      <c r="O48" s="7" t="s">
        <v>52</v>
      </c>
      <c r="P48" s="38"/>
      <c r="Q48" s="39">
        <f t="shared" si="0"/>
        <v>0</v>
      </c>
      <c r="R48" s="40">
        <f t="shared" si="1"/>
        <v>0</v>
      </c>
    </row>
    <row r="49" spans="1:18" s="41" customFormat="1" ht="147" customHeight="1" x14ac:dyDescent="0.25">
      <c r="A49" s="128"/>
      <c r="B49" s="140"/>
      <c r="C49" s="144"/>
      <c r="D49" s="140" t="s">
        <v>170</v>
      </c>
      <c r="E49" s="3">
        <v>0.5</v>
      </c>
      <c r="F49" s="3">
        <f t="shared" si="2"/>
        <v>0.50000000000000011</v>
      </c>
      <c r="G49" s="8" t="s">
        <v>171</v>
      </c>
      <c r="H49" s="1">
        <v>6</v>
      </c>
      <c r="I49" s="5" t="s">
        <v>172</v>
      </c>
      <c r="J49" s="6">
        <v>6</v>
      </c>
      <c r="K49" s="7">
        <v>5</v>
      </c>
      <c r="L49" s="7">
        <v>4</v>
      </c>
      <c r="M49" s="7">
        <v>2</v>
      </c>
      <c r="N49" s="7">
        <v>1</v>
      </c>
      <c r="O49" s="7">
        <v>0</v>
      </c>
      <c r="P49" s="38"/>
      <c r="Q49" s="39">
        <f t="shared" si="0"/>
        <v>0</v>
      </c>
      <c r="R49" s="40">
        <f t="shared" si="1"/>
        <v>0</v>
      </c>
    </row>
    <row r="50" spans="1:18" s="41" customFormat="1" ht="147" customHeight="1" x14ac:dyDescent="0.25">
      <c r="A50" s="128"/>
      <c r="B50" s="140"/>
      <c r="C50" s="144"/>
      <c r="D50" s="140"/>
      <c r="E50" s="3">
        <v>0.5</v>
      </c>
      <c r="F50" s="3">
        <f t="shared" si="2"/>
        <v>0.50000000000000011</v>
      </c>
      <c r="G50" s="8" t="s">
        <v>173</v>
      </c>
      <c r="H50" s="10">
        <v>1</v>
      </c>
      <c r="I50" s="5" t="s">
        <v>41</v>
      </c>
      <c r="J50" s="6">
        <v>100</v>
      </c>
      <c r="K50" s="7">
        <v>95</v>
      </c>
      <c r="L50" s="7">
        <v>90</v>
      </c>
      <c r="M50" s="7">
        <v>85</v>
      </c>
      <c r="N50" s="7">
        <v>80</v>
      </c>
      <c r="O50" s="7" t="s">
        <v>42</v>
      </c>
      <c r="P50" s="38"/>
      <c r="Q50" s="39">
        <f t="shared" si="0"/>
        <v>0</v>
      </c>
      <c r="R50" s="40">
        <f t="shared" si="1"/>
        <v>0</v>
      </c>
    </row>
    <row r="51" spans="1:18" s="41" customFormat="1" ht="147" customHeight="1" x14ac:dyDescent="0.25">
      <c r="A51" s="128"/>
      <c r="B51" s="140"/>
      <c r="C51" s="144"/>
      <c r="D51" s="140" t="s">
        <v>174</v>
      </c>
      <c r="E51" s="3">
        <v>0.75</v>
      </c>
      <c r="F51" s="3">
        <f t="shared" si="2"/>
        <v>0.75000000000000011</v>
      </c>
      <c r="G51" s="8" t="s">
        <v>175</v>
      </c>
      <c r="H51" s="10">
        <v>1</v>
      </c>
      <c r="I51" s="5" t="s">
        <v>41</v>
      </c>
      <c r="J51" s="6">
        <v>100</v>
      </c>
      <c r="K51" s="7">
        <v>95</v>
      </c>
      <c r="L51" s="7">
        <v>90</v>
      </c>
      <c r="M51" s="7">
        <v>85</v>
      </c>
      <c r="N51" s="7">
        <v>80</v>
      </c>
      <c r="O51" s="7" t="s">
        <v>42</v>
      </c>
      <c r="P51" s="38"/>
      <c r="Q51" s="39">
        <f t="shared" si="0"/>
        <v>0</v>
      </c>
      <c r="R51" s="40">
        <f t="shared" si="1"/>
        <v>0</v>
      </c>
    </row>
    <row r="52" spans="1:18" s="41" customFormat="1" ht="147" customHeight="1" x14ac:dyDescent="0.25">
      <c r="A52" s="128"/>
      <c r="B52" s="140"/>
      <c r="C52" s="144"/>
      <c r="D52" s="140"/>
      <c r="E52" s="3">
        <v>0.75</v>
      </c>
      <c r="F52" s="3">
        <f t="shared" si="2"/>
        <v>0.75000000000000011</v>
      </c>
      <c r="G52" s="8" t="s">
        <v>176</v>
      </c>
      <c r="H52" s="10">
        <v>1</v>
      </c>
      <c r="I52" s="5" t="s">
        <v>41</v>
      </c>
      <c r="J52" s="6">
        <v>100</v>
      </c>
      <c r="K52" s="7">
        <v>95</v>
      </c>
      <c r="L52" s="7">
        <v>90</v>
      </c>
      <c r="M52" s="7">
        <v>85</v>
      </c>
      <c r="N52" s="7">
        <v>80</v>
      </c>
      <c r="O52" s="7" t="s">
        <v>42</v>
      </c>
      <c r="P52" s="38"/>
      <c r="Q52" s="39">
        <f t="shared" si="0"/>
        <v>0</v>
      </c>
      <c r="R52" s="40">
        <f t="shared" si="1"/>
        <v>0</v>
      </c>
    </row>
    <row r="53" spans="1:18" s="41" customFormat="1" ht="147" customHeight="1" x14ac:dyDescent="0.25">
      <c r="A53" s="128"/>
      <c r="B53" s="140"/>
      <c r="C53" s="145"/>
      <c r="D53" s="2" t="s">
        <v>177</v>
      </c>
      <c r="E53" s="3">
        <v>1</v>
      </c>
      <c r="F53" s="3">
        <f t="shared" si="2"/>
        <v>1.0000000000000002</v>
      </c>
      <c r="G53" s="2" t="s">
        <v>178</v>
      </c>
      <c r="H53" s="10">
        <v>0.9</v>
      </c>
      <c r="I53" s="1" t="s">
        <v>41</v>
      </c>
      <c r="J53" s="6" t="s">
        <v>74</v>
      </c>
      <c r="K53" s="7">
        <v>90</v>
      </c>
      <c r="L53" s="7">
        <v>80</v>
      </c>
      <c r="M53" s="7">
        <v>70</v>
      </c>
      <c r="N53" s="7">
        <v>50</v>
      </c>
      <c r="O53" s="7" t="s">
        <v>52</v>
      </c>
      <c r="P53" s="38"/>
      <c r="Q53" s="39">
        <f t="shared" si="0"/>
        <v>0</v>
      </c>
      <c r="R53" s="40">
        <f t="shared" si="1"/>
        <v>0</v>
      </c>
    </row>
    <row r="54" spans="1:18" s="41" customFormat="1" ht="147" customHeight="1" x14ac:dyDescent="0.25">
      <c r="A54" s="139">
        <v>4</v>
      </c>
      <c r="B54" s="140" t="s">
        <v>179</v>
      </c>
      <c r="C54" s="142">
        <f>SUM(E54:E61)</f>
        <v>2</v>
      </c>
      <c r="D54" s="140" t="s">
        <v>180</v>
      </c>
      <c r="E54" s="3">
        <v>0.25</v>
      </c>
      <c r="F54" s="3">
        <f t="shared" si="2"/>
        <v>0.25000000000000006</v>
      </c>
      <c r="G54" s="8" t="s">
        <v>181</v>
      </c>
      <c r="H54" s="10">
        <v>1</v>
      </c>
      <c r="I54" s="5" t="s">
        <v>41</v>
      </c>
      <c r="J54" s="6">
        <v>100</v>
      </c>
      <c r="K54" s="7">
        <v>95</v>
      </c>
      <c r="L54" s="7">
        <v>90</v>
      </c>
      <c r="M54" s="7">
        <v>85</v>
      </c>
      <c r="N54" s="7">
        <v>80</v>
      </c>
      <c r="O54" s="7" t="s">
        <v>42</v>
      </c>
      <c r="P54" s="38"/>
      <c r="Q54" s="39">
        <f t="shared" si="0"/>
        <v>0</v>
      </c>
      <c r="R54" s="40">
        <f t="shared" si="1"/>
        <v>0</v>
      </c>
    </row>
    <row r="55" spans="1:18" s="41" customFormat="1" ht="147" customHeight="1" x14ac:dyDescent="0.25">
      <c r="A55" s="139"/>
      <c r="B55" s="140"/>
      <c r="C55" s="142"/>
      <c r="D55" s="140"/>
      <c r="E55" s="3">
        <v>0.25</v>
      </c>
      <c r="F55" s="3">
        <f t="shared" si="2"/>
        <v>0.25000000000000006</v>
      </c>
      <c r="G55" s="8" t="s">
        <v>182</v>
      </c>
      <c r="H55" s="10">
        <v>1</v>
      </c>
      <c r="I55" s="5" t="s">
        <v>41</v>
      </c>
      <c r="J55" s="6">
        <v>100</v>
      </c>
      <c r="K55" s="7">
        <v>95</v>
      </c>
      <c r="L55" s="7">
        <v>90</v>
      </c>
      <c r="M55" s="7">
        <v>85</v>
      </c>
      <c r="N55" s="7">
        <v>80</v>
      </c>
      <c r="O55" s="7" t="s">
        <v>42</v>
      </c>
      <c r="P55" s="38"/>
      <c r="Q55" s="39">
        <f t="shared" si="0"/>
        <v>0</v>
      </c>
      <c r="R55" s="40">
        <f t="shared" si="1"/>
        <v>0</v>
      </c>
    </row>
    <row r="56" spans="1:18" s="41" customFormat="1" ht="147" customHeight="1" x14ac:dyDescent="0.25">
      <c r="A56" s="139"/>
      <c r="B56" s="140"/>
      <c r="C56" s="142"/>
      <c r="D56" s="140"/>
      <c r="E56" s="3">
        <v>0.25</v>
      </c>
      <c r="F56" s="3">
        <f t="shared" si="2"/>
        <v>0.25000000000000006</v>
      </c>
      <c r="G56" s="8" t="s">
        <v>183</v>
      </c>
      <c r="H56" s="10">
        <v>0.9</v>
      </c>
      <c r="I56" s="1" t="s">
        <v>41</v>
      </c>
      <c r="J56" s="6" t="s">
        <v>74</v>
      </c>
      <c r="K56" s="7">
        <v>90</v>
      </c>
      <c r="L56" s="7">
        <v>80</v>
      </c>
      <c r="M56" s="7">
        <v>70</v>
      </c>
      <c r="N56" s="7">
        <v>50</v>
      </c>
      <c r="O56" s="7" t="s">
        <v>52</v>
      </c>
      <c r="P56" s="38"/>
      <c r="Q56" s="39">
        <f t="shared" si="0"/>
        <v>0</v>
      </c>
      <c r="R56" s="40">
        <f t="shared" si="1"/>
        <v>0</v>
      </c>
    </row>
    <row r="57" spans="1:18" s="41" customFormat="1" ht="147" customHeight="1" x14ac:dyDescent="0.25">
      <c r="A57" s="139"/>
      <c r="B57" s="140"/>
      <c r="C57" s="142"/>
      <c r="D57" s="140"/>
      <c r="E57" s="3">
        <v>0.25</v>
      </c>
      <c r="F57" s="3">
        <f t="shared" si="2"/>
        <v>0.25000000000000006</v>
      </c>
      <c r="G57" s="8" t="s">
        <v>184</v>
      </c>
      <c r="H57" s="10">
        <v>0.9</v>
      </c>
      <c r="I57" s="1" t="s">
        <v>41</v>
      </c>
      <c r="J57" s="6" t="s">
        <v>74</v>
      </c>
      <c r="K57" s="7">
        <v>90</v>
      </c>
      <c r="L57" s="7">
        <v>80</v>
      </c>
      <c r="M57" s="7">
        <v>70</v>
      </c>
      <c r="N57" s="7">
        <v>50</v>
      </c>
      <c r="O57" s="7" t="s">
        <v>52</v>
      </c>
      <c r="P57" s="38"/>
      <c r="Q57" s="39">
        <f t="shared" si="0"/>
        <v>0</v>
      </c>
      <c r="R57" s="40">
        <f t="shared" si="1"/>
        <v>0</v>
      </c>
    </row>
    <row r="58" spans="1:18" s="41" customFormat="1" ht="147" customHeight="1" x14ac:dyDescent="0.25">
      <c r="A58" s="139"/>
      <c r="B58" s="140"/>
      <c r="C58" s="142"/>
      <c r="D58" s="140"/>
      <c r="E58" s="3">
        <v>0.25</v>
      </c>
      <c r="F58" s="3">
        <f t="shared" si="2"/>
        <v>0.25000000000000006</v>
      </c>
      <c r="G58" s="8" t="s">
        <v>185</v>
      </c>
      <c r="H58" s="10">
        <v>0.8</v>
      </c>
      <c r="I58" s="1" t="s">
        <v>41</v>
      </c>
      <c r="J58" s="6" t="s">
        <v>63</v>
      </c>
      <c r="K58" s="7">
        <v>80</v>
      </c>
      <c r="L58" s="7">
        <v>75</v>
      </c>
      <c r="M58" s="7">
        <v>70</v>
      </c>
      <c r="N58" s="7">
        <v>50</v>
      </c>
      <c r="O58" s="7" t="s">
        <v>52</v>
      </c>
      <c r="P58" s="38"/>
      <c r="Q58" s="39">
        <f t="shared" si="0"/>
        <v>0</v>
      </c>
      <c r="R58" s="40">
        <f t="shared" si="1"/>
        <v>0</v>
      </c>
    </row>
    <row r="59" spans="1:18" s="41" customFormat="1" ht="147" customHeight="1" x14ac:dyDescent="0.25">
      <c r="A59" s="139"/>
      <c r="B59" s="140"/>
      <c r="C59" s="142"/>
      <c r="D59" s="140"/>
      <c r="E59" s="3">
        <v>0.25</v>
      </c>
      <c r="F59" s="3">
        <f t="shared" si="2"/>
        <v>0.25000000000000006</v>
      </c>
      <c r="G59" s="8" t="s">
        <v>186</v>
      </c>
      <c r="H59" s="10">
        <v>1</v>
      </c>
      <c r="I59" s="5" t="s">
        <v>41</v>
      </c>
      <c r="J59" s="6">
        <v>100</v>
      </c>
      <c r="K59" s="7">
        <v>95</v>
      </c>
      <c r="L59" s="7">
        <v>90</v>
      </c>
      <c r="M59" s="7">
        <v>85</v>
      </c>
      <c r="N59" s="7">
        <v>80</v>
      </c>
      <c r="O59" s="7" t="s">
        <v>42</v>
      </c>
      <c r="P59" s="38"/>
      <c r="Q59" s="39">
        <f t="shared" si="0"/>
        <v>0</v>
      </c>
      <c r="R59" s="40">
        <f t="shared" si="1"/>
        <v>0</v>
      </c>
    </row>
    <row r="60" spans="1:18" s="41" customFormat="1" ht="147" customHeight="1" x14ac:dyDescent="0.25">
      <c r="A60" s="139"/>
      <c r="B60" s="140"/>
      <c r="C60" s="142"/>
      <c r="D60" s="140"/>
      <c r="E60" s="3">
        <v>0.25</v>
      </c>
      <c r="F60" s="3">
        <f t="shared" si="2"/>
        <v>0.25000000000000006</v>
      </c>
      <c r="G60" s="8" t="s">
        <v>187</v>
      </c>
      <c r="H60" s="10">
        <v>1</v>
      </c>
      <c r="I60" s="5" t="s">
        <v>41</v>
      </c>
      <c r="J60" s="6">
        <v>100</v>
      </c>
      <c r="K60" s="7">
        <v>95</v>
      </c>
      <c r="L60" s="7">
        <v>90</v>
      </c>
      <c r="M60" s="7">
        <v>85</v>
      </c>
      <c r="N60" s="7">
        <v>80</v>
      </c>
      <c r="O60" s="7" t="s">
        <v>42</v>
      </c>
      <c r="P60" s="38"/>
      <c r="Q60" s="39">
        <f t="shared" si="0"/>
        <v>0</v>
      </c>
      <c r="R60" s="40">
        <f t="shared" si="1"/>
        <v>0</v>
      </c>
    </row>
    <row r="61" spans="1:18" s="41" customFormat="1" ht="147" customHeight="1" x14ac:dyDescent="0.25">
      <c r="A61" s="139"/>
      <c r="B61" s="140"/>
      <c r="C61" s="142"/>
      <c r="D61" s="140"/>
      <c r="E61" s="3">
        <v>0.25</v>
      </c>
      <c r="F61" s="3">
        <f t="shared" si="2"/>
        <v>0.25000000000000006</v>
      </c>
      <c r="G61" s="8" t="s">
        <v>188</v>
      </c>
      <c r="H61" s="10">
        <v>1</v>
      </c>
      <c r="I61" s="5" t="s">
        <v>41</v>
      </c>
      <c r="J61" s="6">
        <v>100</v>
      </c>
      <c r="K61" s="7">
        <v>95</v>
      </c>
      <c r="L61" s="7">
        <v>90</v>
      </c>
      <c r="M61" s="7">
        <v>85</v>
      </c>
      <c r="N61" s="7">
        <v>80</v>
      </c>
      <c r="O61" s="7" t="s">
        <v>42</v>
      </c>
      <c r="P61" s="38"/>
      <c r="Q61" s="39">
        <f t="shared" si="0"/>
        <v>0</v>
      </c>
      <c r="R61" s="40">
        <f t="shared" si="1"/>
        <v>0</v>
      </c>
    </row>
    <row r="62" spans="1:18" s="41" customFormat="1" ht="147" customHeight="1" x14ac:dyDescent="0.25">
      <c r="A62" s="139">
        <v>5</v>
      </c>
      <c r="B62" s="140" t="s">
        <v>189</v>
      </c>
      <c r="C62" s="142">
        <f>SUM(E62:E69)</f>
        <v>3</v>
      </c>
      <c r="D62" s="140" t="s">
        <v>190</v>
      </c>
      <c r="E62" s="3">
        <v>0.375</v>
      </c>
      <c r="F62" s="3">
        <f t="shared" si="2"/>
        <v>0.37500000000000006</v>
      </c>
      <c r="G62" s="8" t="s">
        <v>191</v>
      </c>
      <c r="H62" s="10">
        <v>1</v>
      </c>
      <c r="I62" s="5" t="s">
        <v>41</v>
      </c>
      <c r="J62" s="6">
        <v>100</v>
      </c>
      <c r="K62" s="7">
        <v>95</v>
      </c>
      <c r="L62" s="7">
        <v>90</v>
      </c>
      <c r="M62" s="7">
        <v>85</v>
      </c>
      <c r="N62" s="7">
        <v>80</v>
      </c>
      <c r="O62" s="7" t="s">
        <v>42</v>
      </c>
      <c r="P62" s="38"/>
      <c r="Q62" s="39">
        <f t="shared" si="0"/>
        <v>0</v>
      </c>
      <c r="R62" s="40">
        <f t="shared" si="1"/>
        <v>0</v>
      </c>
    </row>
    <row r="63" spans="1:18" s="41" customFormat="1" ht="147" customHeight="1" x14ac:dyDescent="0.25">
      <c r="A63" s="139"/>
      <c r="B63" s="140"/>
      <c r="C63" s="142"/>
      <c r="D63" s="140"/>
      <c r="E63" s="3">
        <v>0.375</v>
      </c>
      <c r="F63" s="3">
        <f t="shared" si="2"/>
        <v>0.37500000000000006</v>
      </c>
      <c r="G63" s="8" t="s">
        <v>192</v>
      </c>
      <c r="H63" s="10">
        <v>1</v>
      </c>
      <c r="I63" s="5" t="s">
        <v>41</v>
      </c>
      <c r="J63" s="6">
        <v>100</v>
      </c>
      <c r="K63" s="7">
        <v>95</v>
      </c>
      <c r="L63" s="7">
        <v>90</v>
      </c>
      <c r="M63" s="7">
        <v>85</v>
      </c>
      <c r="N63" s="7">
        <v>80</v>
      </c>
      <c r="O63" s="7" t="s">
        <v>42</v>
      </c>
      <c r="P63" s="38"/>
      <c r="Q63" s="39">
        <f t="shared" si="0"/>
        <v>0</v>
      </c>
      <c r="R63" s="40">
        <f t="shared" si="1"/>
        <v>0</v>
      </c>
    </row>
    <row r="64" spans="1:18" s="41" customFormat="1" ht="147" customHeight="1" x14ac:dyDescent="0.25">
      <c r="A64" s="139"/>
      <c r="B64" s="140"/>
      <c r="C64" s="142"/>
      <c r="D64" s="140"/>
      <c r="E64" s="3">
        <v>0.375</v>
      </c>
      <c r="F64" s="3">
        <f t="shared" si="2"/>
        <v>0.37500000000000006</v>
      </c>
      <c r="G64" s="8" t="s">
        <v>193</v>
      </c>
      <c r="H64" s="10">
        <v>0.9</v>
      </c>
      <c r="I64" s="1" t="s">
        <v>41</v>
      </c>
      <c r="J64" s="6" t="s">
        <v>74</v>
      </c>
      <c r="K64" s="7">
        <v>90</v>
      </c>
      <c r="L64" s="7">
        <v>80</v>
      </c>
      <c r="M64" s="7">
        <v>70</v>
      </c>
      <c r="N64" s="7">
        <v>50</v>
      </c>
      <c r="O64" s="7" t="s">
        <v>52</v>
      </c>
      <c r="P64" s="38"/>
      <c r="Q64" s="39">
        <f t="shared" si="0"/>
        <v>0</v>
      </c>
      <c r="R64" s="40">
        <f t="shared" si="1"/>
        <v>0</v>
      </c>
    </row>
    <row r="65" spans="1:18" s="41" customFormat="1" ht="147" customHeight="1" x14ac:dyDescent="0.25">
      <c r="A65" s="139"/>
      <c r="B65" s="140"/>
      <c r="C65" s="142"/>
      <c r="D65" s="140"/>
      <c r="E65" s="3">
        <v>0.375</v>
      </c>
      <c r="F65" s="3">
        <f t="shared" si="2"/>
        <v>0.37500000000000006</v>
      </c>
      <c r="G65" s="8" t="s">
        <v>194</v>
      </c>
      <c r="H65" s="10">
        <v>0.9</v>
      </c>
      <c r="I65" s="1" t="s">
        <v>41</v>
      </c>
      <c r="J65" s="6" t="s">
        <v>74</v>
      </c>
      <c r="K65" s="7">
        <v>90</v>
      </c>
      <c r="L65" s="7">
        <v>80</v>
      </c>
      <c r="M65" s="7">
        <v>70</v>
      </c>
      <c r="N65" s="7">
        <v>50</v>
      </c>
      <c r="O65" s="7" t="s">
        <v>52</v>
      </c>
      <c r="P65" s="38"/>
      <c r="Q65" s="39">
        <f t="shared" si="0"/>
        <v>0</v>
      </c>
      <c r="R65" s="40">
        <f t="shared" si="1"/>
        <v>0</v>
      </c>
    </row>
    <row r="66" spans="1:18" s="41" customFormat="1" ht="147" customHeight="1" x14ac:dyDescent="0.25">
      <c r="A66" s="139"/>
      <c r="B66" s="140"/>
      <c r="C66" s="142"/>
      <c r="D66" s="140"/>
      <c r="E66" s="3">
        <v>0.375</v>
      </c>
      <c r="F66" s="3">
        <f t="shared" si="2"/>
        <v>0.37500000000000006</v>
      </c>
      <c r="G66" s="8" t="s">
        <v>195</v>
      </c>
      <c r="H66" s="10">
        <v>0.8</v>
      </c>
      <c r="I66" s="1" t="s">
        <v>41</v>
      </c>
      <c r="J66" s="6" t="s">
        <v>63</v>
      </c>
      <c r="K66" s="7">
        <v>80</v>
      </c>
      <c r="L66" s="7">
        <v>75</v>
      </c>
      <c r="M66" s="7">
        <v>70</v>
      </c>
      <c r="N66" s="7">
        <v>50</v>
      </c>
      <c r="O66" s="7" t="s">
        <v>52</v>
      </c>
      <c r="P66" s="38"/>
      <c r="Q66" s="39">
        <f t="shared" si="0"/>
        <v>0</v>
      </c>
      <c r="R66" s="40">
        <f t="shared" si="1"/>
        <v>0</v>
      </c>
    </row>
    <row r="67" spans="1:18" s="41" customFormat="1" ht="147" customHeight="1" x14ac:dyDescent="0.25">
      <c r="A67" s="139"/>
      <c r="B67" s="140"/>
      <c r="C67" s="142"/>
      <c r="D67" s="140"/>
      <c r="E67" s="3">
        <v>0.375</v>
      </c>
      <c r="F67" s="3">
        <f t="shared" si="2"/>
        <v>0.37500000000000006</v>
      </c>
      <c r="G67" s="8" t="s">
        <v>196</v>
      </c>
      <c r="H67" s="10">
        <v>1</v>
      </c>
      <c r="I67" s="5" t="s">
        <v>41</v>
      </c>
      <c r="J67" s="6">
        <v>100</v>
      </c>
      <c r="K67" s="7">
        <v>95</v>
      </c>
      <c r="L67" s="7">
        <v>90</v>
      </c>
      <c r="M67" s="7">
        <v>85</v>
      </c>
      <c r="N67" s="7">
        <v>80</v>
      </c>
      <c r="O67" s="7" t="s">
        <v>42</v>
      </c>
      <c r="P67" s="38"/>
      <c r="Q67" s="39">
        <f t="shared" si="0"/>
        <v>0</v>
      </c>
      <c r="R67" s="40">
        <f t="shared" si="1"/>
        <v>0</v>
      </c>
    </row>
    <row r="68" spans="1:18" s="41" customFormat="1" ht="147" customHeight="1" x14ac:dyDescent="0.25">
      <c r="A68" s="139"/>
      <c r="B68" s="140"/>
      <c r="C68" s="142"/>
      <c r="D68" s="140"/>
      <c r="E68" s="3">
        <v>0.375</v>
      </c>
      <c r="F68" s="3">
        <f t="shared" si="2"/>
        <v>0.37500000000000006</v>
      </c>
      <c r="G68" s="8" t="s">
        <v>197</v>
      </c>
      <c r="H68" s="10">
        <v>1</v>
      </c>
      <c r="I68" s="5" t="s">
        <v>41</v>
      </c>
      <c r="J68" s="6">
        <v>100</v>
      </c>
      <c r="K68" s="7">
        <v>95</v>
      </c>
      <c r="L68" s="7">
        <v>90</v>
      </c>
      <c r="M68" s="7">
        <v>85</v>
      </c>
      <c r="N68" s="7">
        <v>80</v>
      </c>
      <c r="O68" s="7" t="s">
        <v>42</v>
      </c>
      <c r="P68" s="38"/>
      <c r="Q68" s="39">
        <f t="shared" si="0"/>
        <v>0</v>
      </c>
      <c r="R68" s="40">
        <f t="shared" si="1"/>
        <v>0</v>
      </c>
    </row>
    <row r="69" spans="1:18" s="41" customFormat="1" ht="147" customHeight="1" x14ac:dyDescent="0.25">
      <c r="A69" s="139"/>
      <c r="B69" s="140"/>
      <c r="C69" s="142"/>
      <c r="D69" s="140"/>
      <c r="E69" s="12">
        <v>0.375</v>
      </c>
      <c r="F69" s="3">
        <f t="shared" si="2"/>
        <v>0.37500000000000006</v>
      </c>
      <c r="G69" s="8" t="s">
        <v>198</v>
      </c>
      <c r="H69" s="10">
        <v>1</v>
      </c>
      <c r="I69" s="5" t="s">
        <v>41</v>
      </c>
      <c r="J69" s="6">
        <v>100</v>
      </c>
      <c r="K69" s="7">
        <v>95</v>
      </c>
      <c r="L69" s="7">
        <v>90</v>
      </c>
      <c r="M69" s="7">
        <v>85</v>
      </c>
      <c r="N69" s="7">
        <v>80</v>
      </c>
      <c r="O69" s="7" t="s">
        <v>42</v>
      </c>
      <c r="P69" s="38"/>
      <c r="Q69" s="39">
        <f t="shared" si="0"/>
        <v>0</v>
      </c>
      <c r="R69" s="40">
        <f t="shared" si="1"/>
        <v>0</v>
      </c>
    </row>
    <row r="70" spans="1:18" s="41" customFormat="1" ht="147" customHeight="1" x14ac:dyDescent="0.25">
      <c r="A70" s="127">
        <v>6</v>
      </c>
      <c r="B70" s="136" t="s">
        <v>199</v>
      </c>
      <c r="C70" s="143">
        <v>5</v>
      </c>
      <c r="D70" s="136" t="s">
        <v>200</v>
      </c>
      <c r="E70" s="3">
        <v>0.5</v>
      </c>
      <c r="F70" s="3">
        <f t="shared" si="2"/>
        <v>0.50000000000000011</v>
      </c>
      <c r="G70" s="2" t="s">
        <v>201</v>
      </c>
      <c r="H70" s="10">
        <v>1</v>
      </c>
      <c r="I70" s="5" t="s">
        <v>41</v>
      </c>
      <c r="J70" s="6">
        <v>100</v>
      </c>
      <c r="K70" s="7">
        <v>95</v>
      </c>
      <c r="L70" s="7">
        <v>90</v>
      </c>
      <c r="M70" s="7">
        <v>85</v>
      </c>
      <c r="N70" s="7">
        <v>80</v>
      </c>
      <c r="O70" s="7" t="s">
        <v>42</v>
      </c>
      <c r="P70" s="38"/>
      <c r="Q70" s="39">
        <f t="shared" si="0"/>
        <v>0</v>
      </c>
      <c r="R70" s="40">
        <f t="shared" si="1"/>
        <v>0</v>
      </c>
    </row>
    <row r="71" spans="1:18" s="41" customFormat="1" ht="147" customHeight="1" x14ac:dyDescent="0.25">
      <c r="A71" s="128"/>
      <c r="B71" s="137"/>
      <c r="C71" s="144"/>
      <c r="D71" s="138"/>
      <c r="E71" s="3">
        <v>0.5</v>
      </c>
      <c r="F71" s="3">
        <f t="shared" si="2"/>
        <v>0.50000000000000011</v>
      </c>
      <c r="G71" s="2" t="s">
        <v>202</v>
      </c>
      <c r="H71" s="10">
        <v>1</v>
      </c>
      <c r="I71" s="5" t="s">
        <v>41</v>
      </c>
      <c r="J71" s="6">
        <v>100</v>
      </c>
      <c r="K71" s="7">
        <v>95</v>
      </c>
      <c r="L71" s="7">
        <v>90</v>
      </c>
      <c r="M71" s="7">
        <v>85</v>
      </c>
      <c r="N71" s="7">
        <v>80</v>
      </c>
      <c r="O71" s="7" t="s">
        <v>42</v>
      </c>
      <c r="P71" s="38"/>
      <c r="Q71" s="39">
        <f t="shared" si="0"/>
        <v>0</v>
      </c>
      <c r="R71" s="40">
        <f t="shared" si="1"/>
        <v>0</v>
      </c>
    </row>
    <row r="72" spans="1:18" s="41" customFormat="1" ht="147" customHeight="1" x14ac:dyDescent="0.25">
      <c r="A72" s="128"/>
      <c r="B72" s="137"/>
      <c r="C72" s="144"/>
      <c r="D72" s="136" t="s">
        <v>203</v>
      </c>
      <c r="E72" s="3">
        <v>0.5</v>
      </c>
      <c r="F72" s="3">
        <f t="shared" si="2"/>
        <v>0.50000000000000011</v>
      </c>
      <c r="G72" s="2" t="s">
        <v>204</v>
      </c>
      <c r="H72" s="10">
        <v>1</v>
      </c>
      <c r="I72" s="5" t="s">
        <v>41</v>
      </c>
      <c r="J72" s="6">
        <v>100</v>
      </c>
      <c r="K72" s="7">
        <v>95</v>
      </c>
      <c r="L72" s="7">
        <v>90</v>
      </c>
      <c r="M72" s="7">
        <v>85</v>
      </c>
      <c r="N72" s="7">
        <v>80</v>
      </c>
      <c r="O72" s="7" t="s">
        <v>42</v>
      </c>
      <c r="P72" s="38"/>
      <c r="Q72" s="39">
        <f t="shared" si="0"/>
        <v>0</v>
      </c>
      <c r="R72" s="40">
        <f t="shared" si="1"/>
        <v>0</v>
      </c>
    </row>
    <row r="73" spans="1:18" s="41" customFormat="1" ht="147" customHeight="1" x14ac:dyDescent="0.25">
      <c r="A73" s="128"/>
      <c r="B73" s="137"/>
      <c r="C73" s="144"/>
      <c r="D73" s="138"/>
      <c r="E73" s="3">
        <v>0.5</v>
      </c>
      <c r="F73" s="3">
        <f t="shared" si="2"/>
        <v>0.50000000000000011</v>
      </c>
      <c r="G73" s="2" t="s">
        <v>205</v>
      </c>
      <c r="H73" s="10">
        <v>1</v>
      </c>
      <c r="I73" s="5" t="s">
        <v>41</v>
      </c>
      <c r="J73" s="6">
        <v>100</v>
      </c>
      <c r="K73" s="7">
        <v>95</v>
      </c>
      <c r="L73" s="7">
        <v>90</v>
      </c>
      <c r="M73" s="7">
        <v>85</v>
      </c>
      <c r="N73" s="7">
        <v>80</v>
      </c>
      <c r="O73" s="7" t="s">
        <v>42</v>
      </c>
      <c r="P73" s="38"/>
      <c r="Q73" s="39">
        <f t="shared" si="0"/>
        <v>0</v>
      </c>
      <c r="R73" s="40">
        <f t="shared" si="1"/>
        <v>0</v>
      </c>
    </row>
    <row r="74" spans="1:18" s="41" customFormat="1" ht="147" customHeight="1" x14ac:dyDescent="0.25">
      <c r="A74" s="128"/>
      <c r="B74" s="137"/>
      <c r="C74" s="144"/>
      <c r="D74" s="136" t="s">
        <v>206</v>
      </c>
      <c r="E74" s="3">
        <v>0.3</v>
      </c>
      <c r="F74" s="3">
        <f t="shared" si="2"/>
        <v>0.30000000000000004</v>
      </c>
      <c r="G74" s="2" t="s">
        <v>207</v>
      </c>
      <c r="H74" s="10">
        <v>1</v>
      </c>
      <c r="I74" s="5" t="s">
        <v>41</v>
      </c>
      <c r="J74" s="6">
        <v>100</v>
      </c>
      <c r="K74" s="7">
        <v>95</v>
      </c>
      <c r="L74" s="7">
        <v>90</v>
      </c>
      <c r="M74" s="7">
        <v>85</v>
      </c>
      <c r="N74" s="7">
        <v>80</v>
      </c>
      <c r="O74" s="7" t="s">
        <v>42</v>
      </c>
      <c r="P74" s="38"/>
      <c r="Q74" s="39">
        <f t="shared" si="0"/>
        <v>0</v>
      </c>
      <c r="R74" s="40">
        <f t="shared" si="1"/>
        <v>0</v>
      </c>
    </row>
    <row r="75" spans="1:18" s="41" customFormat="1" ht="147" customHeight="1" x14ac:dyDescent="0.25">
      <c r="A75" s="128"/>
      <c r="B75" s="137"/>
      <c r="C75" s="144"/>
      <c r="D75" s="137"/>
      <c r="E75" s="3">
        <v>0.3</v>
      </c>
      <c r="F75" s="3">
        <f t="shared" si="2"/>
        <v>0.30000000000000004</v>
      </c>
      <c r="G75" s="2" t="s">
        <v>208</v>
      </c>
      <c r="H75" s="10">
        <v>1</v>
      </c>
      <c r="I75" s="5" t="s">
        <v>41</v>
      </c>
      <c r="J75" s="6">
        <v>100</v>
      </c>
      <c r="K75" s="7">
        <v>95</v>
      </c>
      <c r="L75" s="7">
        <v>90</v>
      </c>
      <c r="M75" s="7">
        <v>85</v>
      </c>
      <c r="N75" s="7">
        <v>80</v>
      </c>
      <c r="O75" s="7" t="s">
        <v>42</v>
      </c>
      <c r="P75" s="38"/>
      <c r="Q75" s="39">
        <f t="shared" si="0"/>
        <v>0</v>
      </c>
      <c r="R75" s="40">
        <f t="shared" si="1"/>
        <v>0</v>
      </c>
    </row>
    <row r="76" spans="1:18" s="41" customFormat="1" ht="147" customHeight="1" x14ac:dyDescent="0.25">
      <c r="A76" s="128"/>
      <c r="B76" s="137"/>
      <c r="C76" s="144"/>
      <c r="D76" s="138"/>
      <c r="E76" s="3">
        <v>0.4</v>
      </c>
      <c r="F76" s="3">
        <f t="shared" si="2"/>
        <v>0.40000000000000008</v>
      </c>
      <c r="G76" s="2" t="s">
        <v>209</v>
      </c>
      <c r="H76" s="10">
        <v>1</v>
      </c>
      <c r="I76" s="5" t="s">
        <v>41</v>
      </c>
      <c r="J76" s="6">
        <v>100</v>
      </c>
      <c r="K76" s="7">
        <v>95</v>
      </c>
      <c r="L76" s="7">
        <v>90</v>
      </c>
      <c r="M76" s="7">
        <v>85</v>
      </c>
      <c r="N76" s="7">
        <v>80</v>
      </c>
      <c r="O76" s="7" t="s">
        <v>42</v>
      </c>
      <c r="P76" s="38"/>
      <c r="Q76" s="39">
        <f t="shared" si="0"/>
        <v>0</v>
      </c>
      <c r="R76" s="40">
        <f t="shared" si="1"/>
        <v>0</v>
      </c>
    </row>
    <row r="77" spans="1:18" s="41" customFormat="1" ht="147" customHeight="1" x14ac:dyDescent="0.25">
      <c r="A77" s="128"/>
      <c r="B77" s="137"/>
      <c r="C77" s="144"/>
      <c r="D77" s="136" t="s">
        <v>210</v>
      </c>
      <c r="E77" s="3">
        <v>1</v>
      </c>
      <c r="F77" s="3">
        <f t="shared" si="2"/>
        <v>1.0000000000000002</v>
      </c>
      <c r="G77" s="2" t="s">
        <v>211</v>
      </c>
      <c r="H77" s="10">
        <v>1</v>
      </c>
      <c r="I77" s="5" t="s">
        <v>41</v>
      </c>
      <c r="J77" s="6">
        <v>100</v>
      </c>
      <c r="K77" s="7">
        <v>95</v>
      </c>
      <c r="L77" s="7">
        <v>90</v>
      </c>
      <c r="M77" s="7">
        <v>85</v>
      </c>
      <c r="N77" s="7">
        <v>80</v>
      </c>
      <c r="O77" s="7" t="s">
        <v>42</v>
      </c>
      <c r="P77" s="38"/>
      <c r="Q77" s="39">
        <f t="shared" si="0"/>
        <v>0</v>
      </c>
      <c r="R77" s="40">
        <f t="shared" si="1"/>
        <v>0</v>
      </c>
    </row>
    <row r="78" spans="1:18" s="41" customFormat="1" ht="147" customHeight="1" x14ac:dyDescent="0.25">
      <c r="A78" s="129"/>
      <c r="B78" s="138"/>
      <c r="C78" s="145"/>
      <c r="D78" s="138"/>
      <c r="E78" s="3">
        <v>1</v>
      </c>
      <c r="F78" s="3">
        <f t="shared" si="2"/>
        <v>1.0000000000000002</v>
      </c>
      <c r="G78" s="2" t="s">
        <v>212</v>
      </c>
      <c r="H78" s="10">
        <v>1</v>
      </c>
      <c r="I78" s="5" t="s">
        <v>41</v>
      </c>
      <c r="J78" s="6">
        <v>100</v>
      </c>
      <c r="K78" s="7">
        <v>95</v>
      </c>
      <c r="L78" s="7">
        <v>90</v>
      </c>
      <c r="M78" s="7">
        <v>85</v>
      </c>
      <c r="N78" s="7">
        <v>80</v>
      </c>
      <c r="O78" s="7" t="s">
        <v>42</v>
      </c>
      <c r="P78" s="38"/>
      <c r="Q78" s="39">
        <f t="shared" si="0"/>
        <v>0</v>
      </c>
      <c r="R78" s="40">
        <f t="shared" si="1"/>
        <v>0</v>
      </c>
    </row>
    <row r="79" spans="1:18" s="41" customFormat="1" ht="147" customHeight="1" x14ac:dyDescent="0.25">
      <c r="A79" s="127">
        <v>7</v>
      </c>
      <c r="B79" s="136" t="s">
        <v>213</v>
      </c>
      <c r="C79" s="143">
        <v>3</v>
      </c>
      <c r="D79" s="136" t="s">
        <v>214</v>
      </c>
      <c r="E79" s="3">
        <v>0.3</v>
      </c>
      <c r="F79" s="3">
        <f t="shared" si="2"/>
        <v>0.30000000000000004</v>
      </c>
      <c r="G79" s="2" t="s">
        <v>215</v>
      </c>
      <c r="H79" s="10">
        <v>1</v>
      </c>
      <c r="I79" s="5" t="s">
        <v>41</v>
      </c>
      <c r="J79" s="6">
        <v>100</v>
      </c>
      <c r="K79" s="7">
        <v>95</v>
      </c>
      <c r="L79" s="7">
        <v>90</v>
      </c>
      <c r="M79" s="7">
        <v>85</v>
      </c>
      <c r="N79" s="7">
        <v>80</v>
      </c>
      <c r="O79" s="7" t="s">
        <v>42</v>
      </c>
      <c r="P79" s="38"/>
      <c r="Q79" s="39">
        <f t="shared" si="0"/>
        <v>0</v>
      </c>
      <c r="R79" s="40">
        <f t="shared" si="1"/>
        <v>0</v>
      </c>
    </row>
    <row r="80" spans="1:18" s="41" customFormat="1" ht="147" customHeight="1" x14ac:dyDescent="0.25">
      <c r="A80" s="128"/>
      <c r="B80" s="137"/>
      <c r="C80" s="144"/>
      <c r="D80" s="137"/>
      <c r="E80" s="3">
        <v>0.3</v>
      </c>
      <c r="F80" s="3">
        <f t="shared" si="2"/>
        <v>0.30000000000000004</v>
      </c>
      <c r="G80" s="2" t="s">
        <v>216</v>
      </c>
      <c r="H80" s="10">
        <v>1</v>
      </c>
      <c r="I80" s="5" t="s">
        <v>41</v>
      </c>
      <c r="J80" s="6">
        <v>100</v>
      </c>
      <c r="K80" s="7">
        <v>95</v>
      </c>
      <c r="L80" s="7">
        <v>90</v>
      </c>
      <c r="M80" s="7">
        <v>85</v>
      </c>
      <c r="N80" s="7">
        <v>80</v>
      </c>
      <c r="O80" s="7" t="s">
        <v>42</v>
      </c>
      <c r="P80" s="38"/>
      <c r="Q80" s="39">
        <f t="shared" si="0"/>
        <v>0</v>
      </c>
      <c r="R80" s="40">
        <f t="shared" si="1"/>
        <v>0</v>
      </c>
    </row>
    <row r="81" spans="1:18" s="41" customFormat="1" ht="147" customHeight="1" x14ac:dyDescent="0.25">
      <c r="A81" s="128"/>
      <c r="B81" s="137"/>
      <c r="C81" s="144"/>
      <c r="D81" s="138"/>
      <c r="E81" s="3">
        <v>0.4</v>
      </c>
      <c r="F81" s="3">
        <f t="shared" si="2"/>
        <v>0.40000000000000008</v>
      </c>
      <c r="G81" s="2" t="s">
        <v>217</v>
      </c>
      <c r="H81" s="10">
        <v>1</v>
      </c>
      <c r="I81" s="5" t="s">
        <v>41</v>
      </c>
      <c r="J81" s="6">
        <v>100</v>
      </c>
      <c r="K81" s="7">
        <v>95</v>
      </c>
      <c r="L81" s="7">
        <v>90</v>
      </c>
      <c r="M81" s="7">
        <v>85</v>
      </c>
      <c r="N81" s="7">
        <v>80</v>
      </c>
      <c r="O81" s="7" t="s">
        <v>42</v>
      </c>
      <c r="P81" s="38"/>
      <c r="Q81" s="39">
        <f t="shared" si="0"/>
        <v>0</v>
      </c>
      <c r="R81" s="40">
        <f t="shared" si="1"/>
        <v>0</v>
      </c>
    </row>
    <row r="82" spans="1:18" s="41" customFormat="1" ht="147" customHeight="1" x14ac:dyDescent="0.25">
      <c r="A82" s="128"/>
      <c r="B82" s="137"/>
      <c r="C82" s="144"/>
      <c r="D82" s="136" t="s">
        <v>218</v>
      </c>
      <c r="E82" s="3">
        <v>0.35</v>
      </c>
      <c r="F82" s="3">
        <f t="shared" si="2"/>
        <v>0.35000000000000003</v>
      </c>
      <c r="G82" s="2" t="s">
        <v>219</v>
      </c>
      <c r="H82" s="10">
        <v>1</v>
      </c>
      <c r="I82" s="5" t="s">
        <v>41</v>
      </c>
      <c r="J82" s="6">
        <v>100</v>
      </c>
      <c r="K82" s="7">
        <v>95</v>
      </c>
      <c r="L82" s="7">
        <v>90</v>
      </c>
      <c r="M82" s="7">
        <v>85</v>
      </c>
      <c r="N82" s="7">
        <v>80</v>
      </c>
      <c r="O82" s="7" t="s">
        <v>42</v>
      </c>
      <c r="P82" s="38"/>
      <c r="Q82" s="39">
        <f t="shared" si="0"/>
        <v>0</v>
      </c>
      <c r="R82" s="40">
        <f t="shared" si="1"/>
        <v>0</v>
      </c>
    </row>
    <row r="83" spans="1:18" s="41" customFormat="1" ht="147" customHeight="1" x14ac:dyDescent="0.25">
      <c r="A83" s="128"/>
      <c r="B83" s="137"/>
      <c r="C83" s="144"/>
      <c r="D83" s="138"/>
      <c r="E83" s="3">
        <v>0.35</v>
      </c>
      <c r="F83" s="3">
        <f t="shared" si="2"/>
        <v>0.35000000000000003</v>
      </c>
      <c r="G83" s="2" t="s">
        <v>220</v>
      </c>
      <c r="H83" s="10">
        <v>1</v>
      </c>
      <c r="I83" s="5" t="s">
        <v>41</v>
      </c>
      <c r="J83" s="6">
        <v>100</v>
      </c>
      <c r="K83" s="7">
        <v>95</v>
      </c>
      <c r="L83" s="7">
        <v>90</v>
      </c>
      <c r="M83" s="7">
        <v>85</v>
      </c>
      <c r="N83" s="7">
        <v>80</v>
      </c>
      <c r="O83" s="7" t="s">
        <v>42</v>
      </c>
      <c r="P83" s="38"/>
      <c r="Q83" s="39">
        <f t="shared" si="0"/>
        <v>0</v>
      </c>
      <c r="R83" s="40">
        <f t="shared" si="1"/>
        <v>0</v>
      </c>
    </row>
    <row r="84" spans="1:18" s="41" customFormat="1" ht="147" customHeight="1" x14ac:dyDescent="0.25">
      <c r="A84" s="128"/>
      <c r="B84" s="137"/>
      <c r="C84" s="144"/>
      <c r="D84" s="136" t="s">
        <v>221</v>
      </c>
      <c r="E84" s="3">
        <v>0.2</v>
      </c>
      <c r="F84" s="3">
        <f t="shared" ref="F84:F147" si="3">E84/$E$148 * 100</f>
        <v>0.20000000000000004</v>
      </c>
      <c r="G84" s="2" t="s">
        <v>222</v>
      </c>
      <c r="H84" s="10">
        <v>1</v>
      </c>
      <c r="I84" s="5" t="s">
        <v>41</v>
      </c>
      <c r="J84" s="6">
        <v>100</v>
      </c>
      <c r="K84" s="7">
        <v>95</v>
      </c>
      <c r="L84" s="7">
        <v>90</v>
      </c>
      <c r="M84" s="7">
        <v>85</v>
      </c>
      <c r="N84" s="7">
        <v>80</v>
      </c>
      <c r="O84" s="7" t="s">
        <v>42</v>
      </c>
      <c r="P84" s="38"/>
      <c r="Q84" s="39">
        <f t="shared" si="0"/>
        <v>0</v>
      </c>
      <c r="R84" s="40">
        <f t="shared" si="1"/>
        <v>0</v>
      </c>
    </row>
    <row r="85" spans="1:18" s="41" customFormat="1" ht="147" customHeight="1" x14ac:dyDescent="0.25">
      <c r="A85" s="128"/>
      <c r="B85" s="137"/>
      <c r="C85" s="144"/>
      <c r="D85" s="138"/>
      <c r="E85" s="3">
        <v>0.3</v>
      </c>
      <c r="F85" s="3">
        <f t="shared" si="3"/>
        <v>0.30000000000000004</v>
      </c>
      <c r="G85" s="2" t="s">
        <v>223</v>
      </c>
      <c r="H85" s="1">
        <v>4</v>
      </c>
      <c r="I85" s="5" t="s">
        <v>56</v>
      </c>
      <c r="J85" s="6">
        <v>4</v>
      </c>
      <c r="K85" s="7">
        <v>3</v>
      </c>
      <c r="L85" s="7">
        <v>2</v>
      </c>
      <c r="M85" s="7">
        <v>1</v>
      </c>
      <c r="N85" s="7">
        <v>0</v>
      </c>
      <c r="O85" s="7">
        <v>0</v>
      </c>
      <c r="P85" s="38"/>
      <c r="Q85" s="39">
        <f t="shared" si="0"/>
        <v>0</v>
      </c>
      <c r="R85" s="40">
        <f t="shared" si="1"/>
        <v>0</v>
      </c>
    </row>
    <row r="86" spans="1:18" s="41" customFormat="1" ht="147" customHeight="1" x14ac:dyDescent="0.25">
      <c r="A86" s="128"/>
      <c r="B86" s="137"/>
      <c r="C86" s="144"/>
      <c r="D86" s="136" t="s">
        <v>224</v>
      </c>
      <c r="E86" s="3">
        <v>0.25</v>
      </c>
      <c r="F86" s="3">
        <f t="shared" si="3"/>
        <v>0.25000000000000006</v>
      </c>
      <c r="G86" s="2" t="s">
        <v>225</v>
      </c>
      <c r="H86" s="10">
        <v>1</v>
      </c>
      <c r="I86" s="5" t="s">
        <v>41</v>
      </c>
      <c r="J86" s="6">
        <v>100</v>
      </c>
      <c r="K86" s="7">
        <v>95</v>
      </c>
      <c r="L86" s="7">
        <v>90</v>
      </c>
      <c r="M86" s="7">
        <v>85</v>
      </c>
      <c r="N86" s="7">
        <v>80</v>
      </c>
      <c r="O86" s="7" t="s">
        <v>42</v>
      </c>
      <c r="P86" s="38"/>
      <c r="Q86" s="39">
        <f t="shared" si="0"/>
        <v>0</v>
      </c>
      <c r="R86" s="40">
        <f t="shared" si="1"/>
        <v>0</v>
      </c>
    </row>
    <row r="87" spans="1:18" s="41" customFormat="1" ht="147" customHeight="1" x14ac:dyDescent="0.25">
      <c r="A87" s="128"/>
      <c r="B87" s="137"/>
      <c r="C87" s="144"/>
      <c r="D87" s="138"/>
      <c r="E87" s="3">
        <v>0.25</v>
      </c>
      <c r="F87" s="3">
        <f t="shared" si="3"/>
        <v>0.25000000000000006</v>
      </c>
      <c r="G87" s="2" t="s">
        <v>226</v>
      </c>
      <c r="H87" s="10">
        <v>1</v>
      </c>
      <c r="I87" s="5" t="s">
        <v>41</v>
      </c>
      <c r="J87" s="6">
        <v>100</v>
      </c>
      <c r="K87" s="7">
        <v>95</v>
      </c>
      <c r="L87" s="7">
        <v>90</v>
      </c>
      <c r="M87" s="7">
        <v>85</v>
      </c>
      <c r="N87" s="7">
        <v>80</v>
      </c>
      <c r="O87" s="7" t="s">
        <v>42</v>
      </c>
      <c r="P87" s="38"/>
      <c r="Q87" s="39">
        <f t="shared" si="0"/>
        <v>0</v>
      </c>
      <c r="R87" s="40">
        <f t="shared" si="1"/>
        <v>0</v>
      </c>
    </row>
    <row r="88" spans="1:18" s="41" customFormat="1" ht="147" customHeight="1" x14ac:dyDescent="0.25">
      <c r="A88" s="128"/>
      <c r="B88" s="137"/>
      <c r="C88" s="144"/>
      <c r="D88" s="136" t="s">
        <v>227</v>
      </c>
      <c r="E88" s="3">
        <v>0.15</v>
      </c>
      <c r="F88" s="3">
        <f t="shared" si="3"/>
        <v>0.15000000000000002</v>
      </c>
      <c r="G88" s="2" t="s">
        <v>228</v>
      </c>
      <c r="H88" s="10">
        <v>1</v>
      </c>
      <c r="I88" s="5" t="s">
        <v>41</v>
      </c>
      <c r="J88" s="6">
        <v>100</v>
      </c>
      <c r="K88" s="7">
        <v>95</v>
      </c>
      <c r="L88" s="7">
        <v>90</v>
      </c>
      <c r="M88" s="7">
        <v>85</v>
      </c>
      <c r="N88" s="7">
        <v>80</v>
      </c>
      <c r="O88" s="7" t="s">
        <v>42</v>
      </c>
      <c r="P88" s="38"/>
      <c r="Q88" s="39">
        <f t="shared" si="0"/>
        <v>0</v>
      </c>
      <c r="R88" s="40">
        <f t="shared" si="1"/>
        <v>0</v>
      </c>
    </row>
    <row r="89" spans="1:18" s="41" customFormat="1" ht="147" customHeight="1" x14ac:dyDescent="0.25">
      <c r="A89" s="129"/>
      <c r="B89" s="138"/>
      <c r="C89" s="145"/>
      <c r="D89" s="138"/>
      <c r="E89" s="12">
        <v>0.15</v>
      </c>
      <c r="F89" s="3">
        <f t="shared" si="3"/>
        <v>0.15000000000000002</v>
      </c>
      <c r="G89" s="14" t="s">
        <v>229</v>
      </c>
      <c r="H89" s="10">
        <v>1</v>
      </c>
      <c r="I89" s="5" t="s">
        <v>41</v>
      </c>
      <c r="J89" s="6">
        <v>100</v>
      </c>
      <c r="K89" s="7">
        <v>95</v>
      </c>
      <c r="L89" s="7">
        <v>90</v>
      </c>
      <c r="M89" s="7">
        <v>85</v>
      </c>
      <c r="N89" s="7">
        <v>80</v>
      </c>
      <c r="O89" s="7" t="s">
        <v>42</v>
      </c>
      <c r="P89" s="38"/>
      <c r="Q89" s="39">
        <f t="shared" si="0"/>
        <v>0</v>
      </c>
      <c r="R89" s="40">
        <f t="shared" si="1"/>
        <v>0</v>
      </c>
    </row>
    <row r="90" spans="1:18" s="41" customFormat="1" ht="147" customHeight="1" x14ac:dyDescent="0.25">
      <c r="A90" s="127">
        <v>8</v>
      </c>
      <c r="B90" s="136" t="s">
        <v>230</v>
      </c>
      <c r="C90" s="143">
        <f>SUM(E90:E100)</f>
        <v>5</v>
      </c>
      <c r="D90" s="136" t="s">
        <v>231</v>
      </c>
      <c r="E90" s="3">
        <v>0.3</v>
      </c>
      <c r="F90" s="3">
        <f t="shared" si="3"/>
        <v>0.30000000000000004</v>
      </c>
      <c r="G90" s="2" t="s">
        <v>232</v>
      </c>
      <c r="H90" s="10">
        <v>1</v>
      </c>
      <c r="I90" s="5" t="s">
        <v>41</v>
      </c>
      <c r="J90" s="6">
        <v>100</v>
      </c>
      <c r="K90" s="7">
        <v>95</v>
      </c>
      <c r="L90" s="7">
        <v>90</v>
      </c>
      <c r="M90" s="7">
        <v>85</v>
      </c>
      <c r="N90" s="7">
        <v>80</v>
      </c>
      <c r="O90" s="7" t="s">
        <v>42</v>
      </c>
      <c r="P90" s="38"/>
      <c r="Q90" s="39">
        <f t="shared" si="0"/>
        <v>0</v>
      </c>
      <c r="R90" s="40">
        <f t="shared" si="1"/>
        <v>0</v>
      </c>
    </row>
    <row r="91" spans="1:18" s="41" customFormat="1" ht="147" customHeight="1" x14ac:dyDescent="0.25">
      <c r="A91" s="128"/>
      <c r="B91" s="137"/>
      <c r="C91" s="144"/>
      <c r="D91" s="137"/>
      <c r="E91" s="3">
        <v>0.3</v>
      </c>
      <c r="F91" s="3">
        <f t="shared" si="3"/>
        <v>0.30000000000000004</v>
      </c>
      <c r="G91" s="2" t="s">
        <v>233</v>
      </c>
      <c r="H91" s="10">
        <v>0.8</v>
      </c>
      <c r="I91" s="1" t="s">
        <v>41</v>
      </c>
      <c r="J91" s="6" t="s">
        <v>63</v>
      </c>
      <c r="K91" s="7">
        <v>80</v>
      </c>
      <c r="L91" s="7">
        <v>75</v>
      </c>
      <c r="M91" s="7">
        <v>70</v>
      </c>
      <c r="N91" s="7">
        <v>50</v>
      </c>
      <c r="O91" s="7" t="s">
        <v>52</v>
      </c>
      <c r="P91" s="38"/>
      <c r="Q91" s="39">
        <f t="shared" si="0"/>
        <v>0</v>
      </c>
      <c r="R91" s="40">
        <f t="shared" si="1"/>
        <v>0</v>
      </c>
    </row>
    <row r="92" spans="1:18" s="41" customFormat="1" ht="147" customHeight="1" x14ac:dyDescent="0.25">
      <c r="A92" s="128"/>
      <c r="B92" s="137"/>
      <c r="C92" s="144"/>
      <c r="D92" s="138"/>
      <c r="E92" s="3">
        <v>0.4</v>
      </c>
      <c r="F92" s="3">
        <f t="shared" si="3"/>
        <v>0.40000000000000008</v>
      </c>
      <c r="G92" s="2" t="s">
        <v>234</v>
      </c>
      <c r="H92" s="10">
        <v>0.9</v>
      </c>
      <c r="I92" s="1" t="s">
        <v>41</v>
      </c>
      <c r="J92" s="6" t="s">
        <v>74</v>
      </c>
      <c r="K92" s="7">
        <v>90</v>
      </c>
      <c r="L92" s="7">
        <v>80</v>
      </c>
      <c r="M92" s="7">
        <v>70</v>
      </c>
      <c r="N92" s="7">
        <v>50</v>
      </c>
      <c r="O92" s="7" t="s">
        <v>52</v>
      </c>
      <c r="P92" s="38"/>
      <c r="Q92" s="39">
        <f t="shared" si="0"/>
        <v>0</v>
      </c>
      <c r="R92" s="40">
        <f t="shared" si="1"/>
        <v>0</v>
      </c>
    </row>
    <row r="93" spans="1:18" s="41" customFormat="1" ht="147" customHeight="1" x14ac:dyDescent="0.25">
      <c r="A93" s="128"/>
      <c r="B93" s="137"/>
      <c r="C93" s="144"/>
      <c r="D93" s="136" t="s">
        <v>235</v>
      </c>
      <c r="E93" s="3">
        <v>0.5</v>
      </c>
      <c r="F93" s="3">
        <f t="shared" si="3"/>
        <v>0.50000000000000011</v>
      </c>
      <c r="G93" s="2" t="s">
        <v>236</v>
      </c>
      <c r="H93" s="10">
        <v>0.75</v>
      </c>
      <c r="I93" s="5" t="s">
        <v>41</v>
      </c>
      <c r="J93" s="6" t="s">
        <v>51</v>
      </c>
      <c r="K93" s="7">
        <v>75</v>
      </c>
      <c r="L93" s="7">
        <v>70</v>
      </c>
      <c r="M93" s="7">
        <v>60</v>
      </c>
      <c r="N93" s="7">
        <v>50</v>
      </c>
      <c r="O93" s="7" t="s">
        <v>52</v>
      </c>
      <c r="P93" s="38"/>
      <c r="Q93" s="39">
        <f t="shared" si="0"/>
        <v>0</v>
      </c>
      <c r="R93" s="40">
        <f t="shared" si="1"/>
        <v>0</v>
      </c>
    </row>
    <row r="94" spans="1:18" s="41" customFormat="1" ht="147" customHeight="1" x14ac:dyDescent="0.25">
      <c r="A94" s="128"/>
      <c r="B94" s="137"/>
      <c r="C94" s="144"/>
      <c r="D94" s="138"/>
      <c r="E94" s="3">
        <v>0.5</v>
      </c>
      <c r="F94" s="3">
        <f t="shared" si="3"/>
        <v>0.50000000000000011</v>
      </c>
      <c r="G94" s="2" t="s">
        <v>237</v>
      </c>
      <c r="H94" s="10">
        <v>0.9</v>
      </c>
      <c r="I94" s="1" t="s">
        <v>41</v>
      </c>
      <c r="J94" s="6" t="s">
        <v>74</v>
      </c>
      <c r="K94" s="7">
        <v>90</v>
      </c>
      <c r="L94" s="7">
        <v>80</v>
      </c>
      <c r="M94" s="7">
        <v>70</v>
      </c>
      <c r="N94" s="7">
        <v>50</v>
      </c>
      <c r="O94" s="7" t="s">
        <v>52</v>
      </c>
      <c r="P94" s="38"/>
      <c r="Q94" s="39">
        <f t="shared" si="0"/>
        <v>0</v>
      </c>
      <c r="R94" s="40">
        <f t="shared" si="1"/>
        <v>0</v>
      </c>
    </row>
    <row r="95" spans="1:18" s="41" customFormat="1" ht="147" customHeight="1" x14ac:dyDescent="0.25">
      <c r="A95" s="128"/>
      <c r="B95" s="137"/>
      <c r="C95" s="144"/>
      <c r="D95" s="136" t="s">
        <v>238</v>
      </c>
      <c r="E95" s="3">
        <v>0.5</v>
      </c>
      <c r="F95" s="3">
        <f t="shared" si="3"/>
        <v>0.50000000000000011</v>
      </c>
      <c r="G95" s="2" t="s">
        <v>239</v>
      </c>
      <c r="H95" s="10">
        <v>0.8</v>
      </c>
      <c r="I95" s="1" t="s">
        <v>41</v>
      </c>
      <c r="J95" s="6" t="s">
        <v>63</v>
      </c>
      <c r="K95" s="7">
        <v>80</v>
      </c>
      <c r="L95" s="7">
        <v>75</v>
      </c>
      <c r="M95" s="7">
        <v>70</v>
      </c>
      <c r="N95" s="7">
        <v>50</v>
      </c>
      <c r="O95" s="7" t="s">
        <v>52</v>
      </c>
      <c r="P95" s="38"/>
      <c r="Q95" s="39">
        <f t="shared" si="0"/>
        <v>0</v>
      </c>
      <c r="R95" s="40">
        <f t="shared" si="1"/>
        <v>0</v>
      </c>
    </row>
    <row r="96" spans="1:18" s="41" customFormat="1" ht="147" customHeight="1" x14ac:dyDescent="0.25">
      <c r="A96" s="128"/>
      <c r="B96" s="137"/>
      <c r="C96" s="144"/>
      <c r="D96" s="138"/>
      <c r="E96" s="3">
        <v>0.5</v>
      </c>
      <c r="F96" s="3">
        <f t="shared" si="3"/>
        <v>0.50000000000000011</v>
      </c>
      <c r="G96" s="2" t="s">
        <v>240</v>
      </c>
      <c r="H96" s="10">
        <v>0.9</v>
      </c>
      <c r="I96" s="1" t="s">
        <v>41</v>
      </c>
      <c r="J96" s="6" t="s">
        <v>74</v>
      </c>
      <c r="K96" s="7">
        <v>90</v>
      </c>
      <c r="L96" s="7">
        <v>80</v>
      </c>
      <c r="M96" s="7">
        <v>70</v>
      </c>
      <c r="N96" s="7">
        <v>50</v>
      </c>
      <c r="O96" s="7" t="s">
        <v>52</v>
      </c>
      <c r="P96" s="38"/>
      <c r="Q96" s="39">
        <f t="shared" si="0"/>
        <v>0</v>
      </c>
      <c r="R96" s="40">
        <f t="shared" si="1"/>
        <v>0</v>
      </c>
    </row>
    <row r="97" spans="1:18" s="41" customFormat="1" ht="147" customHeight="1" x14ac:dyDescent="0.25">
      <c r="A97" s="128"/>
      <c r="B97" s="137"/>
      <c r="C97" s="144"/>
      <c r="D97" s="136" t="s">
        <v>241</v>
      </c>
      <c r="E97" s="3">
        <v>0.5</v>
      </c>
      <c r="F97" s="3">
        <f t="shared" si="3"/>
        <v>0.50000000000000011</v>
      </c>
      <c r="G97" s="2" t="s">
        <v>242</v>
      </c>
      <c r="H97" s="10">
        <v>1</v>
      </c>
      <c r="I97" s="5" t="s">
        <v>41</v>
      </c>
      <c r="J97" s="6">
        <v>100</v>
      </c>
      <c r="K97" s="7">
        <v>95</v>
      </c>
      <c r="L97" s="7">
        <v>90</v>
      </c>
      <c r="M97" s="7">
        <v>85</v>
      </c>
      <c r="N97" s="7">
        <v>80</v>
      </c>
      <c r="O97" s="7" t="s">
        <v>42</v>
      </c>
      <c r="P97" s="38"/>
      <c r="Q97" s="39">
        <f t="shared" si="0"/>
        <v>0</v>
      </c>
      <c r="R97" s="40">
        <f t="shared" si="1"/>
        <v>0</v>
      </c>
    </row>
    <row r="98" spans="1:18" s="41" customFormat="1" ht="147" customHeight="1" x14ac:dyDescent="0.25">
      <c r="A98" s="128"/>
      <c r="B98" s="137"/>
      <c r="C98" s="144"/>
      <c r="D98" s="138"/>
      <c r="E98" s="3">
        <v>0.5</v>
      </c>
      <c r="F98" s="3">
        <f t="shared" si="3"/>
        <v>0.50000000000000011</v>
      </c>
      <c r="G98" s="2" t="s">
        <v>243</v>
      </c>
      <c r="H98" s="10">
        <v>1</v>
      </c>
      <c r="I98" s="5" t="s">
        <v>41</v>
      </c>
      <c r="J98" s="6">
        <v>100</v>
      </c>
      <c r="K98" s="7">
        <v>95</v>
      </c>
      <c r="L98" s="7">
        <v>90</v>
      </c>
      <c r="M98" s="7">
        <v>85</v>
      </c>
      <c r="N98" s="7">
        <v>80</v>
      </c>
      <c r="O98" s="7" t="s">
        <v>42</v>
      </c>
      <c r="P98" s="38"/>
      <c r="Q98" s="39">
        <f t="shared" si="0"/>
        <v>0</v>
      </c>
      <c r="R98" s="40">
        <f t="shared" si="1"/>
        <v>0</v>
      </c>
    </row>
    <row r="99" spans="1:18" s="41" customFormat="1" ht="147" customHeight="1" x14ac:dyDescent="0.25">
      <c r="A99" s="128"/>
      <c r="B99" s="137"/>
      <c r="C99" s="144"/>
      <c r="D99" s="136" t="s">
        <v>244</v>
      </c>
      <c r="E99" s="3">
        <v>0.5</v>
      </c>
      <c r="F99" s="3">
        <f t="shared" si="3"/>
        <v>0.50000000000000011</v>
      </c>
      <c r="G99" s="2" t="s">
        <v>245</v>
      </c>
      <c r="H99" s="10">
        <v>0.8</v>
      </c>
      <c r="I99" s="1" t="s">
        <v>41</v>
      </c>
      <c r="J99" s="6" t="s">
        <v>63</v>
      </c>
      <c r="K99" s="7">
        <v>80</v>
      </c>
      <c r="L99" s="7">
        <v>75</v>
      </c>
      <c r="M99" s="7">
        <v>70</v>
      </c>
      <c r="N99" s="7">
        <v>50</v>
      </c>
      <c r="O99" s="7" t="s">
        <v>52</v>
      </c>
      <c r="P99" s="38"/>
      <c r="Q99" s="39">
        <f t="shared" si="0"/>
        <v>0</v>
      </c>
      <c r="R99" s="40">
        <f t="shared" si="1"/>
        <v>0</v>
      </c>
    </row>
    <row r="100" spans="1:18" s="41" customFormat="1" ht="147" customHeight="1" x14ac:dyDescent="0.25">
      <c r="A100" s="129"/>
      <c r="B100" s="138"/>
      <c r="C100" s="145"/>
      <c r="D100" s="138"/>
      <c r="E100" s="3">
        <v>0.5</v>
      </c>
      <c r="F100" s="3">
        <f t="shared" si="3"/>
        <v>0.50000000000000011</v>
      </c>
      <c r="G100" s="2" t="s">
        <v>246</v>
      </c>
      <c r="H100" s="4">
        <v>0.2</v>
      </c>
      <c r="I100" s="5" t="s">
        <v>41</v>
      </c>
      <c r="J100" s="6" t="s">
        <v>95</v>
      </c>
      <c r="K100" s="7">
        <v>20</v>
      </c>
      <c r="L100" s="7">
        <v>15</v>
      </c>
      <c r="M100" s="7">
        <v>10</v>
      </c>
      <c r="N100" s="7">
        <v>5</v>
      </c>
      <c r="O100" s="7" t="s">
        <v>86</v>
      </c>
      <c r="P100" s="38"/>
      <c r="Q100" s="39">
        <f t="shared" si="0"/>
        <v>0</v>
      </c>
      <c r="R100" s="40">
        <f t="shared" si="1"/>
        <v>0</v>
      </c>
    </row>
    <row r="101" spans="1:18" s="41" customFormat="1" ht="147" customHeight="1" x14ac:dyDescent="0.25">
      <c r="A101" s="127">
        <v>9</v>
      </c>
      <c r="B101" s="136" t="s">
        <v>247</v>
      </c>
      <c r="C101" s="143">
        <f>SUM(E101:E110)</f>
        <v>5</v>
      </c>
      <c r="D101" s="136" t="s">
        <v>293</v>
      </c>
      <c r="E101" s="3">
        <v>0.7</v>
      </c>
      <c r="F101" s="3">
        <f t="shared" si="3"/>
        <v>0.70000000000000007</v>
      </c>
      <c r="G101" s="2" t="s">
        <v>248</v>
      </c>
      <c r="H101" s="10">
        <v>0.8</v>
      </c>
      <c r="I101" s="1" t="s">
        <v>41</v>
      </c>
      <c r="J101" s="6" t="s">
        <v>63</v>
      </c>
      <c r="K101" s="7">
        <v>80</v>
      </c>
      <c r="L101" s="7">
        <v>75</v>
      </c>
      <c r="M101" s="7">
        <v>70</v>
      </c>
      <c r="N101" s="7">
        <v>50</v>
      </c>
      <c r="O101" s="7" t="s">
        <v>52</v>
      </c>
      <c r="P101" s="38"/>
      <c r="Q101" s="39">
        <f t="shared" ref="Q101:Q147" si="4">IF(OR(TRIM(P101)="",P101=0),0,
IF(P101&lt;N101,50,
IF(P101&lt;M101,60,
IF(P101&lt;L101,70,
IF(P101&lt;K101,80,
IF(ISNUMBER(J101),
    IF(P101&lt;J101,IF(P101&gt;=K101,90,80),100),
    IF(P101=K101,90,100)
))))))</f>
        <v>0</v>
      </c>
      <c r="R101" s="40">
        <f t="shared" ref="R101:R147" si="5">F101*Q101/100</f>
        <v>0</v>
      </c>
    </row>
    <row r="102" spans="1:18" s="41" customFormat="1" ht="147" customHeight="1" x14ac:dyDescent="0.25">
      <c r="A102" s="128"/>
      <c r="B102" s="137"/>
      <c r="C102" s="144"/>
      <c r="D102" s="138"/>
      <c r="E102" s="3">
        <v>0.3</v>
      </c>
      <c r="F102" s="3">
        <f t="shared" si="3"/>
        <v>0.30000000000000004</v>
      </c>
      <c r="G102" s="2" t="s">
        <v>249</v>
      </c>
      <c r="H102" s="10">
        <v>1</v>
      </c>
      <c r="I102" s="5" t="s">
        <v>41</v>
      </c>
      <c r="J102" s="6">
        <v>100</v>
      </c>
      <c r="K102" s="7">
        <v>95</v>
      </c>
      <c r="L102" s="7">
        <v>90</v>
      </c>
      <c r="M102" s="7">
        <v>85</v>
      </c>
      <c r="N102" s="7">
        <v>80</v>
      </c>
      <c r="O102" s="7" t="s">
        <v>42</v>
      </c>
      <c r="P102" s="38"/>
      <c r="Q102" s="39">
        <f t="shared" si="4"/>
        <v>0</v>
      </c>
      <c r="R102" s="40">
        <f t="shared" si="5"/>
        <v>0</v>
      </c>
    </row>
    <row r="103" spans="1:18" s="41" customFormat="1" ht="147" customHeight="1" x14ac:dyDescent="0.25">
      <c r="A103" s="128"/>
      <c r="B103" s="137"/>
      <c r="C103" s="144"/>
      <c r="D103" s="136" t="s">
        <v>250</v>
      </c>
      <c r="E103" s="3">
        <v>0.5</v>
      </c>
      <c r="F103" s="3">
        <f t="shared" si="3"/>
        <v>0.50000000000000011</v>
      </c>
      <c r="G103" s="2" t="s">
        <v>251</v>
      </c>
      <c r="H103" s="10">
        <v>1</v>
      </c>
      <c r="I103" s="5" t="s">
        <v>41</v>
      </c>
      <c r="J103" s="6">
        <v>100</v>
      </c>
      <c r="K103" s="7">
        <v>95</v>
      </c>
      <c r="L103" s="7">
        <v>90</v>
      </c>
      <c r="M103" s="7">
        <v>85</v>
      </c>
      <c r="N103" s="7">
        <v>80</v>
      </c>
      <c r="O103" s="7" t="s">
        <v>42</v>
      </c>
      <c r="P103" s="38"/>
      <c r="Q103" s="39">
        <f t="shared" si="4"/>
        <v>0</v>
      </c>
      <c r="R103" s="40">
        <f t="shared" si="5"/>
        <v>0</v>
      </c>
    </row>
    <row r="104" spans="1:18" s="41" customFormat="1" ht="147" customHeight="1" x14ac:dyDescent="0.25">
      <c r="A104" s="128"/>
      <c r="B104" s="137"/>
      <c r="C104" s="144"/>
      <c r="D104" s="138"/>
      <c r="E104" s="3">
        <v>0.5</v>
      </c>
      <c r="F104" s="3">
        <f t="shared" si="3"/>
        <v>0.50000000000000011</v>
      </c>
      <c r="G104" s="2" t="s">
        <v>252</v>
      </c>
      <c r="H104" s="10">
        <v>0.8</v>
      </c>
      <c r="I104" s="1" t="s">
        <v>41</v>
      </c>
      <c r="J104" s="6" t="s">
        <v>63</v>
      </c>
      <c r="K104" s="7">
        <v>80</v>
      </c>
      <c r="L104" s="7">
        <v>75</v>
      </c>
      <c r="M104" s="7">
        <v>70</v>
      </c>
      <c r="N104" s="7">
        <v>50</v>
      </c>
      <c r="O104" s="7" t="s">
        <v>52</v>
      </c>
      <c r="P104" s="38"/>
      <c r="Q104" s="39">
        <f t="shared" si="4"/>
        <v>0</v>
      </c>
      <c r="R104" s="40">
        <f t="shared" si="5"/>
        <v>0</v>
      </c>
    </row>
    <row r="105" spans="1:18" s="41" customFormat="1" ht="147" customHeight="1" x14ac:dyDescent="0.25">
      <c r="A105" s="128"/>
      <c r="B105" s="137"/>
      <c r="C105" s="144"/>
      <c r="D105" s="136" t="s">
        <v>253</v>
      </c>
      <c r="E105" s="3">
        <v>0.5</v>
      </c>
      <c r="F105" s="3">
        <f t="shared" si="3"/>
        <v>0.50000000000000011</v>
      </c>
      <c r="G105" s="2" t="s">
        <v>254</v>
      </c>
      <c r="H105" s="1">
        <v>10</v>
      </c>
      <c r="I105" s="5" t="s">
        <v>55</v>
      </c>
      <c r="J105" s="6" t="s">
        <v>85</v>
      </c>
      <c r="K105" s="7">
        <v>10</v>
      </c>
      <c r="L105" s="7">
        <v>8</v>
      </c>
      <c r="M105" s="7">
        <v>6</v>
      </c>
      <c r="N105" s="7">
        <v>5</v>
      </c>
      <c r="O105" s="7" t="s">
        <v>86</v>
      </c>
      <c r="P105" s="38"/>
      <c r="Q105" s="39">
        <f t="shared" si="4"/>
        <v>0</v>
      </c>
      <c r="R105" s="40">
        <f t="shared" si="5"/>
        <v>0</v>
      </c>
    </row>
    <row r="106" spans="1:18" s="41" customFormat="1" ht="147" customHeight="1" x14ac:dyDescent="0.25">
      <c r="A106" s="128"/>
      <c r="B106" s="137"/>
      <c r="C106" s="144"/>
      <c r="D106" s="138"/>
      <c r="E106" s="3">
        <v>0.5</v>
      </c>
      <c r="F106" s="3">
        <f t="shared" si="3"/>
        <v>0.50000000000000011</v>
      </c>
      <c r="G106" s="2" t="s">
        <v>255</v>
      </c>
      <c r="H106" s="10">
        <v>0.8</v>
      </c>
      <c r="I106" s="1" t="s">
        <v>41</v>
      </c>
      <c r="J106" s="6" t="s">
        <v>63</v>
      </c>
      <c r="K106" s="7">
        <v>80</v>
      </c>
      <c r="L106" s="7">
        <v>75</v>
      </c>
      <c r="M106" s="7">
        <v>70</v>
      </c>
      <c r="N106" s="7">
        <v>50</v>
      </c>
      <c r="O106" s="7" t="s">
        <v>52</v>
      </c>
      <c r="P106" s="38"/>
      <c r="Q106" s="39">
        <f t="shared" si="4"/>
        <v>0</v>
      </c>
      <c r="R106" s="40">
        <f t="shared" si="5"/>
        <v>0</v>
      </c>
    </row>
    <row r="107" spans="1:18" s="41" customFormat="1" ht="147" customHeight="1" x14ac:dyDescent="0.25">
      <c r="A107" s="128"/>
      <c r="B107" s="137"/>
      <c r="C107" s="144"/>
      <c r="D107" s="136" t="s">
        <v>256</v>
      </c>
      <c r="E107" s="3">
        <v>0.5</v>
      </c>
      <c r="F107" s="3">
        <f t="shared" si="3"/>
        <v>0.50000000000000011</v>
      </c>
      <c r="G107" s="2" t="s">
        <v>257</v>
      </c>
      <c r="H107" s="1">
        <v>5</v>
      </c>
      <c r="I107" s="5" t="s">
        <v>55</v>
      </c>
      <c r="J107" s="6" t="s">
        <v>83</v>
      </c>
      <c r="K107" s="7">
        <v>5</v>
      </c>
      <c r="L107" s="7">
        <v>4</v>
      </c>
      <c r="M107" s="7">
        <v>3</v>
      </c>
      <c r="N107" s="7">
        <v>2</v>
      </c>
      <c r="O107" s="7">
        <v>1</v>
      </c>
      <c r="P107" s="38"/>
      <c r="Q107" s="39">
        <f t="shared" si="4"/>
        <v>0</v>
      </c>
      <c r="R107" s="40">
        <f t="shared" si="5"/>
        <v>0</v>
      </c>
    </row>
    <row r="108" spans="1:18" s="41" customFormat="1" ht="147" customHeight="1" x14ac:dyDescent="0.25">
      <c r="A108" s="128"/>
      <c r="B108" s="137"/>
      <c r="C108" s="144"/>
      <c r="D108" s="138"/>
      <c r="E108" s="3">
        <v>0.5</v>
      </c>
      <c r="F108" s="3">
        <f t="shared" si="3"/>
        <v>0.50000000000000011</v>
      </c>
      <c r="G108" s="2" t="s">
        <v>258</v>
      </c>
      <c r="H108" s="1">
        <v>10</v>
      </c>
      <c r="I108" s="5" t="s">
        <v>55</v>
      </c>
      <c r="J108" s="6" t="s">
        <v>85</v>
      </c>
      <c r="K108" s="7">
        <v>10</v>
      </c>
      <c r="L108" s="7">
        <v>8</v>
      </c>
      <c r="M108" s="7">
        <v>6</v>
      </c>
      <c r="N108" s="7">
        <v>5</v>
      </c>
      <c r="O108" s="7" t="s">
        <v>86</v>
      </c>
      <c r="P108" s="38"/>
      <c r="Q108" s="39">
        <f t="shared" si="4"/>
        <v>0</v>
      </c>
      <c r="R108" s="40">
        <f t="shared" si="5"/>
        <v>0</v>
      </c>
    </row>
    <row r="109" spans="1:18" s="41" customFormat="1" ht="147" customHeight="1" x14ac:dyDescent="0.25">
      <c r="A109" s="128"/>
      <c r="B109" s="137"/>
      <c r="C109" s="144"/>
      <c r="D109" s="136" t="s">
        <v>259</v>
      </c>
      <c r="E109" s="3">
        <v>0.8</v>
      </c>
      <c r="F109" s="3">
        <f t="shared" si="3"/>
        <v>0.80000000000000016</v>
      </c>
      <c r="G109" s="2" t="s">
        <v>260</v>
      </c>
      <c r="H109" s="10">
        <v>0.8</v>
      </c>
      <c r="I109" s="1" t="s">
        <v>41</v>
      </c>
      <c r="J109" s="6" t="s">
        <v>63</v>
      </c>
      <c r="K109" s="7">
        <v>80</v>
      </c>
      <c r="L109" s="7">
        <v>75</v>
      </c>
      <c r="M109" s="7">
        <v>70</v>
      </c>
      <c r="N109" s="7">
        <v>50</v>
      </c>
      <c r="O109" s="7" t="s">
        <v>52</v>
      </c>
      <c r="P109" s="38"/>
      <c r="Q109" s="39">
        <f t="shared" si="4"/>
        <v>0</v>
      </c>
      <c r="R109" s="40">
        <f t="shared" si="5"/>
        <v>0</v>
      </c>
    </row>
    <row r="110" spans="1:18" s="41" customFormat="1" ht="147" customHeight="1" x14ac:dyDescent="0.25">
      <c r="A110" s="129"/>
      <c r="B110" s="138"/>
      <c r="C110" s="145"/>
      <c r="D110" s="138"/>
      <c r="E110" s="12">
        <v>0.2</v>
      </c>
      <c r="F110" s="3">
        <f t="shared" si="3"/>
        <v>0.20000000000000004</v>
      </c>
      <c r="G110" s="14" t="s">
        <v>261</v>
      </c>
      <c r="H110" s="10">
        <v>0.2</v>
      </c>
      <c r="I110" s="5" t="s">
        <v>41</v>
      </c>
      <c r="J110" s="6" t="s">
        <v>95</v>
      </c>
      <c r="K110" s="7">
        <v>20</v>
      </c>
      <c r="L110" s="7">
        <v>15</v>
      </c>
      <c r="M110" s="7">
        <v>10</v>
      </c>
      <c r="N110" s="7">
        <v>5</v>
      </c>
      <c r="O110" s="7" t="s">
        <v>86</v>
      </c>
      <c r="P110" s="38"/>
      <c r="Q110" s="39">
        <f t="shared" si="4"/>
        <v>0</v>
      </c>
      <c r="R110" s="40">
        <f t="shared" si="5"/>
        <v>0</v>
      </c>
    </row>
    <row r="111" spans="1:18" s="41" customFormat="1" ht="147" customHeight="1" x14ac:dyDescent="0.25">
      <c r="A111" s="127">
        <v>10</v>
      </c>
      <c r="B111" s="136" t="s">
        <v>262</v>
      </c>
      <c r="C111" s="143">
        <v>7</v>
      </c>
      <c r="D111" s="136" t="s">
        <v>263</v>
      </c>
      <c r="E111" s="3">
        <v>1.5</v>
      </c>
      <c r="F111" s="3">
        <f t="shared" si="3"/>
        <v>1.5000000000000002</v>
      </c>
      <c r="G111" s="2" t="s">
        <v>264</v>
      </c>
      <c r="H111" s="1">
        <v>20</v>
      </c>
      <c r="I111" s="6" t="s">
        <v>55</v>
      </c>
      <c r="J111" s="6" t="s">
        <v>95</v>
      </c>
      <c r="K111" s="7">
        <v>20</v>
      </c>
      <c r="L111" s="7">
        <v>15</v>
      </c>
      <c r="M111" s="7">
        <v>10</v>
      </c>
      <c r="N111" s="7">
        <v>5</v>
      </c>
      <c r="O111" s="7" t="s">
        <v>86</v>
      </c>
      <c r="P111" s="38"/>
      <c r="Q111" s="39">
        <f t="shared" si="4"/>
        <v>0</v>
      </c>
      <c r="R111" s="40">
        <f t="shared" si="5"/>
        <v>0</v>
      </c>
    </row>
    <row r="112" spans="1:18" s="41" customFormat="1" ht="147" customHeight="1" x14ac:dyDescent="0.25">
      <c r="A112" s="128"/>
      <c r="B112" s="137"/>
      <c r="C112" s="144"/>
      <c r="D112" s="138"/>
      <c r="E112" s="3">
        <v>1</v>
      </c>
      <c r="F112" s="3">
        <f t="shared" si="3"/>
        <v>1.0000000000000002</v>
      </c>
      <c r="G112" s="2" t="s">
        <v>265</v>
      </c>
      <c r="H112" s="1">
        <v>5</v>
      </c>
      <c r="I112" s="5" t="s">
        <v>55</v>
      </c>
      <c r="J112" s="6" t="s">
        <v>83</v>
      </c>
      <c r="K112" s="7">
        <v>5</v>
      </c>
      <c r="L112" s="7">
        <v>4</v>
      </c>
      <c r="M112" s="7">
        <v>3</v>
      </c>
      <c r="N112" s="7">
        <v>2</v>
      </c>
      <c r="O112" s="7">
        <v>1</v>
      </c>
      <c r="P112" s="38"/>
      <c r="Q112" s="39">
        <f t="shared" si="4"/>
        <v>0</v>
      </c>
      <c r="R112" s="40">
        <f t="shared" si="5"/>
        <v>0</v>
      </c>
    </row>
    <row r="113" spans="1:18" s="41" customFormat="1" ht="147" customHeight="1" x14ac:dyDescent="0.25">
      <c r="A113" s="128"/>
      <c r="B113" s="137"/>
      <c r="C113" s="144"/>
      <c r="D113" s="130" t="s">
        <v>266</v>
      </c>
      <c r="E113" s="3">
        <v>0.5</v>
      </c>
      <c r="F113" s="3">
        <f t="shared" si="3"/>
        <v>0.50000000000000011</v>
      </c>
      <c r="G113" s="2" t="s">
        <v>267</v>
      </c>
      <c r="H113" s="10">
        <v>0.2</v>
      </c>
      <c r="I113" s="5" t="s">
        <v>41</v>
      </c>
      <c r="J113" s="6" t="s">
        <v>95</v>
      </c>
      <c r="K113" s="7">
        <v>20</v>
      </c>
      <c r="L113" s="7">
        <v>15</v>
      </c>
      <c r="M113" s="7">
        <v>10</v>
      </c>
      <c r="N113" s="7">
        <v>5</v>
      </c>
      <c r="O113" s="7" t="s">
        <v>86</v>
      </c>
      <c r="P113" s="38"/>
      <c r="Q113" s="39">
        <f t="shared" si="4"/>
        <v>0</v>
      </c>
      <c r="R113" s="40">
        <f t="shared" si="5"/>
        <v>0</v>
      </c>
    </row>
    <row r="114" spans="1:18" s="41" customFormat="1" ht="147" customHeight="1" x14ac:dyDescent="0.25">
      <c r="A114" s="128"/>
      <c r="B114" s="137"/>
      <c r="C114" s="144"/>
      <c r="D114" s="132"/>
      <c r="E114" s="3">
        <v>0.5</v>
      </c>
      <c r="F114" s="3">
        <f t="shared" si="3"/>
        <v>0.50000000000000011</v>
      </c>
      <c r="G114" s="2" t="s">
        <v>268</v>
      </c>
      <c r="H114" s="1">
        <v>20</v>
      </c>
      <c r="I114" s="5" t="s">
        <v>55</v>
      </c>
      <c r="J114" s="6" t="s">
        <v>95</v>
      </c>
      <c r="K114" s="7">
        <v>20</v>
      </c>
      <c r="L114" s="7">
        <v>15</v>
      </c>
      <c r="M114" s="7">
        <v>10</v>
      </c>
      <c r="N114" s="7">
        <v>5</v>
      </c>
      <c r="O114" s="7" t="s">
        <v>86</v>
      </c>
      <c r="P114" s="38"/>
      <c r="Q114" s="39">
        <f t="shared" si="4"/>
        <v>0</v>
      </c>
      <c r="R114" s="40">
        <f t="shared" si="5"/>
        <v>0</v>
      </c>
    </row>
    <row r="115" spans="1:18" s="41" customFormat="1" ht="147" customHeight="1" x14ac:dyDescent="0.25">
      <c r="A115" s="128"/>
      <c r="B115" s="137"/>
      <c r="C115" s="144"/>
      <c r="D115" s="136" t="s">
        <v>269</v>
      </c>
      <c r="E115" s="3">
        <v>0.5</v>
      </c>
      <c r="F115" s="3">
        <f t="shared" si="3"/>
        <v>0.50000000000000011</v>
      </c>
      <c r="G115" s="2" t="s">
        <v>270</v>
      </c>
      <c r="H115" s="1">
        <v>5</v>
      </c>
      <c r="I115" s="5" t="s">
        <v>55</v>
      </c>
      <c r="J115" s="6" t="s">
        <v>83</v>
      </c>
      <c r="K115" s="7">
        <v>5</v>
      </c>
      <c r="L115" s="7">
        <v>4</v>
      </c>
      <c r="M115" s="7">
        <v>3</v>
      </c>
      <c r="N115" s="7">
        <v>2</v>
      </c>
      <c r="O115" s="7">
        <v>1</v>
      </c>
      <c r="P115" s="38"/>
      <c r="Q115" s="39">
        <f t="shared" si="4"/>
        <v>0</v>
      </c>
      <c r="R115" s="40">
        <f t="shared" si="5"/>
        <v>0</v>
      </c>
    </row>
    <row r="116" spans="1:18" s="41" customFormat="1" ht="147" customHeight="1" x14ac:dyDescent="0.25">
      <c r="A116" s="128"/>
      <c r="B116" s="137"/>
      <c r="C116" s="144"/>
      <c r="D116" s="138"/>
      <c r="E116" s="3">
        <v>0.5</v>
      </c>
      <c r="F116" s="3">
        <f t="shared" si="3"/>
        <v>0.50000000000000011</v>
      </c>
      <c r="G116" s="2" t="s">
        <v>271</v>
      </c>
      <c r="H116" s="10">
        <v>1</v>
      </c>
      <c r="I116" s="5" t="s">
        <v>41</v>
      </c>
      <c r="J116" s="6">
        <v>100</v>
      </c>
      <c r="K116" s="7">
        <v>95</v>
      </c>
      <c r="L116" s="7">
        <v>90</v>
      </c>
      <c r="M116" s="7">
        <v>85</v>
      </c>
      <c r="N116" s="7">
        <v>80</v>
      </c>
      <c r="O116" s="7" t="s">
        <v>42</v>
      </c>
      <c r="P116" s="38"/>
      <c r="Q116" s="39">
        <f t="shared" si="4"/>
        <v>0</v>
      </c>
      <c r="R116" s="40">
        <f t="shared" si="5"/>
        <v>0</v>
      </c>
    </row>
    <row r="117" spans="1:18" s="41" customFormat="1" ht="147" customHeight="1" x14ac:dyDescent="0.25">
      <c r="A117" s="128"/>
      <c r="B117" s="137"/>
      <c r="C117" s="144"/>
      <c r="D117" s="130" t="s">
        <v>272</v>
      </c>
      <c r="E117" s="3">
        <v>1</v>
      </c>
      <c r="F117" s="3">
        <f t="shared" si="3"/>
        <v>1.0000000000000002</v>
      </c>
      <c r="G117" s="2" t="s">
        <v>273</v>
      </c>
      <c r="H117" s="10">
        <v>1</v>
      </c>
      <c r="I117" s="5" t="s">
        <v>41</v>
      </c>
      <c r="J117" s="6">
        <v>100</v>
      </c>
      <c r="K117" s="7">
        <v>95</v>
      </c>
      <c r="L117" s="7">
        <v>90</v>
      </c>
      <c r="M117" s="7">
        <v>85</v>
      </c>
      <c r="N117" s="7">
        <v>80</v>
      </c>
      <c r="O117" s="7" t="s">
        <v>42</v>
      </c>
      <c r="P117" s="38"/>
      <c r="Q117" s="39">
        <f t="shared" si="4"/>
        <v>0</v>
      </c>
      <c r="R117" s="40">
        <f t="shared" si="5"/>
        <v>0</v>
      </c>
    </row>
    <row r="118" spans="1:18" s="41" customFormat="1" ht="147" customHeight="1" x14ac:dyDescent="0.25">
      <c r="A118" s="128"/>
      <c r="B118" s="137"/>
      <c r="C118" s="144"/>
      <c r="D118" s="132"/>
      <c r="E118" s="3">
        <v>0.5</v>
      </c>
      <c r="F118" s="3">
        <f t="shared" si="3"/>
        <v>0.50000000000000011</v>
      </c>
      <c r="G118" s="2" t="s">
        <v>274</v>
      </c>
      <c r="H118" s="10">
        <v>0.8</v>
      </c>
      <c r="I118" s="1" t="s">
        <v>41</v>
      </c>
      <c r="J118" s="6" t="s">
        <v>63</v>
      </c>
      <c r="K118" s="7">
        <v>80</v>
      </c>
      <c r="L118" s="7">
        <v>75</v>
      </c>
      <c r="M118" s="7">
        <v>70</v>
      </c>
      <c r="N118" s="7">
        <v>50</v>
      </c>
      <c r="O118" s="7" t="s">
        <v>52</v>
      </c>
      <c r="P118" s="38"/>
      <c r="Q118" s="39">
        <f t="shared" si="4"/>
        <v>0</v>
      </c>
      <c r="R118" s="40">
        <f t="shared" si="5"/>
        <v>0</v>
      </c>
    </row>
    <row r="119" spans="1:18" s="41" customFormat="1" ht="147" customHeight="1" x14ac:dyDescent="0.25">
      <c r="A119" s="128"/>
      <c r="B119" s="137"/>
      <c r="C119" s="144"/>
      <c r="D119" s="130" t="s">
        <v>275</v>
      </c>
      <c r="E119" s="3">
        <v>0.5</v>
      </c>
      <c r="F119" s="3">
        <f t="shared" si="3"/>
        <v>0.50000000000000011</v>
      </c>
      <c r="G119" s="2" t="s">
        <v>276</v>
      </c>
      <c r="H119" s="10">
        <v>0.8</v>
      </c>
      <c r="I119" s="1" t="s">
        <v>41</v>
      </c>
      <c r="J119" s="6" t="s">
        <v>63</v>
      </c>
      <c r="K119" s="7">
        <v>80</v>
      </c>
      <c r="L119" s="7">
        <v>75</v>
      </c>
      <c r="M119" s="7">
        <v>70</v>
      </c>
      <c r="N119" s="7">
        <v>50</v>
      </c>
      <c r="O119" s="7" t="s">
        <v>52</v>
      </c>
      <c r="P119" s="38"/>
      <c r="Q119" s="39">
        <f t="shared" si="4"/>
        <v>0</v>
      </c>
      <c r="R119" s="40">
        <f t="shared" si="5"/>
        <v>0</v>
      </c>
    </row>
    <row r="120" spans="1:18" s="41" customFormat="1" ht="147" customHeight="1" x14ac:dyDescent="0.25">
      <c r="A120" s="129"/>
      <c r="B120" s="138"/>
      <c r="C120" s="145"/>
      <c r="D120" s="132"/>
      <c r="E120" s="13">
        <v>0.5</v>
      </c>
      <c r="F120" s="3">
        <f t="shared" si="3"/>
        <v>0.50000000000000011</v>
      </c>
      <c r="G120" s="15" t="s">
        <v>277</v>
      </c>
      <c r="H120" s="10">
        <v>0.3</v>
      </c>
      <c r="I120" s="1" t="s">
        <v>41</v>
      </c>
      <c r="J120" s="6" t="s">
        <v>156</v>
      </c>
      <c r="K120" s="7">
        <v>30</v>
      </c>
      <c r="L120" s="7">
        <v>25</v>
      </c>
      <c r="M120" s="7">
        <v>20</v>
      </c>
      <c r="N120" s="7">
        <v>10</v>
      </c>
      <c r="O120" s="7" t="s">
        <v>278</v>
      </c>
      <c r="P120" s="38"/>
      <c r="Q120" s="39">
        <f t="shared" si="4"/>
        <v>0</v>
      </c>
      <c r="R120" s="40">
        <f t="shared" si="5"/>
        <v>0</v>
      </c>
    </row>
    <row r="121" spans="1:18" s="41" customFormat="1" ht="147" customHeight="1" x14ac:dyDescent="0.25">
      <c r="A121" s="139">
        <v>11</v>
      </c>
      <c r="B121" s="140" t="s">
        <v>279</v>
      </c>
      <c r="C121" s="142">
        <f>SUM(E121:E128)</f>
        <v>3</v>
      </c>
      <c r="D121" s="136" t="s">
        <v>280</v>
      </c>
      <c r="E121" s="3">
        <v>0.5</v>
      </c>
      <c r="F121" s="3">
        <f t="shared" si="3"/>
        <v>0.50000000000000011</v>
      </c>
      <c r="G121" s="2" t="s">
        <v>281</v>
      </c>
      <c r="H121" s="10">
        <v>1</v>
      </c>
      <c r="I121" s="5" t="s">
        <v>41</v>
      </c>
      <c r="J121" s="6">
        <v>100</v>
      </c>
      <c r="K121" s="7">
        <v>95</v>
      </c>
      <c r="L121" s="7">
        <v>90</v>
      </c>
      <c r="M121" s="7">
        <v>85</v>
      </c>
      <c r="N121" s="7">
        <v>80</v>
      </c>
      <c r="O121" s="7" t="s">
        <v>42</v>
      </c>
      <c r="P121" s="38"/>
      <c r="Q121" s="39">
        <f t="shared" si="4"/>
        <v>0</v>
      </c>
      <c r="R121" s="40">
        <f t="shared" si="5"/>
        <v>0</v>
      </c>
    </row>
    <row r="122" spans="1:18" s="41" customFormat="1" ht="147" customHeight="1" x14ac:dyDescent="0.25">
      <c r="A122" s="139"/>
      <c r="B122" s="140"/>
      <c r="C122" s="142"/>
      <c r="D122" s="138"/>
      <c r="E122" s="3">
        <v>0.5</v>
      </c>
      <c r="F122" s="3">
        <f t="shared" si="3"/>
        <v>0.50000000000000011</v>
      </c>
      <c r="G122" s="2" t="s">
        <v>282</v>
      </c>
      <c r="H122" s="10">
        <v>1</v>
      </c>
      <c r="I122" s="5" t="s">
        <v>41</v>
      </c>
      <c r="J122" s="6">
        <v>100</v>
      </c>
      <c r="K122" s="7">
        <v>95</v>
      </c>
      <c r="L122" s="7">
        <v>90</v>
      </c>
      <c r="M122" s="7">
        <v>85</v>
      </c>
      <c r="N122" s="7">
        <v>80</v>
      </c>
      <c r="O122" s="7" t="s">
        <v>42</v>
      </c>
      <c r="P122" s="38"/>
      <c r="Q122" s="39">
        <f t="shared" si="4"/>
        <v>0</v>
      </c>
      <c r="R122" s="40">
        <f t="shared" si="5"/>
        <v>0</v>
      </c>
    </row>
    <row r="123" spans="1:18" s="41" customFormat="1" ht="147" customHeight="1" x14ac:dyDescent="0.25">
      <c r="A123" s="139"/>
      <c r="B123" s="140"/>
      <c r="C123" s="142"/>
      <c r="D123" s="136" t="s">
        <v>283</v>
      </c>
      <c r="E123" s="3">
        <v>0.35</v>
      </c>
      <c r="F123" s="3">
        <f t="shared" si="3"/>
        <v>0.35000000000000003</v>
      </c>
      <c r="G123" s="2" t="s">
        <v>284</v>
      </c>
      <c r="H123" s="10">
        <v>1</v>
      </c>
      <c r="I123" s="5" t="s">
        <v>41</v>
      </c>
      <c r="J123" s="6">
        <v>100</v>
      </c>
      <c r="K123" s="7">
        <v>95</v>
      </c>
      <c r="L123" s="7">
        <v>90</v>
      </c>
      <c r="M123" s="7">
        <v>85</v>
      </c>
      <c r="N123" s="7">
        <v>80</v>
      </c>
      <c r="O123" s="7" t="s">
        <v>42</v>
      </c>
      <c r="P123" s="38"/>
      <c r="Q123" s="39">
        <f t="shared" si="4"/>
        <v>0</v>
      </c>
      <c r="R123" s="40">
        <f t="shared" si="5"/>
        <v>0</v>
      </c>
    </row>
    <row r="124" spans="1:18" s="41" customFormat="1" ht="147" customHeight="1" x14ac:dyDescent="0.25">
      <c r="A124" s="139"/>
      <c r="B124" s="140"/>
      <c r="C124" s="142"/>
      <c r="D124" s="138"/>
      <c r="E124" s="3">
        <v>0.35</v>
      </c>
      <c r="F124" s="3">
        <f t="shared" si="3"/>
        <v>0.35000000000000003</v>
      </c>
      <c r="G124" s="2" t="s">
        <v>285</v>
      </c>
      <c r="H124" s="10">
        <v>1</v>
      </c>
      <c r="I124" s="5" t="s">
        <v>41</v>
      </c>
      <c r="J124" s="6">
        <v>100</v>
      </c>
      <c r="K124" s="7">
        <v>95</v>
      </c>
      <c r="L124" s="7">
        <v>90</v>
      </c>
      <c r="M124" s="7">
        <v>85</v>
      </c>
      <c r="N124" s="7">
        <v>80</v>
      </c>
      <c r="O124" s="7" t="s">
        <v>42</v>
      </c>
      <c r="P124" s="38"/>
      <c r="Q124" s="39">
        <f t="shared" si="4"/>
        <v>0</v>
      </c>
      <c r="R124" s="40">
        <f t="shared" si="5"/>
        <v>0</v>
      </c>
    </row>
    <row r="125" spans="1:18" s="41" customFormat="1" ht="147" customHeight="1" x14ac:dyDescent="0.25">
      <c r="A125" s="139"/>
      <c r="B125" s="140"/>
      <c r="C125" s="142"/>
      <c r="D125" s="140" t="s">
        <v>286</v>
      </c>
      <c r="E125" s="3">
        <v>0.2</v>
      </c>
      <c r="F125" s="3">
        <f t="shared" si="3"/>
        <v>0.20000000000000004</v>
      </c>
      <c r="G125" s="2" t="s">
        <v>287</v>
      </c>
      <c r="H125" s="10">
        <v>1</v>
      </c>
      <c r="I125" s="5" t="s">
        <v>41</v>
      </c>
      <c r="J125" s="6">
        <v>100</v>
      </c>
      <c r="K125" s="7">
        <v>95</v>
      </c>
      <c r="L125" s="7">
        <v>90</v>
      </c>
      <c r="M125" s="7">
        <v>85</v>
      </c>
      <c r="N125" s="7">
        <v>80</v>
      </c>
      <c r="O125" s="7" t="s">
        <v>42</v>
      </c>
      <c r="P125" s="38"/>
      <c r="Q125" s="39">
        <f t="shared" si="4"/>
        <v>0</v>
      </c>
      <c r="R125" s="40">
        <f t="shared" si="5"/>
        <v>0</v>
      </c>
    </row>
    <row r="126" spans="1:18" s="41" customFormat="1" ht="147" customHeight="1" x14ac:dyDescent="0.25">
      <c r="A126" s="139"/>
      <c r="B126" s="140"/>
      <c r="C126" s="142"/>
      <c r="D126" s="140"/>
      <c r="E126" s="3">
        <v>0.1</v>
      </c>
      <c r="F126" s="3">
        <f t="shared" si="3"/>
        <v>0.10000000000000002</v>
      </c>
      <c r="G126" s="2" t="s">
        <v>288</v>
      </c>
      <c r="H126" s="10">
        <v>1</v>
      </c>
      <c r="I126" s="5" t="s">
        <v>41</v>
      </c>
      <c r="J126" s="6">
        <v>100</v>
      </c>
      <c r="K126" s="7">
        <v>95</v>
      </c>
      <c r="L126" s="7">
        <v>90</v>
      </c>
      <c r="M126" s="7">
        <v>85</v>
      </c>
      <c r="N126" s="7">
        <v>80</v>
      </c>
      <c r="O126" s="7" t="s">
        <v>42</v>
      </c>
      <c r="P126" s="38"/>
      <c r="Q126" s="39">
        <f t="shared" si="4"/>
        <v>0</v>
      </c>
      <c r="R126" s="40">
        <f t="shared" si="5"/>
        <v>0</v>
      </c>
    </row>
    <row r="127" spans="1:18" s="41" customFormat="1" ht="147" customHeight="1" x14ac:dyDescent="0.25">
      <c r="A127" s="139"/>
      <c r="B127" s="140"/>
      <c r="C127" s="142"/>
      <c r="D127" s="8" t="s">
        <v>289</v>
      </c>
      <c r="E127" s="3">
        <v>0.5</v>
      </c>
      <c r="F127" s="3">
        <f t="shared" si="3"/>
        <v>0.50000000000000011</v>
      </c>
      <c r="G127" s="2" t="s">
        <v>290</v>
      </c>
      <c r="H127" s="10">
        <v>1</v>
      </c>
      <c r="I127" s="5" t="s">
        <v>41</v>
      </c>
      <c r="J127" s="6">
        <v>100</v>
      </c>
      <c r="K127" s="7">
        <v>95</v>
      </c>
      <c r="L127" s="7">
        <v>90</v>
      </c>
      <c r="M127" s="7">
        <v>85</v>
      </c>
      <c r="N127" s="7">
        <v>80</v>
      </c>
      <c r="O127" s="7" t="s">
        <v>42</v>
      </c>
      <c r="P127" s="38"/>
      <c r="Q127" s="39">
        <f t="shared" si="4"/>
        <v>0</v>
      </c>
      <c r="R127" s="40">
        <f t="shared" si="5"/>
        <v>0</v>
      </c>
    </row>
    <row r="128" spans="1:18" s="41" customFormat="1" ht="147" customHeight="1" x14ac:dyDescent="0.25">
      <c r="A128" s="139"/>
      <c r="B128" s="140"/>
      <c r="C128" s="142"/>
      <c r="D128" s="8" t="s">
        <v>291</v>
      </c>
      <c r="E128" s="12">
        <v>0.5</v>
      </c>
      <c r="F128" s="3">
        <f t="shared" si="3"/>
        <v>0.50000000000000011</v>
      </c>
      <c r="G128" s="14" t="s">
        <v>292</v>
      </c>
      <c r="H128" s="10">
        <v>1</v>
      </c>
      <c r="I128" s="5" t="s">
        <v>41</v>
      </c>
      <c r="J128" s="6">
        <v>100</v>
      </c>
      <c r="K128" s="7">
        <v>95</v>
      </c>
      <c r="L128" s="7">
        <v>90</v>
      </c>
      <c r="M128" s="7">
        <v>85</v>
      </c>
      <c r="N128" s="7">
        <v>80</v>
      </c>
      <c r="O128" s="7" t="s">
        <v>42</v>
      </c>
      <c r="P128" s="38"/>
      <c r="Q128" s="39">
        <f t="shared" si="4"/>
        <v>0</v>
      </c>
      <c r="R128" s="40">
        <f t="shared" si="5"/>
        <v>0</v>
      </c>
    </row>
    <row r="129" spans="1:18" s="41" customFormat="1" ht="147" customHeight="1" x14ac:dyDescent="0.25">
      <c r="A129" s="139">
        <v>12</v>
      </c>
      <c r="B129" s="140" t="s">
        <v>80</v>
      </c>
      <c r="C129" s="141">
        <f>SUM(E129:E131)</f>
        <v>5</v>
      </c>
      <c r="D129" s="140" t="s">
        <v>81</v>
      </c>
      <c r="E129" s="3">
        <v>2</v>
      </c>
      <c r="F129" s="3">
        <f t="shared" si="3"/>
        <v>2.0000000000000004</v>
      </c>
      <c r="G129" s="2" t="s">
        <v>82</v>
      </c>
      <c r="H129" s="1">
        <v>5</v>
      </c>
      <c r="I129" s="5" t="s">
        <v>55</v>
      </c>
      <c r="J129" s="6" t="s">
        <v>83</v>
      </c>
      <c r="K129" s="7">
        <v>5</v>
      </c>
      <c r="L129" s="7">
        <v>4</v>
      </c>
      <c r="M129" s="7">
        <v>3</v>
      </c>
      <c r="N129" s="7">
        <v>2</v>
      </c>
      <c r="O129" s="7">
        <v>1</v>
      </c>
      <c r="P129" s="38"/>
      <c r="Q129" s="39">
        <f t="shared" si="4"/>
        <v>0</v>
      </c>
      <c r="R129" s="40">
        <f t="shared" si="5"/>
        <v>0</v>
      </c>
    </row>
    <row r="130" spans="1:18" s="41" customFormat="1" ht="147" customHeight="1" x14ac:dyDescent="0.25">
      <c r="A130" s="139"/>
      <c r="B130" s="140"/>
      <c r="C130" s="141"/>
      <c r="D130" s="140"/>
      <c r="E130" s="3">
        <v>2</v>
      </c>
      <c r="F130" s="3">
        <f t="shared" si="3"/>
        <v>2.0000000000000004</v>
      </c>
      <c r="G130" s="2" t="s">
        <v>84</v>
      </c>
      <c r="H130" s="10">
        <v>0.1</v>
      </c>
      <c r="I130" s="1" t="s">
        <v>41</v>
      </c>
      <c r="J130" s="6" t="s">
        <v>85</v>
      </c>
      <c r="K130" s="7">
        <v>10</v>
      </c>
      <c r="L130" s="7">
        <v>7</v>
      </c>
      <c r="M130" s="7">
        <v>6</v>
      </c>
      <c r="N130" s="7">
        <v>5</v>
      </c>
      <c r="O130" s="7" t="s">
        <v>86</v>
      </c>
      <c r="P130" s="38"/>
      <c r="Q130" s="39">
        <f t="shared" si="4"/>
        <v>0</v>
      </c>
      <c r="R130" s="40">
        <f t="shared" si="5"/>
        <v>0</v>
      </c>
    </row>
    <row r="131" spans="1:18" s="41" customFormat="1" ht="147" customHeight="1" x14ac:dyDescent="0.25">
      <c r="A131" s="139"/>
      <c r="B131" s="140"/>
      <c r="C131" s="141"/>
      <c r="D131" s="140"/>
      <c r="E131" s="3">
        <v>1</v>
      </c>
      <c r="F131" s="3">
        <f t="shared" si="3"/>
        <v>1.0000000000000002</v>
      </c>
      <c r="G131" s="2" t="s">
        <v>87</v>
      </c>
      <c r="H131" s="1">
        <v>2</v>
      </c>
      <c r="I131" s="5" t="s">
        <v>55</v>
      </c>
      <c r="J131" s="6" t="s">
        <v>88</v>
      </c>
      <c r="K131" s="7">
        <v>2</v>
      </c>
      <c r="L131" s="7">
        <v>1</v>
      </c>
      <c r="M131" s="7">
        <v>0</v>
      </c>
      <c r="N131" s="7"/>
      <c r="O131" s="7"/>
      <c r="P131" s="38"/>
      <c r="Q131" s="39">
        <f t="shared" si="4"/>
        <v>0</v>
      </c>
      <c r="R131" s="40">
        <f t="shared" si="5"/>
        <v>0</v>
      </c>
    </row>
    <row r="132" spans="1:18" s="41" customFormat="1" ht="147" customHeight="1" x14ac:dyDescent="0.25">
      <c r="A132" s="139">
        <v>13</v>
      </c>
      <c r="B132" s="140" t="s">
        <v>295</v>
      </c>
      <c r="C132" s="141">
        <f>SUM(E132:E133)</f>
        <v>5</v>
      </c>
      <c r="D132" s="140" t="s">
        <v>294</v>
      </c>
      <c r="E132" s="3">
        <v>3</v>
      </c>
      <c r="F132" s="3">
        <f t="shared" si="3"/>
        <v>3.0000000000000004</v>
      </c>
      <c r="G132" s="2" t="s">
        <v>89</v>
      </c>
      <c r="H132" s="1">
        <v>5</v>
      </c>
      <c r="I132" s="1" t="s">
        <v>55</v>
      </c>
      <c r="J132" s="6" t="s">
        <v>83</v>
      </c>
      <c r="K132" s="7">
        <v>5</v>
      </c>
      <c r="L132" s="7">
        <v>4</v>
      </c>
      <c r="M132" s="7">
        <v>3</v>
      </c>
      <c r="N132" s="7">
        <v>2</v>
      </c>
      <c r="O132" s="7">
        <v>1</v>
      </c>
      <c r="P132" s="38"/>
      <c r="Q132" s="39">
        <f t="shared" si="4"/>
        <v>0</v>
      </c>
      <c r="R132" s="40">
        <f t="shared" si="5"/>
        <v>0</v>
      </c>
    </row>
    <row r="133" spans="1:18" s="41" customFormat="1" ht="147" customHeight="1" x14ac:dyDescent="0.25">
      <c r="A133" s="139"/>
      <c r="B133" s="140"/>
      <c r="C133" s="141"/>
      <c r="D133" s="140"/>
      <c r="E133" s="3">
        <v>2</v>
      </c>
      <c r="F133" s="3">
        <f t="shared" si="3"/>
        <v>2.0000000000000004</v>
      </c>
      <c r="G133" s="2" t="s">
        <v>90</v>
      </c>
      <c r="H133" s="1">
        <v>5</v>
      </c>
      <c r="I133" s="1" t="s">
        <v>55</v>
      </c>
      <c r="J133" s="6" t="s">
        <v>83</v>
      </c>
      <c r="K133" s="7">
        <v>5</v>
      </c>
      <c r="L133" s="7">
        <v>4</v>
      </c>
      <c r="M133" s="7">
        <v>3</v>
      </c>
      <c r="N133" s="7">
        <v>2</v>
      </c>
      <c r="O133" s="7">
        <v>1</v>
      </c>
      <c r="P133" s="38"/>
      <c r="Q133" s="39">
        <f t="shared" si="4"/>
        <v>0</v>
      </c>
      <c r="R133" s="40">
        <f t="shared" si="5"/>
        <v>0</v>
      </c>
    </row>
    <row r="134" spans="1:18" s="41" customFormat="1" ht="147" customHeight="1" x14ac:dyDescent="0.25">
      <c r="A134" s="127">
        <v>14</v>
      </c>
      <c r="B134" s="136" t="s">
        <v>91</v>
      </c>
      <c r="C134" s="133">
        <f>SUM(E134:E136)</f>
        <v>5</v>
      </c>
      <c r="D134" s="136" t="s">
        <v>92</v>
      </c>
      <c r="E134" s="3">
        <v>1</v>
      </c>
      <c r="F134" s="3">
        <f t="shared" si="3"/>
        <v>1.0000000000000002</v>
      </c>
      <c r="G134" s="2" t="s">
        <v>93</v>
      </c>
      <c r="H134" s="1">
        <v>5</v>
      </c>
      <c r="I134" s="1" t="s">
        <v>55</v>
      </c>
      <c r="J134" s="6" t="s">
        <v>83</v>
      </c>
      <c r="K134" s="7">
        <v>5</v>
      </c>
      <c r="L134" s="7">
        <v>4</v>
      </c>
      <c r="M134" s="7">
        <v>3</v>
      </c>
      <c r="N134" s="7">
        <v>2</v>
      </c>
      <c r="O134" s="7">
        <v>1</v>
      </c>
      <c r="P134" s="38"/>
      <c r="Q134" s="39">
        <f t="shared" si="4"/>
        <v>0</v>
      </c>
      <c r="R134" s="40">
        <f t="shared" si="5"/>
        <v>0</v>
      </c>
    </row>
    <row r="135" spans="1:18" s="41" customFormat="1" ht="147" customHeight="1" x14ac:dyDescent="0.25">
      <c r="A135" s="128"/>
      <c r="B135" s="137"/>
      <c r="C135" s="134"/>
      <c r="D135" s="137"/>
      <c r="E135" s="3">
        <v>2</v>
      </c>
      <c r="F135" s="3">
        <f t="shared" si="3"/>
        <v>2.0000000000000004</v>
      </c>
      <c r="G135" s="2" t="s">
        <v>94</v>
      </c>
      <c r="H135" s="10">
        <v>0.2</v>
      </c>
      <c r="I135" s="5" t="s">
        <v>41</v>
      </c>
      <c r="J135" s="6" t="s">
        <v>95</v>
      </c>
      <c r="K135" s="7">
        <v>20</v>
      </c>
      <c r="L135" s="7">
        <v>15</v>
      </c>
      <c r="M135" s="7">
        <v>10</v>
      </c>
      <c r="N135" s="7">
        <v>5</v>
      </c>
      <c r="O135" s="7" t="s">
        <v>86</v>
      </c>
      <c r="P135" s="38"/>
      <c r="Q135" s="39">
        <f t="shared" si="4"/>
        <v>0</v>
      </c>
      <c r="R135" s="40">
        <f t="shared" si="5"/>
        <v>0</v>
      </c>
    </row>
    <row r="136" spans="1:18" s="41" customFormat="1" ht="147" customHeight="1" x14ac:dyDescent="0.25">
      <c r="A136" s="129"/>
      <c r="B136" s="138"/>
      <c r="C136" s="135"/>
      <c r="D136" s="138"/>
      <c r="E136" s="3">
        <v>2</v>
      </c>
      <c r="F136" s="3">
        <f t="shared" si="3"/>
        <v>2.0000000000000004</v>
      </c>
      <c r="G136" s="2" t="s">
        <v>96</v>
      </c>
      <c r="H136" s="10">
        <v>0.8</v>
      </c>
      <c r="I136" s="1" t="s">
        <v>41</v>
      </c>
      <c r="J136" s="6" t="s">
        <v>63</v>
      </c>
      <c r="K136" s="7">
        <v>80</v>
      </c>
      <c r="L136" s="7">
        <v>75</v>
      </c>
      <c r="M136" s="7">
        <v>70</v>
      </c>
      <c r="N136" s="7">
        <v>50</v>
      </c>
      <c r="O136" s="7" t="s">
        <v>52</v>
      </c>
      <c r="P136" s="38"/>
      <c r="Q136" s="39">
        <f t="shared" si="4"/>
        <v>0</v>
      </c>
      <c r="R136" s="40">
        <f t="shared" si="5"/>
        <v>0</v>
      </c>
    </row>
    <row r="137" spans="1:18" s="41" customFormat="1" ht="147" customHeight="1" x14ac:dyDescent="0.25">
      <c r="A137" s="139">
        <v>15</v>
      </c>
      <c r="B137" s="140" t="s">
        <v>97</v>
      </c>
      <c r="C137" s="141">
        <f>SUM(E137:E138)</f>
        <v>5</v>
      </c>
      <c r="D137" s="140" t="s">
        <v>98</v>
      </c>
      <c r="E137" s="3">
        <v>3</v>
      </c>
      <c r="F137" s="3">
        <f t="shared" si="3"/>
        <v>3.0000000000000004</v>
      </c>
      <c r="G137" s="2" t="s">
        <v>99</v>
      </c>
      <c r="H137" s="10">
        <v>0.8</v>
      </c>
      <c r="I137" s="1" t="s">
        <v>41</v>
      </c>
      <c r="J137" s="6" t="s">
        <v>63</v>
      </c>
      <c r="K137" s="7">
        <v>80</v>
      </c>
      <c r="L137" s="7">
        <v>75</v>
      </c>
      <c r="M137" s="7">
        <v>70</v>
      </c>
      <c r="N137" s="7">
        <v>50</v>
      </c>
      <c r="O137" s="7" t="s">
        <v>52</v>
      </c>
      <c r="P137" s="38"/>
      <c r="Q137" s="39">
        <f t="shared" si="4"/>
        <v>0</v>
      </c>
      <c r="R137" s="40">
        <f t="shared" si="5"/>
        <v>0</v>
      </c>
    </row>
    <row r="138" spans="1:18" s="41" customFormat="1" ht="147" customHeight="1" x14ac:dyDescent="0.25">
      <c r="A138" s="139"/>
      <c r="B138" s="140"/>
      <c r="C138" s="141"/>
      <c r="D138" s="140"/>
      <c r="E138" s="3">
        <v>2</v>
      </c>
      <c r="F138" s="3">
        <f t="shared" si="3"/>
        <v>2.0000000000000004</v>
      </c>
      <c r="G138" s="2" t="s">
        <v>100</v>
      </c>
      <c r="H138" s="10">
        <v>0.8</v>
      </c>
      <c r="I138" s="1" t="s">
        <v>41</v>
      </c>
      <c r="J138" s="6" t="s">
        <v>63</v>
      </c>
      <c r="K138" s="7">
        <v>80</v>
      </c>
      <c r="L138" s="7">
        <v>75</v>
      </c>
      <c r="M138" s="7">
        <v>70</v>
      </c>
      <c r="N138" s="7">
        <v>50</v>
      </c>
      <c r="O138" s="7" t="s">
        <v>52</v>
      </c>
      <c r="P138" s="38"/>
      <c r="Q138" s="39">
        <f t="shared" si="4"/>
        <v>0</v>
      </c>
      <c r="R138" s="40">
        <f t="shared" si="5"/>
        <v>0</v>
      </c>
    </row>
    <row r="139" spans="1:18" s="41" customFormat="1" ht="147" customHeight="1" x14ac:dyDescent="0.25">
      <c r="A139" s="127">
        <v>16</v>
      </c>
      <c r="B139" s="130" t="s">
        <v>101</v>
      </c>
      <c r="C139" s="133">
        <v>7</v>
      </c>
      <c r="D139" s="136" t="s">
        <v>296</v>
      </c>
      <c r="E139" s="3">
        <v>2</v>
      </c>
      <c r="F139" s="3">
        <f t="shared" si="3"/>
        <v>2.0000000000000004</v>
      </c>
      <c r="G139" s="2" t="s">
        <v>102</v>
      </c>
      <c r="H139" s="10">
        <v>1</v>
      </c>
      <c r="I139" s="5" t="s">
        <v>41</v>
      </c>
      <c r="J139" s="6">
        <v>100</v>
      </c>
      <c r="K139" s="7">
        <v>95</v>
      </c>
      <c r="L139" s="7">
        <v>90</v>
      </c>
      <c r="M139" s="7">
        <v>85</v>
      </c>
      <c r="N139" s="7">
        <v>80</v>
      </c>
      <c r="O139" s="7" t="s">
        <v>42</v>
      </c>
      <c r="P139" s="38"/>
      <c r="Q139" s="39">
        <f t="shared" si="4"/>
        <v>0</v>
      </c>
      <c r="R139" s="40">
        <f t="shared" si="5"/>
        <v>0</v>
      </c>
    </row>
    <row r="140" spans="1:18" s="41" customFormat="1" ht="147" customHeight="1" x14ac:dyDescent="0.25">
      <c r="A140" s="128"/>
      <c r="B140" s="131"/>
      <c r="C140" s="134"/>
      <c r="D140" s="137"/>
      <c r="E140" s="3">
        <v>2</v>
      </c>
      <c r="F140" s="3">
        <f t="shared" si="3"/>
        <v>2.0000000000000004</v>
      </c>
      <c r="G140" s="2" t="s">
        <v>103</v>
      </c>
      <c r="H140" s="10">
        <v>1</v>
      </c>
      <c r="I140" s="5" t="s">
        <v>41</v>
      </c>
      <c r="J140" s="6">
        <v>100</v>
      </c>
      <c r="K140" s="7">
        <v>95</v>
      </c>
      <c r="L140" s="7">
        <v>90</v>
      </c>
      <c r="M140" s="7">
        <v>85</v>
      </c>
      <c r="N140" s="7">
        <v>80</v>
      </c>
      <c r="O140" s="7" t="s">
        <v>42</v>
      </c>
      <c r="P140" s="38"/>
      <c r="Q140" s="39">
        <f t="shared" si="4"/>
        <v>0</v>
      </c>
      <c r="R140" s="40">
        <f t="shared" si="5"/>
        <v>0</v>
      </c>
    </row>
    <row r="141" spans="1:18" s="41" customFormat="1" ht="147" customHeight="1" x14ac:dyDescent="0.25">
      <c r="A141" s="129"/>
      <c r="B141" s="132"/>
      <c r="C141" s="135"/>
      <c r="D141" s="138"/>
      <c r="E141" s="3">
        <v>3</v>
      </c>
      <c r="F141" s="3">
        <f t="shared" si="3"/>
        <v>3.0000000000000004</v>
      </c>
      <c r="G141" s="2" t="s">
        <v>102</v>
      </c>
      <c r="H141" s="10">
        <v>1</v>
      </c>
      <c r="I141" s="5" t="s">
        <v>41</v>
      </c>
      <c r="J141" s="6">
        <v>100</v>
      </c>
      <c r="K141" s="7">
        <v>95</v>
      </c>
      <c r="L141" s="7">
        <v>90</v>
      </c>
      <c r="M141" s="7">
        <v>85</v>
      </c>
      <c r="N141" s="7">
        <v>80</v>
      </c>
      <c r="O141" s="7" t="s">
        <v>42</v>
      </c>
      <c r="P141" s="38"/>
      <c r="Q141" s="39">
        <f t="shared" si="4"/>
        <v>0</v>
      </c>
      <c r="R141" s="40">
        <f t="shared" si="5"/>
        <v>0</v>
      </c>
    </row>
    <row r="142" spans="1:18" s="41" customFormat="1" ht="147" customHeight="1" x14ac:dyDescent="0.25">
      <c r="A142" s="139">
        <v>17</v>
      </c>
      <c r="B142" s="140" t="s">
        <v>104</v>
      </c>
      <c r="C142" s="141">
        <f>SUM(E142:E147)</f>
        <v>10</v>
      </c>
      <c r="D142" s="140" t="s">
        <v>105</v>
      </c>
      <c r="E142" s="3">
        <v>2</v>
      </c>
      <c r="F142" s="3">
        <f t="shared" si="3"/>
        <v>2.0000000000000004</v>
      </c>
      <c r="G142" s="2" t="s">
        <v>106</v>
      </c>
      <c r="H142" s="4">
        <v>0.8</v>
      </c>
      <c r="I142" s="1" t="s">
        <v>41</v>
      </c>
      <c r="J142" s="6" t="s">
        <v>63</v>
      </c>
      <c r="K142" s="7">
        <v>80</v>
      </c>
      <c r="L142" s="7">
        <v>75</v>
      </c>
      <c r="M142" s="7">
        <v>70</v>
      </c>
      <c r="N142" s="7">
        <v>50</v>
      </c>
      <c r="O142" s="7" t="s">
        <v>52</v>
      </c>
      <c r="P142" s="38"/>
      <c r="Q142" s="39">
        <f t="shared" si="4"/>
        <v>0</v>
      </c>
      <c r="R142" s="40">
        <f t="shared" si="5"/>
        <v>0</v>
      </c>
    </row>
    <row r="143" spans="1:18" s="41" customFormat="1" ht="147" customHeight="1" x14ac:dyDescent="0.25">
      <c r="A143" s="139"/>
      <c r="B143" s="140"/>
      <c r="C143" s="141"/>
      <c r="D143" s="140"/>
      <c r="E143" s="3">
        <v>1</v>
      </c>
      <c r="F143" s="3">
        <f t="shared" si="3"/>
        <v>1.0000000000000002</v>
      </c>
      <c r="G143" s="2" t="s">
        <v>107</v>
      </c>
      <c r="H143" s="4">
        <v>0.8</v>
      </c>
      <c r="I143" s="1" t="s">
        <v>41</v>
      </c>
      <c r="J143" s="6" t="s">
        <v>63</v>
      </c>
      <c r="K143" s="7">
        <v>80</v>
      </c>
      <c r="L143" s="7">
        <v>75</v>
      </c>
      <c r="M143" s="7">
        <v>70</v>
      </c>
      <c r="N143" s="7">
        <v>50</v>
      </c>
      <c r="O143" s="7" t="s">
        <v>52</v>
      </c>
      <c r="P143" s="38"/>
      <c r="Q143" s="39">
        <f t="shared" si="4"/>
        <v>0</v>
      </c>
      <c r="R143" s="40">
        <f t="shared" si="5"/>
        <v>0</v>
      </c>
    </row>
    <row r="144" spans="1:18" s="41" customFormat="1" ht="147" customHeight="1" x14ac:dyDescent="0.25">
      <c r="A144" s="139"/>
      <c r="B144" s="140"/>
      <c r="C144" s="141"/>
      <c r="D144" s="140"/>
      <c r="E144" s="3">
        <v>1</v>
      </c>
      <c r="F144" s="3">
        <f t="shared" si="3"/>
        <v>1.0000000000000002</v>
      </c>
      <c r="G144" s="2" t="s">
        <v>108</v>
      </c>
      <c r="H144" s="1">
        <v>5</v>
      </c>
      <c r="I144" s="1" t="s">
        <v>55</v>
      </c>
      <c r="J144" s="6" t="s">
        <v>83</v>
      </c>
      <c r="K144" s="7">
        <v>5</v>
      </c>
      <c r="L144" s="7">
        <v>4</v>
      </c>
      <c r="M144" s="7">
        <v>3</v>
      </c>
      <c r="N144" s="7">
        <v>2</v>
      </c>
      <c r="O144" s="7">
        <v>1</v>
      </c>
      <c r="P144" s="38"/>
      <c r="Q144" s="39">
        <f t="shared" si="4"/>
        <v>0</v>
      </c>
      <c r="R144" s="40">
        <f t="shared" si="5"/>
        <v>0</v>
      </c>
    </row>
    <row r="145" spans="1:18" s="41" customFormat="1" ht="147" customHeight="1" x14ac:dyDescent="0.25">
      <c r="A145" s="139"/>
      <c r="B145" s="140"/>
      <c r="C145" s="141"/>
      <c r="D145" s="140"/>
      <c r="E145" s="3">
        <v>2</v>
      </c>
      <c r="F145" s="3">
        <f t="shared" si="3"/>
        <v>2.0000000000000004</v>
      </c>
      <c r="G145" s="2" t="s">
        <v>109</v>
      </c>
      <c r="H145" s="4">
        <v>0.7</v>
      </c>
      <c r="I145" s="5" t="s">
        <v>41</v>
      </c>
      <c r="J145" s="6" t="s">
        <v>110</v>
      </c>
      <c r="K145" s="7">
        <v>70</v>
      </c>
      <c r="L145" s="7">
        <v>60</v>
      </c>
      <c r="M145" s="7">
        <v>50</v>
      </c>
      <c r="N145" s="7">
        <v>40</v>
      </c>
      <c r="O145" s="7" t="s">
        <v>111</v>
      </c>
      <c r="P145" s="38"/>
      <c r="Q145" s="39">
        <f t="shared" si="4"/>
        <v>0</v>
      </c>
      <c r="R145" s="40">
        <f t="shared" si="5"/>
        <v>0</v>
      </c>
    </row>
    <row r="146" spans="1:18" s="41" customFormat="1" ht="147" customHeight="1" x14ac:dyDescent="0.25">
      <c r="A146" s="139"/>
      <c r="B146" s="140"/>
      <c r="C146" s="141"/>
      <c r="D146" s="140" t="s">
        <v>112</v>
      </c>
      <c r="E146" s="3">
        <v>2</v>
      </c>
      <c r="F146" s="3">
        <f t="shared" si="3"/>
        <v>2.0000000000000004</v>
      </c>
      <c r="G146" s="2" t="s">
        <v>113</v>
      </c>
      <c r="H146" s="4">
        <v>0.5</v>
      </c>
      <c r="I146" s="5" t="s">
        <v>41</v>
      </c>
      <c r="J146" s="6" t="s">
        <v>47</v>
      </c>
      <c r="K146" s="7">
        <v>50</v>
      </c>
      <c r="L146" s="7">
        <v>45</v>
      </c>
      <c r="M146" s="7">
        <v>40</v>
      </c>
      <c r="N146" s="7">
        <v>25</v>
      </c>
      <c r="O146" s="7" t="s">
        <v>48</v>
      </c>
      <c r="P146" s="38"/>
      <c r="Q146" s="39">
        <f t="shared" si="4"/>
        <v>0</v>
      </c>
      <c r="R146" s="40">
        <f t="shared" si="5"/>
        <v>0</v>
      </c>
    </row>
    <row r="147" spans="1:18" s="41" customFormat="1" ht="147" customHeight="1" x14ac:dyDescent="0.25">
      <c r="A147" s="139"/>
      <c r="B147" s="140"/>
      <c r="C147" s="141"/>
      <c r="D147" s="140"/>
      <c r="E147" s="3">
        <v>2</v>
      </c>
      <c r="F147" s="3">
        <f t="shared" si="3"/>
        <v>2.0000000000000004</v>
      </c>
      <c r="G147" s="2" t="s">
        <v>114</v>
      </c>
      <c r="H147" s="11">
        <v>5</v>
      </c>
      <c r="I147" s="1" t="s">
        <v>55</v>
      </c>
      <c r="J147" s="6" t="s">
        <v>83</v>
      </c>
      <c r="K147" s="7">
        <v>5</v>
      </c>
      <c r="L147" s="7">
        <v>4</v>
      </c>
      <c r="M147" s="7">
        <v>3</v>
      </c>
      <c r="N147" s="7">
        <v>2</v>
      </c>
      <c r="O147" s="7">
        <v>1</v>
      </c>
      <c r="P147" s="38"/>
      <c r="Q147" s="39">
        <f t="shared" si="4"/>
        <v>0</v>
      </c>
      <c r="R147" s="40">
        <f t="shared" si="5"/>
        <v>0</v>
      </c>
    </row>
    <row r="148" spans="1:18" s="52" customFormat="1" ht="44.25" x14ac:dyDescent="0.25">
      <c r="A148" s="42"/>
      <c r="B148" s="43" t="s">
        <v>115</v>
      </c>
      <c r="C148" s="44">
        <f>SUM(C19:C147)</f>
        <v>100</v>
      </c>
      <c r="D148" s="43"/>
      <c r="E148" s="44">
        <f>SUM(E19:E147)</f>
        <v>99.999999999999986</v>
      </c>
      <c r="F148" s="44">
        <f>SUM(F19:F147)</f>
        <v>100</v>
      </c>
      <c r="G148" s="45"/>
      <c r="H148" s="46"/>
      <c r="I148" s="47"/>
      <c r="J148" s="48"/>
      <c r="K148" s="48"/>
      <c r="L148" s="48"/>
      <c r="M148" s="48"/>
      <c r="N148" s="48"/>
      <c r="O148" s="48"/>
      <c r="P148" s="49"/>
      <c r="Q148" s="50"/>
      <c r="R148" s="51">
        <f>SUM(R19:R147)</f>
        <v>0</v>
      </c>
    </row>
    <row r="149" spans="1:18" s="54" customFormat="1" ht="66" customHeight="1" x14ac:dyDescent="0.7">
      <c r="A149" s="53"/>
      <c r="G149" s="55"/>
      <c r="H149" s="55"/>
      <c r="I149" s="239" t="s">
        <v>307</v>
      </c>
      <c r="J149" s="240"/>
      <c r="K149" s="240"/>
      <c r="L149" s="240"/>
      <c r="M149" s="240"/>
      <c r="N149" s="240"/>
      <c r="O149" s="240"/>
      <c r="P149" s="240"/>
      <c r="Q149" s="241"/>
      <c r="R149" s="56">
        <f>R148/100 * 70</f>
        <v>0</v>
      </c>
    </row>
    <row r="150" spans="1:18" s="61" customFormat="1" ht="36" x14ac:dyDescent="0.55000000000000004">
      <c r="A150" s="242" t="s">
        <v>116</v>
      </c>
      <c r="B150" s="243"/>
      <c r="C150" s="243"/>
      <c r="D150" s="243"/>
      <c r="E150" s="243"/>
      <c r="F150" s="243"/>
      <c r="G150" s="244"/>
      <c r="H150" s="245"/>
      <c r="I150" s="245"/>
      <c r="J150" s="245"/>
      <c r="K150" s="245"/>
      <c r="L150" s="231" t="s">
        <v>121</v>
      </c>
      <c r="M150" s="57" t="s">
        <v>117</v>
      </c>
      <c r="N150" s="57"/>
      <c r="O150" s="57"/>
      <c r="P150" s="58"/>
      <c r="Q150" s="59"/>
      <c r="R150" s="60"/>
    </row>
    <row r="151" spans="1:18" s="61" customFormat="1" ht="31.5" customHeight="1" x14ac:dyDescent="0.55000000000000004">
      <c r="A151" s="62"/>
      <c r="B151" s="63"/>
      <c r="C151" s="246" t="s">
        <v>118</v>
      </c>
      <c r="D151" s="246"/>
      <c r="E151" s="246"/>
      <c r="F151" s="246"/>
      <c r="G151" s="246"/>
      <c r="H151" s="64" t="s">
        <v>308</v>
      </c>
      <c r="I151" s="64" t="s">
        <v>309</v>
      </c>
      <c r="J151" s="64"/>
      <c r="K151" s="65"/>
      <c r="L151" s="232"/>
      <c r="M151" s="66"/>
      <c r="N151" s="66"/>
      <c r="O151" s="66"/>
      <c r="P151" s="67"/>
      <c r="Q151" s="59"/>
      <c r="R151" s="60"/>
    </row>
    <row r="152" spans="1:18" s="61" customFormat="1" ht="36" customHeight="1" x14ac:dyDescent="0.55000000000000004">
      <c r="A152" s="68">
        <v>1</v>
      </c>
      <c r="B152" s="69" t="s">
        <v>122</v>
      </c>
      <c r="C152" s="216"/>
      <c r="D152" s="217"/>
      <c r="E152" s="217"/>
      <c r="F152" s="217"/>
      <c r="G152" s="218"/>
      <c r="H152" s="70"/>
      <c r="I152" s="70"/>
      <c r="J152" s="70"/>
      <c r="K152" s="70"/>
      <c r="L152" s="71"/>
      <c r="M152" s="72" t="s">
        <v>32</v>
      </c>
      <c r="N152" s="214" t="s">
        <v>123</v>
      </c>
      <c r="O152" s="215"/>
      <c r="P152" s="67"/>
      <c r="Q152" s="59"/>
      <c r="R152" s="60"/>
    </row>
    <row r="153" spans="1:18" s="61" customFormat="1" ht="84.75" customHeight="1" x14ac:dyDescent="0.55000000000000004">
      <c r="A153" s="75" t="s">
        <v>124</v>
      </c>
      <c r="B153" s="76" t="s">
        <v>310</v>
      </c>
      <c r="C153" s="219"/>
      <c r="D153" s="220"/>
      <c r="E153" s="220"/>
      <c r="F153" s="220"/>
      <c r="G153" s="221"/>
      <c r="H153" s="77">
        <v>4</v>
      </c>
      <c r="I153" s="78">
        <v>4</v>
      </c>
      <c r="J153" s="77"/>
      <c r="K153" s="77"/>
      <c r="L153" s="71"/>
      <c r="M153" s="72" t="s">
        <v>33</v>
      </c>
      <c r="N153" s="214" t="s">
        <v>125</v>
      </c>
      <c r="O153" s="215"/>
      <c r="P153" s="67"/>
      <c r="Q153" s="59"/>
      <c r="R153" s="60"/>
    </row>
    <row r="154" spans="1:18" s="61" customFormat="1" ht="82.5" customHeight="1" x14ac:dyDescent="0.55000000000000004">
      <c r="A154" s="75" t="s">
        <v>126</v>
      </c>
      <c r="B154" s="76" t="s">
        <v>311</v>
      </c>
      <c r="C154" s="219"/>
      <c r="D154" s="220"/>
      <c r="E154" s="220"/>
      <c r="F154" s="220"/>
      <c r="G154" s="221"/>
      <c r="H154" s="77">
        <v>2</v>
      </c>
      <c r="I154" s="78">
        <v>2</v>
      </c>
      <c r="J154" s="77"/>
      <c r="K154" s="77"/>
      <c r="L154" s="71"/>
      <c r="M154" s="72" t="s">
        <v>34</v>
      </c>
      <c r="N154" s="214" t="s">
        <v>127</v>
      </c>
      <c r="O154" s="215"/>
      <c r="P154" s="67"/>
      <c r="Q154" s="59"/>
      <c r="R154" s="60"/>
    </row>
    <row r="155" spans="1:18" s="61" customFormat="1" ht="78.75" customHeight="1" x14ac:dyDescent="0.55000000000000004">
      <c r="A155" s="75" t="s">
        <v>128</v>
      </c>
      <c r="B155" s="76" t="s">
        <v>129</v>
      </c>
      <c r="C155" s="219"/>
      <c r="D155" s="220"/>
      <c r="E155" s="220"/>
      <c r="F155" s="220"/>
      <c r="G155" s="221"/>
      <c r="H155" s="77">
        <v>2</v>
      </c>
      <c r="I155" s="78">
        <v>2</v>
      </c>
      <c r="J155" s="77"/>
      <c r="K155" s="77"/>
      <c r="L155" s="71"/>
      <c r="M155" s="72" t="s">
        <v>35</v>
      </c>
      <c r="N155" s="214" t="s">
        <v>130</v>
      </c>
      <c r="O155" s="215"/>
      <c r="P155" s="67"/>
      <c r="Q155" s="59"/>
      <c r="R155" s="60"/>
    </row>
    <row r="156" spans="1:18" s="61" customFormat="1" ht="36" x14ac:dyDescent="0.55000000000000004">
      <c r="A156" s="79">
        <v>2</v>
      </c>
      <c r="B156" s="80" t="s">
        <v>131</v>
      </c>
      <c r="C156" s="208"/>
      <c r="D156" s="209"/>
      <c r="E156" s="209"/>
      <c r="F156" s="209"/>
      <c r="G156" s="210"/>
      <c r="H156" s="77"/>
      <c r="I156" s="78"/>
      <c r="J156" s="77"/>
      <c r="K156" s="77"/>
      <c r="L156" s="71"/>
      <c r="M156" s="72" t="s">
        <v>36</v>
      </c>
      <c r="N156" s="214" t="s">
        <v>132</v>
      </c>
      <c r="O156" s="215"/>
      <c r="P156" s="67"/>
      <c r="Q156" s="59"/>
      <c r="R156" s="60"/>
    </row>
    <row r="157" spans="1:18" s="61" customFormat="1" ht="82.5" customHeight="1" x14ac:dyDescent="0.55000000000000004">
      <c r="A157" s="75" t="s">
        <v>124</v>
      </c>
      <c r="B157" s="81" t="s">
        <v>312</v>
      </c>
      <c r="C157" s="200"/>
      <c r="D157" s="201"/>
      <c r="E157" s="201"/>
      <c r="F157" s="201"/>
      <c r="G157" s="202"/>
      <c r="H157" s="77">
        <v>2</v>
      </c>
      <c r="I157" s="78">
        <v>2</v>
      </c>
      <c r="J157" s="77"/>
      <c r="K157" s="77"/>
      <c r="L157" s="71"/>
      <c r="M157" s="72" t="s">
        <v>37</v>
      </c>
      <c r="N157" s="214" t="s">
        <v>133</v>
      </c>
      <c r="O157" s="215"/>
      <c r="P157" s="82"/>
      <c r="Q157" s="59"/>
      <c r="R157" s="60"/>
    </row>
    <row r="158" spans="1:18" s="61" customFormat="1" ht="114.75" customHeight="1" x14ac:dyDescent="0.55000000000000004">
      <c r="A158" s="75" t="s">
        <v>126</v>
      </c>
      <c r="B158" s="81" t="s">
        <v>313</v>
      </c>
      <c r="C158" s="200"/>
      <c r="D158" s="201"/>
      <c r="E158" s="201"/>
      <c r="F158" s="201"/>
      <c r="G158" s="202"/>
      <c r="H158" s="77">
        <v>2</v>
      </c>
      <c r="I158" s="78">
        <v>2</v>
      </c>
      <c r="J158" s="77"/>
      <c r="K158" s="77"/>
      <c r="L158" s="71"/>
      <c r="M158" s="67" t="s">
        <v>121</v>
      </c>
      <c r="N158" s="73" t="s">
        <v>134</v>
      </c>
      <c r="O158" s="74"/>
      <c r="P158" s="82"/>
      <c r="Q158" s="59"/>
      <c r="R158" s="60"/>
    </row>
    <row r="159" spans="1:18" s="61" customFormat="1" ht="72" customHeight="1" x14ac:dyDescent="0.55000000000000004">
      <c r="A159" s="75" t="s">
        <v>128</v>
      </c>
      <c r="B159" s="81" t="s">
        <v>314</v>
      </c>
      <c r="C159" s="200"/>
      <c r="D159" s="201"/>
      <c r="E159" s="201"/>
      <c r="F159" s="201"/>
      <c r="G159" s="202"/>
      <c r="H159" s="77">
        <v>2</v>
      </c>
      <c r="I159" s="78">
        <v>2</v>
      </c>
      <c r="J159" s="77"/>
      <c r="K159" s="77"/>
      <c r="L159" s="71"/>
      <c r="M159" s="67" t="s">
        <v>135</v>
      </c>
      <c r="N159" s="73" t="s">
        <v>136</v>
      </c>
      <c r="O159" s="74"/>
      <c r="P159" s="82"/>
      <c r="Q159" s="59"/>
      <c r="R159" s="60"/>
    </row>
    <row r="160" spans="1:18" s="61" customFormat="1" ht="66" customHeight="1" x14ac:dyDescent="0.55000000000000004">
      <c r="A160" s="79">
        <v>3</v>
      </c>
      <c r="B160" s="80" t="s">
        <v>137</v>
      </c>
      <c r="C160" s="208"/>
      <c r="D160" s="209"/>
      <c r="E160" s="209"/>
      <c r="F160" s="209"/>
      <c r="G160" s="210"/>
      <c r="H160" s="77"/>
      <c r="I160" s="78"/>
      <c r="J160" s="77"/>
      <c r="K160" s="77"/>
      <c r="L160" s="71"/>
      <c r="M160" s="67" t="s">
        <v>119</v>
      </c>
      <c r="N160" s="73" t="s">
        <v>138</v>
      </c>
      <c r="O160" s="74"/>
      <c r="P160" s="82"/>
      <c r="Q160" s="59"/>
      <c r="R160" s="60"/>
    </row>
    <row r="161" spans="1:18" s="61" customFormat="1" ht="72" customHeight="1" x14ac:dyDescent="0.55000000000000004">
      <c r="A161" s="75" t="s">
        <v>124</v>
      </c>
      <c r="B161" s="81" t="s">
        <v>139</v>
      </c>
      <c r="C161" s="211"/>
      <c r="D161" s="212"/>
      <c r="E161" s="212"/>
      <c r="F161" s="212"/>
      <c r="G161" s="213"/>
      <c r="H161" s="77">
        <v>2</v>
      </c>
      <c r="I161" s="78">
        <v>2</v>
      </c>
      <c r="J161" s="77"/>
      <c r="K161" s="77"/>
      <c r="L161" s="71"/>
      <c r="M161" s="67" t="s">
        <v>120</v>
      </c>
      <c r="N161" s="73" t="s">
        <v>140</v>
      </c>
      <c r="O161" s="74"/>
      <c r="P161" s="82"/>
      <c r="Q161" s="59"/>
      <c r="R161" s="60"/>
    </row>
    <row r="162" spans="1:18" s="61" customFormat="1" ht="72" customHeight="1" x14ac:dyDescent="0.55000000000000004">
      <c r="A162" s="75" t="s">
        <v>126</v>
      </c>
      <c r="B162" s="81" t="s">
        <v>315</v>
      </c>
      <c r="C162" s="211"/>
      <c r="D162" s="212"/>
      <c r="E162" s="212"/>
      <c r="F162" s="212"/>
      <c r="G162" s="213"/>
      <c r="H162" s="77">
        <v>2</v>
      </c>
      <c r="I162" s="78">
        <v>2</v>
      </c>
      <c r="J162" s="77"/>
      <c r="K162" s="77"/>
      <c r="L162" s="71"/>
      <c r="M162" s="67" t="s">
        <v>141</v>
      </c>
      <c r="N162" s="73" t="s">
        <v>142</v>
      </c>
      <c r="O162" s="74"/>
      <c r="P162" s="82"/>
      <c r="Q162" s="59"/>
      <c r="R162" s="60"/>
    </row>
    <row r="163" spans="1:18" s="61" customFormat="1" ht="44.25" customHeight="1" x14ac:dyDescent="0.55000000000000004">
      <c r="A163" s="75" t="s">
        <v>128</v>
      </c>
      <c r="B163" s="81" t="s">
        <v>316</v>
      </c>
      <c r="C163" s="211"/>
      <c r="D163" s="212"/>
      <c r="E163" s="212"/>
      <c r="F163" s="212"/>
      <c r="G163" s="213"/>
      <c r="H163" s="77">
        <v>2</v>
      </c>
      <c r="I163" s="78">
        <v>2</v>
      </c>
      <c r="J163" s="77"/>
      <c r="K163" s="77"/>
      <c r="L163" s="71"/>
      <c r="M163" s="83"/>
      <c r="N163" s="83"/>
      <c r="O163" s="83"/>
      <c r="P163" s="84"/>
      <c r="Q163" s="59"/>
      <c r="R163" s="60"/>
    </row>
    <row r="164" spans="1:18" s="61" customFormat="1" ht="31.5" customHeight="1" x14ac:dyDescent="0.55000000000000004">
      <c r="A164" s="198" t="s">
        <v>143</v>
      </c>
      <c r="B164" s="199"/>
      <c r="C164" s="199"/>
      <c r="D164" s="199"/>
      <c r="E164" s="199"/>
      <c r="F164" s="199"/>
      <c r="G164" s="199"/>
      <c r="H164" s="85">
        <f>SUM(H153:H163)</f>
        <v>20</v>
      </c>
      <c r="I164" s="85">
        <f>SUM(I153:I163)</f>
        <v>20</v>
      </c>
      <c r="J164" s="85"/>
      <c r="K164" s="86"/>
      <c r="L164" s="71"/>
      <c r="M164" s="83"/>
      <c r="N164" s="83"/>
      <c r="O164" s="83"/>
      <c r="P164" s="84"/>
      <c r="Q164" s="59"/>
      <c r="R164" s="60"/>
    </row>
    <row r="165" spans="1:18" s="61" customFormat="1" ht="36" customHeight="1" x14ac:dyDescent="0.55000000000000004">
      <c r="A165" s="87" t="s">
        <v>124</v>
      </c>
      <c r="B165" s="88" t="s">
        <v>144</v>
      </c>
      <c r="C165" s="200" t="s">
        <v>145</v>
      </c>
      <c r="D165" s="201"/>
      <c r="E165" s="201"/>
      <c r="F165" s="201"/>
      <c r="G165" s="202"/>
      <c r="H165" s="89">
        <v>4</v>
      </c>
      <c r="I165" s="90">
        <v>3.5</v>
      </c>
      <c r="J165" s="89"/>
      <c r="K165" s="91"/>
      <c r="L165" s="71"/>
      <c r="M165" s="83"/>
      <c r="N165" s="83"/>
      <c r="O165" s="83"/>
      <c r="P165" s="84"/>
      <c r="Q165" s="59"/>
      <c r="R165" s="60"/>
    </row>
    <row r="166" spans="1:18" s="61" customFormat="1" ht="129" customHeight="1" x14ac:dyDescent="0.55000000000000004">
      <c r="A166" s="87" t="s">
        <v>126</v>
      </c>
      <c r="B166" s="88" t="s">
        <v>146</v>
      </c>
      <c r="C166" s="200" t="s">
        <v>147</v>
      </c>
      <c r="D166" s="201"/>
      <c r="E166" s="201"/>
      <c r="F166" s="201"/>
      <c r="G166" s="202"/>
      <c r="H166" s="89">
        <v>3</v>
      </c>
      <c r="I166" s="90">
        <v>3</v>
      </c>
      <c r="J166" s="89"/>
      <c r="K166" s="91"/>
      <c r="L166" s="71"/>
      <c r="M166" s="83"/>
      <c r="N166" s="83"/>
      <c r="O166" s="83"/>
      <c r="P166" s="84"/>
      <c r="Q166" s="59"/>
      <c r="R166" s="60"/>
    </row>
    <row r="167" spans="1:18" s="61" customFormat="1" ht="69" customHeight="1" x14ac:dyDescent="0.55000000000000004">
      <c r="A167" s="87" t="s">
        <v>126</v>
      </c>
      <c r="B167" s="88" t="s">
        <v>148</v>
      </c>
      <c r="C167" s="200" t="s">
        <v>149</v>
      </c>
      <c r="D167" s="201"/>
      <c r="E167" s="201"/>
      <c r="F167" s="201"/>
      <c r="G167" s="202"/>
      <c r="H167" s="89">
        <v>3</v>
      </c>
      <c r="I167" s="90">
        <v>3</v>
      </c>
      <c r="J167" s="89"/>
      <c r="K167" s="91"/>
      <c r="L167" s="71"/>
      <c r="M167" s="83"/>
      <c r="N167" s="83"/>
      <c r="O167" s="83"/>
      <c r="P167" s="84"/>
      <c r="Q167" s="59"/>
      <c r="R167" s="60"/>
    </row>
    <row r="168" spans="1:18" s="61" customFormat="1" ht="46.5" customHeight="1" x14ac:dyDescent="0.55000000000000004">
      <c r="A168" s="92"/>
      <c r="B168" s="203" t="s">
        <v>150</v>
      </c>
      <c r="C168" s="203"/>
      <c r="D168" s="203"/>
      <c r="E168" s="93"/>
      <c r="F168" s="93"/>
      <c r="G168" s="93"/>
      <c r="H168" s="85">
        <f>SUM(H165:H167)</f>
        <v>10</v>
      </c>
      <c r="I168" s="85">
        <f>SUM(I165:I167)</f>
        <v>9.5</v>
      </c>
      <c r="J168" s="93"/>
      <c r="K168" s="94"/>
      <c r="L168" s="83"/>
      <c r="M168" s="83"/>
      <c r="N168" s="83"/>
      <c r="O168" s="83"/>
      <c r="P168" s="84"/>
      <c r="Q168" s="59"/>
      <c r="R168" s="60"/>
    </row>
    <row r="169" spans="1:18" s="97" customFormat="1" ht="45" customHeight="1" x14ac:dyDescent="0.7">
      <c r="A169" s="95"/>
      <c r="B169" s="204"/>
      <c r="C169" s="96"/>
      <c r="D169" s="96"/>
      <c r="E169" s="96"/>
      <c r="F169" s="207"/>
      <c r="G169" s="207"/>
      <c r="H169" s="207"/>
      <c r="I169" s="207"/>
      <c r="J169" s="207"/>
      <c r="K169" s="96"/>
      <c r="L169" s="96"/>
      <c r="M169" s="96"/>
      <c r="N169" s="96"/>
      <c r="O169" s="189" t="s">
        <v>317</v>
      </c>
      <c r="P169" s="190"/>
      <c r="Q169" s="189" t="s">
        <v>318</v>
      </c>
      <c r="R169" s="191"/>
    </row>
    <row r="170" spans="1:18" s="97" customFormat="1" ht="45" customHeight="1" x14ac:dyDescent="0.7">
      <c r="A170" s="95"/>
      <c r="B170" s="205"/>
      <c r="C170" s="178" t="s">
        <v>319</v>
      </c>
      <c r="D170" s="179"/>
      <c r="E170" s="179"/>
      <c r="F170" s="179"/>
      <c r="G170" s="179"/>
      <c r="H170" s="179"/>
      <c r="I170" s="179"/>
      <c r="J170" s="179"/>
      <c r="K170" s="180"/>
      <c r="L170" s="173"/>
      <c r="M170" s="174"/>
      <c r="N170" s="175"/>
      <c r="O170" s="176">
        <f>R149</f>
        <v>0</v>
      </c>
      <c r="P170" s="177"/>
      <c r="Q170" s="192"/>
      <c r="R170" s="193"/>
    </row>
    <row r="171" spans="1:18" s="97" customFormat="1" ht="45" customHeight="1" x14ac:dyDescent="0.7">
      <c r="A171" s="95"/>
      <c r="B171" s="205"/>
      <c r="C171" s="179" t="s">
        <v>320</v>
      </c>
      <c r="D171" s="179"/>
      <c r="E171" s="179"/>
      <c r="F171" s="179"/>
      <c r="G171" s="179"/>
      <c r="H171" s="179"/>
      <c r="I171" s="179"/>
      <c r="J171" s="179"/>
      <c r="K171" s="179"/>
      <c r="L171" s="174"/>
      <c r="M171" s="174"/>
      <c r="N171" s="175"/>
      <c r="O171" s="176">
        <f>I164</f>
        <v>20</v>
      </c>
      <c r="P171" s="177"/>
      <c r="Q171" s="194"/>
      <c r="R171" s="195"/>
    </row>
    <row r="172" spans="1:18" s="97" customFormat="1" ht="45" customHeight="1" x14ac:dyDescent="0.7">
      <c r="A172" s="95"/>
      <c r="B172" s="205"/>
      <c r="C172" s="178" t="s">
        <v>321</v>
      </c>
      <c r="D172" s="179"/>
      <c r="E172" s="179"/>
      <c r="F172" s="179"/>
      <c r="G172" s="179"/>
      <c r="H172" s="179"/>
      <c r="I172" s="179"/>
      <c r="J172" s="179"/>
      <c r="K172" s="180"/>
      <c r="L172" s="173"/>
      <c r="M172" s="174"/>
      <c r="N172" s="175"/>
      <c r="O172" s="176">
        <f>I168</f>
        <v>9.5</v>
      </c>
      <c r="P172" s="177"/>
      <c r="Q172" s="194"/>
      <c r="R172" s="195"/>
    </row>
    <row r="173" spans="1:18" s="97" customFormat="1" ht="45" customHeight="1" x14ac:dyDescent="0.7">
      <c r="A173" s="95"/>
      <c r="B173" s="206"/>
      <c r="C173" s="178" t="s">
        <v>322</v>
      </c>
      <c r="D173" s="179"/>
      <c r="E173" s="179"/>
      <c r="F173" s="179"/>
      <c r="G173" s="179"/>
      <c r="H173" s="179"/>
      <c r="I173" s="179"/>
      <c r="J173" s="179"/>
      <c r="K173" s="180"/>
      <c r="L173" s="173"/>
      <c r="M173" s="174"/>
      <c r="N173" s="175"/>
      <c r="O173" s="176">
        <f>SUM(O170:P172)</f>
        <v>29.5</v>
      </c>
      <c r="P173" s="177"/>
      <c r="Q173" s="196"/>
      <c r="R173" s="197"/>
    </row>
    <row r="174" spans="1:18" s="97" customFormat="1" ht="64.900000000000006" customHeight="1" x14ac:dyDescent="0.7">
      <c r="A174" s="95"/>
      <c r="B174" s="181" t="s">
        <v>323</v>
      </c>
      <c r="C174" s="181"/>
      <c r="D174" s="181"/>
      <c r="E174" s="181"/>
      <c r="F174" s="181"/>
      <c r="G174" s="181"/>
      <c r="H174" s="98"/>
      <c r="I174" s="98"/>
      <c r="J174" s="98"/>
      <c r="K174" s="98"/>
      <c r="L174" s="98"/>
      <c r="M174" s="98"/>
      <c r="N174" s="98"/>
      <c r="O174" s="98"/>
      <c r="P174" s="98"/>
      <c r="Q174" s="98"/>
      <c r="R174" s="99"/>
    </row>
    <row r="175" spans="1:18" s="97" customFormat="1" ht="64.900000000000006" customHeight="1" x14ac:dyDescent="0.7">
      <c r="A175" s="95"/>
      <c r="B175" s="155" t="s">
        <v>324</v>
      </c>
      <c r="C175" s="155"/>
      <c r="D175" s="155"/>
      <c r="E175" s="155"/>
      <c r="F175" s="155"/>
      <c r="G175" s="155"/>
      <c r="H175" s="155"/>
      <c r="I175" s="155"/>
      <c r="J175" s="155"/>
      <c r="K175" s="155"/>
      <c r="L175" s="155"/>
      <c r="M175" s="155"/>
      <c r="N175" s="155"/>
      <c r="O175" s="155"/>
      <c r="P175" s="155"/>
      <c r="Q175" s="155"/>
      <c r="R175" s="156"/>
    </row>
    <row r="176" spans="1:18" s="97" customFormat="1" ht="48.75" customHeight="1" x14ac:dyDescent="0.7">
      <c r="A176" s="95"/>
      <c r="B176" s="157" t="s">
        <v>325</v>
      </c>
      <c r="C176" s="157"/>
      <c r="D176" s="157"/>
      <c r="E176" s="157"/>
      <c r="F176" s="157"/>
      <c r="G176" s="157"/>
      <c r="H176" s="100"/>
      <c r="I176" s="100"/>
      <c r="J176" s="100"/>
      <c r="K176" s="100"/>
      <c r="L176" s="100"/>
      <c r="M176" s="100"/>
      <c r="N176" s="100"/>
      <c r="O176" s="100"/>
      <c r="P176" s="100"/>
      <c r="Q176" s="100"/>
      <c r="R176" s="101"/>
    </row>
    <row r="177" spans="1:18" s="97" customFormat="1" ht="45.75" x14ac:dyDescent="0.7">
      <c r="A177" s="95"/>
      <c r="B177" s="155"/>
      <c r="C177" s="155"/>
      <c r="D177" s="155"/>
      <c r="E177" s="155"/>
      <c r="F177" s="155"/>
      <c r="G177" s="155"/>
      <c r="H177" s="155"/>
      <c r="I177" s="155"/>
      <c r="J177" s="155"/>
      <c r="K177" s="155"/>
      <c r="L177" s="155"/>
      <c r="M177" s="155"/>
      <c r="N177" s="155"/>
      <c r="O177" s="155"/>
      <c r="P177" s="155"/>
      <c r="Q177" s="155"/>
      <c r="R177" s="156"/>
    </row>
    <row r="178" spans="1:18" s="61" customFormat="1" ht="31.5" customHeight="1" x14ac:dyDescent="0.55000000000000004">
      <c r="A178" s="158" t="s">
        <v>326</v>
      </c>
      <c r="B178" s="159"/>
      <c r="C178" s="152"/>
      <c r="D178" s="164"/>
      <c r="E178" s="167" t="s">
        <v>327</v>
      </c>
      <c r="F178" s="146"/>
      <c r="G178" s="159" t="s">
        <v>328</v>
      </c>
      <c r="H178" s="152"/>
      <c r="I178" s="152"/>
      <c r="J178" s="152"/>
      <c r="K178" s="102"/>
      <c r="L178" s="71"/>
      <c r="M178" s="170"/>
      <c r="N178" s="170"/>
      <c r="O178" s="170"/>
      <c r="P178" s="170"/>
      <c r="Q178" s="170"/>
      <c r="R178" s="60"/>
    </row>
    <row r="179" spans="1:18" s="61" customFormat="1" ht="31.5" customHeight="1" x14ac:dyDescent="0.55000000000000004">
      <c r="A179" s="160"/>
      <c r="B179" s="161"/>
      <c r="C179" s="153"/>
      <c r="D179" s="165"/>
      <c r="E179" s="168"/>
      <c r="F179" s="147"/>
      <c r="G179" s="161"/>
      <c r="H179" s="153"/>
      <c r="I179" s="153"/>
      <c r="J179" s="153"/>
      <c r="K179" s="102"/>
      <c r="L179" s="71"/>
      <c r="M179" s="171"/>
      <c r="N179" s="171"/>
      <c r="O179" s="171"/>
      <c r="P179" s="171"/>
      <c r="Q179" s="171"/>
      <c r="R179" s="60"/>
    </row>
    <row r="180" spans="1:18" s="61" customFormat="1" ht="31.5" customHeight="1" x14ac:dyDescent="0.55000000000000004">
      <c r="A180" s="160"/>
      <c r="B180" s="161"/>
      <c r="C180" s="153"/>
      <c r="D180" s="165"/>
      <c r="E180" s="168"/>
      <c r="F180" s="147"/>
      <c r="G180" s="161"/>
      <c r="H180" s="153"/>
      <c r="I180" s="153"/>
      <c r="J180" s="153"/>
      <c r="K180" s="102"/>
      <c r="L180" s="71"/>
      <c r="M180" s="171"/>
      <c r="N180" s="171"/>
      <c r="O180" s="171"/>
      <c r="P180" s="171"/>
      <c r="Q180" s="171"/>
      <c r="R180" s="60"/>
    </row>
    <row r="181" spans="1:18" s="61" customFormat="1" ht="31.5" customHeight="1" x14ac:dyDescent="0.55000000000000004">
      <c r="A181" s="162"/>
      <c r="B181" s="163"/>
      <c r="C181" s="154"/>
      <c r="D181" s="166"/>
      <c r="E181" s="169"/>
      <c r="F181" s="148"/>
      <c r="G181" s="163"/>
      <c r="H181" s="154"/>
      <c r="I181" s="154"/>
      <c r="J181" s="154"/>
      <c r="K181" s="102"/>
      <c r="L181" s="71"/>
      <c r="M181" s="171"/>
      <c r="N181" s="171"/>
      <c r="O181" s="171"/>
      <c r="P181" s="171"/>
      <c r="Q181" s="171"/>
      <c r="R181" s="60"/>
    </row>
    <row r="182" spans="1:18" s="61" customFormat="1" ht="31.5" customHeight="1" x14ac:dyDescent="0.55000000000000004">
      <c r="A182" s="184" t="s">
        <v>151</v>
      </c>
      <c r="B182" s="149"/>
      <c r="C182" s="152"/>
      <c r="D182" s="164"/>
      <c r="E182" s="186" t="s">
        <v>329</v>
      </c>
      <c r="F182" s="146"/>
      <c r="G182" s="149" t="s">
        <v>329</v>
      </c>
      <c r="H182" s="152"/>
      <c r="I182" s="152"/>
      <c r="J182" s="152"/>
      <c r="K182" s="102"/>
      <c r="L182" s="71"/>
      <c r="M182" s="171"/>
      <c r="N182" s="171"/>
      <c r="O182" s="171"/>
      <c r="P182" s="171"/>
      <c r="Q182" s="171"/>
      <c r="R182" s="60"/>
    </row>
    <row r="183" spans="1:18" s="61" customFormat="1" ht="31.5" customHeight="1" x14ac:dyDescent="0.55000000000000004">
      <c r="A183" s="185"/>
      <c r="B183" s="150"/>
      <c r="C183" s="153"/>
      <c r="D183" s="165"/>
      <c r="E183" s="187"/>
      <c r="F183" s="147"/>
      <c r="G183" s="150"/>
      <c r="H183" s="153"/>
      <c r="I183" s="153"/>
      <c r="J183" s="153"/>
      <c r="K183" s="102"/>
      <c r="L183" s="71"/>
      <c r="M183" s="171"/>
      <c r="N183" s="171"/>
      <c r="O183" s="171"/>
      <c r="P183" s="171"/>
      <c r="Q183" s="171"/>
      <c r="R183" s="60"/>
    </row>
    <row r="184" spans="1:18" s="61" customFormat="1" ht="31.5" customHeight="1" x14ac:dyDescent="0.55000000000000004">
      <c r="A184" s="185"/>
      <c r="B184" s="150"/>
      <c r="C184" s="154"/>
      <c r="D184" s="166"/>
      <c r="E184" s="188"/>
      <c r="F184" s="148"/>
      <c r="G184" s="151"/>
      <c r="H184" s="154"/>
      <c r="I184" s="154"/>
      <c r="J184" s="154"/>
      <c r="K184" s="102"/>
      <c r="L184" s="71"/>
      <c r="M184" s="171"/>
      <c r="N184" s="171"/>
      <c r="O184" s="171"/>
      <c r="P184" s="171"/>
      <c r="Q184" s="171"/>
      <c r="R184" s="60"/>
    </row>
    <row r="185" spans="1:18" s="61" customFormat="1" ht="31.5" customHeight="1" x14ac:dyDescent="0.55000000000000004">
      <c r="A185" s="160" t="s">
        <v>152</v>
      </c>
      <c r="B185" s="161"/>
      <c r="C185" s="152"/>
      <c r="D185" s="164"/>
      <c r="E185" s="167" t="s">
        <v>330</v>
      </c>
      <c r="F185" s="146"/>
      <c r="G185" s="159" t="s">
        <v>330</v>
      </c>
      <c r="H185" s="152"/>
      <c r="I185" s="152"/>
      <c r="J185" s="152"/>
      <c r="K185" s="102"/>
      <c r="L185" s="71"/>
      <c r="M185" s="171"/>
      <c r="N185" s="171"/>
      <c r="O185" s="171"/>
      <c r="P185" s="171"/>
      <c r="Q185" s="171"/>
      <c r="R185" s="60"/>
    </row>
    <row r="186" spans="1:18" s="61" customFormat="1" ht="31.5" customHeight="1" x14ac:dyDescent="0.55000000000000004">
      <c r="A186" s="160"/>
      <c r="B186" s="161"/>
      <c r="C186" s="154"/>
      <c r="D186" s="166"/>
      <c r="E186" s="169"/>
      <c r="F186" s="148"/>
      <c r="G186" s="163"/>
      <c r="H186" s="154"/>
      <c r="I186" s="154"/>
      <c r="J186" s="154"/>
      <c r="K186" s="102"/>
      <c r="L186" s="71"/>
      <c r="M186" s="171"/>
      <c r="N186" s="171"/>
      <c r="O186" s="171"/>
      <c r="P186" s="171"/>
      <c r="Q186" s="171"/>
      <c r="R186" s="60"/>
    </row>
    <row r="187" spans="1:18" s="61" customFormat="1" ht="31.5" customHeight="1" thickBot="1" x14ac:dyDescent="0.6">
      <c r="A187" s="182"/>
      <c r="B187" s="183"/>
      <c r="C187" s="183"/>
      <c r="D187" s="183"/>
      <c r="E187" s="183"/>
      <c r="F187" s="183"/>
      <c r="G187" s="183"/>
      <c r="H187" s="183"/>
      <c r="I187" s="183"/>
      <c r="J187" s="183"/>
      <c r="K187" s="103"/>
      <c r="L187" s="104"/>
      <c r="M187" s="172"/>
      <c r="N187" s="172"/>
      <c r="O187" s="172"/>
      <c r="P187" s="172"/>
      <c r="Q187" s="172"/>
      <c r="R187" s="105"/>
    </row>
  </sheetData>
  <mergeCells count="204">
    <mergeCell ref="A10:B10"/>
    <mergeCell ref="I10:J10"/>
    <mergeCell ref="A11:B11"/>
    <mergeCell ref="I11:J11"/>
    <mergeCell ref="A12:I12"/>
    <mergeCell ref="A13:B13"/>
    <mergeCell ref="I13:J13"/>
    <mergeCell ref="A1:R3"/>
    <mergeCell ref="A4:J4"/>
    <mergeCell ref="K4:R15"/>
    <mergeCell ref="E5:H5"/>
    <mergeCell ref="A6:H6"/>
    <mergeCell ref="A7:B7"/>
    <mergeCell ref="I7:J7"/>
    <mergeCell ref="A8:B8"/>
    <mergeCell ref="I8:J8"/>
    <mergeCell ref="A9:I9"/>
    <mergeCell ref="A14:B14"/>
    <mergeCell ref="I14:J14"/>
    <mergeCell ref="A15:I15"/>
    <mergeCell ref="A16:I16"/>
    <mergeCell ref="A17:A18"/>
    <mergeCell ref="B17:B18"/>
    <mergeCell ref="C17:C18"/>
    <mergeCell ref="D17:D18"/>
    <mergeCell ref="E17:E18"/>
    <mergeCell ref="F17:F18"/>
    <mergeCell ref="A28:A39"/>
    <mergeCell ref="B28:B39"/>
    <mergeCell ref="C28:C39"/>
    <mergeCell ref="D28:D29"/>
    <mergeCell ref="D30:D32"/>
    <mergeCell ref="D33:D34"/>
    <mergeCell ref="D35:D36"/>
    <mergeCell ref="D37:D39"/>
    <mergeCell ref="R17:R18"/>
    <mergeCell ref="A19:A27"/>
    <mergeCell ref="B19:B27"/>
    <mergeCell ref="C19:C27"/>
    <mergeCell ref="D19:D21"/>
    <mergeCell ref="D22:D24"/>
    <mergeCell ref="D26:D27"/>
    <mergeCell ref="G17:G18"/>
    <mergeCell ref="H17:H18"/>
    <mergeCell ref="I17:I18"/>
    <mergeCell ref="J17:O17"/>
    <mergeCell ref="P17:P18"/>
    <mergeCell ref="Q17:Q18"/>
    <mergeCell ref="A54:A61"/>
    <mergeCell ref="B54:B61"/>
    <mergeCell ref="C54:C61"/>
    <mergeCell ref="D54:D61"/>
    <mergeCell ref="A62:A69"/>
    <mergeCell ref="B62:B69"/>
    <mergeCell ref="C62:C69"/>
    <mergeCell ref="D62:D69"/>
    <mergeCell ref="A40:A53"/>
    <mergeCell ref="B40:B53"/>
    <mergeCell ref="C40:C53"/>
    <mergeCell ref="D40:D42"/>
    <mergeCell ref="D43:D44"/>
    <mergeCell ref="D45:D46"/>
    <mergeCell ref="D47:D48"/>
    <mergeCell ref="D49:D50"/>
    <mergeCell ref="D51:D52"/>
    <mergeCell ref="A79:A89"/>
    <mergeCell ref="B79:B89"/>
    <mergeCell ref="C79:C89"/>
    <mergeCell ref="D79:D81"/>
    <mergeCell ref="D82:D83"/>
    <mergeCell ref="D84:D85"/>
    <mergeCell ref="D86:D87"/>
    <mergeCell ref="D88:D89"/>
    <mergeCell ref="A70:A78"/>
    <mergeCell ref="B70:B78"/>
    <mergeCell ref="C70:C78"/>
    <mergeCell ref="D70:D71"/>
    <mergeCell ref="D72:D73"/>
    <mergeCell ref="D74:D76"/>
    <mergeCell ref="D77:D78"/>
    <mergeCell ref="A101:A110"/>
    <mergeCell ref="B101:B110"/>
    <mergeCell ref="C101:C110"/>
    <mergeCell ref="D101:D102"/>
    <mergeCell ref="D103:D104"/>
    <mergeCell ref="D105:D106"/>
    <mergeCell ref="D107:D108"/>
    <mergeCell ref="D109:D110"/>
    <mergeCell ref="A90:A100"/>
    <mergeCell ref="B90:B100"/>
    <mergeCell ref="C90:C100"/>
    <mergeCell ref="D90:D92"/>
    <mergeCell ref="D93:D94"/>
    <mergeCell ref="D95:D96"/>
    <mergeCell ref="D97:D98"/>
    <mergeCell ref="D99:D100"/>
    <mergeCell ref="A121:A128"/>
    <mergeCell ref="B121:B128"/>
    <mergeCell ref="C121:C128"/>
    <mergeCell ref="D121:D122"/>
    <mergeCell ref="D123:D124"/>
    <mergeCell ref="D125:D126"/>
    <mergeCell ref="A111:A120"/>
    <mergeCell ref="B111:B120"/>
    <mergeCell ref="C111:C120"/>
    <mergeCell ref="D111:D112"/>
    <mergeCell ref="D113:D114"/>
    <mergeCell ref="D115:D116"/>
    <mergeCell ref="D117:D118"/>
    <mergeCell ref="D119:D120"/>
    <mergeCell ref="A134:A136"/>
    <mergeCell ref="B134:B136"/>
    <mergeCell ref="C134:C136"/>
    <mergeCell ref="D134:D136"/>
    <mergeCell ref="A137:A138"/>
    <mergeCell ref="B137:B138"/>
    <mergeCell ref="C137:C138"/>
    <mergeCell ref="D137:D138"/>
    <mergeCell ref="A129:A131"/>
    <mergeCell ref="B129:B131"/>
    <mergeCell ref="C129:C131"/>
    <mergeCell ref="D129:D131"/>
    <mergeCell ref="A132:A133"/>
    <mergeCell ref="B132:B133"/>
    <mergeCell ref="C132:C133"/>
    <mergeCell ref="D132:D133"/>
    <mergeCell ref="A139:A141"/>
    <mergeCell ref="B139:B141"/>
    <mergeCell ref="C139:C141"/>
    <mergeCell ref="D139:D141"/>
    <mergeCell ref="A142:A147"/>
    <mergeCell ref="B142:B147"/>
    <mergeCell ref="C142:C147"/>
    <mergeCell ref="D142:D145"/>
    <mergeCell ref="D146:D147"/>
    <mergeCell ref="C153:G153"/>
    <mergeCell ref="N153:O153"/>
    <mergeCell ref="C154:G154"/>
    <mergeCell ref="N154:O154"/>
    <mergeCell ref="C155:G155"/>
    <mergeCell ref="N155:O155"/>
    <mergeCell ref="I149:Q149"/>
    <mergeCell ref="A150:G150"/>
    <mergeCell ref="H150:K150"/>
    <mergeCell ref="L150:L151"/>
    <mergeCell ref="C151:G151"/>
    <mergeCell ref="C152:G152"/>
    <mergeCell ref="N152:O152"/>
    <mergeCell ref="C160:G160"/>
    <mergeCell ref="C161:G161"/>
    <mergeCell ref="C162:G162"/>
    <mergeCell ref="C163:G163"/>
    <mergeCell ref="A164:G164"/>
    <mergeCell ref="C165:G165"/>
    <mergeCell ref="C156:G156"/>
    <mergeCell ref="N156:O156"/>
    <mergeCell ref="C157:G157"/>
    <mergeCell ref="N157:O157"/>
    <mergeCell ref="C158:G158"/>
    <mergeCell ref="C159:G159"/>
    <mergeCell ref="C166:G166"/>
    <mergeCell ref="C167:G167"/>
    <mergeCell ref="B168:D168"/>
    <mergeCell ref="B169:B173"/>
    <mergeCell ref="F169:J169"/>
    <mergeCell ref="O169:P169"/>
    <mergeCell ref="O172:P172"/>
    <mergeCell ref="C173:K173"/>
    <mergeCell ref="L173:N173"/>
    <mergeCell ref="O173:P173"/>
    <mergeCell ref="Q169:R169"/>
    <mergeCell ref="C170:K170"/>
    <mergeCell ref="L170:N170"/>
    <mergeCell ref="O170:P170"/>
    <mergeCell ref="Q170:R173"/>
    <mergeCell ref="C171:K171"/>
    <mergeCell ref="L171:N171"/>
    <mergeCell ref="O171:P171"/>
    <mergeCell ref="C172:K172"/>
    <mergeCell ref="L172:N172"/>
    <mergeCell ref="B174:G174"/>
    <mergeCell ref="B175:R175"/>
    <mergeCell ref="B176:G176"/>
    <mergeCell ref="B177:R177"/>
    <mergeCell ref="A178:B181"/>
    <mergeCell ref="C178:D181"/>
    <mergeCell ref="E178:E181"/>
    <mergeCell ref="F178:F181"/>
    <mergeCell ref="G178:G181"/>
    <mergeCell ref="H178:J181"/>
    <mergeCell ref="F185:F186"/>
    <mergeCell ref="G185:G186"/>
    <mergeCell ref="H185:J186"/>
    <mergeCell ref="A187:J187"/>
    <mergeCell ref="M178:Q187"/>
    <mergeCell ref="A182:B184"/>
    <mergeCell ref="C182:D184"/>
    <mergeCell ref="E182:E184"/>
    <mergeCell ref="F182:F184"/>
    <mergeCell ref="G182:G184"/>
    <mergeCell ref="H182:J184"/>
    <mergeCell ref="A185:B186"/>
    <mergeCell ref="C185:D186"/>
    <mergeCell ref="E185:E186"/>
  </mergeCells>
  <pageMargins left="0.7" right="0.7" top="0.75" bottom="0.75" header="0.3" footer="0.3"/>
  <pageSetup scale="14"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FIRST QUARTER APPRAISAL</vt:lpstr>
      <vt:lpstr>SECOND QUARTER APPRAISAL</vt:lpstr>
      <vt:lpstr>THIRD QUARTER APPRAISAL</vt:lpstr>
      <vt:lpstr>FOURTH QUARTER APPRAISAL</vt:lpstr>
      <vt:lpstr>'FIRST QUARTER APPRAISAL'!Print_Area</vt:lpstr>
      <vt:lpstr>'FOURTH QUARTER APPRAISAL'!Print_Area</vt:lpstr>
      <vt:lpstr>'SECOND QUARTER APPRAISAL'!Print_Area</vt:lpstr>
      <vt:lpstr>'THIRD QUARTER APPRAISAL'!Print_Area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HP USER</cp:lastModifiedBy>
  <cp:lastPrinted>2026-03-02T23:19:15Z</cp:lastPrinted>
  <dcterms:created xsi:type="dcterms:W3CDTF">2026-03-02T12:37:00Z</dcterms:created>
  <dcterms:modified xsi:type="dcterms:W3CDTF">2026-04-22T13:29:10Z</dcterms:modified>
</cp:coreProperties>
</file>