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servicom_2026\20\OPERATIONS\D\"/>
    </mc:Choice>
  </mc:AlternateContent>
  <xr:revisionPtr revIDLastSave="0" documentId="13_ncr:1_{3CB04E70-A0BE-4699-BFEE-7D763810476A}" xr6:coauthVersionLast="47" xr6:coauthVersionMax="47" xr10:uidLastSave="{00000000-0000-0000-0000-000000000000}"/>
  <bookViews>
    <workbookView xWindow="-120" yWindow="-120" windowWidth="20730" windowHeight="11040" xr2:uid="{6D30EE6A-7111-4DAC-8313-18D1C7C07E15}"/>
  </bookViews>
  <sheets>
    <sheet name="FIRST QUARTER" sheetId="2" r:id="rId1"/>
    <sheet name="SECOND QUARTER" sheetId="3" r:id="rId2"/>
    <sheet name="THIRD QUARTER" sheetId="4" r:id="rId3"/>
    <sheet name="FOURTH QUARTER" sheetId="5" r:id="rId4"/>
  </sheets>
  <definedNames>
    <definedName name="_xlnm.Print_Area" localSheetId="0">'FIRST QUARTER'!$A$1:$R$80</definedName>
    <definedName name="_xlnm.Print_Area" localSheetId="3">'FOURTH QUARTER'!$A$1:$R$80</definedName>
    <definedName name="_xlnm.Print_Area" localSheetId="1">'SECOND QUARTER'!$A$1:$R$80</definedName>
    <definedName name="_xlnm.Print_Area" localSheetId="2">'THIRD QUARTER'!$A$1:$R$80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0" i="3" l="1"/>
  <c r="C40" i="3"/>
  <c r="C39" i="3"/>
  <c r="E39" i="3" s="1"/>
  <c r="E38" i="3"/>
  <c r="C38" i="3"/>
  <c r="C36" i="3"/>
  <c r="E36" i="3" s="1"/>
  <c r="E35" i="3"/>
  <c r="C35" i="3"/>
  <c r="C25" i="3"/>
  <c r="E33" i="3" s="1"/>
  <c r="E24" i="3"/>
  <c r="C24" i="3"/>
  <c r="C19" i="3"/>
  <c r="E22" i="3" s="1"/>
  <c r="E40" i="4"/>
  <c r="C40" i="4"/>
  <c r="C39" i="4"/>
  <c r="E39" i="4" s="1"/>
  <c r="E38" i="4"/>
  <c r="C38" i="4"/>
  <c r="C36" i="4"/>
  <c r="E36" i="4" s="1"/>
  <c r="E35" i="4"/>
  <c r="C35" i="4"/>
  <c r="C25" i="4"/>
  <c r="E33" i="4" s="1"/>
  <c r="E24" i="4"/>
  <c r="C24" i="4"/>
  <c r="C19" i="4"/>
  <c r="E22" i="4" s="1"/>
  <c r="E40" i="5"/>
  <c r="C40" i="5"/>
  <c r="C39" i="5"/>
  <c r="E39" i="5" s="1"/>
  <c r="E38" i="5"/>
  <c r="C38" i="5"/>
  <c r="C36" i="5"/>
  <c r="E36" i="5" s="1"/>
  <c r="E35" i="5"/>
  <c r="C35" i="5"/>
  <c r="C25" i="5"/>
  <c r="E33" i="5" s="1"/>
  <c r="E24" i="5"/>
  <c r="C24" i="5"/>
  <c r="C19" i="5"/>
  <c r="E40" i="2"/>
  <c r="C40" i="2"/>
  <c r="C39" i="2"/>
  <c r="E39" i="2" s="1"/>
  <c r="E38" i="2"/>
  <c r="C38" i="2"/>
  <c r="C36" i="2"/>
  <c r="E36" i="2" s="1"/>
  <c r="E35" i="2"/>
  <c r="C35" i="2"/>
  <c r="C25" i="2"/>
  <c r="E33" i="2" s="1"/>
  <c r="E24" i="2"/>
  <c r="C24" i="2"/>
  <c r="C19" i="2"/>
  <c r="I61" i="5"/>
  <c r="O65" i="5" s="1"/>
  <c r="H61" i="5"/>
  <c r="I57" i="5"/>
  <c r="O64" i="5" s="1"/>
  <c r="H57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I61" i="4"/>
  <c r="O65" i="4" s="1"/>
  <c r="H61" i="4"/>
  <c r="I57" i="4"/>
  <c r="O64" i="4" s="1"/>
  <c r="H57" i="4"/>
  <c r="C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I61" i="3"/>
  <c r="O65" i="3" s="1"/>
  <c r="H61" i="3"/>
  <c r="I57" i="3"/>
  <c r="O64" i="3" s="1"/>
  <c r="H57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I61" i="2"/>
  <c r="O65" i="2" s="1"/>
  <c r="H61" i="2"/>
  <c r="I57" i="2"/>
  <c r="O64" i="2" s="1"/>
  <c r="H57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E22" i="2" l="1"/>
  <c r="E20" i="2"/>
  <c r="C41" i="2"/>
  <c r="E23" i="2"/>
  <c r="E21" i="2"/>
  <c r="E19" i="2"/>
  <c r="E22" i="5"/>
  <c r="E20" i="5"/>
  <c r="E23" i="5"/>
  <c r="E21" i="5"/>
  <c r="E19" i="5"/>
  <c r="C41" i="5"/>
  <c r="E26" i="2"/>
  <c r="E28" i="2"/>
  <c r="E30" i="2"/>
  <c r="E32" i="2"/>
  <c r="E34" i="2"/>
  <c r="E37" i="2"/>
  <c r="E26" i="5"/>
  <c r="E28" i="5"/>
  <c r="E30" i="5"/>
  <c r="E32" i="5"/>
  <c r="E34" i="5"/>
  <c r="E37" i="5"/>
  <c r="E19" i="4"/>
  <c r="E21" i="4"/>
  <c r="E23" i="4"/>
  <c r="E26" i="4"/>
  <c r="E28" i="4"/>
  <c r="E30" i="4"/>
  <c r="E32" i="4"/>
  <c r="E34" i="4"/>
  <c r="E37" i="4"/>
  <c r="E19" i="3"/>
  <c r="E21" i="3"/>
  <c r="E23" i="3"/>
  <c r="E26" i="3"/>
  <c r="E28" i="3"/>
  <c r="E30" i="3"/>
  <c r="E32" i="3"/>
  <c r="E34" i="3"/>
  <c r="E37" i="3"/>
  <c r="C41" i="3"/>
  <c r="E25" i="2"/>
  <c r="E27" i="2"/>
  <c r="E29" i="2"/>
  <c r="E31" i="2"/>
  <c r="E25" i="5"/>
  <c r="E27" i="5"/>
  <c r="E29" i="5"/>
  <c r="E31" i="5"/>
  <c r="E20" i="4"/>
  <c r="E25" i="4"/>
  <c r="E27" i="4"/>
  <c r="E29" i="4"/>
  <c r="E31" i="4"/>
  <c r="E20" i="3"/>
  <c r="E25" i="3"/>
  <c r="E27" i="3"/>
  <c r="E29" i="3"/>
  <c r="E31" i="3"/>
  <c r="F37" i="4" l="1"/>
  <c r="R37" i="4" s="1"/>
  <c r="F28" i="4"/>
  <c r="R28" i="4" s="1"/>
  <c r="E41" i="4"/>
  <c r="F30" i="5"/>
  <c r="R30" i="5" s="1"/>
  <c r="F27" i="4"/>
  <c r="R27" i="4" s="1"/>
  <c r="F29" i="5"/>
  <c r="R29" i="5" s="1"/>
  <c r="F20" i="5"/>
  <c r="R20" i="5" s="1"/>
  <c r="F20" i="3"/>
  <c r="R20" i="3" s="1"/>
  <c r="F27" i="5"/>
  <c r="R27" i="5" s="1"/>
  <c r="F19" i="5"/>
  <c r="E41" i="5"/>
  <c r="F22" i="5"/>
  <c r="R22" i="5" s="1"/>
  <c r="F31" i="4"/>
  <c r="R31" i="4" s="1"/>
  <c r="F20" i="4"/>
  <c r="R20" i="4" s="1"/>
  <c r="F37" i="3"/>
  <c r="R37" i="3" s="1"/>
  <c r="E41" i="3"/>
  <c r="F26" i="3" s="1"/>
  <c r="R26" i="3" s="1"/>
  <c r="F30" i="4"/>
  <c r="R30" i="4" s="1"/>
  <c r="F32" i="5"/>
  <c r="R32" i="5" s="1"/>
  <c r="F25" i="5"/>
  <c r="R25" i="5" s="1"/>
  <c r="F32" i="3"/>
  <c r="R32" i="3" s="1"/>
  <c r="F34" i="4"/>
  <c r="R34" i="4" s="1"/>
  <c r="F26" i="4"/>
  <c r="R26" i="4" s="1"/>
  <c r="F37" i="5"/>
  <c r="R37" i="5" s="1"/>
  <c r="F28" i="5"/>
  <c r="R28" i="5" s="1"/>
  <c r="F21" i="5"/>
  <c r="R21" i="5" s="1"/>
  <c r="F27" i="3"/>
  <c r="R27" i="3" s="1"/>
  <c r="F29" i="4"/>
  <c r="R29" i="4" s="1"/>
  <c r="F31" i="5"/>
  <c r="R31" i="5" s="1"/>
  <c r="F30" i="3"/>
  <c r="R30" i="3" s="1"/>
  <c r="F32" i="4"/>
  <c r="R32" i="4" s="1"/>
  <c r="F23" i="4"/>
  <c r="R23" i="4" s="1"/>
  <c r="F34" i="5"/>
  <c r="R34" i="5" s="1"/>
  <c r="F26" i="5"/>
  <c r="R26" i="5" s="1"/>
  <c r="F23" i="5"/>
  <c r="R23" i="5" s="1"/>
  <c r="E41" i="2"/>
  <c r="F39" i="2" l="1"/>
  <c r="R39" i="2" s="1"/>
  <c r="F40" i="2"/>
  <c r="R40" i="2" s="1"/>
  <c r="F36" i="2"/>
  <c r="R36" i="2" s="1"/>
  <c r="F24" i="2"/>
  <c r="R24" i="2" s="1"/>
  <c r="F33" i="2"/>
  <c r="R33" i="2" s="1"/>
  <c r="F38" i="2"/>
  <c r="R38" i="2" s="1"/>
  <c r="F35" i="2"/>
  <c r="R35" i="2" s="1"/>
  <c r="R19" i="5"/>
  <c r="F34" i="2"/>
  <c r="R34" i="2" s="1"/>
  <c r="F31" i="2"/>
  <c r="R31" i="2" s="1"/>
  <c r="F37" i="2"/>
  <c r="R37" i="2" s="1"/>
  <c r="F27" i="2"/>
  <c r="R27" i="2" s="1"/>
  <c r="F32" i="2"/>
  <c r="R32" i="2" s="1"/>
  <c r="F19" i="3"/>
  <c r="F25" i="3"/>
  <c r="R25" i="3" s="1"/>
  <c r="F38" i="4"/>
  <c r="R38" i="4" s="1"/>
  <c r="F39" i="4"/>
  <c r="R39" i="4" s="1"/>
  <c r="F33" i="4"/>
  <c r="R33" i="4" s="1"/>
  <c r="F40" i="4"/>
  <c r="R40" i="4" s="1"/>
  <c r="F36" i="4"/>
  <c r="R36" i="4" s="1"/>
  <c r="F35" i="4"/>
  <c r="R35" i="4" s="1"/>
  <c r="F22" i="4"/>
  <c r="R22" i="4" s="1"/>
  <c r="F24" i="4"/>
  <c r="R24" i="4" s="1"/>
  <c r="F28" i="2"/>
  <c r="R28" i="2" s="1"/>
  <c r="F22" i="2"/>
  <c r="R22" i="2" s="1"/>
  <c r="F25" i="2"/>
  <c r="R25" i="2" s="1"/>
  <c r="F24" i="3"/>
  <c r="R24" i="3" s="1"/>
  <c r="F22" i="3"/>
  <c r="R22" i="3" s="1"/>
  <c r="F35" i="3"/>
  <c r="R35" i="3" s="1"/>
  <c r="F36" i="3"/>
  <c r="R36" i="3" s="1"/>
  <c r="F38" i="3"/>
  <c r="R38" i="3" s="1"/>
  <c r="F40" i="3"/>
  <c r="R40" i="3" s="1"/>
  <c r="F39" i="3"/>
  <c r="R39" i="3" s="1"/>
  <c r="F33" i="3"/>
  <c r="R33" i="3" s="1"/>
  <c r="F21" i="2"/>
  <c r="R21" i="2" s="1"/>
  <c r="F31" i="3"/>
  <c r="R31" i="3" s="1"/>
  <c r="F20" i="2"/>
  <c r="R20" i="2" s="1"/>
  <c r="F30" i="2"/>
  <c r="R30" i="2" s="1"/>
  <c r="F19" i="2"/>
  <c r="F21" i="3"/>
  <c r="R21" i="3" s="1"/>
  <c r="F23" i="3"/>
  <c r="R23" i="3" s="1"/>
  <c r="F23" i="2"/>
  <c r="R23" i="2" s="1"/>
  <c r="F21" i="4"/>
  <c r="R21" i="4" s="1"/>
  <c r="F28" i="3"/>
  <c r="R28" i="3" s="1"/>
  <c r="F29" i="3"/>
  <c r="R29" i="3" s="1"/>
  <c r="F24" i="5"/>
  <c r="R24" i="5" s="1"/>
  <c r="F35" i="5"/>
  <c r="R35" i="5" s="1"/>
  <c r="F36" i="5"/>
  <c r="R36" i="5" s="1"/>
  <c r="F39" i="5"/>
  <c r="R39" i="5" s="1"/>
  <c r="F33" i="5"/>
  <c r="R33" i="5" s="1"/>
  <c r="F38" i="5"/>
  <c r="R38" i="5" s="1"/>
  <c r="F40" i="5"/>
  <c r="R40" i="5" s="1"/>
  <c r="F25" i="4"/>
  <c r="R25" i="4" s="1"/>
  <c r="F29" i="2"/>
  <c r="R29" i="2" s="1"/>
  <c r="F26" i="2"/>
  <c r="R26" i="2" s="1"/>
  <c r="F19" i="4"/>
  <c r="F34" i="3"/>
  <c r="R34" i="3" s="1"/>
  <c r="F41" i="2" l="1"/>
  <c r="R19" i="2"/>
  <c r="R41" i="2" s="1"/>
  <c r="R42" i="2" s="1"/>
  <c r="O63" i="2" s="1"/>
  <c r="O66" i="2" s="1"/>
  <c r="Q63" i="2" s="1"/>
  <c r="F41" i="5"/>
  <c r="F41" i="3"/>
  <c r="R19" i="3"/>
  <c r="R41" i="3" s="1"/>
  <c r="R42" i="3" s="1"/>
  <c r="O63" i="3" s="1"/>
  <c r="O66" i="3" s="1"/>
  <c r="Q63" i="3" s="1"/>
  <c r="F41" i="4"/>
  <c r="R19" i="4"/>
  <c r="R41" i="4" s="1"/>
  <c r="R42" i="4" s="1"/>
  <c r="O63" i="4" s="1"/>
  <c r="O66" i="4" s="1"/>
  <c r="Q63" i="4" s="1"/>
  <c r="R41" i="5"/>
  <c r="R42" i="5" s="1"/>
  <c r="O63" i="5" s="1"/>
  <c r="O66" i="5" s="1"/>
  <c r="Q63" i="5" s="1"/>
</calcChain>
</file>

<file path=xl/sharedStrings.xml><?xml version="1.0" encoding="utf-8"?>
<sst xmlns="http://schemas.openxmlformats.org/spreadsheetml/2006/main" count="1048" uniqueCount="189">
  <si>
    <t>PERFORMANCE APPRAISAL PERIOD:</t>
  </si>
  <si>
    <t>FROM</t>
  </si>
  <si>
    <t>To</t>
  </si>
  <si>
    <t>SECTION 1: EMPLOYEE INFORMATION</t>
  </si>
  <si>
    <t>Surname:</t>
  </si>
  <si>
    <t>NNANNA</t>
  </si>
  <si>
    <t>Firstname</t>
  </si>
  <si>
    <t>ROSE</t>
  </si>
  <si>
    <t>Othername</t>
  </si>
  <si>
    <t>NKECHI</t>
  </si>
  <si>
    <t>Designation</t>
  </si>
  <si>
    <t>Asst. Chief Executive  Officer</t>
  </si>
  <si>
    <t>IPPIS No.</t>
  </si>
  <si>
    <t>P15631</t>
  </si>
  <si>
    <t>Email</t>
  </si>
  <si>
    <t>Phone No.</t>
  </si>
  <si>
    <t>Department</t>
  </si>
  <si>
    <t>OPERATIONS UNIT</t>
  </si>
  <si>
    <t>SECTION 2: SUPERVISOR INFORMATION</t>
  </si>
  <si>
    <t>ZACH-UKOH</t>
  </si>
  <si>
    <t>LUCY</t>
  </si>
  <si>
    <t>MLUMUN</t>
  </si>
  <si>
    <t>Chief Admin Officer</t>
  </si>
  <si>
    <t>LUCYLOP214@GMAIL.COM</t>
  </si>
  <si>
    <t>SECTION 3: COUNTER-SIGNING OFFICER'S INFORMATION</t>
  </si>
  <si>
    <t>AKINBODEWA</t>
  </si>
  <si>
    <t>NGOZI</t>
  </si>
  <si>
    <t>JESSINTA</t>
  </si>
  <si>
    <t>DEPUTY DIRECTOR</t>
  </si>
  <si>
    <t>jakinbodewa@gmail.com</t>
  </si>
  <si>
    <t xml:space="preserve">SECTION 4: EMPLOYEE'S TASKS </t>
  </si>
  <si>
    <t>S/N</t>
  </si>
  <si>
    <t>Key Result Areas</t>
  </si>
  <si>
    <t>Weight</t>
  </si>
  <si>
    <t>Objectives</t>
  </si>
  <si>
    <t>Graded
Weight</t>
  </si>
  <si>
    <t>KPIs</t>
  </si>
  <si>
    <t>Target
Set</t>
  </si>
  <si>
    <t>Unit of
Measurement</t>
  </si>
  <si>
    <t>Criteria Values</t>
  </si>
  <si>
    <t>O</t>
  </si>
  <si>
    <t>E</t>
  </si>
  <si>
    <t>VG</t>
  </si>
  <si>
    <t>G</t>
  </si>
  <si>
    <t>F</t>
  </si>
  <si>
    <t>P</t>
  </si>
  <si>
    <t>PMS Compliance &amp; Performance Management</t>
  </si>
  <si>
    <t>Develop and submit personal performance contract with clearly defined (SMART) targets aligned to SERVICOM and unit objectives</t>
  </si>
  <si>
    <t>Timely submission of performance contract (within approved timeline)</t>
  </si>
  <si>
    <t>PERCENTAGE</t>
  </si>
  <si>
    <t>&lt;80</t>
  </si>
  <si>
    <t>Participate in PMS trainings and capacity-building sessions to enhance understanding of PMS processes</t>
  </si>
  <si>
    <t>Percentage of assigned PMS trainings attended</t>
  </si>
  <si>
    <t>Complete and submit quarterly self-appraisal reports within approved timelines</t>
  </si>
  <si>
    <t>Percentage of quarterly appraisals submitted on time</t>
  </si>
  <si>
    <t>Engage in periodic performance review discussions with supervisor and implement feedback</t>
  </si>
  <si>
    <t>Number of review sessions attended and feedback implemented</t>
  </si>
  <si>
    <t>NUMBER</t>
  </si>
  <si>
    <t>&gt;5</t>
  </si>
  <si>
    <t>Maintain accurate personal performance records and supporting evidence for appraisal</t>
  </si>
  <si>
    <t>Completeness of appraisal documentation (no gaps/errors)</t>
  </si>
  <si>
    <t>Digital Records &amp; Workflow Support</t>
  </si>
  <si>
    <t>Digitize and electronically file physical records</t>
  </si>
  <si>
    <t>Percentage of assigned records digitized</t>
  </si>
  <si>
    <t>&gt;50</t>
  </si>
  <si>
    <t>&lt;25</t>
  </si>
  <si>
    <t>Service Delivery Evaluation Support</t>
  </si>
  <si>
    <t>Participate in SERVICOM Compliance Evaluations (SCE)</t>
  </si>
  <si>
    <t>Percentage  of assigned evaluations completed</t>
  </si>
  <si>
    <t>&gt;80</t>
  </si>
  <si>
    <t>&lt;50</t>
  </si>
  <si>
    <t>Collect and document data during evaluations</t>
  </si>
  <si>
    <t>Percentage  of data collected accurately and completely</t>
  </si>
  <si>
    <t>Support analysis of service delivery performance in MDAs</t>
  </si>
  <si>
    <t>Percentage  of analysis completed and submitted on time</t>
  </si>
  <si>
    <t>&gt;90</t>
  </si>
  <si>
    <t>Assist in preparation of evaluation reports</t>
  </si>
  <si>
    <t>Percentage  of reports prepared without errors</t>
  </si>
  <si>
    <t>Assist in assessing SERVICOM structures in MDAs</t>
  </si>
  <si>
    <t>Percentage  of assessments conducted as assigned</t>
  </si>
  <si>
    <t>Support development of Service Charters</t>
  </si>
  <si>
    <t>Percentage  of charter documents supported and completed</t>
  </si>
  <si>
    <t>Track implementation of recommendations by MDAs</t>
  </si>
  <si>
    <t>Percentage  of follow-up activities completed</t>
  </si>
  <si>
    <t>Maintain proper documentation of evaluation activities</t>
  </si>
  <si>
    <t>Percentage  of records properly filed and retrievable</t>
  </si>
  <si>
    <t>Provide field reports and feedback to Team Lead</t>
  </si>
  <si>
    <t>Percentage  of reports submitted on time</t>
  </si>
  <si>
    <t>Support year-end review and lessons learned documentation</t>
  </si>
  <si>
    <t>Percentage  of inputs submitted as required</t>
  </si>
  <si>
    <t>Innovation &amp; Service Improvement Coordination</t>
  </si>
  <si>
    <t>Generate and submit service-improvement ideas</t>
  </si>
  <si>
    <t>Number of ideas submitted</t>
  </si>
  <si>
    <t>Automated Service Delivery</t>
  </si>
  <si>
    <t>Support identification and documentation of processes for automation</t>
  </si>
  <si>
    <t>Percentage of assigned processes documented</t>
  </si>
  <si>
    <t>Ensure proper use of official email for communication</t>
  </si>
  <si>
    <t>Percentage  compliance with official email usage</t>
  </si>
  <si>
    <t>Capacity Building</t>
  </si>
  <si>
    <t>Participation in knowledge-sharing and learning sessions</t>
  </si>
  <si>
    <t>Percentage of participation in assigned  knowledge-sharing and learning sessions</t>
  </si>
  <si>
    <t>Staff Recognition</t>
  </si>
  <si>
    <t>Participate in staff recognition programs, award ceremonies, and motivational events</t>
  </si>
  <si>
    <t>Percentage of participation in all scheduled events per year</t>
  </si>
  <si>
    <t>&gt;70</t>
  </si>
  <si>
    <t>&lt;40</t>
  </si>
  <si>
    <t>Wellness Programs</t>
  </si>
  <si>
    <t>Attend wellness and health programs (fitness sessions, health checks, mental health workshops)</t>
  </si>
  <si>
    <t>Percentage participation in wellness programs</t>
  </si>
  <si>
    <t>TOTAL</t>
  </si>
  <si>
    <t>SECTION 5: COMPETENCIES</t>
  </si>
  <si>
    <t>LEGEND</t>
  </si>
  <si>
    <t>Describe Expectations</t>
  </si>
  <si>
    <t>Q2</t>
  </si>
  <si>
    <t>Q3</t>
  </si>
  <si>
    <t>A</t>
  </si>
  <si>
    <t>Generic Compentencies</t>
  </si>
  <si>
    <t>Outstanding</t>
  </si>
  <si>
    <t>i</t>
  </si>
  <si>
    <t>Excellent</t>
  </si>
  <si>
    <t>ii</t>
  </si>
  <si>
    <t>Very Good</t>
  </si>
  <si>
    <t>iii</t>
  </si>
  <si>
    <t>Effective Communication</t>
  </si>
  <si>
    <t>Good</t>
  </si>
  <si>
    <t>Functional Competencies</t>
  </si>
  <si>
    <t>Fair</t>
  </si>
  <si>
    <t>Poor</t>
  </si>
  <si>
    <t>Aggregrate</t>
  </si>
  <si>
    <t>Q1</t>
  </si>
  <si>
    <t>First Quarter</t>
  </si>
  <si>
    <t>Ethic and value</t>
  </si>
  <si>
    <t>Second Quarter</t>
  </si>
  <si>
    <t>Integrity</t>
  </si>
  <si>
    <t>Third Quarter</t>
  </si>
  <si>
    <t>Q4</t>
  </si>
  <si>
    <t>Fourth Quarter</t>
  </si>
  <si>
    <t>SECTION 6: OPERATIONS AND PROCESSES</t>
  </si>
  <si>
    <t>Punctuality/Attendance</t>
  </si>
  <si>
    <t>Get to work at the specified time and days</t>
  </si>
  <si>
    <t>Work turn around time</t>
  </si>
  <si>
    <t>Display efficiency and effectiveness in service delivery</t>
  </si>
  <si>
    <t>Innovation on the job</t>
  </si>
  <si>
    <t>Introduce improvements in work processes as may be required</t>
  </si>
  <si>
    <t>SECTION 7: COMMENTS</t>
  </si>
  <si>
    <t>Signature</t>
  </si>
  <si>
    <t>Date</t>
  </si>
  <si>
    <t xml:space="preserve">PERFORMANCE APPRAISAL </t>
  </si>
  <si>
    <t>JANUARY 2025</t>
  </si>
  <si>
    <t>MARCH 2025</t>
  </si>
  <si>
    <t>ACHIEVEMENT</t>
  </si>
  <si>
    <t>RAW SCORE</t>
  </si>
  <si>
    <t>WEIGHTED RAW SCORE</t>
  </si>
  <si>
    <t>O -100%</t>
  </si>
  <si>
    <t>E -90%</t>
  </si>
  <si>
    <t>VG-80%</t>
  </si>
  <si>
    <t>G -70%</t>
  </si>
  <si>
    <t>F- 60%</t>
  </si>
  <si>
    <t>P - 50%</t>
  </si>
  <si>
    <t>COMPOSITE SCORE (SUM OF WEIGHTED SCORE CONVERTED TO 70%)</t>
  </si>
  <si>
    <t>TARGET</t>
  </si>
  <si>
    <t>SCORE</t>
  </si>
  <si>
    <t>Drive for Results</t>
  </si>
  <si>
    <t>Collaborating &amp; Partnering</t>
  </si>
  <si>
    <t>Policy Management</t>
  </si>
  <si>
    <t>Public Relations Management</t>
  </si>
  <si>
    <t>Information &amp; Records Management</t>
  </si>
  <si>
    <t xml:space="preserve">Inclusiveness </t>
  </si>
  <si>
    <t xml:space="preserve">Transparency &amp; Accountability </t>
  </si>
  <si>
    <t>APPRAISER RATING</t>
  </si>
  <si>
    <t>APPRAISER SCORE</t>
  </si>
  <si>
    <t xml:space="preserve">SUB-TOTAL RATING OF APPRAISEE PERFORMANCE (EXPECTATIONS AND GOALS FROM )SECTION 4 </t>
  </si>
  <si>
    <t>SUB-TOTAL RATING OF APPRAISEE PERFORMANCE (COMPETENCIES) IN SECTION 5</t>
  </si>
  <si>
    <t>SUB-TOTAL RATING OF APPRAISEE PERFORMANCE (OPERATIONS AND PROCESSES) SECTION 6</t>
  </si>
  <si>
    <t>OVERALL RATING (SECTION 4 + 5 + 6)</t>
  </si>
  <si>
    <t>What are the employee’s strengths?</t>
  </si>
  <si>
    <t>AUTOMATED SERVICE DELIVERY</t>
  </si>
  <si>
    <t>What are the employee’s areas for improvement?</t>
  </si>
  <si>
    <t>Appraisee's
 Comments:</t>
  </si>
  <si>
    <t>Supervisor's Comment</t>
  </si>
  <si>
    <t>Counter Supervisor's Comment</t>
  </si>
  <si>
    <t>Signature:</t>
  </si>
  <si>
    <t>Date:</t>
  </si>
  <si>
    <t>APRIL 2025</t>
  </si>
  <si>
    <t>JUNE 2025</t>
  </si>
  <si>
    <t>JULY 2025</t>
  </si>
  <si>
    <t>SEPTEMBER 2025</t>
  </si>
  <si>
    <t>OCTOBER 2025</t>
  </si>
  <si>
    <t>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</si>
</sst>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b/>
      <sz val="40"/>
      <color theme="1"/>
      <name val="Calibri"/>
      <family val="2"/>
      <scheme val="minor"/>
    </font>
    <font>
      <b/>
      <sz val="26"/>
      <name val="Century Gothic"/>
      <family val="2"/>
    </font>
    <font>
      <sz val="26"/>
      <name val="Century Gothic"/>
      <family val="2"/>
    </font>
    <font>
      <sz val="16"/>
      <color theme="1"/>
      <name val="Century Gothic"/>
      <family val="2"/>
    </font>
    <font>
      <b/>
      <sz val="80"/>
      <color theme="1"/>
      <name val="Century Gothic"/>
      <family val="2"/>
    </font>
    <font>
      <b/>
      <sz val="35"/>
      <name val="Century Gothic"/>
      <family val="2"/>
    </font>
    <font>
      <b/>
      <sz val="18"/>
      <name val="Century Gothic"/>
      <family val="2"/>
    </font>
    <font>
      <sz val="35"/>
      <color theme="1"/>
      <name val="Calibri"/>
      <family val="2"/>
      <scheme val="minor"/>
    </font>
    <font>
      <b/>
      <sz val="24"/>
      <name val="Century Gothic"/>
      <family val="2"/>
    </font>
    <font>
      <sz val="24"/>
      <name val="Century Gothic"/>
      <family val="2"/>
    </font>
    <font>
      <sz val="24"/>
      <color theme="1"/>
      <name val="Calibri"/>
      <family val="2"/>
      <scheme val="minor"/>
    </font>
    <font>
      <b/>
      <sz val="28"/>
      <name val="Century Gothic"/>
      <family val="2"/>
    </font>
    <font>
      <b/>
      <sz val="30"/>
      <name val="Century Gothic"/>
      <family val="2"/>
    </font>
    <font>
      <sz val="30"/>
      <color theme="1"/>
      <name val="Calibri"/>
      <family val="2"/>
      <scheme val="minor"/>
    </font>
    <font>
      <b/>
      <sz val="30"/>
      <color theme="1"/>
      <name val="Century Gothic"/>
      <family val="2"/>
    </font>
    <font>
      <b/>
      <sz val="30"/>
      <color theme="1"/>
      <name val="Calibri"/>
      <family val="2"/>
      <scheme val="minor"/>
    </font>
    <font>
      <sz val="35"/>
      <name val="Calibri"/>
      <family val="2"/>
      <scheme val="minor"/>
    </font>
    <font>
      <sz val="35"/>
      <name val="Century Gothic"/>
      <family val="2"/>
    </font>
    <font>
      <sz val="35"/>
      <color theme="1"/>
      <name val="Century Gothic"/>
      <family val="2"/>
    </font>
    <font>
      <b/>
      <sz val="28"/>
      <name val="Candara"/>
      <family val="2"/>
    </font>
    <font>
      <sz val="18"/>
      <color theme="1"/>
      <name val="Calibri"/>
      <family val="2"/>
      <scheme val="minor"/>
    </font>
    <font>
      <sz val="30"/>
      <color theme="1"/>
      <name val="Century Gothic"/>
      <family val="2"/>
    </font>
    <font>
      <sz val="11"/>
      <color theme="1"/>
      <name val="Calibri"/>
      <family val="2"/>
      <charset val="1"/>
      <scheme val="minor"/>
    </font>
    <font>
      <sz val="25"/>
      <color theme="1"/>
      <name val="Century Gothic"/>
      <family val="2"/>
    </font>
    <font>
      <sz val="16"/>
      <color theme="1"/>
      <name val="Calibri"/>
      <family val="2"/>
      <scheme val="minor"/>
    </font>
    <font>
      <sz val="34"/>
      <color theme="1"/>
      <name val="Century Gothic"/>
      <family val="2"/>
    </font>
    <font>
      <b/>
      <sz val="34"/>
      <color theme="1" tint="4.9989318521683403E-2"/>
      <name val="Century Gothic"/>
      <family val="2"/>
    </font>
    <font>
      <sz val="34"/>
      <color theme="1" tint="4.9989318521683403E-2"/>
      <name val="Century Gothic"/>
      <family val="2"/>
    </font>
    <font>
      <b/>
      <sz val="34"/>
      <color theme="1"/>
      <name val="Calibri"/>
      <family val="2"/>
      <scheme val="minor"/>
    </font>
    <font>
      <sz val="28"/>
      <color theme="1" tint="4.9989318521683403E-2"/>
      <name val="Century Gothic"/>
      <family val="2"/>
    </font>
    <font>
      <b/>
      <sz val="16"/>
      <color theme="1"/>
      <name val="Calibri"/>
      <family val="2"/>
      <scheme val="minor"/>
    </font>
    <font>
      <b/>
      <sz val="28"/>
      <color theme="1" tint="4.9989318521683403E-2"/>
      <name val="Century Gothic"/>
      <family val="2"/>
    </font>
    <font>
      <b/>
      <sz val="35"/>
      <color theme="0"/>
      <name val="Calibri"/>
      <family val="2"/>
      <scheme val="minor"/>
    </font>
    <font>
      <b/>
      <sz val="32"/>
      <color theme="1"/>
      <name val="Calibri"/>
      <family val="2"/>
      <scheme val="minor"/>
    </font>
    <font>
      <sz val="28"/>
      <name val="Century Gothic"/>
      <family val="2"/>
    </font>
    <font>
      <b/>
      <sz val="28"/>
      <color theme="1"/>
      <name val="Calibri"/>
      <family val="2"/>
      <scheme val="minor"/>
    </font>
    <font>
      <sz val="28"/>
      <color theme="1"/>
      <name val="Century Gothic"/>
      <family val="2"/>
    </font>
    <font>
      <b/>
      <sz val="28"/>
      <name val="Bahnschrift"/>
      <family val="2"/>
    </font>
    <font>
      <b/>
      <sz val="28"/>
      <color theme="0"/>
      <name val="Century Gothic"/>
      <family val="2"/>
    </font>
    <font>
      <b/>
      <sz val="35"/>
      <name val="Calibri"/>
      <family val="2"/>
    </font>
    <font>
      <b/>
      <sz val="60"/>
      <name val="Calibri"/>
      <family val="2"/>
    </font>
    <font>
      <sz val="35"/>
      <name val="Calibri"/>
      <family val="2"/>
    </font>
    <font>
      <sz val="30"/>
      <name val="Century Gothic"/>
      <family val="2"/>
    </font>
    <font>
      <u/>
      <sz val="30"/>
      <name val="Calibri"/>
      <family val="2"/>
      <charset val="1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F0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14">
    <xf numFmtId="0" fontId="0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9" fontId="1" fillId="0" borderId="0" applyFont="0" applyFill="0" applyBorder="0" applyAlignment="0" applyProtection="0"/>
  </cellStyleXfs>
  <cellXfs count="262">
    <xf numFmtId="0" fontId="0" fillId="0" borderId="0" xfId="0"/>
    <xf numFmtId="0" fontId="8" fillId="0" borderId="16" xfId="5" applyFont="1" applyBorder="1" applyAlignment="1">
      <alignment horizontal="center" vertical="center"/>
    </xf>
    <xf numFmtId="0" fontId="8" fillId="0" borderId="17" xfId="5" applyFont="1" applyBorder="1" applyAlignment="1">
      <alignment horizontal="center" vertical="center"/>
    </xf>
    <xf numFmtId="0" fontId="8" fillId="0" borderId="18" xfId="5" applyFont="1" applyBorder="1" applyAlignment="1">
      <alignment horizontal="center" vertical="center"/>
    </xf>
    <xf numFmtId="0" fontId="1" fillId="0" borderId="0" xfId="5" applyAlignment="1">
      <alignment vertical="top"/>
    </xf>
    <xf numFmtId="0" fontId="8" fillId="0" borderId="19" xfId="5" applyFont="1" applyBorder="1" applyAlignment="1">
      <alignment horizontal="center" vertical="center"/>
    </xf>
    <xf numFmtId="0" fontId="8" fillId="0" borderId="0" xfId="5" applyFont="1" applyAlignment="1">
      <alignment horizontal="center" vertical="center"/>
    </xf>
    <xf numFmtId="0" fontId="8" fillId="0" borderId="20" xfId="5" applyFont="1" applyBorder="1" applyAlignment="1">
      <alignment horizontal="center" vertical="center"/>
    </xf>
    <xf numFmtId="0" fontId="9" fillId="2" borderId="16" xfId="5" applyFont="1" applyFill="1" applyBorder="1" applyAlignment="1">
      <alignment horizontal="left" vertical="top" wrapText="1"/>
    </xf>
    <xf numFmtId="0" fontId="9" fillId="2" borderId="17" xfId="5" applyFont="1" applyFill="1" applyBorder="1" applyAlignment="1">
      <alignment horizontal="left" vertical="top" wrapText="1"/>
    </xf>
    <xf numFmtId="0" fontId="10" fillId="2" borderId="16" xfId="5" applyFont="1" applyFill="1" applyBorder="1" applyAlignment="1">
      <alignment horizontal="center" vertical="top" wrapText="1"/>
    </xf>
    <xf numFmtId="0" fontId="10" fillId="2" borderId="17" xfId="5" applyFont="1" applyFill="1" applyBorder="1" applyAlignment="1">
      <alignment horizontal="center" vertical="top" wrapText="1"/>
    </xf>
    <xf numFmtId="0" fontId="10" fillId="2" borderId="18" xfId="5" applyFont="1" applyFill="1" applyBorder="1" applyAlignment="1">
      <alignment horizontal="center" vertical="top" wrapText="1"/>
    </xf>
    <xf numFmtId="0" fontId="11" fillId="0" borderId="0" xfId="5" applyFont="1" applyAlignment="1">
      <alignment vertical="top"/>
    </xf>
    <xf numFmtId="0" fontId="12" fillId="3" borderId="19" xfId="1" applyFont="1" applyFill="1" applyBorder="1" applyAlignment="1">
      <alignment vertical="center"/>
    </xf>
    <xf numFmtId="49" fontId="12" fillId="4" borderId="0" xfId="1" applyNumberFormat="1" applyFont="1" applyFill="1" applyAlignment="1">
      <alignment vertical="center"/>
    </xf>
    <xf numFmtId="0" fontId="12" fillId="3" borderId="0" xfId="1" applyFont="1" applyFill="1" applyAlignment="1">
      <alignment horizontal="center" vertical="center"/>
    </xf>
    <xf numFmtId="49" fontId="12" fillId="0" borderId="9" xfId="1" applyNumberFormat="1" applyFont="1" applyBorder="1" applyAlignment="1">
      <alignment horizontal="center"/>
    </xf>
    <xf numFmtId="0" fontId="13" fillId="2" borderId="0" xfId="1" applyFont="1" applyFill="1" applyAlignment="1">
      <alignment horizontal="center"/>
    </xf>
    <xf numFmtId="0" fontId="13" fillId="2" borderId="0" xfId="1" applyFont="1" applyFill="1" applyAlignment="1">
      <alignment horizontal="center"/>
    </xf>
    <xf numFmtId="0" fontId="14" fillId="2" borderId="0" xfId="1" applyFont="1" applyFill="1"/>
    <xf numFmtId="0" fontId="10" fillId="2" borderId="19" xfId="5" applyFont="1" applyFill="1" applyBorder="1" applyAlignment="1">
      <alignment horizontal="center" vertical="top" wrapText="1"/>
    </xf>
    <xf numFmtId="0" fontId="10" fillId="2" borderId="0" xfId="5" applyFont="1" applyFill="1" applyAlignment="1">
      <alignment horizontal="center" vertical="top" wrapText="1"/>
    </xf>
    <xf numFmtId="0" fontId="10" fillId="2" borderId="20" xfId="5" applyFont="1" applyFill="1" applyBorder="1" applyAlignment="1">
      <alignment horizontal="center" vertical="top" wrapText="1"/>
    </xf>
    <xf numFmtId="0" fontId="14" fillId="0" borderId="0" xfId="1" applyFont="1"/>
    <xf numFmtId="0" fontId="15" fillId="2" borderId="19" xfId="6" applyFont="1" applyFill="1" applyBorder="1" applyAlignment="1">
      <alignment horizontal="left"/>
    </xf>
    <xf numFmtId="0" fontId="15" fillId="2" borderId="0" xfId="6" applyFont="1" applyFill="1" applyAlignment="1">
      <alignment horizontal="left"/>
    </xf>
    <xf numFmtId="0" fontId="15" fillId="2" borderId="0" xfId="6" applyFont="1" applyFill="1" applyAlignment="1">
      <alignment horizontal="left"/>
    </xf>
    <xf numFmtId="0" fontId="2" fillId="2" borderId="0" xfId="6" applyFont="1" applyFill="1"/>
    <xf numFmtId="0" fontId="2" fillId="0" borderId="0" xfId="6" applyFont="1"/>
    <xf numFmtId="0" fontId="18" fillId="2" borderId="0" xfId="1" applyFont="1" applyFill="1" applyAlignment="1">
      <alignment horizontal="left"/>
    </xf>
    <xf numFmtId="0" fontId="18" fillId="2" borderId="0" xfId="1" applyFont="1" applyFill="1" applyAlignment="1">
      <alignment horizontal="left"/>
    </xf>
    <xf numFmtId="0" fontId="19" fillId="0" borderId="0" xfId="1" applyFont="1" applyAlignment="1">
      <alignment horizontal="left"/>
    </xf>
    <xf numFmtId="0" fontId="20" fillId="2" borderId="19" xfId="1" applyFont="1" applyFill="1" applyBorder="1"/>
    <xf numFmtId="0" fontId="20" fillId="2" borderId="0" xfId="1" applyFont="1" applyFill="1"/>
    <xf numFmtId="0" fontId="21" fillId="2" borderId="0" xfId="1" applyFont="1" applyFill="1" applyAlignment="1">
      <alignment horizontal="center"/>
    </xf>
    <xf numFmtId="0" fontId="10" fillId="2" borderId="21" xfId="5" applyFont="1" applyFill="1" applyBorder="1" applyAlignment="1">
      <alignment horizontal="center" vertical="top" wrapText="1"/>
    </xf>
    <xf numFmtId="0" fontId="10" fillId="2" borderId="22" xfId="5" applyFont="1" applyFill="1" applyBorder="1" applyAlignment="1">
      <alignment horizontal="center" vertical="top" wrapText="1"/>
    </xf>
    <xf numFmtId="0" fontId="10" fillId="2" borderId="23" xfId="5" applyFont="1" applyFill="1" applyBorder="1" applyAlignment="1">
      <alignment horizontal="center" vertical="top" wrapText="1"/>
    </xf>
    <xf numFmtId="0" fontId="11" fillId="0" borderId="0" xfId="1" applyFont="1"/>
    <xf numFmtId="0" fontId="9" fillId="3" borderId="24" xfId="1" applyFont="1" applyFill="1" applyBorder="1" applyAlignment="1">
      <alignment horizontal="left"/>
    </xf>
    <xf numFmtId="0" fontId="9" fillId="3" borderId="2" xfId="1" applyFont="1" applyFill="1" applyBorder="1" applyAlignment="1">
      <alignment horizontal="left"/>
    </xf>
    <xf numFmtId="0" fontId="9" fillId="3" borderId="0" xfId="1" applyFont="1" applyFill="1" applyAlignment="1">
      <alignment horizontal="left"/>
    </xf>
    <xf numFmtId="0" fontId="21" fillId="3" borderId="0" xfId="1" applyFont="1" applyFill="1"/>
    <xf numFmtId="0" fontId="22" fillId="3" borderId="0" xfId="1" applyFont="1" applyFill="1"/>
    <xf numFmtId="0" fontId="11" fillId="3" borderId="0" xfId="1" applyFont="1" applyFill="1"/>
    <xf numFmtId="0" fontId="11" fillId="3" borderId="20" xfId="1" applyFont="1" applyFill="1" applyBorder="1"/>
    <xf numFmtId="0" fontId="5" fillId="2" borderId="2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23" fillId="2" borderId="9" xfId="5" applyFont="1" applyFill="1" applyBorder="1" applyAlignment="1">
      <alignment horizontal="center" vertical="center" wrapText="1"/>
    </xf>
    <xf numFmtId="0" fontId="23" fillId="2" borderId="13" xfId="5" applyFont="1" applyFill="1" applyBorder="1" applyAlignment="1">
      <alignment horizontal="center" vertical="center" wrapText="1"/>
    </xf>
    <xf numFmtId="0" fontId="23" fillId="2" borderId="11" xfId="5" applyFont="1" applyFill="1" applyBorder="1" applyAlignment="1">
      <alignment horizontal="center" vertical="center" wrapText="1"/>
    </xf>
    <xf numFmtId="0" fontId="23" fillId="2" borderId="14" xfId="5" applyFont="1" applyFill="1" applyBorder="1" applyAlignment="1">
      <alignment horizontal="center" vertical="center" wrapText="1"/>
    </xf>
    <xf numFmtId="2" fontId="23" fillId="2" borderId="26" xfId="5" applyNumberFormat="1" applyFont="1" applyFill="1" applyBorder="1" applyAlignment="1">
      <alignment horizontal="center" vertical="center" wrapText="1"/>
    </xf>
    <xf numFmtId="0" fontId="24" fillId="0" borderId="0" xfId="5" applyFont="1" applyAlignment="1">
      <alignment vertical="top"/>
    </xf>
    <xf numFmtId="0" fontId="5" fillId="2" borderId="27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/>
    </xf>
    <xf numFmtId="0" fontId="23" fillId="2" borderId="14" xfId="5" applyFont="1" applyFill="1" applyBorder="1" applyAlignment="1">
      <alignment horizontal="center" vertical="center"/>
    </xf>
    <xf numFmtId="0" fontId="23" fillId="2" borderId="14" xfId="5" applyFont="1" applyFill="1" applyBorder="1" applyAlignment="1">
      <alignment horizontal="center" vertical="center" wrapText="1"/>
    </xf>
    <xf numFmtId="0" fontId="23" fillId="2" borderId="10" xfId="5" applyFont="1" applyFill="1" applyBorder="1" applyAlignment="1">
      <alignment horizontal="center" vertical="center" wrapText="1"/>
    </xf>
    <xf numFmtId="2" fontId="23" fillId="2" borderId="28" xfId="5" applyNumberFormat="1" applyFont="1" applyFill="1" applyBorder="1" applyAlignment="1">
      <alignment horizontal="center" vertical="center" wrapText="1"/>
    </xf>
    <xf numFmtId="0" fontId="25" fillId="0" borderId="12" xfId="1" applyFont="1" applyBorder="1" applyAlignment="1">
      <alignment vertical="center" wrapText="1"/>
    </xf>
    <xf numFmtId="2" fontId="25" fillId="0" borderId="12" xfId="0" applyNumberFormat="1" applyFont="1" applyBorder="1" applyAlignment="1">
      <alignment horizontal="center" vertical="center"/>
    </xf>
    <xf numFmtId="0" fontId="25" fillId="0" borderId="12" xfId="1" applyFont="1" applyBorder="1" applyAlignment="1">
      <alignment horizontal="left" vertical="center" wrapText="1"/>
    </xf>
    <xf numFmtId="9" fontId="25" fillId="0" borderId="12" xfId="1" applyNumberFormat="1" applyFont="1" applyBorder="1" applyAlignment="1">
      <alignment horizontal="center" vertical="center" wrapText="1"/>
    </xf>
    <xf numFmtId="0" fontId="25" fillId="0" borderId="12" xfId="4" applyFont="1" applyBorder="1" applyAlignment="1">
      <alignment horizontal="center" vertical="center" wrapText="1"/>
    </xf>
    <xf numFmtId="0" fontId="25" fillId="0" borderId="12" xfId="5" applyFont="1" applyBorder="1" applyAlignment="1">
      <alignment horizontal="center" vertical="center" wrapText="1"/>
    </xf>
    <xf numFmtId="0" fontId="17" fillId="0" borderId="12" xfId="5" applyFont="1" applyBorder="1" applyAlignment="1">
      <alignment horizontal="center" vertical="center"/>
    </xf>
    <xf numFmtId="0" fontId="27" fillId="0" borderId="12" xfId="10" applyFont="1" applyBorder="1" applyAlignment="1">
      <alignment horizontal="center" vertical="center"/>
    </xf>
    <xf numFmtId="0" fontId="4" fillId="2" borderId="12" xfId="5" applyFont="1" applyFill="1" applyBorder="1" applyAlignment="1">
      <alignment horizontal="center" vertical="center"/>
    </xf>
    <xf numFmtId="2" fontId="4" fillId="2" borderId="12" xfId="5" applyNumberFormat="1" applyFont="1" applyFill="1" applyBorder="1" applyAlignment="1">
      <alignment horizontal="center" vertical="center"/>
    </xf>
    <xf numFmtId="0" fontId="28" fillId="0" borderId="0" xfId="5" applyFont="1" applyAlignment="1">
      <alignment horizontal="left" vertical="top" wrapText="1"/>
    </xf>
    <xf numFmtId="0" fontId="25" fillId="0" borderId="12" xfId="1" applyFont="1" applyBorder="1" applyAlignment="1">
      <alignment horizontal="center" vertical="center"/>
    </xf>
    <xf numFmtId="9" fontId="25" fillId="0" borderId="12" xfId="1" applyNumberFormat="1" applyFont="1" applyBorder="1" applyAlignment="1">
      <alignment horizontal="center" vertical="center"/>
    </xf>
    <xf numFmtId="2" fontId="25" fillId="0" borderId="12" xfId="1" applyNumberFormat="1" applyFont="1" applyBorder="1" applyAlignment="1">
      <alignment horizontal="center" vertical="center" wrapText="1"/>
    </xf>
    <xf numFmtId="0" fontId="29" fillId="0" borderId="29" xfId="11" applyFont="1" applyBorder="1" applyAlignment="1">
      <alignment horizontal="center" vertical="center"/>
    </xf>
    <xf numFmtId="0" fontId="30" fillId="0" borderId="10" xfId="5" applyFont="1" applyBorder="1" applyAlignment="1">
      <alignment horizontal="center" vertical="center" wrapText="1"/>
    </xf>
    <xf numFmtId="2" fontId="30" fillId="0" borderId="10" xfId="5" applyNumberFormat="1" applyFont="1" applyBorder="1" applyAlignment="1">
      <alignment horizontal="center" vertical="center" wrapText="1"/>
    </xf>
    <xf numFmtId="2" fontId="29" fillId="0" borderId="10" xfId="11" applyNumberFormat="1" applyFont="1" applyBorder="1" applyAlignment="1">
      <alignment horizontal="left" vertical="center" wrapText="1"/>
    </xf>
    <xf numFmtId="9" fontId="29" fillId="0" borderId="10" xfId="11" applyNumberFormat="1" applyFont="1" applyBorder="1" applyAlignment="1">
      <alignment horizontal="center" vertical="center"/>
    </xf>
    <xf numFmtId="0" fontId="31" fillId="0" borderId="6" xfId="6" applyFont="1" applyBorder="1" applyAlignment="1">
      <alignment vertical="center"/>
    </xf>
    <xf numFmtId="49" fontId="31" fillId="0" borderId="7" xfId="6" applyNumberFormat="1" applyFont="1" applyBorder="1" applyAlignment="1">
      <alignment horizontal="center" vertical="center"/>
    </xf>
    <xf numFmtId="0" fontId="30" fillId="0" borderId="13" xfId="5" applyFont="1" applyBorder="1" applyAlignment="1" applyProtection="1">
      <alignment horizontal="center" vertical="center"/>
      <protection locked="0"/>
    </xf>
    <xf numFmtId="2" fontId="32" fillId="2" borderId="12" xfId="5" applyNumberFormat="1" applyFont="1" applyFill="1" applyBorder="1" applyAlignment="1">
      <alignment horizontal="center" vertical="center"/>
    </xf>
    <xf numFmtId="2" fontId="32" fillId="2" borderId="30" xfId="5" applyNumberFormat="1" applyFont="1" applyFill="1" applyBorder="1" applyAlignment="1">
      <alignment horizontal="center" vertical="center"/>
    </xf>
    <xf numFmtId="0" fontId="28" fillId="0" borderId="0" xfId="12" applyFont="1" applyAlignment="1">
      <alignment horizontal="left" vertical="top" wrapText="1"/>
    </xf>
    <xf numFmtId="0" fontId="33" fillId="0" borderId="31" xfId="5" applyFont="1" applyBorder="1" applyAlignment="1">
      <alignment vertical="center" wrapText="1"/>
    </xf>
    <xf numFmtId="0" fontId="34" fillId="0" borderId="0" xfId="5" applyFont="1" applyAlignment="1">
      <alignment vertical="top" wrapText="1"/>
    </xf>
    <xf numFmtId="0" fontId="35" fillId="0" borderId="10" xfId="5" applyFont="1" applyBorder="1" applyAlignment="1">
      <alignment horizontal="center" vertical="center" wrapText="1"/>
    </xf>
    <xf numFmtId="0" fontId="36" fillId="5" borderId="9" xfId="5" applyFont="1" applyFill="1" applyBorder="1" applyAlignment="1">
      <alignment horizontal="center"/>
    </xf>
    <xf numFmtId="0" fontId="36" fillId="5" borderId="13" xfId="5" applyFont="1" applyFill="1" applyBorder="1" applyAlignment="1">
      <alignment horizontal="center"/>
    </xf>
    <xf numFmtId="0" fontId="36" fillId="5" borderId="11" xfId="5" applyFont="1" applyFill="1" applyBorder="1" applyAlignment="1">
      <alignment horizontal="center"/>
    </xf>
    <xf numFmtId="2" fontId="37" fillId="6" borderId="30" xfId="13" applyNumberFormat="1" applyFont="1" applyFill="1" applyBorder="1" applyAlignment="1" applyProtection="1">
      <alignment horizontal="center"/>
    </xf>
    <xf numFmtId="0" fontId="15" fillId="2" borderId="24" xfId="5" applyFont="1" applyFill="1" applyBorder="1" applyAlignment="1">
      <alignment horizontal="right" vertical="top" wrapText="1"/>
    </xf>
    <xf numFmtId="0" fontId="15" fillId="2" borderId="2" xfId="5" applyFont="1" applyFill="1" applyBorder="1" applyAlignment="1">
      <alignment horizontal="right" vertical="top" wrapText="1"/>
    </xf>
    <xf numFmtId="0" fontId="15" fillId="2" borderId="3" xfId="5" applyFont="1" applyFill="1" applyBorder="1" applyAlignment="1">
      <alignment horizontal="right" vertical="top" wrapText="1"/>
    </xf>
    <xf numFmtId="0" fontId="15" fillId="2" borderId="12" xfId="5" applyFont="1" applyFill="1" applyBorder="1" applyAlignment="1">
      <alignment horizontal="center" vertical="top" wrapText="1"/>
    </xf>
    <xf numFmtId="0" fontId="23" fillId="2" borderId="2" xfId="5" applyFont="1" applyFill="1" applyBorder="1" applyAlignment="1">
      <alignment horizontal="center" vertical="top" wrapText="1"/>
    </xf>
    <xf numFmtId="0" fontId="23" fillId="2" borderId="8" xfId="5" applyFont="1" applyFill="1" applyBorder="1" applyAlignment="1">
      <alignment horizontal="center" vertical="top" wrapText="1"/>
    </xf>
    <xf numFmtId="0" fontId="2" fillId="3" borderId="0" xfId="5" applyFont="1" applyFill="1" applyAlignment="1">
      <alignment horizontal="center"/>
    </xf>
    <xf numFmtId="2" fontId="2" fillId="3" borderId="20" xfId="5" applyNumberFormat="1" applyFont="1" applyFill="1" applyBorder="1" applyAlignment="1">
      <alignment horizontal="center"/>
    </xf>
    <xf numFmtId="0" fontId="28" fillId="0" borderId="0" xfId="5" applyFont="1" applyAlignment="1">
      <alignment vertical="top" wrapText="1"/>
    </xf>
    <xf numFmtId="0" fontId="2" fillId="2" borderId="19" xfId="5" applyFont="1" applyFill="1" applyBorder="1" applyAlignment="1">
      <alignment horizontal="right" vertical="top" wrapText="1"/>
    </xf>
    <xf numFmtId="0" fontId="38" fillId="2" borderId="0" xfId="5" applyFont="1" applyFill="1" applyAlignment="1">
      <alignment horizontal="right" vertical="top" wrapText="1"/>
    </xf>
    <xf numFmtId="0" fontId="15" fillId="3" borderId="0" xfId="5" applyFont="1" applyFill="1" applyAlignment="1">
      <alignment horizontal="right" vertical="top" wrapText="1"/>
    </xf>
    <xf numFmtId="0" fontId="15" fillId="2" borderId="0" xfId="5" applyFont="1" applyFill="1" applyAlignment="1">
      <alignment horizontal="center" vertical="top" wrapText="1"/>
    </xf>
    <xf numFmtId="0" fontId="15" fillId="2" borderId="5" xfId="5" applyFont="1" applyFill="1" applyBorder="1" applyAlignment="1">
      <alignment horizontal="center" vertical="top" wrapText="1"/>
    </xf>
    <xf numFmtId="0" fontId="23" fillId="2" borderId="7" xfId="5" applyFont="1" applyFill="1" applyBorder="1" applyAlignment="1">
      <alignment horizontal="center" vertical="top" wrapText="1"/>
    </xf>
    <xf numFmtId="0" fontId="39" fillId="2" borderId="12" xfId="5" applyFont="1" applyFill="1" applyBorder="1" applyAlignment="1">
      <alignment horizontal="center" vertical="top" wrapText="1"/>
    </xf>
    <xf numFmtId="0" fontId="5" fillId="0" borderId="29" xfId="1" applyFont="1" applyBorder="1" applyAlignment="1">
      <alignment horizontal="center" vertical="center"/>
    </xf>
    <xf numFmtId="0" fontId="5" fillId="0" borderId="12" xfId="1" applyFont="1" applyBorder="1" applyAlignment="1">
      <alignment horizontal="left" vertical="center"/>
    </xf>
    <xf numFmtId="0" fontId="6" fillId="0" borderId="6" xfId="1" applyFont="1" applyBorder="1" applyAlignment="1">
      <alignment vertical="center"/>
    </xf>
    <xf numFmtId="0" fontId="6" fillId="0" borderId="7" xfId="1" applyFont="1" applyBorder="1" applyAlignment="1">
      <alignment vertical="center"/>
    </xf>
    <xf numFmtId="0" fontId="6" fillId="0" borderId="8" xfId="1" applyFont="1" applyBorder="1" applyAlignment="1">
      <alignment vertical="center"/>
    </xf>
    <xf numFmtId="0" fontId="40" fillId="0" borderId="10" xfId="5" applyFont="1" applyBorder="1" applyAlignment="1">
      <alignment horizontal="center" vertical="top" wrapText="1"/>
    </xf>
    <xf numFmtId="0" fontId="2" fillId="3" borderId="0" xfId="5" applyFont="1" applyFill="1" applyAlignment="1">
      <alignment horizontal="center" vertical="top" wrapText="1"/>
    </xf>
    <xf numFmtId="0" fontId="41" fillId="2" borderId="12" xfId="5" applyFont="1" applyFill="1" applyBorder="1" applyAlignment="1">
      <alignment horizontal="center" vertical="top" wrapText="1"/>
    </xf>
    <xf numFmtId="0" fontId="39" fillId="2" borderId="9" xfId="5" applyFont="1" applyFill="1" applyBorder="1" applyAlignment="1">
      <alignment horizontal="left" vertical="top" wrapText="1"/>
    </xf>
    <xf numFmtId="0" fontId="39" fillId="2" borderId="11" xfId="5" applyFont="1" applyFill="1" applyBorder="1" applyAlignment="1">
      <alignment horizontal="left" vertical="top" wrapText="1"/>
    </xf>
    <xf numFmtId="0" fontId="6" fillId="0" borderId="31" xfId="1" applyFont="1" applyBorder="1" applyAlignment="1">
      <alignment horizontal="center" vertical="center"/>
    </xf>
    <xf numFmtId="0" fontId="6" fillId="0" borderId="12" xfId="1" applyFont="1" applyBorder="1" applyAlignment="1">
      <alignment vertical="center" wrapText="1"/>
    </xf>
    <xf numFmtId="0" fontId="38" fillId="0" borderId="9" xfId="10" applyFont="1" applyBorder="1" applyAlignment="1">
      <alignment horizontal="left" vertical="center" wrapText="1"/>
    </xf>
    <xf numFmtId="0" fontId="38" fillId="0" borderId="13" xfId="10" applyFont="1" applyBorder="1" applyAlignment="1">
      <alignment horizontal="left" vertical="center" wrapText="1"/>
    </xf>
    <xf numFmtId="0" fontId="38" fillId="0" borderId="11" xfId="10" applyFont="1" applyBorder="1" applyAlignment="1">
      <alignment horizontal="left" vertical="center" wrapText="1"/>
    </xf>
    <xf numFmtId="0" fontId="40" fillId="0" borderId="12" xfId="5" applyFont="1" applyBorder="1" applyAlignment="1">
      <alignment horizontal="center" vertical="top" wrapText="1"/>
    </xf>
    <xf numFmtId="0" fontId="40" fillId="0" borderId="12" xfId="5" applyFont="1" applyBorder="1" applyAlignment="1" applyProtection="1">
      <alignment horizontal="center" vertical="top" wrapText="1"/>
      <protection locked="0"/>
    </xf>
    <xf numFmtId="0" fontId="5" fillId="0" borderId="31" xfId="1" applyFont="1" applyBorder="1" applyAlignment="1">
      <alignment horizontal="center" vertical="center"/>
    </xf>
    <xf numFmtId="0" fontId="5" fillId="0" borderId="12" xfId="1" applyFont="1" applyBorder="1" applyAlignment="1">
      <alignment horizontal="left" vertical="center" wrapText="1"/>
    </xf>
    <xf numFmtId="0" fontId="6" fillId="0" borderId="9" xfId="1" applyFont="1" applyBorder="1" applyAlignment="1">
      <alignment vertical="center"/>
    </xf>
    <xf numFmtId="0" fontId="6" fillId="0" borderId="13" xfId="1" applyFont="1" applyBorder="1" applyAlignment="1">
      <alignment vertical="center"/>
    </xf>
    <xf numFmtId="0" fontId="6" fillId="0" borderId="11" xfId="1" applyFont="1" applyBorder="1" applyAlignment="1">
      <alignment vertical="center"/>
    </xf>
    <xf numFmtId="0" fontId="6" fillId="0" borderId="12" xfId="1" applyFont="1" applyBorder="1" applyAlignment="1">
      <alignment horizontal="left" vertical="center" wrapText="1"/>
    </xf>
    <xf numFmtId="0" fontId="38" fillId="0" borderId="9" xfId="10" applyFont="1" applyBorder="1" applyAlignment="1">
      <alignment vertical="center" wrapText="1"/>
    </xf>
    <xf numFmtId="0" fontId="38" fillId="0" borderId="13" xfId="10" applyFont="1" applyBorder="1" applyAlignment="1">
      <alignment vertical="center" wrapText="1"/>
    </xf>
    <xf numFmtId="0" fontId="38" fillId="0" borderId="11" xfId="10" applyFont="1" applyBorder="1" applyAlignment="1">
      <alignment vertical="center" wrapText="1"/>
    </xf>
    <xf numFmtId="0" fontId="39" fillId="2" borderId="11" xfId="5" applyFont="1" applyFill="1" applyBorder="1" applyAlignment="1">
      <alignment horizontal="center" vertical="top" wrapText="1"/>
    </xf>
    <xf numFmtId="0" fontId="39" fillId="2" borderId="9" xfId="5" applyFont="1" applyFill="1" applyBorder="1" applyAlignment="1">
      <alignment horizontal="left" vertical="top" wrapText="1"/>
    </xf>
    <xf numFmtId="0" fontId="39" fillId="2" borderId="11" xfId="5" applyFont="1" applyFill="1" applyBorder="1" applyAlignment="1">
      <alignment horizontal="left" vertical="top" wrapText="1"/>
    </xf>
    <xf numFmtId="0" fontId="6" fillId="0" borderId="9" xfId="1" applyFont="1" applyBorder="1" applyAlignment="1">
      <alignment horizontal="left" vertical="center" wrapText="1"/>
    </xf>
    <xf numFmtId="0" fontId="6" fillId="0" borderId="13" xfId="1" applyFont="1" applyBorder="1" applyAlignment="1">
      <alignment horizontal="left" vertical="center" wrapText="1"/>
    </xf>
    <xf numFmtId="0" fontId="6" fillId="0" borderId="11" xfId="1" applyFont="1" applyBorder="1" applyAlignment="1">
      <alignment horizontal="left" vertical="center" wrapText="1"/>
    </xf>
    <xf numFmtId="0" fontId="2" fillId="2" borderId="0" xfId="5" applyFont="1" applyFill="1" applyAlignment="1">
      <alignment horizontal="center" vertical="top" wrapText="1"/>
    </xf>
    <xf numFmtId="0" fontId="15" fillId="2" borderId="5" xfId="5" applyFont="1" applyFill="1" applyBorder="1" applyAlignment="1">
      <alignment horizontal="center" vertical="center" wrapText="1"/>
    </xf>
    <xf numFmtId="0" fontId="5" fillId="2" borderId="32" xfId="1" applyFont="1" applyFill="1" applyBorder="1" applyAlignment="1">
      <alignment horizontal="left" vertical="center"/>
    </xf>
    <xf numFmtId="0" fontId="5" fillId="2" borderId="13" xfId="1" applyFont="1" applyFill="1" applyBorder="1" applyAlignment="1">
      <alignment horizontal="left" vertical="center"/>
    </xf>
    <xf numFmtId="0" fontId="15" fillId="2" borderId="13" xfId="5" applyFont="1" applyFill="1" applyBorder="1" applyAlignment="1">
      <alignment horizontal="center" vertical="top" wrapText="1"/>
    </xf>
    <xf numFmtId="0" fontId="15" fillId="2" borderId="11" xfId="5" applyFont="1" applyFill="1" applyBorder="1" applyAlignment="1">
      <alignment horizontal="center" vertical="top" wrapText="1"/>
    </xf>
    <xf numFmtId="0" fontId="6" fillId="0" borderId="31" xfId="1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38" fillId="0" borderId="12" xfId="5" applyFont="1" applyBorder="1" applyAlignment="1">
      <alignment horizontal="center" vertical="top" wrapText="1"/>
    </xf>
    <xf numFmtId="0" fontId="15" fillId="0" borderId="12" xfId="5" applyFont="1" applyBorder="1" applyAlignment="1" applyProtection="1">
      <alignment horizontal="center" vertical="top" wrapText="1"/>
      <protection locked="0"/>
    </xf>
    <xf numFmtId="0" fontId="15" fillId="0" borderId="12" xfId="5" applyFont="1" applyBorder="1" applyAlignment="1">
      <alignment horizontal="center" vertical="top" wrapText="1"/>
    </xf>
    <xf numFmtId="0" fontId="15" fillId="2" borderId="32" xfId="5" applyFont="1" applyFill="1" applyBorder="1" applyAlignment="1">
      <alignment vertical="top" wrapText="1"/>
    </xf>
    <xf numFmtId="0" fontId="15" fillId="2" borderId="13" xfId="5" applyFont="1" applyFill="1" applyBorder="1" applyAlignment="1">
      <alignment horizontal="left" vertical="top" wrapText="1"/>
    </xf>
    <xf numFmtId="0" fontId="15" fillId="2" borderId="13" xfId="5" applyFont="1" applyFill="1" applyBorder="1" applyAlignment="1">
      <alignment vertical="top" wrapText="1"/>
    </xf>
    <xf numFmtId="0" fontId="42" fillId="2" borderId="0" xfId="5" applyFont="1" applyFill="1" applyAlignment="1">
      <alignment horizontal="center" vertical="top" wrapText="1"/>
    </xf>
    <xf numFmtId="0" fontId="11" fillId="7" borderId="19" xfId="5" applyFont="1" applyFill="1" applyBorder="1"/>
    <xf numFmtId="0" fontId="11" fillId="7" borderId="2" xfId="5" applyFont="1" applyFill="1" applyBorder="1" applyAlignment="1">
      <alignment horizontal="center"/>
    </xf>
    <xf numFmtId="0" fontId="43" fillId="2" borderId="2" xfId="5" applyFont="1" applyFill="1" applyBorder="1" applyAlignment="1">
      <alignment vertical="center" wrapText="1"/>
    </xf>
    <xf numFmtId="0" fontId="43" fillId="2" borderId="13" xfId="5" applyFont="1" applyFill="1" applyBorder="1" applyAlignment="1">
      <alignment horizontal="center" vertical="center" wrapText="1"/>
    </xf>
    <xf numFmtId="0" fontId="43" fillId="8" borderId="9" xfId="5" applyFont="1" applyFill="1" applyBorder="1" applyAlignment="1">
      <alignment horizontal="center" vertical="center" wrapText="1"/>
    </xf>
    <xf numFmtId="0" fontId="43" fillId="8" borderId="11" xfId="5" applyFont="1" applyFill="1" applyBorder="1" applyAlignment="1">
      <alignment horizontal="center" vertical="center" wrapText="1"/>
    </xf>
    <xf numFmtId="0" fontId="43" fillId="8" borderId="33" xfId="5" applyFont="1" applyFill="1" applyBorder="1" applyAlignment="1">
      <alignment horizontal="center" vertical="center" wrapText="1"/>
    </xf>
    <xf numFmtId="0" fontId="11" fillId="0" borderId="0" xfId="5" applyFont="1"/>
    <xf numFmtId="0" fontId="11" fillId="7" borderId="0" xfId="5" applyFont="1" applyFill="1" applyAlignment="1">
      <alignment horizontal="center"/>
    </xf>
    <xf numFmtId="0" fontId="43" fillId="0" borderId="9" xfId="5" applyFont="1" applyBorder="1" applyAlignment="1">
      <alignment horizontal="left" vertical="center" wrapText="1"/>
    </xf>
    <xf numFmtId="0" fontId="43" fillId="0" borderId="13" xfId="5" applyFont="1" applyBorder="1" applyAlignment="1">
      <alignment horizontal="left" vertical="center" wrapText="1"/>
    </xf>
    <xf numFmtId="0" fontId="43" fillId="0" borderId="11" xfId="5" applyFont="1" applyBorder="1" applyAlignment="1">
      <alignment horizontal="left" vertical="center" wrapText="1"/>
    </xf>
    <xf numFmtId="0" fontId="43" fillId="0" borderId="9" xfId="5" applyFont="1" applyBorder="1" applyAlignment="1">
      <alignment horizontal="center" vertical="center" wrapText="1"/>
    </xf>
    <xf numFmtId="0" fontId="43" fillId="0" borderId="13" xfId="5" applyFont="1" applyBorder="1" applyAlignment="1">
      <alignment horizontal="center" vertical="center" wrapText="1"/>
    </xf>
    <xf numFmtId="0" fontId="43" fillId="0" borderId="11" xfId="5" applyFont="1" applyBorder="1" applyAlignment="1">
      <alignment horizontal="center" vertical="center" wrapText="1"/>
    </xf>
    <xf numFmtId="2" fontId="43" fillId="8" borderId="9" xfId="5" applyNumberFormat="1" applyFont="1" applyFill="1" applyBorder="1" applyAlignment="1">
      <alignment horizontal="center" vertical="center" wrapText="1"/>
    </xf>
    <xf numFmtId="2" fontId="43" fillId="8" borderId="11" xfId="5" applyNumberFormat="1" applyFont="1" applyFill="1" applyBorder="1" applyAlignment="1">
      <alignment horizontal="center" vertical="center" wrapText="1"/>
    </xf>
    <xf numFmtId="2" fontId="44" fillId="2" borderId="1" xfId="13" applyNumberFormat="1" applyFont="1" applyFill="1" applyBorder="1" applyAlignment="1" applyProtection="1">
      <alignment horizontal="center" vertical="center" wrapText="1"/>
    </xf>
    <xf numFmtId="2" fontId="44" fillId="2" borderId="34" xfId="13" applyNumberFormat="1" applyFont="1" applyFill="1" applyBorder="1" applyAlignment="1" applyProtection="1">
      <alignment horizontal="center" vertical="center" wrapText="1"/>
    </xf>
    <xf numFmtId="2" fontId="44" fillId="2" borderId="4" xfId="13" applyNumberFormat="1" applyFont="1" applyFill="1" applyBorder="1" applyAlignment="1" applyProtection="1">
      <alignment horizontal="center" vertical="center" wrapText="1"/>
    </xf>
    <xf numFmtId="2" fontId="44" fillId="2" borderId="20" xfId="13" applyNumberFormat="1" applyFont="1" applyFill="1" applyBorder="1" applyAlignment="1" applyProtection="1">
      <alignment horizontal="center" vertical="center" wrapText="1"/>
    </xf>
    <xf numFmtId="0" fontId="11" fillId="7" borderId="7" xfId="5" applyFont="1" applyFill="1" applyBorder="1" applyAlignment="1">
      <alignment horizontal="center"/>
    </xf>
    <xf numFmtId="2" fontId="44" fillId="2" borderId="6" xfId="13" applyNumberFormat="1" applyFont="1" applyFill="1" applyBorder="1" applyAlignment="1" applyProtection="1">
      <alignment horizontal="center" vertical="center" wrapText="1"/>
    </xf>
    <xf numFmtId="2" fontId="44" fillId="2" borderId="35" xfId="13" applyNumberFormat="1" applyFont="1" applyFill="1" applyBorder="1" applyAlignment="1" applyProtection="1">
      <alignment horizontal="center" vertical="center" wrapText="1"/>
    </xf>
    <xf numFmtId="0" fontId="43" fillId="2" borderId="12" xfId="5" applyFont="1" applyFill="1" applyBorder="1" applyAlignment="1">
      <alignment horizontal="center" vertical="center" wrapText="1"/>
    </xf>
    <xf numFmtId="0" fontId="43" fillId="4" borderId="12" xfId="5" applyFont="1" applyFill="1" applyBorder="1" applyAlignment="1">
      <alignment vertical="center" wrapText="1"/>
    </xf>
    <xf numFmtId="0" fontId="43" fillId="4" borderId="30" xfId="5" applyFont="1" applyFill="1" applyBorder="1" applyAlignment="1">
      <alignment vertical="center" wrapText="1"/>
    </xf>
    <xf numFmtId="0" fontId="45" fillId="4" borderId="12" xfId="5" applyFont="1" applyFill="1" applyBorder="1" applyAlignment="1">
      <alignment horizontal="center" vertical="center" wrapText="1"/>
    </xf>
    <xf numFmtId="0" fontId="45" fillId="4" borderId="30" xfId="5" applyFont="1" applyFill="1" applyBorder="1" applyAlignment="1">
      <alignment horizontal="center" vertical="center" wrapText="1"/>
    </xf>
    <xf numFmtId="0" fontId="43" fillId="2" borderId="12" xfId="5" applyFont="1" applyFill="1" applyBorder="1" applyAlignment="1">
      <alignment horizontal="left" vertical="center" wrapText="1"/>
    </xf>
    <xf numFmtId="0" fontId="43" fillId="0" borderId="12" xfId="5" applyFont="1" applyBorder="1" applyAlignment="1">
      <alignment vertical="center" wrapText="1"/>
    </xf>
    <xf numFmtId="0" fontId="43" fillId="0" borderId="30" xfId="5" applyFont="1" applyBorder="1" applyAlignment="1">
      <alignment vertical="center" wrapText="1"/>
    </xf>
    <xf numFmtId="0" fontId="15" fillId="2" borderId="24" xfId="5" applyFont="1" applyFill="1" applyBorder="1" applyAlignment="1">
      <alignment vertical="center" wrapText="1"/>
    </xf>
    <xf numFmtId="0" fontId="15" fillId="2" borderId="3" xfId="5" applyFont="1" applyFill="1" applyBorder="1" applyAlignment="1">
      <alignment vertical="center" wrapText="1"/>
    </xf>
    <xf numFmtId="0" fontId="38" fillId="0" borderId="2" xfId="5" applyFont="1" applyBorder="1" applyAlignment="1">
      <alignment vertical="center" wrapText="1"/>
    </xf>
    <xf numFmtId="0" fontId="38" fillId="0" borderId="3" xfId="5" applyFont="1" applyBorder="1" applyAlignment="1">
      <alignment vertical="center" wrapText="1"/>
    </xf>
    <xf numFmtId="0" fontId="15" fillId="2" borderId="1" xfId="5" applyFont="1" applyFill="1" applyBorder="1" applyAlignment="1">
      <alignment vertical="center" wrapText="1"/>
    </xf>
    <xf numFmtId="0" fontId="38" fillId="0" borderId="2" xfId="5" applyFont="1" applyBorder="1" applyAlignment="1">
      <alignment horizontal="center" vertical="center" wrapText="1"/>
    </xf>
    <xf numFmtId="0" fontId="40" fillId="3" borderId="0" xfId="5" applyFont="1" applyFill="1" applyAlignment="1">
      <alignment horizontal="center" vertical="top" wrapText="1"/>
    </xf>
    <xf numFmtId="0" fontId="2" fillId="3" borderId="2" xfId="5" applyFont="1" applyFill="1" applyBorder="1" applyAlignment="1">
      <alignment horizontal="center" vertical="top" wrapText="1"/>
    </xf>
    <xf numFmtId="0" fontId="15" fillId="2" borderId="19" xfId="5" applyFont="1" applyFill="1" applyBorder="1" applyAlignment="1">
      <alignment vertical="center" wrapText="1"/>
    </xf>
    <xf numFmtId="0" fontId="15" fillId="2" borderId="5" xfId="5" applyFont="1" applyFill="1" applyBorder="1" applyAlignment="1">
      <alignment vertical="center" wrapText="1"/>
    </xf>
    <xf numFmtId="0" fontId="38" fillId="0" borderId="0" xfId="5" applyFont="1" applyAlignment="1">
      <alignment vertical="center" wrapText="1"/>
    </xf>
    <xf numFmtId="0" fontId="38" fillId="0" borderId="5" xfId="5" applyFont="1" applyBorder="1" applyAlignment="1">
      <alignment vertical="center" wrapText="1"/>
    </xf>
    <xf numFmtId="0" fontId="15" fillId="2" borderId="4" xfId="5" applyFont="1" applyFill="1" applyBorder="1" applyAlignment="1">
      <alignment vertical="center" wrapText="1"/>
    </xf>
    <xf numFmtId="0" fontId="38" fillId="0" borderId="0" xfId="5" applyFont="1" applyAlignment="1">
      <alignment horizontal="center" vertical="center" wrapText="1"/>
    </xf>
    <xf numFmtId="0" fontId="2" fillId="3" borderId="0" xfId="5" applyFont="1" applyFill="1" applyAlignment="1">
      <alignment horizontal="center" vertical="top" wrapText="1"/>
    </xf>
    <xf numFmtId="0" fontId="15" fillId="2" borderId="36" xfId="5" applyFont="1" applyFill="1" applyBorder="1" applyAlignment="1">
      <alignment vertical="center" wrapText="1"/>
    </xf>
    <xf numFmtId="0" fontId="15" fillId="2" borderId="8" xfId="5" applyFont="1" applyFill="1" applyBorder="1" applyAlignment="1">
      <alignment vertical="center" wrapText="1"/>
    </xf>
    <xf numFmtId="0" fontId="38" fillId="0" borderId="7" xfId="5" applyFont="1" applyBorder="1" applyAlignment="1">
      <alignment vertical="center" wrapText="1"/>
    </xf>
    <xf numFmtId="0" fontId="38" fillId="0" borderId="8" xfId="5" applyFont="1" applyBorder="1" applyAlignment="1">
      <alignment vertical="center" wrapText="1"/>
    </xf>
    <xf numFmtId="0" fontId="15" fillId="2" borderId="6" xfId="5" applyFont="1" applyFill="1" applyBorder="1" applyAlignment="1">
      <alignment vertical="center" wrapText="1"/>
    </xf>
    <xf numFmtId="0" fontId="38" fillId="0" borderId="7" xfId="5" applyFont="1" applyBorder="1" applyAlignment="1">
      <alignment horizontal="center" vertical="center" wrapText="1"/>
    </xf>
    <xf numFmtId="0" fontId="15" fillId="3" borderId="24" xfId="5" applyFont="1" applyFill="1" applyBorder="1" applyAlignment="1">
      <alignment vertical="center" wrapText="1"/>
    </xf>
    <xf numFmtId="0" fontId="15" fillId="3" borderId="3" xfId="5" applyFont="1" applyFill="1" applyBorder="1" applyAlignment="1">
      <alignment vertical="center" wrapText="1"/>
    </xf>
    <xf numFmtId="0" fontId="15" fillId="3" borderId="1" xfId="5" applyFont="1" applyFill="1" applyBorder="1" applyAlignment="1">
      <alignment vertical="center" wrapText="1"/>
    </xf>
    <xf numFmtId="0" fontId="15" fillId="3" borderId="19" xfId="5" applyFont="1" applyFill="1" applyBorder="1" applyAlignment="1">
      <alignment vertical="center" wrapText="1"/>
    </xf>
    <xf numFmtId="0" fontId="15" fillId="3" borderId="5" xfId="5" applyFont="1" applyFill="1" applyBorder="1" applyAlignment="1">
      <alignment vertical="center" wrapText="1"/>
    </xf>
    <xf numFmtId="0" fontId="15" fillId="3" borderId="4" xfId="5" applyFont="1" applyFill="1" applyBorder="1" applyAlignment="1">
      <alignment vertical="center" wrapText="1"/>
    </xf>
    <xf numFmtId="0" fontId="15" fillId="3" borderId="6" xfId="5" applyFont="1" applyFill="1" applyBorder="1" applyAlignment="1">
      <alignment vertical="center" wrapText="1"/>
    </xf>
    <xf numFmtId="0" fontId="15" fillId="3" borderId="8" xfId="5" applyFont="1" applyFill="1" applyBorder="1" applyAlignment="1">
      <alignment vertical="center" wrapText="1"/>
    </xf>
    <xf numFmtId="0" fontId="28" fillId="3" borderId="21" xfId="5" applyFont="1" applyFill="1" applyBorder="1" applyAlignment="1">
      <alignment vertical="center" wrapText="1"/>
    </xf>
    <xf numFmtId="0" fontId="28" fillId="3" borderId="22" xfId="5" applyFont="1" applyFill="1" applyBorder="1" applyAlignment="1">
      <alignment vertical="center" wrapText="1"/>
    </xf>
    <xf numFmtId="0" fontId="7" fillId="3" borderId="22" xfId="5" applyFont="1" applyFill="1" applyBorder="1" applyAlignment="1">
      <alignment horizontal="center" vertical="top" wrapText="1"/>
    </xf>
    <xf numFmtId="0" fontId="28" fillId="3" borderId="22" xfId="5" applyFont="1" applyFill="1" applyBorder="1" applyAlignment="1">
      <alignment horizontal="center" vertical="top" wrapText="1"/>
    </xf>
    <xf numFmtId="0" fontId="2" fillId="3" borderId="22" xfId="5" applyFont="1" applyFill="1" applyBorder="1" applyAlignment="1">
      <alignment horizontal="center" vertical="top" wrapText="1"/>
    </xf>
    <xf numFmtId="2" fontId="2" fillId="3" borderId="23" xfId="5" applyNumberFormat="1" applyFont="1" applyFill="1" applyBorder="1" applyAlignment="1">
      <alignment horizontal="center"/>
    </xf>
    <xf numFmtId="0" fontId="1" fillId="0" borderId="0" xfId="5" applyAlignment="1">
      <alignment horizontal="center" vertical="top"/>
    </xf>
    <xf numFmtId="0" fontId="2" fillId="0" borderId="0" xfId="5" applyFont="1" applyAlignment="1">
      <alignment horizontal="center"/>
    </xf>
    <xf numFmtId="2" fontId="2" fillId="0" borderId="0" xfId="5" applyNumberFormat="1" applyFont="1" applyAlignment="1">
      <alignment horizontal="center"/>
    </xf>
    <xf numFmtId="0" fontId="16" fillId="3" borderId="0" xfId="2" applyFont="1" applyFill="1" applyAlignment="1">
      <alignment horizontal="left" vertical="center"/>
    </xf>
    <xf numFmtId="0" fontId="16" fillId="3" borderId="5" xfId="2" applyFont="1" applyFill="1" applyBorder="1" applyAlignment="1">
      <alignment horizontal="left" vertical="center"/>
    </xf>
    <xf numFmtId="0" fontId="16" fillId="0" borderId="8" xfId="2" applyFont="1" applyBorder="1" applyAlignment="1">
      <alignment horizontal="left"/>
    </xf>
    <xf numFmtId="0" fontId="16" fillId="3" borderId="10" xfId="2" applyFont="1" applyFill="1" applyBorder="1" applyAlignment="1">
      <alignment horizontal="left"/>
    </xf>
    <xf numFmtId="0" fontId="16" fillId="0" borderId="6" xfId="2" applyFont="1" applyBorder="1" applyAlignment="1">
      <alignment horizontal="left"/>
    </xf>
    <xf numFmtId="0" fontId="16" fillId="0" borderId="7" xfId="2" applyFont="1" applyBorder="1" applyAlignment="1">
      <alignment horizontal="left"/>
    </xf>
    <xf numFmtId="0" fontId="16" fillId="0" borderId="8" xfId="2" applyFont="1" applyBorder="1" applyAlignment="1">
      <alignment horizontal="left"/>
    </xf>
    <xf numFmtId="0" fontId="17" fillId="0" borderId="0" xfId="2" applyFont="1" applyAlignment="1">
      <alignment horizontal="left"/>
    </xf>
    <xf numFmtId="0" fontId="16" fillId="3" borderId="0" xfId="2" applyFont="1" applyFill="1" applyAlignment="1">
      <alignment horizontal="left"/>
    </xf>
    <xf numFmtId="0" fontId="16" fillId="3" borderId="5" xfId="2" applyFont="1" applyFill="1" applyBorder="1" applyAlignment="1">
      <alignment horizontal="left"/>
    </xf>
    <xf numFmtId="0" fontId="46" fillId="0" borderId="11" xfId="2" applyFont="1" applyBorder="1" applyAlignment="1">
      <alignment horizontal="left"/>
    </xf>
    <xf numFmtId="0" fontId="16" fillId="3" borderId="12" xfId="2" applyFont="1" applyFill="1" applyBorder="1" applyAlignment="1">
      <alignment horizontal="left"/>
    </xf>
    <xf numFmtId="0" fontId="47" fillId="0" borderId="11" xfId="3" applyFont="1" applyBorder="1" applyAlignment="1">
      <alignment horizontal="left"/>
    </xf>
    <xf numFmtId="0" fontId="46" fillId="0" borderId="9" xfId="2" applyFont="1" applyBorder="1" applyAlignment="1">
      <alignment horizontal="left"/>
    </xf>
    <xf numFmtId="0" fontId="46" fillId="0" borderId="13" xfId="2" applyFont="1" applyBorder="1" applyAlignment="1">
      <alignment horizontal="left"/>
    </xf>
    <xf numFmtId="0" fontId="46" fillId="0" borderId="11" xfId="2" applyFont="1" applyBorder="1" applyAlignment="1">
      <alignment horizontal="left"/>
    </xf>
    <xf numFmtId="0" fontId="47" fillId="0" borderId="11" xfId="3" quotePrefix="1" applyFont="1" applyBorder="1" applyAlignment="1">
      <alignment horizontal="left"/>
    </xf>
    <xf numFmtId="0" fontId="25" fillId="0" borderId="14" xfId="1" applyFont="1" applyBorder="1" applyAlignment="1">
      <alignment horizontal="center" vertical="center"/>
    </xf>
    <xf numFmtId="0" fontId="25" fillId="0" borderId="14" xfId="1" applyFont="1" applyBorder="1" applyAlignment="1">
      <alignment horizontal="left" vertical="center" wrapText="1"/>
    </xf>
    <xf numFmtId="2" fontId="25" fillId="0" borderId="14" xfId="1" applyNumberFormat="1" applyFont="1" applyBorder="1" applyAlignment="1">
      <alignment horizontal="center" vertical="center"/>
    </xf>
    <xf numFmtId="0" fontId="25" fillId="0" borderId="15" xfId="1" applyFont="1" applyBorder="1" applyAlignment="1">
      <alignment horizontal="center" vertical="center"/>
    </xf>
    <xf numFmtId="0" fontId="25" fillId="0" borderId="15" xfId="1" applyFont="1" applyBorder="1" applyAlignment="1">
      <alignment horizontal="left" vertical="center" wrapText="1"/>
    </xf>
    <xf numFmtId="2" fontId="25" fillId="0" borderId="15" xfId="1" applyNumberFormat="1" applyFont="1" applyBorder="1" applyAlignment="1">
      <alignment horizontal="center" vertical="center"/>
    </xf>
    <xf numFmtId="0" fontId="25" fillId="0" borderId="10" xfId="1" applyFont="1" applyBorder="1" applyAlignment="1">
      <alignment horizontal="center" vertical="center"/>
    </xf>
    <xf numFmtId="0" fontId="25" fillId="0" borderId="10" xfId="1" applyFont="1" applyBorder="1" applyAlignment="1">
      <alignment horizontal="left" vertical="center" wrapText="1"/>
    </xf>
    <xf numFmtId="2" fontId="25" fillId="0" borderId="10" xfId="1" applyNumberFormat="1" applyFont="1" applyBorder="1" applyAlignment="1">
      <alignment horizontal="center" vertical="center"/>
    </xf>
    <xf numFmtId="2" fontId="25" fillId="0" borderId="12" xfId="1" applyNumberFormat="1" applyFont="1" applyBorder="1" applyAlignment="1">
      <alignment horizontal="center" vertical="center"/>
    </xf>
    <xf numFmtId="2" fontId="25" fillId="0" borderId="14" xfId="1" applyNumberFormat="1" applyFont="1" applyBorder="1" applyAlignment="1">
      <alignment horizontal="center" vertical="center" wrapText="1"/>
    </xf>
    <xf numFmtId="2" fontId="25" fillId="0" borderId="10" xfId="1" applyNumberFormat="1" applyFont="1" applyBorder="1" applyAlignment="1">
      <alignment horizontal="center" vertical="center" wrapText="1"/>
    </xf>
    <xf numFmtId="0" fontId="25" fillId="0" borderId="14" xfId="1" applyFont="1" applyBorder="1" applyAlignment="1">
      <alignment horizontal="center" vertical="center"/>
    </xf>
    <xf numFmtId="0" fontId="25" fillId="0" borderId="14" xfId="1" applyFont="1" applyBorder="1" applyAlignment="1">
      <alignment horizontal="left" vertical="center" wrapText="1"/>
    </xf>
    <xf numFmtId="2" fontId="25" fillId="0" borderId="14" xfId="1" applyNumberFormat="1" applyFont="1" applyBorder="1" applyAlignment="1">
      <alignment horizontal="center" vertical="center" wrapText="1"/>
    </xf>
  </cellXfs>
  <cellStyles count="14">
    <cellStyle name="Hyperlink 2" xfId="3" xr:uid="{C80FF7E9-4AD1-47CE-ADA1-65D35829C951}"/>
    <cellStyle name="Normal" xfId="0" builtinId="0"/>
    <cellStyle name="Normal 2 2" xfId="10" xr:uid="{77EFFED7-3F5E-4296-87EF-9AABE0F03C75}"/>
    <cellStyle name="Normal 2 2 3 2" xfId="12" xr:uid="{0FB8B188-9754-45F9-A567-1BE8AA0035BD}"/>
    <cellStyle name="Normal 2 3" xfId="1" xr:uid="{6CEFBD6D-8AEB-4C32-B367-21E1AE602139}"/>
    <cellStyle name="Normal 2 3 2" xfId="9" xr:uid="{2B3F1499-8A5E-464B-A8BD-658D43C2BB3E}"/>
    <cellStyle name="Normal 2 3 5" xfId="7" xr:uid="{F1F01530-0AE5-4CDF-B587-0ABED0C530AC}"/>
    <cellStyle name="Normal 2 3 6" xfId="2" xr:uid="{0323A33D-626B-4D0F-AD64-2D7B232F6FAD}"/>
    <cellStyle name="Normal 2 4 2" xfId="8" xr:uid="{19A5C86B-059A-48D7-9CD3-BFB230B7A5EB}"/>
    <cellStyle name="Normal 2 5 2 2" xfId="6" xr:uid="{C986356D-9E2D-4085-8360-796E835ABBE5}"/>
    <cellStyle name="Normal 2 7" xfId="11" xr:uid="{8D451C19-038F-4FB0-BD39-4B48D6B75F46}"/>
    <cellStyle name="Normal 4 2 2 2 2" xfId="5" xr:uid="{F29B1CF4-B452-417F-A91B-2F75ED5485F7}"/>
    <cellStyle name="Normal 5 2 2" xfId="4" xr:uid="{23DFD0A8-75EC-42E9-B1D0-D98C87C4DB2E}"/>
    <cellStyle name="Percent 2 2" xfId="13" xr:uid="{1C66B0FD-C078-44AE-8B63-D15AF81D5E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2162416D-8DE2-4C59-A8E1-C03127834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64AF7B04-3522-42A3-8E0A-7577B66ED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B143AA48-0BB3-415B-930F-B66BC0710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0609BF93-4111-4C47-9776-1791FF3B7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akinbodewa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jakinbodewa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jakinbodewa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jakinbodew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A3980-B0E4-44D2-94BD-C22B427EA5C9}">
  <sheetPr>
    <pageSetUpPr fitToPage="1"/>
  </sheetPr>
  <dimension ref="A1:R80"/>
  <sheetViews>
    <sheetView tabSelected="1" zoomScale="30" zoomScaleNormal="30" workbookViewId="0">
      <selection activeCell="A19" sqref="A19:O40"/>
    </sheetView>
  </sheetViews>
  <sheetFormatPr defaultRowHeight="31.5" customHeight="1" x14ac:dyDescent="0.55000000000000004"/>
  <cols>
    <col min="1" max="1" width="15.5703125" style="227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27" bestFit="1" customWidth="1"/>
    <col min="6" max="6" width="42" style="227" customWidth="1"/>
    <col min="7" max="7" width="255.7109375" style="4" bestFit="1" customWidth="1"/>
    <col min="8" max="8" width="33" style="227" customWidth="1"/>
    <col min="9" max="9" width="62.42578125" style="227" customWidth="1"/>
    <col min="10" max="10" width="45.140625" style="227" customWidth="1"/>
    <col min="11" max="13" width="35.28515625" style="227" bestFit="1" customWidth="1"/>
    <col min="14" max="14" width="40.7109375" style="227" bestFit="1" customWidth="1"/>
    <col min="15" max="15" width="36.85546875" style="227" bestFit="1" customWidth="1"/>
    <col min="16" max="17" width="36.85546875" style="228" customWidth="1"/>
    <col min="18" max="18" width="36.85546875" style="229" customWidth="1"/>
    <col min="19" max="16384" width="9.140625" style="4"/>
  </cols>
  <sheetData>
    <row r="1" spans="1:18" ht="31.5" customHeight="1" x14ac:dyDescent="0.25">
      <c r="A1" s="1" t="s">
        <v>147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148</v>
      </c>
      <c r="C5" s="16" t="s">
        <v>2</v>
      </c>
      <c r="D5" s="17" t="s">
        <v>149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37" customFormat="1" ht="39" x14ac:dyDescent="0.6">
      <c r="A7" s="230" t="s">
        <v>4</v>
      </c>
      <c r="B7" s="231"/>
      <c r="C7" s="232" t="s">
        <v>5</v>
      </c>
      <c r="D7" s="233" t="s">
        <v>6</v>
      </c>
      <c r="E7" s="232" t="s">
        <v>7</v>
      </c>
      <c r="F7" s="233" t="s">
        <v>8</v>
      </c>
      <c r="G7" s="234" t="s">
        <v>9</v>
      </c>
      <c r="H7" s="233" t="s">
        <v>10</v>
      </c>
      <c r="I7" s="235" t="s">
        <v>11</v>
      </c>
      <c r="J7" s="236"/>
      <c r="K7" s="21"/>
      <c r="L7" s="22"/>
      <c r="M7" s="22"/>
      <c r="N7" s="22"/>
      <c r="O7" s="22"/>
      <c r="P7" s="22"/>
      <c r="Q7" s="22"/>
      <c r="R7" s="23"/>
    </row>
    <row r="8" spans="1:18" s="237" customFormat="1" ht="39.75" x14ac:dyDescent="0.6">
      <c r="A8" s="238" t="s">
        <v>12</v>
      </c>
      <c r="B8" s="239"/>
      <c r="C8" s="240" t="s">
        <v>13</v>
      </c>
      <c r="D8" s="241" t="s">
        <v>14</v>
      </c>
      <c r="E8" s="242"/>
      <c r="F8" s="241" t="s">
        <v>15</v>
      </c>
      <c r="G8" s="243"/>
      <c r="H8" s="241" t="s">
        <v>16</v>
      </c>
      <c r="I8" s="244" t="s">
        <v>17</v>
      </c>
      <c r="J8" s="245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18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37" customFormat="1" ht="39" x14ac:dyDescent="0.6">
      <c r="A10" s="230" t="s">
        <v>4</v>
      </c>
      <c r="B10" s="231"/>
      <c r="C10" s="232" t="s">
        <v>19</v>
      </c>
      <c r="D10" s="233" t="s">
        <v>6</v>
      </c>
      <c r="E10" s="232" t="s">
        <v>20</v>
      </c>
      <c r="F10" s="233" t="s">
        <v>8</v>
      </c>
      <c r="G10" s="234" t="s">
        <v>21</v>
      </c>
      <c r="H10" s="233" t="s">
        <v>10</v>
      </c>
      <c r="I10" s="235" t="s">
        <v>22</v>
      </c>
      <c r="J10" s="236"/>
      <c r="K10" s="21"/>
      <c r="L10" s="22"/>
      <c r="M10" s="22"/>
      <c r="N10" s="22"/>
      <c r="O10" s="22"/>
      <c r="P10" s="22"/>
      <c r="Q10" s="22"/>
      <c r="R10" s="23"/>
    </row>
    <row r="11" spans="1:18" s="237" customFormat="1" ht="39.75" x14ac:dyDescent="0.6">
      <c r="A11" s="238" t="s">
        <v>12</v>
      </c>
      <c r="B11" s="239"/>
      <c r="C11" s="240">
        <v>60737</v>
      </c>
      <c r="D11" s="241" t="s">
        <v>14</v>
      </c>
      <c r="E11" s="246" t="s">
        <v>23</v>
      </c>
      <c r="F11" s="241" t="s">
        <v>15</v>
      </c>
      <c r="G11" s="243"/>
      <c r="H11" s="241" t="s">
        <v>16</v>
      </c>
      <c r="I11" s="244" t="s">
        <v>17</v>
      </c>
      <c r="J11" s="245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24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237" customFormat="1" ht="39" x14ac:dyDescent="0.6">
      <c r="A13" s="230" t="s">
        <v>4</v>
      </c>
      <c r="B13" s="231"/>
      <c r="C13" s="232" t="s">
        <v>25</v>
      </c>
      <c r="D13" s="233" t="s">
        <v>6</v>
      </c>
      <c r="E13" s="232" t="s">
        <v>26</v>
      </c>
      <c r="F13" s="233" t="s">
        <v>8</v>
      </c>
      <c r="G13" s="234" t="s">
        <v>27</v>
      </c>
      <c r="H13" s="233" t="s">
        <v>10</v>
      </c>
      <c r="I13" s="235" t="s">
        <v>28</v>
      </c>
      <c r="J13" s="236"/>
      <c r="K13" s="21"/>
      <c r="L13" s="22"/>
      <c r="M13" s="22"/>
      <c r="N13" s="22"/>
      <c r="O13" s="22"/>
      <c r="P13" s="22"/>
      <c r="Q13" s="22"/>
      <c r="R13" s="23"/>
    </row>
    <row r="14" spans="1:18" s="237" customFormat="1" ht="39.75" x14ac:dyDescent="0.6">
      <c r="A14" s="238" t="s">
        <v>12</v>
      </c>
      <c r="B14" s="239"/>
      <c r="C14" s="240">
        <v>60694</v>
      </c>
      <c r="D14" s="241" t="s">
        <v>14</v>
      </c>
      <c r="E14" s="242" t="s">
        <v>29</v>
      </c>
      <c r="F14" s="241" t="s">
        <v>15</v>
      </c>
      <c r="G14" s="243"/>
      <c r="H14" s="241" t="s">
        <v>16</v>
      </c>
      <c r="I14" s="244" t="s">
        <v>17</v>
      </c>
      <c r="J14" s="245"/>
      <c r="K14" s="21"/>
      <c r="L14" s="22"/>
      <c r="M14" s="22"/>
      <c r="N14" s="22"/>
      <c r="O14" s="22"/>
      <c r="P14" s="22"/>
      <c r="Q14" s="22"/>
      <c r="R14" s="23"/>
    </row>
    <row r="15" spans="1:18" s="39" customFormat="1" ht="20.25" customHeight="1" thickBot="1" x14ac:dyDescent="0.75">
      <c r="A15" s="33"/>
      <c r="B15" s="34"/>
      <c r="C15" s="34"/>
      <c r="D15" s="34"/>
      <c r="E15" s="34"/>
      <c r="F15" s="34"/>
      <c r="G15" s="34"/>
      <c r="H15" s="34"/>
      <c r="I15" s="34"/>
      <c r="J15" s="35"/>
      <c r="K15" s="36"/>
      <c r="L15" s="37"/>
      <c r="M15" s="37"/>
      <c r="N15" s="37"/>
      <c r="O15" s="37"/>
      <c r="P15" s="37"/>
      <c r="Q15" s="37"/>
      <c r="R15" s="38"/>
    </row>
    <row r="16" spans="1:18" s="39" customFormat="1" ht="47.25" x14ac:dyDescent="0.7">
      <c r="A16" s="40" t="s">
        <v>30</v>
      </c>
      <c r="B16" s="41"/>
      <c r="C16" s="41"/>
      <c r="D16" s="41"/>
      <c r="E16" s="41"/>
      <c r="F16" s="41"/>
      <c r="G16" s="41"/>
      <c r="H16" s="41"/>
      <c r="I16" s="41"/>
      <c r="J16" s="42"/>
      <c r="K16" s="43"/>
      <c r="L16" s="44"/>
      <c r="M16" s="44"/>
      <c r="N16" s="44"/>
      <c r="O16" s="44"/>
      <c r="P16" s="45"/>
      <c r="Q16" s="45"/>
      <c r="R16" s="46"/>
    </row>
    <row r="17" spans="1:18" s="57" customFormat="1" ht="31.5" customHeight="1" x14ac:dyDescent="0.25">
      <c r="A17" s="47" t="s">
        <v>31</v>
      </c>
      <c r="B17" s="48" t="s">
        <v>32</v>
      </c>
      <c r="C17" s="49" t="s">
        <v>33</v>
      </c>
      <c r="D17" s="49" t="s">
        <v>34</v>
      </c>
      <c r="E17" s="49" t="s">
        <v>33</v>
      </c>
      <c r="F17" s="50" t="s">
        <v>35</v>
      </c>
      <c r="G17" s="50" t="s">
        <v>36</v>
      </c>
      <c r="H17" s="51" t="s">
        <v>37</v>
      </c>
      <c r="I17" s="50" t="s">
        <v>38</v>
      </c>
      <c r="J17" s="52" t="s">
        <v>39</v>
      </c>
      <c r="K17" s="53"/>
      <c r="L17" s="53"/>
      <c r="M17" s="53"/>
      <c r="N17" s="53"/>
      <c r="O17" s="54"/>
      <c r="P17" s="55" t="s">
        <v>150</v>
      </c>
      <c r="Q17" s="55" t="s">
        <v>151</v>
      </c>
      <c r="R17" s="56" t="s">
        <v>152</v>
      </c>
    </row>
    <row r="18" spans="1:18" s="57" customFormat="1" ht="36" x14ac:dyDescent="0.25">
      <c r="A18" s="58"/>
      <c r="B18" s="48"/>
      <c r="C18" s="48"/>
      <c r="D18" s="48"/>
      <c r="E18" s="48"/>
      <c r="F18" s="59"/>
      <c r="G18" s="59"/>
      <c r="H18" s="60"/>
      <c r="I18" s="59"/>
      <c r="J18" s="61" t="s">
        <v>153</v>
      </c>
      <c r="K18" s="62" t="s">
        <v>154</v>
      </c>
      <c r="L18" s="62" t="s">
        <v>155</v>
      </c>
      <c r="M18" s="61" t="s">
        <v>156</v>
      </c>
      <c r="N18" s="61" t="s">
        <v>157</v>
      </c>
      <c r="O18" s="61" t="s">
        <v>158</v>
      </c>
      <c r="P18" s="63"/>
      <c r="Q18" s="63"/>
      <c r="R18" s="64"/>
    </row>
    <row r="19" spans="1:18" s="75" customFormat="1" ht="147" customHeight="1" x14ac:dyDescent="0.25">
      <c r="A19" s="247">
        <v>1</v>
      </c>
      <c r="B19" s="248" t="s">
        <v>46</v>
      </c>
      <c r="C19" s="249">
        <f>0.3 *1.69794730299263</f>
        <v>0.50938419089778897</v>
      </c>
      <c r="D19" s="65" t="s">
        <v>47</v>
      </c>
      <c r="E19" s="66">
        <f>C19/5</f>
        <v>0.1018768381795578</v>
      </c>
      <c r="F19" s="66">
        <f t="shared" ref="F19:F40" si="0">E19/$E$41 * 100</f>
        <v>0.33958946059852591</v>
      </c>
      <c r="G19" s="67" t="s">
        <v>48</v>
      </c>
      <c r="H19" s="68">
        <v>1</v>
      </c>
      <c r="I19" s="69" t="s">
        <v>49</v>
      </c>
      <c r="J19" s="70">
        <v>100</v>
      </c>
      <c r="K19" s="71">
        <v>95</v>
      </c>
      <c r="L19" s="71">
        <v>90</v>
      </c>
      <c r="M19" s="71">
        <v>85</v>
      </c>
      <c r="N19" s="71">
        <v>80</v>
      </c>
      <c r="O19" s="71" t="s">
        <v>50</v>
      </c>
      <c r="P19" s="72"/>
      <c r="Q19" s="73">
        <f t="shared" ref="Q19:Q40" si="1">IF(OR(TRIM(P19)="",P19=0),0,
IF(P19&lt;N19,50,
IF(P19&lt;M19,60,
IF(P19&lt;L19,70,
IF(P19&lt;K19,80,
IF(ISNUMBER(J19),
    IF(P19&lt;J19,IF(P19&gt;=K19,90,80),100),
    IF(P19=K19,90,100)
))))))</f>
        <v>0</v>
      </c>
      <c r="R19" s="74">
        <f t="shared" ref="R19:R40" si="2">F19*Q19/100</f>
        <v>0</v>
      </c>
    </row>
    <row r="20" spans="1:18" s="75" customFormat="1" ht="147" customHeight="1" x14ac:dyDescent="0.25">
      <c r="A20" s="250"/>
      <c r="B20" s="251"/>
      <c r="C20" s="252"/>
      <c r="D20" s="65" t="s">
        <v>51</v>
      </c>
      <c r="E20" s="66">
        <f>C19/5</f>
        <v>0.1018768381795578</v>
      </c>
      <c r="F20" s="66">
        <f t="shared" si="0"/>
        <v>0.33958946059852591</v>
      </c>
      <c r="G20" s="67" t="s">
        <v>52</v>
      </c>
      <c r="H20" s="68">
        <v>1</v>
      </c>
      <c r="I20" s="69" t="s">
        <v>49</v>
      </c>
      <c r="J20" s="70">
        <v>100</v>
      </c>
      <c r="K20" s="71">
        <v>95</v>
      </c>
      <c r="L20" s="71">
        <v>90</v>
      </c>
      <c r="M20" s="71">
        <v>85</v>
      </c>
      <c r="N20" s="71">
        <v>80</v>
      </c>
      <c r="O20" s="71" t="s">
        <v>50</v>
      </c>
      <c r="P20" s="72"/>
      <c r="Q20" s="73">
        <f t="shared" si="1"/>
        <v>0</v>
      </c>
      <c r="R20" s="74">
        <f t="shared" si="2"/>
        <v>0</v>
      </c>
    </row>
    <row r="21" spans="1:18" s="75" customFormat="1" ht="147" customHeight="1" x14ac:dyDescent="0.25">
      <c r="A21" s="250"/>
      <c r="B21" s="251"/>
      <c r="C21" s="252"/>
      <c r="D21" s="65" t="s">
        <v>53</v>
      </c>
      <c r="E21" s="66">
        <f>C19/5</f>
        <v>0.1018768381795578</v>
      </c>
      <c r="F21" s="66">
        <f t="shared" si="0"/>
        <v>0.33958946059852591</v>
      </c>
      <c r="G21" s="67" t="s">
        <v>54</v>
      </c>
      <c r="H21" s="68">
        <v>1</v>
      </c>
      <c r="I21" s="69" t="s">
        <v>49</v>
      </c>
      <c r="J21" s="70">
        <v>100</v>
      </c>
      <c r="K21" s="71">
        <v>95</v>
      </c>
      <c r="L21" s="71">
        <v>90</v>
      </c>
      <c r="M21" s="71">
        <v>85</v>
      </c>
      <c r="N21" s="71">
        <v>80</v>
      </c>
      <c r="O21" s="71" t="s">
        <v>50</v>
      </c>
      <c r="P21" s="72"/>
      <c r="Q21" s="73">
        <f t="shared" si="1"/>
        <v>0</v>
      </c>
      <c r="R21" s="74">
        <f t="shared" si="2"/>
        <v>0</v>
      </c>
    </row>
    <row r="22" spans="1:18" s="75" customFormat="1" ht="147" customHeight="1" x14ac:dyDescent="0.25">
      <c r="A22" s="250"/>
      <c r="B22" s="251"/>
      <c r="C22" s="252"/>
      <c r="D22" s="65" t="s">
        <v>55</v>
      </c>
      <c r="E22" s="66">
        <f>C19/5</f>
        <v>0.1018768381795578</v>
      </c>
      <c r="F22" s="66">
        <f t="shared" si="0"/>
        <v>0.33958946059852591</v>
      </c>
      <c r="G22" s="67" t="s">
        <v>56</v>
      </c>
      <c r="H22" s="76">
        <v>5</v>
      </c>
      <c r="I22" s="69" t="s">
        <v>57</v>
      </c>
      <c r="J22" s="70" t="s">
        <v>58</v>
      </c>
      <c r="K22" s="71">
        <v>5</v>
      </c>
      <c r="L22" s="71">
        <v>4</v>
      </c>
      <c r="M22" s="71">
        <v>3</v>
      </c>
      <c r="N22" s="71">
        <v>2</v>
      </c>
      <c r="O22" s="71">
        <v>1</v>
      </c>
      <c r="P22" s="72"/>
      <c r="Q22" s="73">
        <f t="shared" si="1"/>
        <v>0</v>
      </c>
      <c r="R22" s="74">
        <f t="shared" si="2"/>
        <v>0</v>
      </c>
    </row>
    <row r="23" spans="1:18" s="75" customFormat="1" ht="147" customHeight="1" x14ac:dyDescent="0.25">
      <c r="A23" s="253"/>
      <c r="B23" s="254"/>
      <c r="C23" s="255"/>
      <c r="D23" s="65" t="s">
        <v>59</v>
      </c>
      <c r="E23" s="66">
        <f>C19/5</f>
        <v>0.1018768381795578</v>
      </c>
      <c r="F23" s="66">
        <f t="shared" si="0"/>
        <v>0.33958946059852591</v>
      </c>
      <c r="G23" s="67" t="s">
        <v>60</v>
      </c>
      <c r="H23" s="68">
        <v>1</v>
      </c>
      <c r="I23" s="69" t="s">
        <v>49</v>
      </c>
      <c r="J23" s="70">
        <v>100</v>
      </c>
      <c r="K23" s="71">
        <v>95</v>
      </c>
      <c r="L23" s="71">
        <v>90</v>
      </c>
      <c r="M23" s="71">
        <v>85</v>
      </c>
      <c r="N23" s="71">
        <v>80</v>
      </c>
      <c r="O23" s="71" t="s">
        <v>50</v>
      </c>
      <c r="P23" s="72"/>
      <c r="Q23" s="73">
        <f t="shared" si="1"/>
        <v>0</v>
      </c>
      <c r="R23" s="74">
        <f t="shared" si="2"/>
        <v>0</v>
      </c>
    </row>
    <row r="24" spans="1:18" s="75" customFormat="1" ht="147" customHeight="1" x14ac:dyDescent="0.25">
      <c r="A24" s="76">
        <v>2</v>
      </c>
      <c r="B24" s="65" t="s">
        <v>61</v>
      </c>
      <c r="C24" s="256">
        <f>0.3 *1.01876838179558</f>
        <v>0.30563051453867396</v>
      </c>
      <c r="D24" s="65" t="s">
        <v>62</v>
      </c>
      <c r="E24" s="66">
        <f>C24</f>
        <v>0.30563051453867396</v>
      </c>
      <c r="F24" s="66">
        <f t="shared" si="0"/>
        <v>1.0187683817955797</v>
      </c>
      <c r="G24" s="67" t="s">
        <v>63</v>
      </c>
      <c r="H24" s="68">
        <v>0.5</v>
      </c>
      <c r="I24" s="69" t="s">
        <v>49</v>
      </c>
      <c r="J24" s="70" t="s">
        <v>64</v>
      </c>
      <c r="K24" s="71">
        <v>50</v>
      </c>
      <c r="L24" s="71">
        <v>45</v>
      </c>
      <c r="M24" s="71">
        <v>40</v>
      </c>
      <c r="N24" s="71">
        <v>25</v>
      </c>
      <c r="O24" s="71" t="s">
        <v>65</v>
      </c>
      <c r="P24" s="72"/>
      <c r="Q24" s="73">
        <f t="shared" si="1"/>
        <v>0</v>
      </c>
      <c r="R24" s="74">
        <f t="shared" si="2"/>
        <v>0</v>
      </c>
    </row>
    <row r="25" spans="1:18" s="75" customFormat="1" ht="147" customHeight="1" x14ac:dyDescent="0.25">
      <c r="A25" s="247">
        <v>3</v>
      </c>
      <c r="B25" s="248" t="s">
        <v>66</v>
      </c>
      <c r="C25" s="249">
        <f>0.3 *90.5976168096783</f>
        <v>27.179285042903491</v>
      </c>
      <c r="D25" s="65" t="s">
        <v>67</v>
      </c>
      <c r="E25" s="66">
        <f>C25/10</f>
        <v>2.7179285042903492</v>
      </c>
      <c r="F25" s="66">
        <f t="shared" si="0"/>
        <v>9.0597616809678296</v>
      </c>
      <c r="G25" s="65" t="s">
        <v>68</v>
      </c>
      <c r="H25" s="77">
        <v>0.8</v>
      </c>
      <c r="I25" s="76" t="s">
        <v>49</v>
      </c>
      <c r="J25" s="70" t="s">
        <v>69</v>
      </c>
      <c r="K25" s="71">
        <v>80</v>
      </c>
      <c r="L25" s="71">
        <v>75</v>
      </c>
      <c r="M25" s="71">
        <v>70</v>
      </c>
      <c r="N25" s="71">
        <v>50</v>
      </c>
      <c r="O25" s="71" t="s">
        <v>70</v>
      </c>
      <c r="P25" s="72"/>
      <c r="Q25" s="73">
        <f t="shared" si="1"/>
        <v>0</v>
      </c>
      <c r="R25" s="74">
        <f t="shared" si="2"/>
        <v>0</v>
      </c>
    </row>
    <row r="26" spans="1:18" s="75" customFormat="1" ht="147" customHeight="1" x14ac:dyDescent="0.25">
      <c r="A26" s="250"/>
      <c r="B26" s="251"/>
      <c r="C26" s="252"/>
      <c r="D26" s="65" t="s">
        <v>71</v>
      </c>
      <c r="E26" s="66">
        <f>C25/10</f>
        <v>2.7179285042903492</v>
      </c>
      <c r="F26" s="66">
        <f t="shared" si="0"/>
        <v>9.0597616809678296</v>
      </c>
      <c r="G26" s="65" t="s">
        <v>72</v>
      </c>
      <c r="H26" s="77">
        <v>1</v>
      </c>
      <c r="I26" s="69" t="s">
        <v>49</v>
      </c>
      <c r="J26" s="70">
        <v>100</v>
      </c>
      <c r="K26" s="71">
        <v>95</v>
      </c>
      <c r="L26" s="71">
        <v>90</v>
      </c>
      <c r="M26" s="71">
        <v>85</v>
      </c>
      <c r="N26" s="71">
        <v>80</v>
      </c>
      <c r="O26" s="71" t="s">
        <v>50</v>
      </c>
      <c r="P26" s="72"/>
      <c r="Q26" s="73">
        <f t="shared" si="1"/>
        <v>0</v>
      </c>
      <c r="R26" s="74">
        <f t="shared" si="2"/>
        <v>0</v>
      </c>
    </row>
    <row r="27" spans="1:18" s="75" customFormat="1" ht="147" customHeight="1" x14ac:dyDescent="0.25">
      <c r="A27" s="250"/>
      <c r="B27" s="251"/>
      <c r="C27" s="252"/>
      <c r="D27" s="65" t="s">
        <v>73</v>
      </c>
      <c r="E27" s="66">
        <f>C25/10</f>
        <v>2.7179285042903492</v>
      </c>
      <c r="F27" s="66">
        <f t="shared" si="0"/>
        <v>9.0597616809678296</v>
      </c>
      <c r="G27" s="65" t="s">
        <v>74</v>
      </c>
      <c r="H27" s="77">
        <v>0.9</v>
      </c>
      <c r="I27" s="76" t="s">
        <v>49</v>
      </c>
      <c r="J27" s="70" t="s">
        <v>75</v>
      </c>
      <c r="K27" s="71">
        <v>90</v>
      </c>
      <c r="L27" s="71">
        <v>80</v>
      </c>
      <c r="M27" s="71">
        <v>70</v>
      </c>
      <c r="N27" s="71">
        <v>50</v>
      </c>
      <c r="O27" s="71" t="s">
        <v>70</v>
      </c>
      <c r="P27" s="72"/>
      <c r="Q27" s="73">
        <f t="shared" si="1"/>
        <v>0</v>
      </c>
      <c r="R27" s="74">
        <f t="shared" si="2"/>
        <v>0</v>
      </c>
    </row>
    <row r="28" spans="1:18" s="75" customFormat="1" ht="147" customHeight="1" x14ac:dyDescent="0.25">
      <c r="A28" s="250"/>
      <c r="B28" s="251"/>
      <c r="C28" s="252"/>
      <c r="D28" s="65" t="s">
        <v>76</v>
      </c>
      <c r="E28" s="66">
        <f>C25/10</f>
        <v>2.7179285042903492</v>
      </c>
      <c r="F28" s="66">
        <f t="shared" si="0"/>
        <v>9.0597616809678296</v>
      </c>
      <c r="G28" s="65" t="s">
        <v>77</v>
      </c>
      <c r="H28" s="77">
        <v>0.8</v>
      </c>
      <c r="I28" s="76" t="s">
        <v>49</v>
      </c>
      <c r="J28" s="70" t="s">
        <v>69</v>
      </c>
      <c r="K28" s="71">
        <v>80</v>
      </c>
      <c r="L28" s="71">
        <v>75</v>
      </c>
      <c r="M28" s="71">
        <v>70</v>
      </c>
      <c r="N28" s="71">
        <v>50</v>
      </c>
      <c r="O28" s="71" t="s">
        <v>70</v>
      </c>
      <c r="P28" s="72"/>
      <c r="Q28" s="73">
        <f t="shared" si="1"/>
        <v>0</v>
      </c>
      <c r="R28" s="74">
        <f t="shared" si="2"/>
        <v>0</v>
      </c>
    </row>
    <row r="29" spans="1:18" s="75" customFormat="1" ht="147" customHeight="1" x14ac:dyDescent="0.25">
      <c r="A29" s="250"/>
      <c r="B29" s="251"/>
      <c r="C29" s="252"/>
      <c r="D29" s="65" t="s">
        <v>78</v>
      </c>
      <c r="E29" s="66">
        <f>C25/10</f>
        <v>2.7179285042903492</v>
      </c>
      <c r="F29" s="66">
        <f t="shared" si="0"/>
        <v>9.0597616809678296</v>
      </c>
      <c r="G29" s="65" t="s">
        <v>79</v>
      </c>
      <c r="H29" s="77">
        <v>0.9</v>
      </c>
      <c r="I29" s="76" t="s">
        <v>49</v>
      </c>
      <c r="J29" s="70" t="s">
        <v>75</v>
      </c>
      <c r="K29" s="71">
        <v>90</v>
      </c>
      <c r="L29" s="71">
        <v>80</v>
      </c>
      <c r="M29" s="71">
        <v>70</v>
      </c>
      <c r="N29" s="71">
        <v>50</v>
      </c>
      <c r="O29" s="71" t="s">
        <v>70</v>
      </c>
      <c r="P29" s="72"/>
      <c r="Q29" s="73">
        <f t="shared" si="1"/>
        <v>0</v>
      </c>
      <c r="R29" s="74">
        <f t="shared" si="2"/>
        <v>0</v>
      </c>
    </row>
    <row r="30" spans="1:18" s="75" customFormat="1" ht="147" customHeight="1" x14ac:dyDescent="0.25">
      <c r="A30" s="250"/>
      <c r="B30" s="251"/>
      <c r="C30" s="252"/>
      <c r="D30" s="65" t="s">
        <v>80</v>
      </c>
      <c r="E30" s="66">
        <f>C25/10</f>
        <v>2.7179285042903492</v>
      </c>
      <c r="F30" s="66">
        <f t="shared" si="0"/>
        <v>9.0597616809678296</v>
      </c>
      <c r="G30" s="65" t="s">
        <v>81</v>
      </c>
      <c r="H30" s="77">
        <v>0.8</v>
      </c>
      <c r="I30" s="76" t="s">
        <v>49</v>
      </c>
      <c r="J30" s="70" t="s">
        <v>69</v>
      </c>
      <c r="K30" s="71">
        <v>80</v>
      </c>
      <c r="L30" s="71">
        <v>75</v>
      </c>
      <c r="M30" s="71">
        <v>70</v>
      </c>
      <c r="N30" s="71">
        <v>50</v>
      </c>
      <c r="O30" s="71" t="s">
        <v>70</v>
      </c>
      <c r="P30" s="72"/>
      <c r="Q30" s="73">
        <f t="shared" si="1"/>
        <v>0</v>
      </c>
      <c r="R30" s="74">
        <f t="shared" si="2"/>
        <v>0</v>
      </c>
    </row>
    <row r="31" spans="1:18" s="75" customFormat="1" ht="147" customHeight="1" x14ac:dyDescent="0.25">
      <c r="A31" s="250"/>
      <c r="B31" s="251"/>
      <c r="C31" s="252"/>
      <c r="D31" s="65" t="s">
        <v>82</v>
      </c>
      <c r="E31" s="66">
        <f>C25/10</f>
        <v>2.7179285042903492</v>
      </c>
      <c r="F31" s="66">
        <f t="shared" si="0"/>
        <v>9.0597616809678296</v>
      </c>
      <c r="G31" s="65" t="s">
        <v>83</v>
      </c>
      <c r="H31" s="77">
        <v>0.9</v>
      </c>
      <c r="I31" s="76" t="s">
        <v>49</v>
      </c>
      <c r="J31" s="70" t="s">
        <v>75</v>
      </c>
      <c r="K31" s="71">
        <v>90</v>
      </c>
      <c r="L31" s="71">
        <v>80</v>
      </c>
      <c r="M31" s="71">
        <v>70</v>
      </c>
      <c r="N31" s="71">
        <v>50</v>
      </c>
      <c r="O31" s="71" t="s">
        <v>70</v>
      </c>
      <c r="P31" s="72"/>
      <c r="Q31" s="73">
        <f t="shared" si="1"/>
        <v>0</v>
      </c>
      <c r="R31" s="74">
        <f t="shared" si="2"/>
        <v>0</v>
      </c>
    </row>
    <row r="32" spans="1:18" s="75" customFormat="1" ht="147" customHeight="1" x14ac:dyDescent="0.25">
      <c r="A32" s="250"/>
      <c r="B32" s="251"/>
      <c r="C32" s="252"/>
      <c r="D32" s="65" t="s">
        <v>84</v>
      </c>
      <c r="E32" s="66">
        <f>C25/10</f>
        <v>2.7179285042903492</v>
      </c>
      <c r="F32" s="66">
        <f t="shared" si="0"/>
        <v>9.0597616809678296</v>
      </c>
      <c r="G32" s="65" t="s">
        <v>85</v>
      </c>
      <c r="H32" s="77">
        <v>0.8</v>
      </c>
      <c r="I32" s="76" t="s">
        <v>49</v>
      </c>
      <c r="J32" s="70" t="s">
        <v>69</v>
      </c>
      <c r="K32" s="71">
        <v>80</v>
      </c>
      <c r="L32" s="71">
        <v>75</v>
      </c>
      <c r="M32" s="71">
        <v>70</v>
      </c>
      <c r="N32" s="71">
        <v>50</v>
      </c>
      <c r="O32" s="71" t="s">
        <v>70</v>
      </c>
      <c r="P32" s="72"/>
      <c r="Q32" s="73">
        <f t="shared" si="1"/>
        <v>0</v>
      </c>
      <c r="R32" s="74">
        <f t="shared" si="2"/>
        <v>0</v>
      </c>
    </row>
    <row r="33" spans="1:18" s="75" customFormat="1" ht="147" customHeight="1" x14ac:dyDescent="0.25">
      <c r="A33" s="250"/>
      <c r="B33" s="251"/>
      <c r="C33" s="252"/>
      <c r="D33" s="65" t="s">
        <v>86</v>
      </c>
      <c r="E33" s="66">
        <f>C25/10</f>
        <v>2.7179285042903492</v>
      </c>
      <c r="F33" s="66">
        <f t="shared" si="0"/>
        <v>9.0597616809678296</v>
      </c>
      <c r="G33" s="65" t="s">
        <v>87</v>
      </c>
      <c r="H33" s="76">
        <v>80</v>
      </c>
      <c r="I33" s="76" t="s">
        <v>49</v>
      </c>
      <c r="J33" s="70" t="s">
        <v>69</v>
      </c>
      <c r="K33" s="71">
        <v>80</v>
      </c>
      <c r="L33" s="71">
        <v>75</v>
      </c>
      <c r="M33" s="71">
        <v>70</v>
      </c>
      <c r="N33" s="71">
        <v>50</v>
      </c>
      <c r="O33" s="71" t="s">
        <v>70</v>
      </c>
      <c r="P33" s="72"/>
      <c r="Q33" s="73">
        <f t="shared" si="1"/>
        <v>0</v>
      </c>
      <c r="R33" s="74">
        <f t="shared" si="2"/>
        <v>0</v>
      </c>
    </row>
    <row r="34" spans="1:18" s="75" customFormat="1" ht="147" customHeight="1" x14ac:dyDescent="0.25">
      <c r="A34" s="253"/>
      <c r="B34" s="254"/>
      <c r="C34" s="255"/>
      <c r="D34" s="65" t="s">
        <v>88</v>
      </c>
      <c r="E34" s="66">
        <f>C25/10</f>
        <v>2.7179285042903492</v>
      </c>
      <c r="F34" s="66">
        <f t="shared" si="0"/>
        <v>9.0597616809678296</v>
      </c>
      <c r="G34" s="65" t="s">
        <v>89</v>
      </c>
      <c r="H34" s="77">
        <v>0.8</v>
      </c>
      <c r="I34" s="76" t="s">
        <v>49</v>
      </c>
      <c r="J34" s="70" t="s">
        <v>69</v>
      </c>
      <c r="K34" s="71">
        <v>80</v>
      </c>
      <c r="L34" s="71">
        <v>75</v>
      </c>
      <c r="M34" s="71">
        <v>70</v>
      </c>
      <c r="N34" s="71">
        <v>50</v>
      </c>
      <c r="O34" s="71" t="s">
        <v>70</v>
      </c>
      <c r="P34" s="72"/>
      <c r="Q34" s="73">
        <f t="shared" si="1"/>
        <v>0</v>
      </c>
      <c r="R34" s="74">
        <f t="shared" si="2"/>
        <v>0</v>
      </c>
    </row>
    <row r="35" spans="1:18" s="75" customFormat="1" ht="147" customHeight="1" x14ac:dyDescent="0.25">
      <c r="A35" s="76">
        <v>4</v>
      </c>
      <c r="B35" s="65" t="s">
        <v>90</v>
      </c>
      <c r="C35" s="78">
        <f>0.3*1.5918255965556</f>
        <v>0.47754767896667999</v>
      </c>
      <c r="D35" s="65" t="s">
        <v>91</v>
      </c>
      <c r="E35" s="66">
        <f>C35</f>
        <v>0.47754767896667999</v>
      </c>
      <c r="F35" s="66">
        <f t="shared" si="0"/>
        <v>1.5918255965555996</v>
      </c>
      <c r="G35" s="67" t="s">
        <v>92</v>
      </c>
      <c r="H35" s="76">
        <v>5</v>
      </c>
      <c r="I35" s="69" t="s">
        <v>57</v>
      </c>
      <c r="J35" s="70" t="s">
        <v>58</v>
      </c>
      <c r="K35" s="71">
        <v>5</v>
      </c>
      <c r="L35" s="71">
        <v>4</v>
      </c>
      <c r="M35" s="71">
        <v>3</v>
      </c>
      <c r="N35" s="71">
        <v>2</v>
      </c>
      <c r="O35" s="71">
        <v>1</v>
      </c>
      <c r="P35" s="72"/>
      <c r="Q35" s="73">
        <f t="shared" si="1"/>
        <v>0</v>
      </c>
      <c r="R35" s="74">
        <f t="shared" si="2"/>
        <v>0</v>
      </c>
    </row>
    <row r="36" spans="1:18" s="75" customFormat="1" ht="147" customHeight="1" x14ac:dyDescent="0.25">
      <c r="A36" s="247">
        <v>5</v>
      </c>
      <c r="B36" s="248" t="s">
        <v>93</v>
      </c>
      <c r="C36" s="257">
        <f>0.3 *3.18365119311119</f>
        <v>0.95509535793335698</v>
      </c>
      <c r="D36" s="65" t="s">
        <v>94</v>
      </c>
      <c r="E36" s="66">
        <f>C36/2</f>
        <v>0.47754767896667849</v>
      </c>
      <c r="F36" s="66">
        <f t="shared" si="0"/>
        <v>1.5918255965555947</v>
      </c>
      <c r="G36" s="67" t="s">
        <v>95</v>
      </c>
      <c r="H36" s="77">
        <v>0.8</v>
      </c>
      <c r="I36" s="76" t="s">
        <v>49</v>
      </c>
      <c r="J36" s="70" t="s">
        <v>69</v>
      </c>
      <c r="K36" s="71">
        <v>80</v>
      </c>
      <c r="L36" s="71">
        <v>75</v>
      </c>
      <c r="M36" s="71">
        <v>70</v>
      </c>
      <c r="N36" s="71">
        <v>50</v>
      </c>
      <c r="O36" s="71" t="s">
        <v>70</v>
      </c>
      <c r="P36" s="72"/>
      <c r="Q36" s="73">
        <f t="shared" si="1"/>
        <v>0</v>
      </c>
      <c r="R36" s="74">
        <f t="shared" si="2"/>
        <v>0</v>
      </c>
    </row>
    <row r="37" spans="1:18" s="75" customFormat="1" ht="147" customHeight="1" x14ac:dyDescent="0.25">
      <c r="A37" s="253"/>
      <c r="B37" s="254"/>
      <c r="C37" s="258"/>
      <c r="D37" s="65" t="s">
        <v>96</v>
      </c>
      <c r="E37" s="66">
        <f>C36/2</f>
        <v>0.47754767896667849</v>
      </c>
      <c r="F37" s="66">
        <f t="shared" si="0"/>
        <v>1.5918255965555947</v>
      </c>
      <c r="G37" s="67" t="s">
        <v>97</v>
      </c>
      <c r="H37" s="77">
        <v>0.8</v>
      </c>
      <c r="I37" s="76" t="s">
        <v>49</v>
      </c>
      <c r="J37" s="70" t="s">
        <v>69</v>
      </c>
      <c r="K37" s="71">
        <v>80</v>
      </c>
      <c r="L37" s="71">
        <v>75</v>
      </c>
      <c r="M37" s="71">
        <v>70</v>
      </c>
      <c r="N37" s="71">
        <v>50</v>
      </c>
      <c r="O37" s="71" t="s">
        <v>70</v>
      </c>
      <c r="P37" s="72"/>
      <c r="Q37" s="73">
        <f t="shared" si="1"/>
        <v>0</v>
      </c>
      <c r="R37" s="74">
        <f t="shared" si="2"/>
        <v>0</v>
      </c>
    </row>
    <row r="38" spans="1:18" s="75" customFormat="1" ht="147" customHeight="1" x14ac:dyDescent="0.25">
      <c r="A38" s="259">
        <v>6</v>
      </c>
      <c r="B38" s="260" t="s">
        <v>98</v>
      </c>
      <c r="C38" s="261">
        <f>0.3 *1.0612170643704</f>
        <v>0.31836511931111999</v>
      </c>
      <c r="D38" s="65" t="s">
        <v>99</v>
      </c>
      <c r="E38" s="66">
        <f>C38</f>
        <v>0.31836511931111999</v>
      </c>
      <c r="F38" s="66">
        <f t="shared" si="0"/>
        <v>1.0612170643703998</v>
      </c>
      <c r="G38" s="67" t="s">
        <v>100</v>
      </c>
      <c r="H38" s="77">
        <v>0.8</v>
      </c>
      <c r="I38" s="76" t="s">
        <v>49</v>
      </c>
      <c r="J38" s="70" t="s">
        <v>69</v>
      </c>
      <c r="K38" s="71">
        <v>80</v>
      </c>
      <c r="L38" s="71">
        <v>75</v>
      </c>
      <c r="M38" s="71">
        <v>70</v>
      </c>
      <c r="N38" s="71">
        <v>50</v>
      </c>
      <c r="O38" s="71" t="s">
        <v>70</v>
      </c>
      <c r="P38" s="72"/>
      <c r="Q38" s="73">
        <f t="shared" si="1"/>
        <v>0</v>
      </c>
      <c r="R38" s="74">
        <f t="shared" si="2"/>
        <v>0</v>
      </c>
    </row>
    <row r="39" spans="1:18" s="75" customFormat="1" ht="147" customHeight="1" x14ac:dyDescent="0.25">
      <c r="A39" s="76">
        <v>7</v>
      </c>
      <c r="B39" s="65" t="s">
        <v>101</v>
      </c>
      <c r="C39" s="78">
        <f>0.3 *0.424486825748159</f>
        <v>0.12734604772444769</v>
      </c>
      <c r="D39" s="260" t="s">
        <v>102</v>
      </c>
      <c r="E39" s="66">
        <f>C39</f>
        <v>0.12734604772444769</v>
      </c>
      <c r="F39" s="66">
        <f t="shared" si="0"/>
        <v>0.42448682574815888</v>
      </c>
      <c r="G39" s="67" t="s">
        <v>103</v>
      </c>
      <c r="H39" s="68">
        <v>0.7</v>
      </c>
      <c r="I39" s="76" t="s">
        <v>49</v>
      </c>
      <c r="J39" s="70" t="s">
        <v>104</v>
      </c>
      <c r="K39" s="71">
        <v>70</v>
      </c>
      <c r="L39" s="71">
        <v>60</v>
      </c>
      <c r="M39" s="71">
        <v>50</v>
      </c>
      <c r="N39" s="71">
        <v>40</v>
      </c>
      <c r="O39" s="71" t="s">
        <v>105</v>
      </c>
      <c r="P39" s="72"/>
      <c r="Q39" s="73">
        <f t="shared" si="1"/>
        <v>0</v>
      </c>
      <c r="R39" s="74">
        <f t="shared" si="2"/>
        <v>0</v>
      </c>
    </row>
    <row r="40" spans="1:18" s="75" customFormat="1" ht="147" customHeight="1" x14ac:dyDescent="0.25">
      <c r="A40" s="76">
        <v>8</v>
      </c>
      <c r="B40" s="65" t="s">
        <v>106</v>
      </c>
      <c r="C40" s="78">
        <f>0.3 *0.424486825748159</f>
        <v>0.12734604772444769</v>
      </c>
      <c r="D40" s="67" t="s">
        <v>107</v>
      </c>
      <c r="E40" s="66">
        <f>C40</f>
        <v>0.12734604772444769</v>
      </c>
      <c r="F40" s="66">
        <f t="shared" si="0"/>
        <v>0.42448682574815888</v>
      </c>
      <c r="G40" s="67" t="s">
        <v>108</v>
      </c>
      <c r="H40" s="68">
        <v>0.5</v>
      </c>
      <c r="I40" s="69" t="s">
        <v>49</v>
      </c>
      <c r="J40" s="70" t="s">
        <v>64</v>
      </c>
      <c r="K40" s="71">
        <v>50</v>
      </c>
      <c r="L40" s="71">
        <v>45</v>
      </c>
      <c r="M40" s="71">
        <v>40</v>
      </c>
      <c r="N40" s="71">
        <v>25</v>
      </c>
      <c r="O40" s="71" t="s">
        <v>65</v>
      </c>
      <c r="P40" s="72">
        <v>0</v>
      </c>
      <c r="Q40" s="73">
        <f t="shared" si="1"/>
        <v>0</v>
      </c>
      <c r="R40" s="74">
        <f t="shared" si="2"/>
        <v>0</v>
      </c>
    </row>
    <row r="41" spans="1:18" s="89" customFormat="1" ht="44.25" x14ac:dyDescent="0.25">
      <c r="A41" s="79"/>
      <c r="B41" s="80" t="s">
        <v>109</v>
      </c>
      <c r="C41" s="81">
        <f>SUM(C19:C40)</f>
        <v>30.000000000000007</v>
      </c>
      <c r="D41" s="80"/>
      <c r="E41" s="81">
        <f>SUM(E19:E40)</f>
        <v>30.000000000000007</v>
      </c>
      <c r="F41" s="81">
        <f>SUM(F19:F40)</f>
        <v>100</v>
      </c>
      <c r="G41" s="82"/>
      <c r="H41" s="83"/>
      <c r="I41" s="84"/>
      <c r="J41" s="85"/>
      <c r="K41" s="85"/>
      <c r="L41" s="85"/>
      <c r="M41" s="85"/>
      <c r="N41" s="85"/>
      <c r="O41" s="85"/>
      <c r="P41" s="86"/>
      <c r="Q41" s="87"/>
      <c r="R41" s="88">
        <f>SUM(R19:R40)</f>
        <v>0</v>
      </c>
    </row>
    <row r="42" spans="1:18" s="91" customFormat="1" ht="66" customHeight="1" x14ac:dyDescent="0.7">
      <c r="A42" s="90"/>
      <c r="G42" s="92"/>
      <c r="H42" s="92"/>
      <c r="I42" s="93" t="s">
        <v>159</v>
      </c>
      <c r="J42" s="94"/>
      <c r="K42" s="94"/>
      <c r="L42" s="94"/>
      <c r="M42" s="94"/>
      <c r="N42" s="94"/>
      <c r="O42" s="94"/>
      <c r="P42" s="94"/>
      <c r="Q42" s="95"/>
      <c r="R42" s="96">
        <f>R41/100 * 70</f>
        <v>0</v>
      </c>
    </row>
    <row r="43" spans="1:18" s="105" customFormat="1" ht="36" x14ac:dyDescent="0.55000000000000004">
      <c r="A43" s="97" t="s">
        <v>110</v>
      </c>
      <c r="B43" s="98"/>
      <c r="C43" s="98"/>
      <c r="D43" s="98"/>
      <c r="E43" s="98"/>
      <c r="F43" s="98"/>
      <c r="G43" s="99"/>
      <c r="H43" s="100"/>
      <c r="I43" s="100"/>
      <c r="J43" s="100"/>
      <c r="K43" s="100"/>
      <c r="L43" s="55" t="s">
        <v>115</v>
      </c>
      <c r="M43" s="101" t="s">
        <v>111</v>
      </c>
      <c r="N43" s="101"/>
      <c r="O43" s="101"/>
      <c r="P43" s="102"/>
      <c r="Q43" s="103"/>
      <c r="R43" s="104"/>
    </row>
    <row r="44" spans="1:18" s="105" customFormat="1" ht="31.5" customHeight="1" x14ac:dyDescent="0.55000000000000004">
      <c r="A44" s="106"/>
      <c r="B44" s="107"/>
      <c r="C44" s="108" t="s">
        <v>112</v>
      </c>
      <c r="D44" s="108"/>
      <c r="E44" s="108"/>
      <c r="F44" s="108"/>
      <c r="G44" s="108"/>
      <c r="H44" s="109" t="s">
        <v>160</v>
      </c>
      <c r="I44" s="109" t="s">
        <v>161</v>
      </c>
      <c r="J44" s="109"/>
      <c r="K44" s="110"/>
      <c r="L44" s="63"/>
      <c r="M44" s="111"/>
      <c r="N44" s="111"/>
      <c r="O44" s="111"/>
      <c r="P44" s="112"/>
      <c r="Q44" s="103"/>
      <c r="R44" s="104"/>
    </row>
    <row r="45" spans="1:18" s="105" customFormat="1" ht="36" customHeight="1" x14ac:dyDescent="0.55000000000000004">
      <c r="A45" s="113">
        <v>1</v>
      </c>
      <c r="B45" s="114" t="s">
        <v>116</v>
      </c>
      <c r="C45" s="115"/>
      <c r="D45" s="116"/>
      <c r="E45" s="116"/>
      <c r="F45" s="116"/>
      <c r="G45" s="117"/>
      <c r="H45" s="118"/>
      <c r="I45" s="118"/>
      <c r="J45" s="118"/>
      <c r="K45" s="118"/>
      <c r="L45" s="119"/>
      <c r="M45" s="120" t="s">
        <v>40</v>
      </c>
      <c r="N45" s="121" t="s">
        <v>117</v>
      </c>
      <c r="O45" s="122"/>
      <c r="P45" s="112"/>
      <c r="Q45" s="103"/>
      <c r="R45" s="104"/>
    </row>
    <row r="46" spans="1:18" s="105" customFormat="1" ht="84.75" customHeight="1" x14ac:dyDescent="0.55000000000000004">
      <c r="A46" s="123" t="s">
        <v>118</v>
      </c>
      <c r="B46" s="124" t="s">
        <v>162</v>
      </c>
      <c r="C46" s="125"/>
      <c r="D46" s="126"/>
      <c r="E46" s="126"/>
      <c r="F46" s="126"/>
      <c r="G46" s="127"/>
      <c r="H46" s="128">
        <v>4</v>
      </c>
      <c r="I46" s="129"/>
      <c r="J46" s="128"/>
      <c r="K46" s="128"/>
      <c r="L46" s="119"/>
      <c r="M46" s="120" t="s">
        <v>41</v>
      </c>
      <c r="N46" s="121" t="s">
        <v>119</v>
      </c>
      <c r="O46" s="122"/>
      <c r="P46" s="112"/>
      <c r="Q46" s="103"/>
      <c r="R46" s="104"/>
    </row>
    <row r="47" spans="1:18" s="105" customFormat="1" ht="82.5" customHeight="1" x14ac:dyDescent="0.55000000000000004">
      <c r="A47" s="123" t="s">
        <v>120</v>
      </c>
      <c r="B47" s="124" t="s">
        <v>163</v>
      </c>
      <c r="C47" s="125"/>
      <c r="D47" s="126"/>
      <c r="E47" s="126"/>
      <c r="F47" s="126"/>
      <c r="G47" s="127"/>
      <c r="H47" s="128">
        <v>2</v>
      </c>
      <c r="I47" s="129"/>
      <c r="J47" s="128"/>
      <c r="K47" s="128"/>
      <c r="L47" s="119"/>
      <c r="M47" s="120" t="s">
        <v>42</v>
      </c>
      <c r="N47" s="121" t="s">
        <v>121</v>
      </c>
      <c r="O47" s="122"/>
      <c r="P47" s="112"/>
      <c r="Q47" s="103"/>
      <c r="R47" s="104"/>
    </row>
    <row r="48" spans="1:18" s="105" customFormat="1" ht="78.75" customHeight="1" x14ac:dyDescent="0.55000000000000004">
      <c r="A48" s="123" t="s">
        <v>122</v>
      </c>
      <c r="B48" s="124" t="s">
        <v>123</v>
      </c>
      <c r="C48" s="125"/>
      <c r="D48" s="126"/>
      <c r="E48" s="126"/>
      <c r="F48" s="126"/>
      <c r="G48" s="127"/>
      <c r="H48" s="128">
        <v>2</v>
      </c>
      <c r="I48" s="129"/>
      <c r="J48" s="128"/>
      <c r="K48" s="128"/>
      <c r="L48" s="119"/>
      <c r="M48" s="120" t="s">
        <v>43</v>
      </c>
      <c r="N48" s="121" t="s">
        <v>124</v>
      </c>
      <c r="O48" s="122"/>
      <c r="P48" s="112"/>
      <c r="Q48" s="103"/>
      <c r="R48" s="104"/>
    </row>
    <row r="49" spans="1:18" s="105" customFormat="1" ht="36" x14ac:dyDescent="0.55000000000000004">
      <c r="A49" s="130">
        <v>2</v>
      </c>
      <c r="B49" s="131" t="s">
        <v>125</v>
      </c>
      <c r="C49" s="132"/>
      <c r="D49" s="133"/>
      <c r="E49" s="133"/>
      <c r="F49" s="133"/>
      <c r="G49" s="134"/>
      <c r="H49" s="128"/>
      <c r="I49" s="129"/>
      <c r="J49" s="128"/>
      <c r="K49" s="128"/>
      <c r="L49" s="119"/>
      <c r="M49" s="120" t="s">
        <v>44</v>
      </c>
      <c r="N49" s="121" t="s">
        <v>126</v>
      </c>
      <c r="O49" s="122"/>
      <c r="P49" s="112"/>
      <c r="Q49" s="103"/>
      <c r="R49" s="104"/>
    </row>
    <row r="50" spans="1:18" s="105" customFormat="1" ht="82.5" customHeight="1" x14ac:dyDescent="0.55000000000000004">
      <c r="A50" s="123" t="s">
        <v>118</v>
      </c>
      <c r="B50" s="135" t="s">
        <v>164</v>
      </c>
      <c r="C50" s="136"/>
      <c r="D50" s="137"/>
      <c r="E50" s="137"/>
      <c r="F50" s="137"/>
      <c r="G50" s="138"/>
      <c r="H50" s="128">
        <v>2</v>
      </c>
      <c r="I50" s="129"/>
      <c r="J50" s="128"/>
      <c r="K50" s="128"/>
      <c r="L50" s="119"/>
      <c r="M50" s="120" t="s">
        <v>45</v>
      </c>
      <c r="N50" s="121" t="s">
        <v>127</v>
      </c>
      <c r="O50" s="122"/>
      <c r="P50" s="139"/>
      <c r="Q50" s="103"/>
      <c r="R50" s="104"/>
    </row>
    <row r="51" spans="1:18" s="105" customFormat="1" ht="114.75" customHeight="1" x14ac:dyDescent="0.55000000000000004">
      <c r="A51" s="123" t="s">
        <v>120</v>
      </c>
      <c r="B51" s="135" t="s">
        <v>165</v>
      </c>
      <c r="C51" s="136"/>
      <c r="D51" s="137"/>
      <c r="E51" s="137"/>
      <c r="F51" s="137"/>
      <c r="G51" s="138"/>
      <c r="H51" s="128">
        <v>2</v>
      </c>
      <c r="I51" s="129"/>
      <c r="J51" s="128"/>
      <c r="K51" s="128"/>
      <c r="L51" s="119"/>
      <c r="M51" s="112" t="s">
        <v>115</v>
      </c>
      <c r="N51" s="140" t="s">
        <v>128</v>
      </c>
      <c r="O51" s="141"/>
      <c r="P51" s="139"/>
      <c r="Q51" s="103"/>
      <c r="R51" s="104"/>
    </row>
    <row r="52" spans="1:18" s="105" customFormat="1" ht="72" customHeight="1" x14ac:dyDescent="0.55000000000000004">
      <c r="A52" s="123" t="s">
        <v>122</v>
      </c>
      <c r="B52" s="135" t="s">
        <v>166</v>
      </c>
      <c r="C52" s="136"/>
      <c r="D52" s="137"/>
      <c r="E52" s="137"/>
      <c r="F52" s="137"/>
      <c r="G52" s="138"/>
      <c r="H52" s="128">
        <v>2</v>
      </c>
      <c r="I52" s="129"/>
      <c r="J52" s="128"/>
      <c r="K52" s="128"/>
      <c r="L52" s="119"/>
      <c r="M52" s="112" t="s">
        <v>129</v>
      </c>
      <c r="N52" s="140" t="s">
        <v>130</v>
      </c>
      <c r="O52" s="141"/>
      <c r="P52" s="139"/>
      <c r="Q52" s="103"/>
      <c r="R52" s="104"/>
    </row>
    <row r="53" spans="1:18" s="105" customFormat="1" ht="66" customHeight="1" x14ac:dyDescent="0.55000000000000004">
      <c r="A53" s="130">
        <v>3</v>
      </c>
      <c r="B53" s="131" t="s">
        <v>131</v>
      </c>
      <c r="C53" s="132"/>
      <c r="D53" s="133"/>
      <c r="E53" s="133"/>
      <c r="F53" s="133"/>
      <c r="G53" s="134"/>
      <c r="H53" s="128"/>
      <c r="I53" s="129"/>
      <c r="J53" s="128"/>
      <c r="K53" s="128"/>
      <c r="L53" s="119"/>
      <c r="M53" s="112" t="s">
        <v>113</v>
      </c>
      <c r="N53" s="140" t="s">
        <v>132</v>
      </c>
      <c r="O53" s="141"/>
      <c r="P53" s="139"/>
      <c r="Q53" s="103"/>
      <c r="R53" s="104"/>
    </row>
    <row r="54" spans="1:18" s="105" customFormat="1" ht="72" customHeight="1" x14ac:dyDescent="0.55000000000000004">
      <c r="A54" s="123" t="s">
        <v>118</v>
      </c>
      <c r="B54" s="135" t="s">
        <v>133</v>
      </c>
      <c r="C54" s="142"/>
      <c r="D54" s="143"/>
      <c r="E54" s="143"/>
      <c r="F54" s="143"/>
      <c r="G54" s="144"/>
      <c r="H54" s="128">
        <v>2</v>
      </c>
      <c r="I54" s="129"/>
      <c r="J54" s="128"/>
      <c r="K54" s="128"/>
      <c r="L54" s="119"/>
      <c r="M54" s="112" t="s">
        <v>114</v>
      </c>
      <c r="N54" s="140" t="s">
        <v>134</v>
      </c>
      <c r="O54" s="141"/>
      <c r="P54" s="139"/>
      <c r="Q54" s="103"/>
      <c r="R54" s="104"/>
    </row>
    <row r="55" spans="1:18" s="105" customFormat="1" ht="72" customHeight="1" x14ac:dyDescent="0.55000000000000004">
      <c r="A55" s="123" t="s">
        <v>120</v>
      </c>
      <c r="B55" s="135" t="s">
        <v>167</v>
      </c>
      <c r="C55" s="142"/>
      <c r="D55" s="143"/>
      <c r="E55" s="143"/>
      <c r="F55" s="143"/>
      <c r="G55" s="144"/>
      <c r="H55" s="128">
        <v>2</v>
      </c>
      <c r="I55" s="129"/>
      <c r="J55" s="128"/>
      <c r="K55" s="128"/>
      <c r="L55" s="119"/>
      <c r="M55" s="112" t="s">
        <v>135</v>
      </c>
      <c r="N55" s="140" t="s">
        <v>136</v>
      </c>
      <c r="O55" s="141"/>
      <c r="P55" s="139"/>
      <c r="Q55" s="103"/>
      <c r="R55" s="104"/>
    </row>
    <row r="56" spans="1:18" s="105" customFormat="1" ht="44.25" customHeight="1" x14ac:dyDescent="0.55000000000000004">
      <c r="A56" s="123" t="s">
        <v>122</v>
      </c>
      <c r="B56" s="135" t="s">
        <v>168</v>
      </c>
      <c r="C56" s="142"/>
      <c r="D56" s="143"/>
      <c r="E56" s="143"/>
      <c r="F56" s="143"/>
      <c r="G56" s="144"/>
      <c r="H56" s="128">
        <v>2</v>
      </c>
      <c r="I56" s="129"/>
      <c r="J56" s="128"/>
      <c r="K56" s="128"/>
      <c r="L56" s="119"/>
      <c r="M56" s="145"/>
      <c r="N56" s="145"/>
      <c r="O56" s="145"/>
      <c r="P56" s="146"/>
      <c r="Q56" s="103"/>
      <c r="R56" s="104"/>
    </row>
    <row r="57" spans="1:18" s="105" customFormat="1" ht="31.5" customHeight="1" x14ac:dyDescent="0.55000000000000004">
      <c r="A57" s="147" t="s">
        <v>137</v>
      </c>
      <c r="B57" s="148"/>
      <c r="C57" s="148"/>
      <c r="D57" s="148"/>
      <c r="E57" s="148"/>
      <c r="F57" s="148"/>
      <c r="G57" s="148"/>
      <c r="H57" s="149">
        <f>SUM(H46:H56)</f>
        <v>20</v>
      </c>
      <c r="I57" s="149">
        <f>SUM(I46:I56)</f>
        <v>0</v>
      </c>
      <c r="J57" s="149"/>
      <c r="K57" s="150"/>
      <c r="L57" s="119"/>
      <c r="M57" s="145"/>
      <c r="N57" s="145"/>
      <c r="O57" s="145"/>
      <c r="P57" s="146"/>
      <c r="Q57" s="103"/>
      <c r="R57" s="104"/>
    </row>
    <row r="58" spans="1:18" s="105" customFormat="1" ht="36" customHeight="1" x14ac:dyDescent="0.55000000000000004">
      <c r="A58" s="151" t="s">
        <v>118</v>
      </c>
      <c r="B58" s="152" t="s">
        <v>138</v>
      </c>
      <c r="C58" s="136" t="s">
        <v>139</v>
      </c>
      <c r="D58" s="137"/>
      <c r="E58" s="137"/>
      <c r="F58" s="137"/>
      <c r="G58" s="138"/>
      <c r="H58" s="153">
        <v>4</v>
      </c>
      <c r="I58" s="154"/>
      <c r="J58" s="153"/>
      <c r="K58" s="155"/>
      <c r="L58" s="119"/>
      <c r="M58" s="145"/>
      <c r="N58" s="145"/>
      <c r="O58" s="145"/>
      <c r="P58" s="146"/>
      <c r="Q58" s="103"/>
      <c r="R58" s="104"/>
    </row>
    <row r="59" spans="1:18" s="105" customFormat="1" ht="129" customHeight="1" x14ac:dyDescent="0.55000000000000004">
      <c r="A59" s="151" t="s">
        <v>120</v>
      </c>
      <c r="B59" s="152" t="s">
        <v>140</v>
      </c>
      <c r="C59" s="136" t="s">
        <v>141</v>
      </c>
      <c r="D59" s="137"/>
      <c r="E59" s="137"/>
      <c r="F59" s="137"/>
      <c r="G59" s="138"/>
      <c r="H59" s="153">
        <v>3</v>
      </c>
      <c r="I59" s="154"/>
      <c r="J59" s="153"/>
      <c r="K59" s="155"/>
      <c r="L59" s="119"/>
      <c r="M59" s="145"/>
      <c r="N59" s="145"/>
      <c r="O59" s="145"/>
      <c r="P59" s="146"/>
      <c r="Q59" s="103"/>
      <c r="R59" s="104"/>
    </row>
    <row r="60" spans="1:18" s="105" customFormat="1" ht="69" customHeight="1" x14ac:dyDescent="0.55000000000000004">
      <c r="A60" s="151" t="s">
        <v>120</v>
      </c>
      <c r="B60" s="152" t="s">
        <v>142</v>
      </c>
      <c r="C60" s="136" t="s">
        <v>143</v>
      </c>
      <c r="D60" s="137"/>
      <c r="E60" s="137"/>
      <c r="F60" s="137"/>
      <c r="G60" s="138"/>
      <c r="H60" s="153">
        <v>3</v>
      </c>
      <c r="I60" s="154"/>
      <c r="J60" s="153"/>
      <c r="K60" s="155"/>
      <c r="L60" s="119"/>
      <c r="M60" s="145"/>
      <c r="N60" s="145"/>
      <c r="O60" s="145"/>
      <c r="P60" s="146"/>
      <c r="Q60" s="103"/>
      <c r="R60" s="104"/>
    </row>
    <row r="61" spans="1:18" s="105" customFormat="1" ht="46.5" customHeight="1" x14ac:dyDescent="0.55000000000000004">
      <c r="A61" s="156"/>
      <c r="B61" s="157" t="s">
        <v>144</v>
      </c>
      <c r="C61" s="157"/>
      <c r="D61" s="157"/>
      <c r="E61" s="158"/>
      <c r="F61" s="158"/>
      <c r="G61" s="158"/>
      <c r="H61" s="149">
        <f>SUM(H58:H60)</f>
        <v>10</v>
      </c>
      <c r="I61" s="149">
        <f>SUM(I58:I60)</f>
        <v>0</v>
      </c>
      <c r="J61" s="158"/>
      <c r="K61" s="159"/>
      <c r="L61" s="145"/>
      <c r="M61" s="145"/>
      <c r="N61" s="145"/>
      <c r="O61" s="145"/>
      <c r="P61" s="146"/>
      <c r="Q61" s="103"/>
      <c r="R61" s="104"/>
    </row>
    <row r="62" spans="1:18" s="167" customFormat="1" ht="45" customHeight="1" x14ac:dyDescent="0.7">
      <c r="A62" s="160"/>
      <c r="B62" s="161"/>
      <c r="C62" s="162"/>
      <c r="D62" s="162"/>
      <c r="E62" s="162"/>
      <c r="F62" s="163"/>
      <c r="G62" s="163"/>
      <c r="H62" s="163"/>
      <c r="I62" s="163"/>
      <c r="J62" s="163"/>
      <c r="K62" s="162"/>
      <c r="L62" s="162"/>
      <c r="M62" s="162"/>
      <c r="N62" s="162"/>
      <c r="O62" s="164" t="s">
        <v>169</v>
      </c>
      <c r="P62" s="165"/>
      <c r="Q62" s="164" t="s">
        <v>170</v>
      </c>
      <c r="R62" s="166"/>
    </row>
    <row r="63" spans="1:18" s="167" customFormat="1" ht="45" customHeight="1" x14ac:dyDescent="0.7">
      <c r="A63" s="160"/>
      <c r="B63" s="168"/>
      <c r="C63" s="169" t="s">
        <v>171</v>
      </c>
      <c r="D63" s="170"/>
      <c r="E63" s="170"/>
      <c r="F63" s="170"/>
      <c r="G63" s="170"/>
      <c r="H63" s="170"/>
      <c r="I63" s="170"/>
      <c r="J63" s="170"/>
      <c r="K63" s="171"/>
      <c r="L63" s="172"/>
      <c r="M63" s="173"/>
      <c r="N63" s="174"/>
      <c r="O63" s="175">
        <f>R42</f>
        <v>0</v>
      </c>
      <c r="P63" s="176"/>
      <c r="Q63" s="177">
        <f>O66/100 * 20</f>
        <v>0</v>
      </c>
      <c r="R63" s="178"/>
    </row>
    <row r="64" spans="1:18" s="167" customFormat="1" ht="45" customHeight="1" x14ac:dyDescent="0.7">
      <c r="A64" s="160"/>
      <c r="B64" s="168"/>
      <c r="C64" s="170" t="s">
        <v>172</v>
      </c>
      <c r="D64" s="170"/>
      <c r="E64" s="170"/>
      <c r="F64" s="170"/>
      <c r="G64" s="170"/>
      <c r="H64" s="170"/>
      <c r="I64" s="170"/>
      <c r="J64" s="170"/>
      <c r="K64" s="170"/>
      <c r="L64" s="173"/>
      <c r="M64" s="173"/>
      <c r="N64" s="174"/>
      <c r="O64" s="175">
        <f>I57</f>
        <v>0</v>
      </c>
      <c r="P64" s="176"/>
      <c r="Q64" s="179"/>
      <c r="R64" s="180"/>
    </row>
    <row r="65" spans="1:18" s="167" customFormat="1" ht="45" customHeight="1" x14ac:dyDescent="0.7">
      <c r="A65" s="160"/>
      <c r="B65" s="168"/>
      <c r="C65" s="169" t="s">
        <v>173</v>
      </c>
      <c r="D65" s="170"/>
      <c r="E65" s="170"/>
      <c r="F65" s="170"/>
      <c r="G65" s="170"/>
      <c r="H65" s="170"/>
      <c r="I65" s="170"/>
      <c r="J65" s="170"/>
      <c r="K65" s="171"/>
      <c r="L65" s="172"/>
      <c r="M65" s="173"/>
      <c r="N65" s="174"/>
      <c r="O65" s="175">
        <f>I61</f>
        <v>0</v>
      </c>
      <c r="P65" s="176"/>
      <c r="Q65" s="179"/>
      <c r="R65" s="180"/>
    </row>
    <row r="66" spans="1:18" s="167" customFormat="1" ht="45" customHeight="1" x14ac:dyDescent="0.7">
      <c r="A66" s="160"/>
      <c r="B66" s="181"/>
      <c r="C66" s="169" t="s">
        <v>174</v>
      </c>
      <c r="D66" s="170"/>
      <c r="E66" s="170"/>
      <c r="F66" s="170"/>
      <c r="G66" s="170"/>
      <c r="H66" s="170"/>
      <c r="I66" s="170"/>
      <c r="J66" s="170"/>
      <c r="K66" s="171"/>
      <c r="L66" s="172"/>
      <c r="M66" s="173"/>
      <c r="N66" s="174"/>
      <c r="O66" s="175">
        <f>SUM(O63:P65)</f>
        <v>0</v>
      </c>
      <c r="P66" s="176"/>
      <c r="Q66" s="182"/>
      <c r="R66" s="183"/>
    </row>
    <row r="67" spans="1:18" s="167" customFormat="1" ht="64.900000000000006" customHeight="1" x14ac:dyDescent="0.7">
      <c r="A67" s="160"/>
      <c r="B67" s="184" t="s">
        <v>175</v>
      </c>
      <c r="C67" s="184"/>
      <c r="D67" s="184"/>
      <c r="E67" s="184"/>
      <c r="F67" s="184"/>
      <c r="G67" s="184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6"/>
    </row>
    <row r="68" spans="1:18" s="167" customFormat="1" ht="64.900000000000006" customHeight="1" x14ac:dyDescent="0.7">
      <c r="A68" s="160"/>
      <c r="B68" s="187" t="s">
        <v>176</v>
      </c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8"/>
    </row>
    <row r="69" spans="1:18" s="167" customFormat="1" ht="48.75" customHeight="1" x14ac:dyDescent="0.7">
      <c r="A69" s="160"/>
      <c r="B69" s="189" t="s">
        <v>177</v>
      </c>
      <c r="C69" s="189"/>
      <c r="D69" s="189"/>
      <c r="E69" s="189"/>
      <c r="F69" s="189"/>
      <c r="G69" s="189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1"/>
    </row>
    <row r="70" spans="1:18" s="167" customFormat="1" ht="45.75" x14ac:dyDescent="0.7">
      <c r="A70" s="160"/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8"/>
    </row>
    <row r="71" spans="1:18" s="105" customFormat="1" ht="31.5" customHeight="1" x14ac:dyDescent="0.55000000000000004">
      <c r="A71" s="192" t="s">
        <v>178</v>
      </c>
      <c r="B71" s="193"/>
      <c r="C71" s="194"/>
      <c r="D71" s="195"/>
      <c r="E71" s="196" t="s">
        <v>179</v>
      </c>
      <c r="F71" s="197"/>
      <c r="G71" s="193" t="s">
        <v>180</v>
      </c>
      <c r="H71" s="194"/>
      <c r="I71" s="194"/>
      <c r="J71" s="194"/>
      <c r="K71" s="198"/>
      <c r="L71" s="119"/>
      <c r="M71" s="199"/>
      <c r="N71" s="199"/>
      <c r="O71" s="199"/>
      <c r="P71" s="199"/>
      <c r="Q71" s="199"/>
      <c r="R71" s="104"/>
    </row>
    <row r="72" spans="1:18" s="105" customFormat="1" ht="31.5" customHeight="1" x14ac:dyDescent="0.55000000000000004">
      <c r="A72" s="200"/>
      <c r="B72" s="201"/>
      <c r="C72" s="202"/>
      <c r="D72" s="203"/>
      <c r="E72" s="204"/>
      <c r="F72" s="205"/>
      <c r="G72" s="201"/>
      <c r="H72" s="202"/>
      <c r="I72" s="202"/>
      <c r="J72" s="202"/>
      <c r="K72" s="198"/>
      <c r="L72" s="119"/>
      <c r="M72" s="206"/>
      <c r="N72" s="206"/>
      <c r="O72" s="206"/>
      <c r="P72" s="206"/>
      <c r="Q72" s="206"/>
      <c r="R72" s="104"/>
    </row>
    <row r="73" spans="1:18" s="105" customFormat="1" ht="31.5" customHeight="1" x14ac:dyDescent="0.55000000000000004">
      <c r="A73" s="200"/>
      <c r="B73" s="201"/>
      <c r="C73" s="202"/>
      <c r="D73" s="203"/>
      <c r="E73" s="204"/>
      <c r="F73" s="205"/>
      <c r="G73" s="201"/>
      <c r="H73" s="202"/>
      <c r="I73" s="202"/>
      <c r="J73" s="202"/>
      <c r="K73" s="198"/>
      <c r="L73" s="119"/>
      <c r="M73" s="206"/>
      <c r="N73" s="206"/>
      <c r="O73" s="206"/>
      <c r="P73" s="206"/>
      <c r="Q73" s="206"/>
      <c r="R73" s="104"/>
    </row>
    <row r="74" spans="1:18" s="105" customFormat="1" ht="31.5" customHeight="1" x14ac:dyDescent="0.55000000000000004">
      <c r="A74" s="207"/>
      <c r="B74" s="208"/>
      <c r="C74" s="209"/>
      <c r="D74" s="210"/>
      <c r="E74" s="211"/>
      <c r="F74" s="212"/>
      <c r="G74" s="208"/>
      <c r="H74" s="209"/>
      <c r="I74" s="209"/>
      <c r="J74" s="209"/>
      <c r="K74" s="198"/>
      <c r="L74" s="119"/>
      <c r="M74" s="206"/>
      <c r="N74" s="206"/>
      <c r="O74" s="206"/>
      <c r="P74" s="206"/>
      <c r="Q74" s="206"/>
      <c r="R74" s="104"/>
    </row>
    <row r="75" spans="1:18" s="105" customFormat="1" ht="31.5" customHeight="1" x14ac:dyDescent="0.55000000000000004">
      <c r="A75" s="213" t="s">
        <v>145</v>
      </c>
      <c r="B75" s="214"/>
      <c r="C75" s="194"/>
      <c r="D75" s="195"/>
      <c r="E75" s="215" t="s">
        <v>181</v>
      </c>
      <c r="F75" s="197"/>
      <c r="G75" s="214" t="s">
        <v>181</v>
      </c>
      <c r="H75" s="194"/>
      <c r="I75" s="194"/>
      <c r="J75" s="194"/>
      <c r="K75" s="198"/>
      <c r="L75" s="119"/>
      <c r="M75" s="206"/>
      <c r="N75" s="206"/>
      <c r="O75" s="206"/>
      <c r="P75" s="206"/>
      <c r="Q75" s="206"/>
      <c r="R75" s="104"/>
    </row>
    <row r="76" spans="1:18" s="105" customFormat="1" ht="31.5" customHeight="1" x14ac:dyDescent="0.55000000000000004">
      <c r="A76" s="216"/>
      <c r="B76" s="217"/>
      <c r="C76" s="202"/>
      <c r="D76" s="203"/>
      <c r="E76" s="218"/>
      <c r="F76" s="205"/>
      <c r="G76" s="217"/>
      <c r="H76" s="202"/>
      <c r="I76" s="202"/>
      <c r="J76" s="202"/>
      <c r="K76" s="198"/>
      <c r="L76" s="119"/>
      <c r="M76" s="206"/>
      <c r="N76" s="206"/>
      <c r="O76" s="206"/>
      <c r="P76" s="206"/>
      <c r="Q76" s="206"/>
      <c r="R76" s="104"/>
    </row>
    <row r="77" spans="1:18" s="105" customFormat="1" ht="31.5" customHeight="1" x14ac:dyDescent="0.55000000000000004">
      <c r="A77" s="216"/>
      <c r="B77" s="217"/>
      <c r="C77" s="209"/>
      <c r="D77" s="210"/>
      <c r="E77" s="219"/>
      <c r="F77" s="212"/>
      <c r="G77" s="220"/>
      <c r="H77" s="209"/>
      <c r="I77" s="209"/>
      <c r="J77" s="209"/>
      <c r="K77" s="198"/>
      <c r="L77" s="119"/>
      <c r="M77" s="206"/>
      <c r="N77" s="206"/>
      <c r="O77" s="206"/>
      <c r="P77" s="206"/>
      <c r="Q77" s="206"/>
      <c r="R77" s="104"/>
    </row>
    <row r="78" spans="1:18" s="105" customFormat="1" ht="31.5" customHeight="1" x14ac:dyDescent="0.55000000000000004">
      <c r="A78" s="200" t="s">
        <v>146</v>
      </c>
      <c r="B78" s="201"/>
      <c r="C78" s="194"/>
      <c r="D78" s="195"/>
      <c r="E78" s="196" t="s">
        <v>182</v>
      </c>
      <c r="F78" s="197"/>
      <c r="G78" s="193" t="s">
        <v>182</v>
      </c>
      <c r="H78" s="194"/>
      <c r="I78" s="194"/>
      <c r="J78" s="194"/>
      <c r="K78" s="198"/>
      <c r="L78" s="119"/>
      <c r="M78" s="206"/>
      <c r="N78" s="206"/>
      <c r="O78" s="206"/>
      <c r="P78" s="206"/>
      <c r="Q78" s="206"/>
      <c r="R78" s="104"/>
    </row>
    <row r="79" spans="1:18" s="105" customFormat="1" ht="31.5" customHeight="1" x14ac:dyDescent="0.55000000000000004">
      <c r="A79" s="200"/>
      <c r="B79" s="201"/>
      <c r="C79" s="209"/>
      <c r="D79" s="210"/>
      <c r="E79" s="211"/>
      <c r="F79" s="212"/>
      <c r="G79" s="208"/>
      <c r="H79" s="209"/>
      <c r="I79" s="209"/>
      <c r="J79" s="209"/>
      <c r="K79" s="198"/>
      <c r="L79" s="119"/>
      <c r="M79" s="206"/>
      <c r="N79" s="206"/>
      <c r="O79" s="206"/>
      <c r="P79" s="206"/>
      <c r="Q79" s="206"/>
      <c r="R79" s="104"/>
    </row>
    <row r="80" spans="1:18" s="105" customFormat="1" ht="31.5" customHeight="1" thickBot="1" x14ac:dyDescent="0.6">
      <c r="A80" s="221"/>
      <c r="B80" s="222"/>
      <c r="C80" s="222"/>
      <c r="D80" s="222"/>
      <c r="E80" s="222"/>
      <c r="F80" s="222"/>
      <c r="G80" s="222"/>
      <c r="H80" s="222"/>
      <c r="I80" s="222"/>
      <c r="J80" s="222"/>
      <c r="K80" s="223"/>
      <c r="L80" s="224"/>
      <c r="M80" s="225"/>
      <c r="N80" s="225"/>
      <c r="O80" s="225"/>
      <c r="P80" s="225"/>
      <c r="Q80" s="225"/>
      <c r="R80" s="226"/>
    </row>
  </sheetData>
  <mergeCells count="112">
    <mergeCell ref="A80:J80"/>
    <mergeCell ref="A19:A23"/>
    <mergeCell ref="B19:B23"/>
    <mergeCell ref="C19:C23"/>
    <mergeCell ref="A25:A34"/>
    <mergeCell ref="B25:B34"/>
    <mergeCell ref="C25:C34"/>
    <mergeCell ref="A36:A37"/>
    <mergeCell ref="B36:B37"/>
    <mergeCell ref="C36:C37"/>
    <mergeCell ref="A78:B79"/>
    <mergeCell ref="C78:D79"/>
    <mergeCell ref="E78:E79"/>
    <mergeCell ref="F78:F79"/>
    <mergeCell ref="G78:G79"/>
    <mergeCell ref="H78:J79"/>
    <mergeCell ref="A75:B77"/>
    <mergeCell ref="C75:D77"/>
    <mergeCell ref="E75:E77"/>
    <mergeCell ref="F75:F77"/>
    <mergeCell ref="G75:G77"/>
    <mergeCell ref="H75:J77"/>
    <mergeCell ref="B68:R68"/>
    <mergeCell ref="B69:G69"/>
    <mergeCell ref="B70:R70"/>
    <mergeCell ref="A71:B74"/>
    <mergeCell ref="C71:D74"/>
    <mergeCell ref="E71:E74"/>
    <mergeCell ref="F71:F74"/>
    <mergeCell ref="G71:G74"/>
    <mergeCell ref="H71:J74"/>
    <mergeCell ref="M71:Q80"/>
    <mergeCell ref="L65:N65"/>
    <mergeCell ref="O65:P65"/>
    <mergeCell ref="C66:K66"/>
    <mergeCell ref="L66:N66"/>
    <mergeCell ref="O66:P66"/>
    <mergeCell ref="B67:G67"/>
    <mergeCell ref="O62:P62"/>
    <mergeCell ref="Q62:R62"/>
    <mergeCell ref="C63:K63"/>
    <mergeCell ref="L63:N63"/>
    <mergeCell ref="O63:P63"/>
    <mergeCell ref="Q63:R66"/>
    <mergeCell ref="C64:K64"/>
    <mergeCell ref="L64:N64"/>
    <mergeCell ref="O64:P64"/>
    <mergeCell ref="C65:K65"/>
    <mergeCell ref="A57:G57"/>
    <mergeCell ref="C58:G58"/>
    <mergeCell ref="C59:G59"/>
    <mergeCell ref="C60:G60"/>
    <mergeCell ref="B61:D61"/>
    <mergeCell ref="B62:B66"/>
    <mergeCell ref="F62:J62"/>
    <mergeCell ref="C51:G51"/>
    <mergeCell ref="C52:G52"/>
    <mergeCell ref="C53:G53"/>
    <mergeCell ref="C54:G54"/>
    <mergeCell ref="C55:G55"/>
    <mergeCell ref="C56:G56"/>
    <mergeCell ref="C48:G48"/>
    <mergeCell ref="N48:O48"/>
    <mergeCell ref="C49:G49"/>
    <mergeCell ref="N49:O49"/>
    <mergeCell ref="C50:G50"/>
    <mergeCell ref="N50:O50"/>
    <mergeCell ref="C45:G45"/>
    <mergeCell ref="N45:O45"/>
    <mergeCell ref="C46:G46"/>
    <mergeCell ref="N46:O46"/>
    <mergeCell ref="C47:G47"/>
    <mergeCell ref="N47:O47"/>
    <mergeCell ref="R17:R18"/>
    <mergeCell ref="I42:Q42"/>
    <mergeCell ref="A43:G43"/>
    <mergeCell ref="H43:K43"/>
    <mergeCell ref="L43:L44"/>
    <mergeCell ref="C44:G44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4" r:id="rId1" xr:uid="{E89FD314-1BF9-4BCF-853A-485FB3444E86}"/>
  </hyperlinks>
  <pageMargins left="0.7" right="0.7" top="0.75" bottom="0.75" header="0.3" footer="0.3"/>
  <pageSetup scale="14" fitToHeight="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E405B-9DAC-489D-A646-653408B70D9C}">
  <sheetPr>
    <pageSetUpPr fitToPage="1"/>
  </sheetPr>
  <dimension ref="A1:R80"/>
  <sheetViews>
    <sheetView topLeftCell="H5" zoomScale="30" zoomScaleNormal="30" workbookViewId="0">
      <selection activeCell="A19" sqref="A19:O40"/>
    </sheetView>
  </sheetViews>
  <sheetFormatPr defaultRowHeight="31.5" customHeight="1" x14ac:dyDescent="0.55000000000000004"/>
  <cols>
    <col min="1" max="1" width="15.5703125" style="227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27" bestFit="1" customWidth="1"/>
    <col min="6" max="6" width="42" style="227" customWidth="1"/>
    <col min="7" max="7" width="255.7109375" style="4" bestFit="1" customWidth="1"/>
    <col min="8" max="8" width="33" style="227" customWidth="1"/>
    <col min="9" max="9" width="62.42578125" style="227" customWidth="1"/>
    <col min="10" max="10" width="45.140625" style="227" customWidth="1"/>
    <col min="11" max="13" width="35.28515625" style="227" bestFit="1" customWidth="1"/>
    <col min="14" max="14" width="40.7109375" style="227" bestFit="1" customWidth="1"/>
    <col min="15" max="15" width="36.85546875" style="227" bestFit="1" customWidth="1"/>
    <col min="16" max="17" width="36.85546875" style="228" customWidth="1"/>
    <col min="18" max="18" width="36.85546875" style="229" customWidth="1"/>
    <col min="19" max="16384" width="9.140625" style="4"/>
  </cols>
  <sheetData>
    <row r="1" spans="1:18" ht="31.5" customHeight="1" x14ac:dyDescent="0.25">
      <c r="A1" s="1" t="s">
        <v>147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183</v>
      </c>
      <c r="C5" s="16" t="s">
        <v>2</v>
      </c>
      <c r="D5" s="17" t="s">
        <v>184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37" customFormat="1" ht="39" x14ac:dyDescent="0.6">
      <c r="A7" s="230" t="s">
        <v>4</v>
      </c>
      <c r="B7" s="231"/>
      <c r="C7" s="232" t="s">
        <v>5</v>
      </c>
      <c r="D7" s="233" t="s">
        <v>6</v>
      </c>
      <c r="E7" s="232" t="s">
        <v>7</v>
      </c>
      <c r="F7" s="233" t="s">
        <v>8</v>
      </c>
      <c r="G7" s="234" t="s">
        <v>9</v>
      </c>
      <c r="H7" s="233" t="s">
        <v>10</v>
      </c>
      <c r="I7" s="235" t="s">
        <v>11</v>
      </c>
      <c r="J7" s="236"/>
      <c r="K7" s="21"/>
      <c r="L7" s="22"/>
      <c r="M7" s="22"/>
      <c r="N7" s="22"/>
      <c r="O7" s="22"/>
      <c r="P7" s="22"/>
      <c r="Q7" s="22"/>
      <c r="R7" s="23"/>
    </row>
    <row r="8" spans="1:18" s="237" customFormat="1" ht="39.75" x14ac:dyDescent="0.6">
      <c r="A8" s="238" t="s">
        <v>12</v>
      </c>
      <c r="B8" s="239"/>
      <c r="C8" s="240" t="s">
        <v>13</v>
      </c>
      <c r="D8" s="241" t="s">
        <v>14</v>
      </c>
      <c r="E8" s="242"/>
      <c r="F8" s="241" t="s">
        <v>15</v>
      </c>
      <c r="G8" s="243"/>
      <c r="H8" s="241" t="s">
        <v>16</v>
      </c>
      <c r="I8" s="244" t="s">
        <v>17</v>
      </c>
      <c r="J8" s="245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18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37" customFormat="1" ht="39" x14ac:dyDescent="0.6">
      <c r="A10" s="230" t="s">
        <v>4</v>
      </c>
      <c r="B10" s="231"/>
      <c r="C10" s="232" t="s">
        <v>19</v>
      </c>
      <c r="D10" s="233" t="s">
        <v>6</v>
      </c>
      <c r="E10" s="232" t="s">
        <v>20</v>
      </c>
      <c r="F10" s="233" t="s">
        <v>8</v>
      </c>
      <c r="G10" s="234" t="s">
        <v>21</v>
      </c>
      <c r="H10" s="233" t="s">
        <v>10</v>
      </c>
      <c r="I10" s="235" t="s">
        <v>22</v>
      </c>
      <c r="J10" s="236"/>
      <c r="K10" s="21"/>
      <c r="L10" s="22"/>
      <c r="M10" s="22"/>
      <c r="N10" s="22"/>
      <c r="O10" s="22"/>
      <c r="P10" s="22"/>
      <c r="Q10" s="22"/>
      <c r="R10" s="23"/>
    </row>
    <row r="11" spans="1:18" s="237" customFormat="1" ht="39.75" x14ac:dyDescent="0.6">
      <c r="A11" s="238" t="s">
        <v>12</v>
      </c>
      <c r="B11" s="239"/>
      <c r="C11" s="240">
        <v>60737</v>
      </c>
      <c r="D11" s="241" t="s">
        <v>14</v>
      </c>
      <c r="E11" s="246" t="s">
        <v>23</v>
      </c>
      <c r="F11" s="241" t="s">
        <v>15</v>
      </c>
      <c r="G11" s="243"/>
      <c r="H11" s="241" t="s">
        <v>16</v>
      </c>
      <c r="I11" s="244" t="s">
        <v>17</v>
      </c>
      <c r="J11" s="245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24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237" customFormat="1" ht="39" x14ac:dyDescent="0.6">
      <c r="A13" s="230" t="s">
        <v>4</v>
      </c>
      <c r="B13" s="231"/>
      <c r="C13" s="232" t="s">
        <v>25</v>
      </c>
      <c r="D13" s="233" t="s">
        <v>6</v>
      </c>
      <c r="E13" s="232" t="s">
        <v>26</v>
      </c>
      <c r="F13" s="233" t="s">
        <v>8</v>
      </c>
      <c r="G13" s="234" t="s">
        <v>27</v>
      </c>
      <c r="H13" s="233" t="s">
        <v>10</v>
      </c>
      <c r="I13" s="235" t="s">
        <v>28</v>
      </c>
      <c r="J13" s="236"/>
      <c r="K13" s="21"/>
      <c r="L13" s="22"/>
      <c r="M13" s="22"/>
      <c r="N13" s="22"/>
      <c r="O13" s="22"/>
      <c r="P13" s="22"/>
      <c r="Q13" s="22"/>
      <c r="R13" s="23"/>
    </row>
    <row r="14" spans="1:18" s="237" customFormat="1" ht="39.75" x14ac:dyDescent="0.6">
      <c r="A14" s="238" t="s">
        <v>12</v>
      </c>
      <c r="B14" s="239"/>
      <c r="C14" s="240">
        <v>60694</v>
      </c>
      <c r="D14" s="241" t="s">
        <v>14</v>
      </c>
      <c r="E14" s="242" t="s">
        <v>29</v>
      </c>
      <c r="F14" s="241" t="s">
        <v>15</v>
      </c>
      <c r="G14" s="243"/>
      <c r="H14" s="241" t="s">
        <v>16</v>
      </c>
      <c r="I14" s="244" t="s">
        <v>17</v>
      </c>
      <c r="J14" s="245"/>
      <c r="K14" s="21"/>
      <c r="L14" s="22"/>
      <c r="M14" s="22"/>
      <c r="N14" s="22"/>
      <c r="O14" s="22"/>
      <c r="P14" s="22"/>
      <c r="Q14" s="22"/>
      <c r="R14" s="23"/>
    </row>
    <row r="15" spans="1:18" s="39" customFormat="1" ht="20.25" customHeight="1" thickBot="1" x14ac:dyDescent="0.75">
      <c r="A15" s="33"/>
      <c r="B15" s="34"/>
      <c r="C15" s="34"/>
      <c r="D15" s="34"/>
      <c r="E15" s="34"/>
      <c r="F15" s="34"/>
      <c r="G15" s="34"/>
      <c r="H15" s="34"/>
      <c r="I15" s="34"/>
      <c r="J15" s="35"/>
      <c r="K15" s="36"/>
      <c r="L15" s="37"/>
      <c r="M15" s="37"/>
      <c r="N15" s="37"/>
      <c r="O15" s="37"/>
      <c r="P15" s="37"/>
      <c r="Q15" s="37"/>
      <c r="R15" s="38"/>
    </row>
    <row r="16" spans="1:18" s="39" customFormat="1" ht="47.25" x14ac:dyDescent="0.7">
      <c r="A16" s="40" t="s">
        <v>30</v>
      </c>
      <c r="B16" s="41"/>
      <c r="C16" s="41"/>
      <c r="D16" s="41"/>
      <c r="E16" s="41"/>
      <c r="F16" s="41"/>
      <c r="G16" s="41"/>
      <c r="H16" s="41"/>
      <c r="I16" s="41"/>
      <c r="J16" s="42"/>
      <c r="K16" s="43"/>
      <c r="L16" s="44"/>
      <c r="M16" s="44"/>
      <c r="N16" s="44"/>
      <c r="O16" s="44"/>
      <c r="P16" s="45"/>
      <c r="Q16" s="45"/>
      <c r="R16" s="46"/>
    </row>
    <row r="17" spans="1:18" s="57" customFormat="1" ht="31.5" customHeight="1" x14ac:dyDescent="0.25">
      <c r="A17" s="47" t="s">
        <v>31</v>
      </c>
      <c r="B17" s="48" t="s">
        <v>32</v>
      </c>
      <c r="C17" s="49" t="s">
        <v>33</v>
      </c>
      <c r="D17" s="49" t="s">
        <v>34</v>
      </c>
      <c r="E17" s="49" t="s">
        <v>33</v>
      </c>
      <c r="F17" s="50" t="s">
        <v>35</v>
      </c>
      <c r="G17" s="50" t="s">
        <v>36</v>
      </c>
      <c r="H17" s="51" t="s">
        <v>37</v>
      </c>
      <c r="I17" s="50" t="s">
        <v>38</v>
      </c>
      <c r="J17" s="52" t="s">
        <v>39</v>
      </c>
      <c r="K17" s="53"/>
      <c r="L17" s="53"/>
      <c r="M17" s="53"/>
      <c r="N17" s="53"/>
      <c r="O17" s="54"/>
      <c r="P17" s="55" t="s">
        <v>150</v>
      </c>
      <c r="Q17" s="55" t="s">
        <v>151</v>
      </c>
      <c r="R17" s="56" t="s">
        <v>152</v>
      </c>
    </row>
    <row r="18" spans="1:18" s="57" customFormat="1" ht="36" x14ac:dyDescent="0.25">
      <c r="A18" s="58"/>
      <c r="B18" s="48"/>
      <c r="C18" s="48"/>
      <c r="D18" s="48"/>
      <c r="E18" s="48"/>
      <c r="F18" s="59"/>
      <c r="G18" s="59"/>
      <c r="H18" s="60"/>
      <c r="I18" s="59"/>
      <c r="J18" s="61" t="s">
        <v>153</v>
      </c>
      <c r="K18" s="62" t="s">
        <v>154</v>
      </c>
      <c r="L18" s="62" t="s">
        <v>155</v>
      </c>
      <c r="M18" s="61" t="s">
        <v>156</v>
      </c>
      <c r="N18" s="61" t="s">
        <v>157</v>
      </c>
      <c r="O18" s="61" t="s">
        <v>158</v>
      </c>
      <c r="P18" s="63"/>
      <c r="Q18" s="63"/>
      <c r="R18" s="64"/>
    </row>
    <row r="19" spans="1:18" s="75" customFormat="1" ht="147" customHeight="1" x14ac:dyDescent="0.25">
      <c r="A19" s="247">
        <v>1</v>
      </c>
      <c r="B19" s="248" t="s">
        <v>46</v>
      </c>
      <c r="C19" s="249">
        <f>0.3 *1.69794730299263</f>
        <v>0.50938419089778897</v>
      </c>
      <c r="D19" s="65" t="s">
        <v>47</v>
      </c>
      <c r="E19" s="66">
        <f>C19/5</f>
        <v>0.1018768381795578</v>
      </c>
      <c r="F19" s="66">
        <f t="shared" ref="F19:F40" si="0">E19/$E$41 * 100</f>
        <v>0.33958946059852591</v>
      </c>
      <c r="G19" s="67" t="s">
        <v>48</v>
      </c>
      <c r="H19" s="68">
        <v>1</v>
      </c>
      <c r="I19" s="69" t="s">
        <v>49</v>
      </c>
      <c r="J19" s="70">
        <v>100</v>
      </c>
      <c r="K19" s="71">
        <v>95</v>
      </c>
      <c r="L19" s="71">
        <v>90</v>
      </c>
      <c r="M19" s="71">
        <v>85</v>
      </c>
      <c r="N19" s="71">
        <v>80</v>
      </c>
      <c r="O19" s="71" t="s">
        <v>50</v>
      </c>
      <c r="P19" s="72"/>
      <c r="Q19" s="73">
        <f t="shared" ref="Q19:Q40" si="1">IF(OR(TRIM(P19)="",P19=0),0,
IF(P19&lt;N19,50,
IF(P19&lt;M19,60,
IF(P19&lt;L19,70,
IF(P19&lt;K19,80,
IF(ISNUMBER(J19),
    IF(P19&lt;J19,IF(P19&gt;=K19,90,80),100),
    IF(P19=K19,90,100)
))))))</f>
        <v>0</v>
      </c>
      <c r="R19" s="74">
        <f t="shared" ref="R19:R40" si="2">F19*Q19/100</f>
        <v>0</v>
      </c>
    </row>
    <row r="20" spans="1:18" s="75" customFormat="1" ht="147" customHeight="1" x14ac:dyDescent="0.25">
      <c r="A20" s="250"/>
      <c r="B20" s="251"/>
      <c r="C20" s="252"/>
      <c r="D20" s="65" t="s">
        <v>51</v>
      </c>
      <c r="E20" s="66">
        <f>C19/5</f>
        <v>0.1018768381795578</v>
      </c>
      <c r="F20" s="66">
        <f t="shared" si="0"/>
        <v>0.33958946059852591</v>
      </c>
      <c r="G20" s="67" t="s">
        <v>52</v>
      </c>
      <c r="H20" s="68">
        <v>1</v>
      </c>
      <c r="I20" s="69" t="s">
        <v>49</v>
      </c>
      <c r="J20" s="70">
        <v>100</v>
      </c>
      <c r="K20" s="71">
        <v>95</v>
      </c>
      <c r="L20" s="71">
        <v>90</v>
      </c>
      <c r="M20" s="71">
        <v>85</v>
      </c>
      <c r="N20" s="71">
        <v>80</v>
      </c>
      <c r="O20" s="71" t="s">
        <v>50</v>
      </c>
      <c r="P20" s="72"/>
      <c r="Q20" s="73">
        <f t="shared" si="1"/>
        <v>0</v>
      </c>
      <c r="R20" s="74">
        <f t="shared" si="2"/>
        <v>0</v>
      </c>
    </row>
    <row r="21" spans="1:18" s="75" customFormat="1" ht="147" customHeight="1" x14ac:dyDescent="0.25">
      <c r="A21" s="250"/>
      <c r="B21" s="251"/>
      <c r="C21" s="252"/>
      <c r="D21" s="65" t="s">
        <v>53</v>
      </c>
      <c r="E21" s="66">
        <f>C19/5</f>
        <v>0.1018768381795578</v>
      </c>
      <c r="F21" s="66">
        <f t="shared" si="0"/>
        <v>0.33958946059852591</v>
      </c>
      <c r="G21" s="67" t="s">
        <v>54</v>
      </c>
      <c r="H21" s="68">
        <v>1</v>
      </c>
      <c r="I21" s="69" t="s">
        <v>49</v>
      </c>
      <c r="J21" s="70">
        <v>100</v>
      </c>
      <c r="K21" s="71">
        <v>95</v>
      </c>
      <c r="L21" s="71">
        <v>90</v>
      </c>
      <c r="M21" s="71">
        <v>85</v>
      </c>
      <c r="N21" s="71">
        <v>80</v>
      </c>
      <c r="O21" s="71" t="s">
        <v>50</v>
      </c>
      <c r="P21" s="72"/>
      <c r="Q21" s="73">
        <f t="shared" si="1"/>
        <v>0</v>
      </c>
      <c r="R21" s="74">
        <f t="shared" si="2"/>
        <v>0</v>
      </c>
    </row>
    <row r="22" spans="1:18" s="75" customFormat="1" ht="147" customHeight="1" x14ac:dyDescent="0.25">
      <c r="A22" s="250"/>
      <c r="B22" s="251"/>
      <c r="C22" s="252"/>
      <c r="D22" s="65" t="s">
        <v>55</v>
      </c>
      <c r="E22" s="66">
        <f>C19/5</f>
        <v>0.1018768381795578</v>
      </c>
      <c r="F22" s="66">
        <f t="shared" si="0"/>
        <v>0.33958946059852591</v>
      </c>
      <c r="G22" s="67" t="s">
        <v>56</v>
      </c>
      <c r="H22" s="76">
        <v>5</v>
      </c>
      <c r="I22" s="69" t="s">
        <v>57</v>
      </c>
      <c r="J22" s="70" t="s">
        <v>58</v>
      </c>
      <c r="K22" s="71">
        <v>5</v>
      </c>
      <c r="L22" s="71">
        <v>4</v>
      </c>
      <c r="M22" s="71">
        <v>3</v>
      </c>
      <c r="N22" s="71">
        <v>2</v>
      </c>
      <c r="O22" s="71">
        <v>1</v>
      </c>
      <c r="P22" s="72"/>
      <c r="Q22" s="73">
        <f t="shared" si="1"/>
        <v>0</v>
      </c>
      <c r="R22" s="74">
        <f t="shared" si="2"/>
        <v>0</v>
      </c>
    </row>
    <row r="23" spans="1:18" s="75" customFormat="1" ht="147" customHeight="1" x14ac:dyDescent="0.25">
      <c r="A23" s="253"/>
      <c r="B23" s="254"/>
      <c r="C23" s="255"/>
      <c r="D23" s="65" t="s">
        <v>59</v>
      </c>
      <c r="E23" s="66">
        <f>C19/5</f>
        <v>0.1018768381795578</v>
      </c>
      <c r="F23" s="66">
        <f t="shared" si="0"/>
        <v>0.33958946059852591</v>
      </c>
      <c r="G23" s="67" t="s">
        <v>60</v>
      </c>
      <c r="H23" s="68">
        <v>1</v>
      </c>
      <c r="I23" s="69" t="s">
        <v>49</v>
      </c>
      <c r="J23" s="70">
        <v>100</v>
      </c>
      <c r="K23" s="71">
        <v>95</v>
      </c>
      <c r="L23" s="71">
        <v>90</v>
      </c>
      <c r="M23" s="71">
        <v>85</v>
      </c>
      <c r="N23" s="71">
        <v>80</v>
      </c>
      <c r="O23" s="71" t="s">
        <v>50</v>
      </c>
      <c r="P23" s="72"/>
      <c r="Q23" s="73">
        <f t="shared" si="1"/>
        <v>0</v>
      </c>
      <c r="R23" s="74">
        <f t="shared" si="2"/>
        <v>0</v>
      </c>
    </row>
    <row r="24" spans="1:18" s="75" customFormat="1" ht="147" customHeight="1" x14ac:dyDescent="0.25">
      <c r="A24" s="76">
        <v>2</v>
      </c>
      <c r="B24" s="65" t="s">
        <v>61</v>
      </c>
      <c r="C24" s="256">
        <f>0.3 *1.01876838179558</f>
        <v>0.30563051453867396</v>
      </c>
      <c r="D24" s="65" t="s">
        <v>62</v>
      </c>
      <c r="E24" s="66">
        <f>C24</f>
        <v>0.30563051453867396</v>
      </c>
      <c r="F24" s="66">
        <f t="shared" si="0"/>
        <v>1.0187683817955797</v>
      </c>
      <c r="G24" s="67" t="s">
        <v>63</v>
      </c>
      <c r="H24" s="68">
        <v>0.5</v>
      </c>
      <c r="I24" s="69" t="s">
        <v>49</v>
      </c>
      <c r="J24" s="70" t="s">
        <v>64</v>
      </c>
      <c r="K24" s="71">
        <v>50</v>
      </c>
      <c r="L24" s="71">
        <v>45</v>
      </c>
      <c r="M24" s="71">
        <v>40</v>
      </c>
      <c r="N24" s="71">
        <v>25</v>
      </c>
      <c r="O24" s="71" t="s">
        <v>65</v>
      </c>
      <c r="P24" s="72"/>
      <c r="Q24" s="73">
        <f t="shared" si="1"/>
        <v>0</v>
      </c>
      <c r="R24" s="74">
        <f t="shared" si="2"/>
        <v>0</v>
      </c>
    </row>
    <row r="25" spans="1:18" s="75" customFormat="1" ht="147" customHeight="1" x14ac:dyDescent="0.25">
      <c r="A25" s="247">
        <v>3</v>
      </c>
      <c r="B25" s="248" t="s">
        <v>66</v>
      </c>
      <c r="C25" s="249">
        <f>0.3 *90.5976168096783</f>
        <v>27.179285042903491</v>
      </c>
      <c r="D25" s="65" t="s">
        <v>67</v>
      </c>
      <c r="E25" s="66">
        <f>C25/10</f>
        <v>2.7179285042903492</v>
      </c>
      <c r="F25" s="66">
        <f t="shared" si="0"/>
        <v>9.0597616809678296</v>
      </c>
      <c r="G25" s="65" t="s">
        <v>68</v>
      </c>
      <c r="H25" s="77">
        <v>0.8</v>
      </c>
      <c r="I25" s="76" t="s">
        <v>49</v>
      </c>
      <c r="J25" s="70" t="s">
        <v>69</v>
      </c>
      <c r="K25" s="71">
        <v>80</v>
      </c>
      <c r="L25" s="71">
        <v>75</v>
      </c>
      <c r="M25" s="71">
        <v>70</v>
      </c>
      <c r="N25" s="71">
        <v>50</v>
      </c>
      <c r="O25" s="71" t="s">
        <v>70</v>
      </c>
      <c r="P25" s="72"/>
      <c r="Q25" s="73">
        <f t="shared" si="1"/>
        <v>0</v>
      </c>
      <c r="R25" s="74">
        <f t="shared" si="2"/>
        <v>0</v>
      </c>
    </row>
    <row r="26" spans="1:18" s="75" customFormat="1" ht="147" customHeight="1" x14ac:dyDescent="0.25">
      <c r="A26" s="250"/>
      <c r="B26" s="251"/>
      <c r="C26" s="252"/>
      <c r="D26" s="65" t="s">
        <v>71</v>
      </c>
      <c r="E26" s="66">
        <f>C25/10</f>
        <v>2.7179285042903492</v>
      </c>
      <c r="F26" s="66">
        <f t="shared" si="0"/>
        <v>9.0597616809678296</v>
      </c>
      <c r="G26" s="65" t="s">
        <v>72</v>
      </c>
      <c r="H26" s="77">
        <v>1</v>
      </c>
      <c r="I26" s="69" t="s">
        <v>49</v>
      </c>
      <c r="J26" s="70">
        <v>100</v>
      </c>
      <c r="K26" s="71">
        <v>95</v>
      </c>
      <c r="L26" s="71">
        <v>90</v>
      </c>
      <c r="M26" s="71">
        <v>85</v>
      </c>
      <c r="N26" s="71">
        <v>80</v>
      </c>
      <c r="O26" s="71" t="s">
        <v>50</v>
      </c>
      <c r="P26" s="72"/>
      <c r="Q26" s="73">
        <f t="shared" si="1"/>
        <v>0</v>
      </c>
      <c r="R26" s="74">
        <f t="shared" si="2"/>
        <v>0</v>
      </c>
    </row>
    <row r="27" spans="1:18" s="75" customFormat="1" ht="147" customHeight="1" x14ac:dyDescent="0.25">
      <c r="A27" s="250"/>
      <c r="B27" s="251"/>
      <c r="C27" s="252"/>
      <c r="D27" s="65" t="s">
        <v>73</v>
      </c>
      <c r="E27" s="66">
        <f>C25/10</f>
        <v>2.7179285042903492</v>
      </c>
      <c r="F27" s="66">
        <f t="shared" si="0"/>
        <v>9.0597616809678296</v>
      </c>
      <c r="G27" s="65" t="s">
        <v>74</v>
      </c>
      <c r="H27" s="77">
        <v>0.9</v>
      </c>
      <c r="I27" s="76" t="s">
        <v>49</v>
      </c>
      <c r="J27" s="70" t="s">
        <v>75</v>
      </c>
      <c r="K27" s="71">
        <v>90</v>
      </c>
      <c r="L27" s="71">
        <v>80</v>
      </c>
      <c r="M27" s="71">
        <v>70</v>
      </c>
      <c r="N27" s="71">
        <v>50</v>
      </c>
      <c r="O27" s="71" t="s">
        <v>70</v>
      </c>
      <c r="P27" s="72"/>
      <c r="Q27" s="73">
        <f t="shared" si="1"/>
        <v>0</v>
      </c>
      <c r="R27" s="74">
        <f t="shared" si="2"/>
        <v>0</v>
      </c>
    </row>
    <row r="28" spans="1:18" s="75" customFormat="1" ht="147" customHeight="1" x14ac:dyDescent="0.25">
      <c r="A28" s="250"/>
      <c r="B28" s="251"/>
      <c r="C28" s="252"/>
      <c r="D28" s="65" t="s">
        <v>76</v>
      </c>
      <c r="E28" s="66">
        <f>C25/10</f>
        <v>2.7179285042903492</v>
      </c>
      <c r="F28" s="66">
        <f t="shared" si="0"/>
        <v>9.0597616809678296</v>
      </c>
      <c r="G28" s="65" t="s">
        <v>77</v>
      </c>
      <c r="H28" s="77">
        <v>0.8</v>
      </c>
      <c r="I28" s="76" t="s">
        <v>49</v>
      </c>
      <c r="J28" s="70" t="s">
        <v>69</v>
      </c>
      <c r="K28" s="71">
        <v>80</v>
      </c>
      <c r="L28" s="71">
        <v>75</v>
      </c>
      <c r="M28" s="71">
        <v>70</v>
      </c>
      <c r="N28" s="71">
        <v>50</v>
      </c>
      <c r="O28" s="71" t="s">
        <v>70</v>
      </c>
      <c r="P28" s="72"/>
      <c r="Q28" s="73">
        <f t="shared" si="1"/>
        <v>0</v>
      </c>
      <c r="R28" s="74">
        <f t="shared" si="2"/>
        <v>0</v>
      </c>
    </row>
    <row r="29" spans="1:18" s="75" customFormat="1" ht="147" customHeight="1" x14ac:dyDescent="0.25">
      <c r="A29" s="250"/>
      <c r="B29" s="251"/>
      <c r="C29" s="252"/>
      <c r="D29" s="65" t="s">
        <v>78</v>
      </c>
      <c r="E29" s="66">
        <f>C25/10</f>
        <v>2.7179285042903492</v>
      </c>
      <c r="F29" s="66">
        <f t="shared" si="0"/>
        <v>9.0597616809678296</v>
      </c>
      <c r="G29" s="65" t="s">
        <v>79</v>
      </c>
      <c r="H29" s="77">
        <v>0.9</v>
      </c>
      <c r="I29" s="76" t="s">
        <v>49</v>
      </c>
      <c r="J29" s="70" t="s">
        <v>75</v>
      </c>
      <c r="K29" s="71">
        <v>90</v>
      </c>
      <c r="L29" s="71">
        <v>80</v>
      </c>
      <c r="M29" s="71">
        <v>70</v>
      </c>
      <c r="N29" s="71">
        <v>50</v>
      </c>
      <c r="O29" s="71" t="s">
        <v>70</v>
      </c>
      <c r="P29" s="72"/>
      <c r="Q29" s="73">
        <f t="shared" si="1"/>
        <v>0</v>
      </c>
      <c r="R29" s="74">
        <f t="shared" si="2"/>
        <v>0</v>
      </c>
    </row>
    <row r="30" spans="1:18" s="75" customFormat="1" ht="147" customHeight="1" x14ac:dyDescent="0.25">
      <c r="A30" s="250"/>
      <c r="B30" s="251"/>
      <c r="C30" s="252"/>
      <c r="D30" s="65" t="s">
        <v>80</v>
      </c>
      <c r="E30" s="66">
        <f>C25/10</f>
        <v>2.7179285042903492</v>
      </c>
      <c r="F30" s="66">
        <f t="shared" si="0"/>
        <v>9.0597616809678296</v>
      </c>
      <c r="G30" s="65" t="s">
        <v>81</v>
      </c>
      <c r="H30" s="77">
        <v>0.8</v>
      </c>
      <c r="I30" s="76" t="s">
        <v>49</v>
      </c>
      <c r="J30" s="70" t="s">
        <v>69</v>
      </c>
      <c r="K30" s="71">
        <v>80</v>
      </c>
      <c r="L30" s="71">
        <v>75</v>
      </c>
      <c r="M30" s="71">
        <v>70</v>
      </c>
      <c r="N30" s="71">
        <v>50</v>
      </c>
      <c r="O30" s="71" t="s">
        <v>70</v>
      </c>
      <c r="P30" s="72"/>
      <c r="Q30" s="73">
        <f t="shared" si="1"/>
        <v>0</v>
      </c>
      <c r="R30" s="74">
        <f t="shared" si="2"/>
        <v>0</v>
      </c>
    </row>
    <row r="31" spans="1:18" s="75" customFormat="1" ht="147" customHeight="1" x14ac:dyDescent="0.25">
      <c r="A31" s="250"/>
      <c r="B31" s="251"/>
      <c r="C31" s="252"/>
      <c r="D31" s="65" t="s">
        <v>82</v>
      </c>
      <c r="E31" s="66">
        <f>C25/10</f>
        <v>2.7179285042903492</v>
      </c>
      <c r="F31" s="66">
        <f t="shared" si="0"/>
        <v>9.0597616809678296</v>
      </c>
      <c r="G31" s="65" t="s">
        <v>83</v>
      </c>
      <c r="H31" s="77">
        <v>0.9</v>
      </c>
      <c r="I31" s="76" t="s">
        <v>49</v>
      </c>
      <c r="J31" s="70" t="s">
        <v>75</v>
      </c>
      <c r="K31" s="71">
        <v>90</v>
      </c>
      <c r="L31" s="71">
        <v>80</v>
      </c>
      <c r="M31" s="71">
        <v>70</v>
      </c>
      <c r="N31" s="71">
        <v>50</v>
      </c>
      <c r="O31" s="71" t="s">
        <v>70</v>
      </c>
      <c r="P31" s="72"/>
      <c r="Q31" s="73">
        <f t="shared" si="1"/>
        <v>0</v>
      </c>
      <c r="R31" s="74">
        <f t="shared" si="2"/>
        <v>0</v>
      </c>
    </row>
    <row r="32" spans="1:18" s="75" customFormat="1" ht="147" customHeight="1" x14ac:dyDescent="0.25">
      <c r="A32" s="250"/>
      <c r="B32" s="251"/>
      <c r="C32" s="252"/>
      <c r="D32" s="65" t="s">
        <v>84</v>
      </c>
      <c r="E32" s="66">
        <f>C25/10</f>
        <v>2.7179285042903492</v>
      </c>
      <c r="F32" s="66">
        <f t="shared" si="0"/>
        <v>9.0597616809678296</v>
      </c>
      <c r="G32" s="65" t="s">
        <v>85</v>
      </c>
      <c r="H32" s="77">
        <v>0.8</v>
      </c>
      <c r="I32" s="76" t="s">
        <v>49</v>
      </c>
      <c r="J32" s="70" t="s">
        <v>69</v>
      </c>
      <c r="K32" s="71">
        <v>80</v>
      </c>
      <c r="L32" s="71">
        <v>75</v>
      </c>
      <c r="M32" s="71">
        <v>70</v>
      </c>
      <c r="N32" s="71">
        <v>50</v>
      </c>
      <c r="O32" s="71" t="s">
        <v>70</v>
      </c>
      <c r="P32" s="72"/>
      <c r="Q32" s="73">
        <f t="shared" si="1"/>
        <v>0</v>
      </c>
      <c r="R32" s="74">
        <f t="shared" si="2"/>
        <v>0</v>
      </c>
    </row>
    <row r="33" spans="1:18" s="75" customFormat="1" ht="147" customHeight="1" x14ac:dyDescent="0.25">
      <c r="A33" s="250"/>
      <c r="B33" s="251"/>
      <c r="C33" s="252"/>
      <c r="D33" s="65" t="s">
        <v>86</v>
      </c>
      <c r="E33" s="66">
        <f>C25/10</f>
        <v>2.7179285042903492</v>
      </c>
      <c r="F33" s="66">
        <f t="shared" si="0"/>
        <v>9.0597616809678296</v>
      </c>
      <c r="G33" s="65" t="s">
        <v>87</v>
      </c>
      <c r="H33" s="76">
        <v>80</v>
      </c>
      <c r="I33" s="76" t="s">
        <v>49</v>
      </c>
      <c r="J33" s="70" t="s">
        <v>69</v>
      </c>
      <c r="K33" s="71">
        <v>80</v>
      </c>
      <c r="L33" s="71">
        <v>75</v>
      </c>
      <c r="M33" s="71">
        <v>70</v>
      </c>
      <c r="N33" s="71">
        <v>50</v>
      </c>
      <c r="O33" s="71" t="s">
        <v>70</v>
      </c>
      <c r="P33" s="72"/>
      <c r="Q33" s="73">
        <f t="shared" si="1"/>
        <v>0</v>
      </c>
      <c r="R33" s="74">
        <f t="shared" si="2"/>
        <v>0</v>
      </c>
    </row>
    <row r="34" spans="1:18" s="75" customFormat="1" ht="147" customHeight="1" x14ac:dyDescent="0.25">
      <c r="A34" s="253"/>
      <c r="B34" s="254"/>
      <c r="C34" s="255"/>
      <c r="D34" s="65" t="s">
        <v>88</v>
      </c>
      <c r="E34" s="66">
        <f>C25/10</f>
        <v>2.7179285042903492</v>
      </c>
      <c r="F34" s="66">
        <f t="shared" si="0"/>
        <v>9.0597616809678296</v>
      </c>
      <c r="G34" s="65" t="s">
        <v>89</v>
      </c>
      <c r="H34" s="77">
        <v>0.8</v>
      </c>
      <c r="I34" s="76" t="s">
        <v>49</v>
      </c>
      <c r="J34" s="70" t="s">
        <v>69</v>
      </c>
      <c r="K34" s="71">
        <v>80</v>
      </c>
      <c r="L34" s="71">
        <v>75</v>
      </c>
      <c r="M34" s="71">
        <v>70</v>
      </c>
      <c r="N34" s="71">
        <v>50</v>
      </c>
      <c r="O34" s="71" t="s">
        <v>70</v>
      </c>
      <c r="P34" s="72"/>
      <c r="Q34" s="73">
        <f t="shared" si="1"/>
        <v>0</v>
      </c>
      <c r="R34" s="74">
        <f t="shared" si="2"/>
        <v>0</v>
      </c>
    </row>
    <row r="35" spans="1:18" s="75" customFormat="1" ht="147" customHeight="1" x14ac:dyDescent="0.25">
      <c r="A35" s="76">
        <v>4</v>
      </c>
      <c r="B35" s="65" t="s">
        <v>90</v>
      </c>
      <c r="C35" s="78">
        <f>0.3*1.5918255965556</f>
        <v>0.47754767896667999</v>
      </c>
      <c r="D35" s="65" t="s">
        <v>91</v>
      </c>
      <c r="E35" s="66">
        <f>C35</f>
        <v>0.47754767896667999</v>
      </c>
      <c r="F35" s="66">
        <f t="shared" si="0"/>
        <v>1.5918255965555996</v>
      </c>
      <c r="G35" s="67" t="s">
        <v>92</v>
      </c>
      <c r="H35" s="76">
        <v>5</v>
      </c>
      <c r="I35" s="69" t="s">
        <v>57</v>
      </c>
      <c r="J35" s="70" t="s">
        <v>58</v>
      </c>
      <c r="K35" s="71">
        <v>5</v>
      </c>
      <c r="L35" s="71">
        <v>4</v>
      </c>
      <c r="M35" s="71">
        <v>3</v>
      </c>
      <c r="N35" s="71">
        <v>2</v>
      </c>
      <c r="O35" s="71">
        <v>1</v>
      </c>
      <c r="P35" s="72"/>
      <c r="Q35" s="73">
        <f t="shared" si="1"/>
        <v>0</v>
      </c>
      <c r="R35" s="74">
        <f t="shared" si="2"/>
        <v>0</v>
      </c>
    </row>
    <row r="36" spans="1:18" s="75" customFormat="1" ht="147" customHeight="1" x14ac:dyDescent="0.25">
      <c r="A36" s="247">
        <v>5</v>
      </c>
      <c r="B36" s="248" t="s">
        <v>93</v>
      </c>
      <c r="C36" s="257">
        <f>0.3 *3.18365119311119</f>
        <v>0.95509535793335698</v>
      </c>
      <c r="D36" s="65" t="s">
        <v>94</v>
      </c>
      <c r="E36" s="66">
        <f>C36/2</f>
        <v>0.47754767896667849</v>
      </c>
      <c r="F36" s="66">
        <f t="shared" si="0"/>
        <v>1.5918255965555947</v>
      </c>
      <c r="G36" s="67" t="s">
        <v>95</v>
      </c>
      <c r="H36" s="77">
        <v>0.8</v>
      </c>
      <c r="I36" s="76" t="s">
        <v>49</v>
      </c>
      <c r="J36" s="70" t="s">
        <v>69</v>
      </c>
      <c r="K36" s="71">
        <v>80</v>
      </c>
      <c r="L36" s="71">
        <v>75</v>
      </c>
      <c r="M36" s="71">
        <v>70</v>
      </c>
      <c r="N36" s="71">
        <v>50</v>
      </c>
      <c r="O36" s="71" t="s">
        <v>70</v>
      </c>
      <c r="P36" s="72"/>
      <c r="Q36" s="73">
        <f t="shared" si="1"/>
        <v>0</v>
      </c>
      <c r="R36" s="74">
        <f t="shared" si="2"/>
        <v>0</v>
      </c>
    </row>
    <row r="37" spans="1:18" s="75" customFormat="1" ht="147" customHeight="1" x14ac:dyDescent="0.25">
      <c r="A37" s="253"/>
      <c r="B37" s="254"/>
      <c r="C37" s="258"/>
      <c r="D37" s="65" t="s">
        <v>96</v>
      </c>
      <c r="E37" s="66">
        <f>C36/2</f>
        <v>0.47754767896667849</v>
      </c>
      <c r="F37" s="66">
        <f t="shared" si="0"/>
        <v>1.5918255965555947</v>
      </c>
      <c r="G37" s="67" t="s">
        <v>97</v>
      </c>
      <c r="H37" s="77">
        <v>0.8</v>
      </c>
      <c r="I37" s="76" t="s">
        <v>49</v>
      </c>
      <c r="J37" s="70" t="s">
        <v>69</v>
      </c>
      <c r="K37" s="71">
        <v>80</v>
      </c>
      <c r="L37" s="71">
        <v>75</v>
      </c>
      <c r="M37" s="71">
        <v>70</v>
      </c>
      <c r="N37" s="71">
        <v>50</v>
      </c>
      <c r="O37" s="71" t="s">
        <v>70</v>
      </c>
      <c r="P37" s="72"/>
      <c r="Q37" s="73">
        <f t="shared" si="1"/>
        <v>0</v>
      </c>
      <c r="R37" s="74">
        <f t="shared" si="2"/>
        <v>0</v>
      </c>
    </row>
    <row r="38" spans="1:18" s="75" customFormat="1" ht="147" customHeight="1" x14ac:dyDescent="0.25">
      <c r="A38" s="259">
        <v>6</v>
      </c>
      <c r="B38" s="260" t="s">
        <v>98</v>
      </c>
      <c r="C38" s="261">
        <f>0.3 *1.0612170643704</f>
        <v>0.31836511931111999</v>
      </c>
      <c r="D38" s="65" t="s">
        <v>99</v>
      </c>
      <c r="E38" s="66">
        <f>C38</f>
        <v>0.31836511931111999</v>
      </c>
      <c r="F38" s="66">
        <f t="shared" si="0"/>
        <v>1.0612170643703998</v>
      </c>
      <c r="G38" s="67" t="s">
        <v>100</v>
      </c>
      <c r="H38" s="77">
        <v>0.8</v>
      </c>
      <c r="I38" s="76" t="s">
        <v>49</v>
      </c>
      <c r="J38" s="70" t="s">
        <v>69</v>
      </c>
      <c r="K38" s="71">
        <v>80</v>
      </c>
      <c r="L38" s="71">
        <v>75</v>
      </c>
      <c r="M38" s="71">
        <v>70</v>
      </c>
      <c r="N38" s="71">
        <v>50</v>
      </c>
      <c r="O38" s="71" t="s">
        <v>70</v>
      </c>
      <c r="P38" s="72"/>
      <c r="Q38" s="73">
        <f t="shared" si="1"/>
        <v>0</v>
      </c>
      <c r="R38" s="74">
        <f t="shared" si="2"/>
        <v>0</v>
      </c>
    </row>
    <row r="39" spans="1:18" s="75" customFormat="1" ht="147" customHeight="1" x14ac:dyDescent="0.25">
      <c r="A39" s="76">
        <v>7</v>
      </c>
      <c r="B39" s="65" t="s">
        <v>101</v>
      </c>
      <c r="C39" s="78">
        <f>0.3 *0.424486825748159</f>
        <v>0.12734604772444769</v>
      </c>
      <c r="D39" s="260" t="s">
        <v>102</v>
      </c>
      <c r="E39" s="66">
        <f>C39</f>
        <v>0.12734604772444769</v>
      </c>
      <c r="F39" s="66">
        <f t="shared" si="0"/>
        <v>0.42448682574815888</v>
      </c>
      <c r="G39" s="67" t="s">
        <v>103</v>
      </c>
      <c r="H39" s="68">
        <v>0.7</v>
      </c>
      <c r="I39" s="76" t="s">
        <v>49</v>
      </c>
      <c r="J39" s="70" t="s">
        <v>104</v>
      </c>
      <c r="K39" s="71">
        <v>70</v>
      </c>
      <c r="L39" s="71">
        <v>60</v>
      </c>
      <c r="M39" s="71">
        <v>50</v>
      </c>
      <c r="N39" s="71">
        <v>40</v>
      </c>
      <c r="O39" s="71" t="s">
        <v>105</v>
      </c>
      <c r="P39" s="72"/>
      <c r="Q39" s="73">
        <f t="shared" si="1"/>
        <v>0</v>
      </c>
      <c r="R39" s="74">
        <f t="shared" si="2"/>
        <v>0</v>
      </c>
    </row>
    <row r="40" spans="1:18" s="75" customFormat="1" ht="147" customHeight="1" x14ac:dyDescent="0.25">
      <c r="A40" s="76">
        <v>8</v>
      </c>
      <c r="B40" s="65" t="s">
        <v>106</v>
      </c>
      <c r="C40" s="78">
        <f>0.3 *0.424486825748159</f>
        <v>0.12734604772444769</v>
      </c>
      <c r="D40" s="67" t="s">
        <v>107</v>
      </c>
      <c r="E40" s="66">
        <f>C40</f>
        <v>0.12734604772444769</v>
      </c>
      <c r="F40" s="66">
        <f t="shared" si="0"/>
        <v>0.42448682574815888</v>
      </c>
      <c r="G40" s="67" t="s">
        <v>108</v>
      </c>
      <c r="H40" s="68">
        <v>0.5</v>
      </c>
      <c r="I40" s="69" t="s">
        <v>49</v>
      </c>
      <c r="J40" s="70" t="s">
        <v>64</v>
      </c>
      <c r="K40" s="71">
        <v>50</v>
      </c>
      <c r="L40" s="71">
        <v>45</v>
      </c>
      <c r="M40" s="71">
        <v>40</v>
      </c>
      <c r="N40" s="71">
        <v>25</v>
      </c>
      <c r="O40" s="71" t="s">
        <v>65</v>
      </c>
      <c r="P40" s="72">
        <v>0</v>
      </c>
      <c r="Q40" s="73">
        <f t="shared" si="1"/>
        <v>0</v>
      </c>
      <c r="R40" s="74">
        <f t="shared" si="2"/>
        <v>0</v>
      </c>
    </row>
    <row r="41" spans="1:18" s="89" customFormat="1" ht="44.25" x14ac:dyDescent="0.25">
      <c r="A41" s="79"/>
      <c r="B41" s="80" t="s">
        <v>109</v>
      </c>
      <c r="C41" s="81">
        <f>SUM(C19:C40)</f>
        <v>30.000000000000007</v>
      </c>
      <c r="D41" s="80"/>
      <c r="E41" s="81">
        <f>SUM(E19:E40)</f>
        <v>30.000000000000007</v>
      </c>
      <c r="F41" s="81">
        <f>SUM(F19:F40)</f>
        <v>100</v>
      </c>
      <c r="G41" s="82"/>
      <c r="H41" s="83"/>
      <c r="I41" s="84"/>
      <c r="J41" s="85"/>
      <c r="K41" s="85"/>
      <c r="L41" s="85"/>
      <c r="M41" s="85"/>
      <c r="N41" s="85"/>
      <c r="O41" s="85"/>
      <c r="P41" s="86"/>
      <c r="Q41" s="87"/>
      <c r="R41" s="88">
        <f>SUM(R19:R40)</f>
        <v>0</v>
      </c>
    </row>
    <row r="42" spans="1:18" s="91" customFormat="1" ht="66" customHeight="1" x14ac:dyDescent="0.7">
      <c r="A42" s="90"/>
      <c r="G42" s="92"/>
      <c r="H42" s="92"/>
      <c r="I42" s="93" t="s">
        <v>159</v>
      </c>
      <c r="J42" s="94"/>
      <c r="K42" s="94"/>
      <c r="L42" s="94"/>
      <c r="M42" s="94"/>
      <c r="N42" s="94"/>
      <c r="O42" s="94"/>
      <c r="P42" s="94"/>
      <c r="Q42" s="95"/>
      <c r="R42" s="96">
        <f>R41/100 * 70</f>
        <v>0</v>
      </c>
    </row>
    <row r="43" spans="1:18" s="105" customFormat="1" ht="36" x14ac:dyDescent="0.55000000000000004">
      <c r="A43" s="97" t="s">
        <v>110</v>
      </c>
      <c r="B43" s="98"/>
      <c r="C43" s="98"/>
      <c r="D43" s="98"/>
      <c r="E43" s="98"/>
      <c r="F43" s="98"/>
      <c r="G43" s="99"/>
      <c r="H43" s="100"/>
      <c r="I43" s="100"/>
      <c r="J43" s="100"/>
      <c r="K43" s="100"/>
      <c r="L43" s="55" t="s">
        <v>115</v>
      </c>
      <c r="M43" s="101" t="s">
        <v>111</v>
      </c>
      <c r="N43" s="101"/>
      <c r="O43" s="101"/>
      <c r="P43" s="102"/>
      <c r="Q43" s="103"/>
      <c r="R43" s="104"/>
    </row>
    <row r="44" spans="1:18" s="105" customFormat="1" ht="31.5" customHeight="1" x14ac:dyDescent="0.55000000000000004">
      <c r="A44" s="106"/>
      <c r="B44" s="107"/>
      <c r="C44" s="108" t="s">
        <v>112</v>
      </c>
      <c r="D44" s="108"/>
      <c r="E44" s="108"/>
      <c r="F44" s="108"/>
      <c r="G44" s="108"/>
      <c r="H44" s="109" t="s">
        <v>160</v>
      </c>
      <c r="I44" s="109" t="s">
        <v>161</v>
      </c>
      <c r="J44" s="109"/>
      <c r="K44" s="110"/>
      <c r="L44" s="63"/>
      <c r="M44" s="111"/>
      <c r="N44" s="111"/>
      <c r="O44" s="111"/>
      <c r="P44" s="112"/>
      <c r="Q44" s="103"/>
      <c r="R44" s="104"/>
    </row>
    <row r="45" spans="1:18" s="105" customFormat="1" ht="36" customHeight="1" x14ac:dyDescent="0.55000000000000004">
      <c r="A45" s="113">
        <v>1</v>
      </c>
      <c r="B45" s="114" t="s">
        <v>116</v>
      </c>
      <c r="C45" s="115"/>
      <c r="D45" s="116"/>
      <c r="E45" s="116"/>
      <c r="F45" s="116"/>
      <c r="G45" s="117"/>
      <c r="H45" s="118"/>
      <c r="I45" s="118"/>
      <c r="J45" s="118"/>
      <c r="K45" s="118"/>
      <c r="L45" s="119"/>
      <c r="M45" s="120" t="s">
        <v>40</v>
      </c>
      <c r="N45" s="121" t="s">
        <v>117</v>
      </c>
      <c r="O45" s="122"/>
      <c r="P45" s="112"/>
      <c r="Q45" s="103"/>
      <c r="R45" s="104"/>
    </row>
    <row r="46" spans="1:18" s="105" customFormat="1" ht="84.75" customHeight="1" x14ac:dyDescent="0.55000000000000004">
      <c r="A46" s="123" t="s">
        <v>118</v>
      </c>
      <c r="B46" s="124" t="s">
        <v>162</v>
      </c>
      <c r="C46" s="125"/>
      <c r="D46" s="126"/>
      <c r="E46" s="126"/>
      <c r="F46" s="126"/>
      <c r="G46" s="127"/>
      <c r="H46" s="128">
        <v>4</v>
      </c>
      <c r="I46" s="129"/>
      <c r="J46" s="128"/>
      <c r="K46" s="128"/>
      <c r="L46" s="119"/>
      <c r="M46" s="120" t="s">
        <v>41</v>
      </c>
      <c r="N46" s="121" t="s">
        <v>119</v>
      </c>
      <c r="O46" s="122"/>
      <c r="P46" s="112"/>
      <c r="Q46" s="103"/>
      <c r="R46" s="104"/>
    </row>
    <row r="47" spans="1:18" s="105" customFormat="1" ht="82.5" customHeight="1" x14ac:dyDescent="0.55000000000000004">
      <c r="A47" s="123" t="s">
        <v>120</v>
      </c>
      <c r="B47" s="124" t="s">
        <v>163</v>
      </c>
      <c r="C47" s="125"/>
      <c r="D47" s="126"/>
      <c r="E47" s="126"/>
      <c r="F47" s="126"/>
      <c r="G47" s="127"/>
      <c r="H47" s="128">
        <v>2</v>
      </c>
      <c r="I47" s="129"/>
      <c r="J47" s="128"/>
      <c r="K47" s="128"/>
      <c r="L47" s="119"/>
      <c r="M47" s="120" t="s">
        <v>42</v>
      </c>
      <c r="N47" s="121" t="s">
        <v>121</v>
      </c>
      <c r="O47" s="122"/>
      <c r="P47" s="112"/>
      <c r="Q47" s="103"/>
      <c r="R47" s="104"/>
    </row>
    <row r="48" spans="1:18" s="105" customFormat="1" ht="78.75" customHeight="1" x14ac:dyDescent="0.55000000000000004">
      <c r="A48" s="123" t="s">
        <v>122</v>
      </c>
      <c r="B48" s="124" t="s">
        <v>123</v>
      </c>
      <c r="C48" s="125"/>
      <c r="D48" s="126"/>
      <c r="E48" s="126"/>
      <c r="F48" s="126"/>
      <c r="G48" s="127"/>
      <c r="H48" s="128">
        <v>2</v>
      </c>
      <c r="I48" s="129"/>
      <c r="J48" s="128"/>
      <c r="K48" s="128"/>
      <c r="L48" s="119"/>
      <c r="M48" s="120" t="s">
        <v>43</v>
      </c>
      <c r="N48" s="121" t="s">
        <v>124</v>
      </c>
      <c r="O48" s="122"/>
      <c r="P48" s="112"/>
      <c r="Q48" s="103"/>
      <c r="R48" s="104"/>
    </row>
    <row r="49" spans="1:18" s="105" customFormat="1" ht="36" x14ac:dyDescent="0.55000000000000004">
      <c r="A49" s="130">
        <v>2</v>
      </c>
      <c r="B49" s="131" t="s">
        <v>125</v>
      </c>
      <c r="C49" s="132"/>
      <c r="D49" s="133"/>
      <c r="E49" s="133"/>
      <c r="F49" s="133"/>
      <c r="G49" s="134"/>
      <c r="H49" s="128"/>
      <c r="I49" s="129"/>
      <c r="J49" s="128"/>
      <c r="K49" s="128"/>
      <c r="L49" s="119"/>
      <c r="M49" s="120" t="s">
        <v>44</v>
      </c>
      <c r="N49" s="121" t="s">
        <v>126</v>
      </c>
      <c r="O49" s="122"/>
      <c r="P49" s="112"/>
      <c r="Q49" s="103"/>
      <c r="R49" s="104"/>
    </row>
    <row r="50" spans="1:18" s="105" customFormat="1" ht="82.5" customHeight="1" x14ac:dyDescent="0.55000000000000004">
      <c r="A50" s="123" t="s">
        <v>118</v>
      </c>
      <c r="B50" s="135" t="s">
        <v>164</v>
      </c>
      <c r="C50" s="136"/>
      <c r="D50" s="137"/>
      <c r="E50" s="137"/>
      <c r="F50" s="137"/>
      <c r="G50" s="138"/>
      <c r="H50" s="128">
        <v>2</v>
      </c>
      <c r="I50" s="129"/>
      <c r="J50" s="128"/>
      <c r="K50" s="128"/>
      <c r="L50" s="119"/>
      <c r="M50" s="120" t="s">
        <v>45</v>
      </c>
      <c r="N50" s="121" t="s">
        <v>127</v>
      </c>
      <c r="O50" s="122"/>
      <c r="P50" s="139"/>
      <c r="Q50" s="103"/>
      <c r="R50" s="104"/>
    </row>
    <row r="51" spans="1:18" s="105" customFormat="1" ht="114.75" customHeight="1" x14ac:dyDescent="0.55000000000000004">
      <c r="A51" s="123" t="s">
        <v>120</v>
      </c>
      <c r="B51" s="135" t="s">
        <v>165</v>
      </c>
      <c r="C51" s="136"/>
      <c r="D51" s="137"/>
      <c r="E51" s="137"/>
      <c r="F51" s="137"/>
      <c r="G51" s="138"/>
      <c r="H51" s="128">
        <v>2</v>
      </c>
      <c r="I51" s="129"/>
      <c r="J51" s="128"/>
      <c r="K51" s="128"/>
      <c r="L51" s="119"/>
      <c r="M51" s="112" t="s">
        <v>115</v>
      </c>
      <c r="N51" s="140" t="s">
        <v>128</v>
      </c>
      <c r="O51" s="141"/>
      <c r="P51" s="139"/>
      <c r="Q51" s="103"/>
      <c r="R51" s="104"/>
    </row>
    <row r="52" spans="1:18" s="105" customFormat="1" ht="72" customHeight="1" x14ac:dyDescent="0.55000000000000004">
      <c r="A52" s="123" t="s">
        <v>122</v>
      </c>
      <c r="B52" s="135" t="s">
        <v>166</v>
      </c>
      <c r="C52" s="136"/>
      <c r="D52" s="137"/>
      <c r="E52" s="137"/>
      <c r="F52" s="137"/>
      <c r="G52" s="138"/>
      <c r="H52" s="128">
        <v>2</v>
      </c>
      <c r="I52" s="129"/>
      <c r="J52" s="128"/>
      <c r="K52" s="128"/>
      <c r="L52" s="119"/>
      <c r="M52" s="112" t="s">
        <v>129</v>
      </c>
      <c r="N52" s="140" t="s">
        <v>130</v>
      </c>
      <c r="O52" s="141"/>
      <c r="P52" s="139"/>
      <c r="Q52" s="103"/>
      <c r="R52" s="104"/>
    </row>
    <row r="53" spans="1:18" s="105" customFormat="1" ht="66" customHeight="1" x14ac:dyDescent="0.55000000000000004">
      <c r="A53" s="130">
        <v>3</v>
      </c>
      <c r="B53" s="131" t="s">
        <v>131</v>
      </c>
      <c r="C53" s="132"/>
      <c r="D53" s="133"/>
      <c r="E53" s="133"/>
      <c r="F53" s="133"/>
      <c r="G53" s="134"/>
      <c r="H53" s="128"/>
      <c r="I53" s="129"/>
      <c r="J53" s="128"/>
      <c r="K53" s="128"/>
      <c r="L53" s="119"/>
      <c r="M53" s="112" t="s">
        <v>113</v>
      </c>
      <c r="N53" s="140" t="s">
        <v>132</v>
      </c>
      <c r="O53" s="141"/>
      <c r="P53" s="139"/>
      <c r="Q53" s="103"/>
      <c r="R53" s="104"/>
    </row>
    <row r="54" spans="1:18" s="105" customFormat="1" ht="72" customHeight="1" x14ac:dyDescent="0.55000000000000004">
      <c r="A54" s="123" t="s">
        <v>118</v>
      </c>
      <c r="B54" s="135" t="s">
        <v>133</v>
      </c>
      <c r="C54" s="142"/>
      <c r="D54" s="143"/>
      <c r="E54" s="143"/>
      <c r="F54" s="143"/>
      <c r="G54" s="144"/>
      <c r="H54" s="128">
        <v>2</v>
      </c>
      <c r="I54" s="129"/>
      <c r="J54" s="128"/>
      <c r="K54" s="128"/>
      <c r="L54" s="119"/>
      <c r="M54" s="112" t="s">
        <v>114</v>
      </c>
      <c r="N54" s="140" t="s">
        <v>134</v>
      </c>
      <c r="O54" s="141"/>
      <c r="P54" s="139"/>
      <c r="Q54" s="103"/>
      <c r="R54" s="104"/>
    </row>
    <row r="55" spans="1:18" s="105" customFormat="1" ht="72" customHeight="1" x14ac:dyDescent="0.55000000000000004">
      <c r="A55" s="123" t="s">
        <v>120</v>
      </c>
      <c r="B55" s="135" t="s">
        <v>167</v>
      </c>
      <c r="C55" s="142"/>
      <c r="D55" s="143"/>
      <c r="E55" s="143"/>
      <c r="F55" s="143"/>
      <c r="G55" s="144"/>
      <c r="H55" s="128">
        <v>2</v>
      </c>
      <c r="I55" s="129"/>
      <c r="J55" s="128"/>
      <c r="K55" s="128"/>
      <c r="L55" s="119"/>
      <c r="M55" s="112" t="s">
        <v>135</v>
      </c>
      <c r="N55" s="140" t="s">
        <v>136</v>
      </c>
      <c r="O55" s="141"/>
      <c r="P55" s="139"/>
      <c r="Q55" s="103"/>
      <c r="R55" s="104"/>
    </row>
    <row r="56" spans="1:18" s="105" customFormat="1" ht="44.25" customHeight="1" x14ac:dyDescent="0.55000000000000004">
      <c r="A56" s="123" t="s">
        <v>122</v>
      </c>
      <c r="B56" s="135" t="s">
        <v>168</v>
      </c>
      <c r="C56" s="142"/>
      <c r="D56" s="143"/>
      <c r="E56" s="143"/>
      <c r="F56" s="143"/>
      <c r="G56" s="144"/>
      <c r="H56" s="128">
        <v>2</v>
      </c>
      <c r="I56" s="129"/>
      <c r="J56" s="128"/>
      <c r="K56" s="128"/>
      <c r="L56" s="119"/>
      <c r="M56" s="145"/>
      <c r="N56" s="145"/>
      <c r="O56" s="145"/>
      <c r="P56" s="146"/>
      <c r="Q56" s="103"/>
      <c r="R56" s="104"/>
    </row>
    <row r="57" spans="1:18" s="105" customFormat="1" ht="31.5" customHeight="1" x14ac:dyDescent="0.55000000000000004">
      <c r="A57" s="147" t="s">
        <v>137</v>
      </c>
      <c r="B57" s="148"/>
      <c r="C57" s="148"/>
      <c r="D57" s="148"/>
      <c r="E57" s="148"/>
      <c r="F57" s="148"/>
      <c r="G57" s="148"/>
      <c r="H57" s="149">
        <f>SUM(H46:H56)</f>
        <v>20</v>
      </c>
      <c r="I57" s="149">
        <f>SUM(I46:I56)</f>
        <v>0</v>
      </c>
      <c r="J57" s="149"/>
      <c r="K57" s="150"/>
      <c r="L57" s="119"/>
      <c r="M57" s="145"/>
      <c r="N57" s="145"/>
      <c r="O57" s="145"/>
      <c r="P57" s="146"/>
      <c r="Q57" s="103"/>
      <c r="R57" s="104"/>
    </row>
    <row r="58" spans="1:18" s="105" customFormat="1" ht="36" customHeight="1" x14ac:dyDescent="0.55000000000000004">
      <c r="A58" s="151" t="s">
        <v>118</v>
      </c>
      <c r="B58" s="152" t="s">
        <v>138</v>
      </c>
      <c r="C58" s="136" t="s">
        <v>139</v>
      </c>
      <c r="D58" s="137"/>
      <c r="E58" s="137"/>
      <c r="F58" s="137"/>
      <c r="G58" s="138"/>
      <c r="H58" s="153">
        <v>4</v>
      </c>
      <c r="I58" s="154"/>
      <c r="J58" s="153"/>
      <c r="K58" s="155"/>
      <c r="L58" s="119"/>
      <c r="M58" s="145"/>
      <c r="N58" s="145"/>
      <c r="O58" s="145"/>
      <c r="P58" s="146"/>
      <c r="Q58" s="103"/>
      <c r="R58" s="104"/>
    </row>
    <row r="59" spans="1:18" s="105" customFormat="1" ht="129" customHeight="1" x14ac:dyDescent="0.55000000000000004">
      <c r="A59" s="151" t="s">
        <v>120</v>
      </c>
      <c r="B59" s="152" t="s">
        <v>140</v>
      </c>
      <c r="C59" s="136" t="s">
        <v>141</v>
      </c>
      <c r="D59" s="137"/>
      <c r="E59" s="137"/>
      <c r="F59" s="137"/>
      <c r="G59" s="138"/>
      <c r="H59" s="153">
        <v>3</v>
      </c>
      <c r="I59" s="154"/>
      <c r="J59" s="153"/>
      <c r="K59" s="155"/>
      <c r="L59" s="119"/>
      <c r="M59" s="145"/>
      <c r="N59" s="145"/>
      <c r="O59" s="145"/>
      <c r="P59" s="146"/>
      <c r="Q59" s="103"/>
      <c r="R59" s="104"/>
    </row>
    <row r="60" spans="1:18" s="105" customFormat="1" ht="69" customHeight="1" x14ac:dyDescent="0.55000000000000004">
      <c r="A60" s="151" t="s">
        <v>120</v>
      </c>
      <c r="B60" s="152" t="s">
        <v>142</v>
      </c>
      <c r="C60" s="136" t="s">
        <v>143</v>
      </c>
      <c r="D60" s="137"/>
      <c r="E60" s="137"/>
      <c r="F60" s="137"/>
      <c r="G60" s="138"/>
      <c r="H60" s="153">
        <v>3</v>
      </c>
      <c r="I60" s="154"/>
      <c r="J60" s="153"/>
      <c r="K60" s="155"/>
      <c r="L60" s="119"/>
      <c r="M60" s="145"/>
      <c r="N60" s="145"/>
      <c r="O60" s="145"/>
      <c r="P60" s="146"/>
      <c r="Q60" s="103"/>
      <c r="R60" s="104"/>
    </row>
    <row r="61" spans="1:18" s="105" customFormat="1" ht="46.5" customHeight="1" x14ac:dyDescent="0.55000000000000004">
      <c r="A61" s="156"/>
      <c r="B61" s="157" t="s">
        <v>144</v>
      </c>
      <c r="C61" s="157"/>
      <c r="D61" s="157"/>
      <c r="E61" s="158"/>
      <c r="F61" s="158"/>
      <c r="G61" s="158"/>
      <c r="H61" s="149">
        <f>SUM(H58:H60)</f>
        <v>10</v>
      </c>
      <c r="I61" s="149">
        <f>SUM(I58:I60)</f>
        <v>0</v>
      </c>
      <c r="J61" s="158"/>
      <c r="K61" s="159"/>
      <c r="L61" s="145"/>
      <c r="M61" s="145"/>
      <c r="N61" s="145"/>
      <c r="O61" s="145"/>
      <c r="P61" s="146"/>
      <c r="Q61" s="103"/>
      <c r="R61" s="104"/>
    </row>
    <row r="62" spans="1:18" s="167" customFormat="1" ht="45" customHeight="1" x14ac:dyDescent="0.7">
      <c r="A62" s="160"/>
      <c r="B62" s="161"/>
      <c r="C62" s="162"/>
      <c r="D62" s="162"/>
      <c r="E62" s="162"/>
      <c r="F62" s="163"/>
      <c r="G62" s="163"/>
      <c r="H62" s="163"/>
      <c r="I62" s="163"/>
      <c r="J62" s="163"/>
      <c r="K62" s="162"/>
      <c r="L62" s="162"/>
      <c r="M62" s="162"/>
      <c r="N62" s="162"/>
      <c r="O62" s="164" t="s">
        <v>169</v>
      </c>
      <c r="P62" s="165"/>
      <c r="Q62" s="164" t="s">
        <v>170</v>
      </c>
      <c r="R62" s="166"/>
    </row>
    <row r="63" spans="1:18" s="167" customFormat="1" ht="45" customHeight="1" x14ac:dyDescent="0.7">
      <c r="A63" s="160"/>
      <c r="B63" s="168"/>
      <c r="C63" s="169" t="s">
        <v>171</v>
      </c>
      <c r="D63" s="170"/>
      <c r="E63" s="170"/>
      <c r="F63" s="170"/>
      <c r="G63" s="170"/>
      <c r="H63" s="170"/>
      <c r="I63" s="170"/>
      <c r="J63" s="170"/>
      <c r="K63" s="171"/>
      <c r="L63" s="172"/>
      <c r="M63" s="173"/>
      <c r="N63" s="174"/>
      <c r="O63" s="175">
        <f>R42</f>
        <v>0</v>
      </c>
      <c r="P63" s="176"/>
      <c r="Q63" s="177">
        <f>O66/100 * 20</f>
        <v>0</v>
      </c>
      <c r="R63" s="178"/>
    </row>
    <row r="64" spans="1:18" s="167" customFormat="1" ht="45" customHeight="1" x14ac:dyDescent="0.7">
      <c r="A64" s="160"/>
      <c r="B64" s="168"/>
      <c r="C64" s="170" t="s">
        <v>172</v>
      </c>
      <c r="D64" s="170"/>
      <c r="E64" s="170"/>
      <c r="F64" s="170"/>
      <c r="G64" s="170"/>
      <c r="H64" s="170"/>
      <c r="I64" s="170"/>
      <c r="J64" s="170"/>
      <c r="K64" s="170"/>
      <c r="L64" s="173"/>
      <c r="M64" s="173"/>
      <c r="N64" s="174"/>
      <c r="O64" s="175">
        <f>I57</f>
        <v>0</v>
      </c>
      <c r="P64" s="176"/>
      <c r="Q64" s="179"/>
      <c r="R64" s="180"/>
    </row>
    <row r="65" spans="1:18" s="167" customFormat="1" ht="45" customHeight="1" x14ac:dyDescent="0.7">
      <c r="A65" s="160"/>
      <c r="B65" s="168"/>
      <c r="C65" s="169" t="s">
        <v>173</v>
      </c>
      <c r="D65" s="170"/>
      <c r="E65" s="170"/>
      <c r="F65" s="170"/>
      <c r="G65" s="170"/>
      <c r="H65" s="170"/>
      <c r="I65" s="170"/>
      <c r="J65" s="170"/>
      <c r="K65" s="171"/>
      <c r="L65" s="172"/>
      <c r="M65" s="173"/>
      <c r="N65" s="174"/>
      <c r="O65" s="175">
        <f>I61</f>
        <v>0</v>
      </c>
      <c r="P65" s="176"/>
      <c r="Q65" s="179"/>
      <c r="R65" s="180"/>
    </row>
    <row r="66" spans="1:18" s="167" customFormat="1" ht="45" customHeight="1" x14ac:dyDescent="0.7">
      <c r="A66" s="160"/>
      <c r="B66" s="181"/>
      <c r="C66" s="169" t="s">
        <v>174</v>
      </c>
      <c r="D66" s="170"/>
      <c r="E66" s="170"/>
      <c r="F66" s="170"/>
      <c r="G66" s="170"/>
      <c r="H66" s="170"/>
      <c r="I66" s="170"/>
      <c r="J66" s="170"/>
      <c r="K66" s="171"/>
      <c r="L66" s="172"/>
      <c r="M66" s="173"/>
      <c r="N66" s="174"/>
      <c r="O66" s="175">
        <f>SUM(O63:P65)</f>
        <v>0</v>
      </c>
      <c r="P66" s="176"/>
      <c r="Q66" s="182"/>
      <c r="R66" s="183"/>
    </row>
    <row r="67" spans="1:18" s="167" customFormat="1" ht="64.900000000000006" customHeight="1" x14ac:dyDescent="0.7">
      <c r="A67" s="160"/>
      <c r="B67" s="184" t="s">
        <v>175</v>
      </c>
      <c r="C67" s="184"/>
      <c r="D67" s="184"/>
      <c r="E67" s="184"/>
      <c r="F67" s="184"/>
      <c r="G67" s="184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6"/>
    </row>
    <row r="68" spans="1:18" s="167" customFormat="1" ht="64.900000000000006" customHeight="1" x14ac:dyDescent="0.7">
      <c r="A68" s="160"/>
      <c r="B68" s="187" t="s">
        <v>176</v>
      </c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8"/>
    </row>
    <row r="69" spans="1:18" s="167" customFormat="1" ht="48.75" customHeight="1" x14ac:dyDescent="0.7">
      <c r="A69" s="160"/>
      <c r="B69" s="189" t="s">
        <v>177</v>
      </c>
      <c r="C69" s="189"/>
      <c r="D69" s="189"/>
      <c r="E69" s="189"/>
      <c r="F69" s="189"/>
      <c r="G69" s="189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1"/>
    </row>
    <row r="70" spans="1:18" s="167" customFormat="1" ht="45.75" x14ac:dyDescent="0.7">
      <c r="A70" s="160"/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8"/>
    </row>
    <row r="71" spans="1:18" s="105" customFormat="1" ht="31.5" customHeight="1" x14ac:dyDescent="0.55000000000000004">
      <c r="A71" s="192" t="s">
        <v>178</v>
      </c>
      <c r="B71" s="193"/>
      <c r="C71" s="194"/>
      <c r="D71" s="195"/>
      <c r="E71" s="196" t="s">
        <v>179</v>
      </c>
      <c r="F71" s="197"/>
      <c r="G71" s="193" t="s">
        <v>180</v>
      </c>
      <c r="H71" s="194"/>
      <c r="I71" s="194"/>
      <c r="J71" s="194"/>
      <c r="K71" s="198"/>
      <c r="L71" s="119"/>
      <c r="M71" s="199"/>
      <c r="N71" s="199"/>
      <c r="O71" s="199"/>
      <c r="P71" s="199"/>
      <c r="Q71" s="199"/>
      <c r="R71" s="104"/>
    </row>
    <row r="72" spans="1:18" s="105" customFormat="1" ht="31.5" customHeight="1" x14ac:dyDescent="0.55000000000000004">
      <c r="A72" s="200"/>
      <c r="B72" s="201"/>
      <c r="C72" s="202"/>
      <c r="D72" s="203"/>
      <c r="E72" s="204"/>
      <c r="F72" s="205"/>
      <c r="G72" s="201"/>
      <c r="H72" s="202"/>
      <c r="I72" s="202"/>
      <c r="J72" s="202"/>
      <c r="K72" s="198"/>
      <c r="L72" s="119"/>
      <c r="M72" s="206"/>
      <c r="N72" s="206"/>
      <c r="O72" s="206"/>
      <c r="P72" s="206"/>
      <c r="Q72" s="206"/>
      <c r="R72" s="104"/>
    </row>
    <row r="73" spans="1:18" s="105" customFormat="1" ht="31.5" customHeight="1" x14ac:dyDescent="0.55000000000000004">
      <c r="A73" s="200"/>
      <c r="B73" s="201"/>
      <c r="C73" s="202"/>
      <c r="D73" s="203"/>
      <c r="E73" s="204"/>
      <c r="F73" s="205"/>
      <c r="G73" s="201"/>
      <c r="H73" s="202"/>
      <c r="I73" s="202"/>
      <c r="J73" s="202"/>
      <c r="K73" s="198"/>
      <c r="L73" s="119"/>
      <c r="M73" s="206"/>
      <c r="N73" s="206"/>
      <c r="O73" s="206"/>
      <c r="P73" s="206"/>
      <c r="Q73" s="206"/>
      <c r="R73" s="104"/>
    </row>
    <row r="74" spans="1:18" s="105" customFormat="1" ht="31.5" customHeight="1" x14ac:dyDescent="0.55000000000000004">
      <c r="A74" s="207"/>
      <c r="B74" s="208"/>
      <c r="C74" s="209"/>
      <c r="D74" s="210"/>
      <c r="E74" s="211"/>
      <c r="F74" s="212"/>
      <c r="G74" s="208"/>
      <c r="H74" s="209"/>
      <c r="I74" s="209"/>
      <c r="J74" s="209"/>
      <c r="K74" s="198"/>
      <c r="L74" s="119"/>
      <c r="M74" s="206"/>
      <c r="N74" s="206"/>
      <c r="O74" s="206"/>
      <c r="P74" s="206"/>
      <c r="Q74" s="206"/>
      <c r="R74" s="104"/>
    </row>
    <row r="75" spans="1:18" s="105" customFormat="1" ht="31.5" customHeight="1" x14ac:dyDescent="0.55000000000000004">
      <c r="A75" s="213" t="s">
        <v>145</v>
      </c>
      <c r="B75" s="214"/>
      <c r="C75" s="194"/>
      <c r="D75" s="195"/>
      <c r="E75" s="215" t="s">
        <v>181</v>
      </c>
      <c r="F75" s="197"/>
      <c r="G75" s="214" t="s">
        <v>181</v>
      </c>
      <c r="H75" s="194"/>
      <c r="I75" s="194"/>
      <c r="J75" s="194"/>
      <c r="K75" s="198"/>
      <c r="L75" s="119"/>
      <c r="M75" s="206"/>
      <c r="N75" s="206"/>
      <c r="O75" s="206"/>
      <c r="P75" s="206"/>
      <c r="Q75" s="206"/>
      <c r="R75" s="104"/>
    </row>
    <row r="76" spans="1:18" s="105" customFormat="1" ht="31.5" customHeight="1" x14ac:dyDescent="0.55000000000000004">
      <c r="A76" s="216"/>
      <c r="B76" s="217"/>
      <c r="C76" s="202"/>
      <c r="D76" s="203"/>
      <c r="E76" s="218"/>
      <c r="F76" s="205"/>
      <c r="G76" s="217"/>
      <c r="H76" s="202"/>
      <c r="I76" s="202"/>
      <c r="J76" s="202"/>
      <c r="K76" s="198"/>
      <c r="L76" s="119"/>
      <c r="M76" s="206"/>
      <c r="N76" s="206"/>
      <c r="O76" s="206"/>
      <c r="P76" s="206"/>
      <c r="Q76" s="206"/>
      <c r="R76" s="104"/>
    </row>
    <row r="77" spans="1:18" s="105" customFormat="1" ht="31.5" customHeight="1" x14ac:dyDescent="0.55000000000000004">
      <c r="A77" s="216"/>
      <c r="B77" s="217"/>
      <c r="C77" s="209"/>
      <c r="D77" s="210"/>
      <c r="E77" s="219"/>
      <c r="F77" s="212"/>
      <c r="G77" s="220"/>
      <c r="H77" s="209"/>
      <c r="I77" s="209"/>
      <c r="J77" s="209"/>
      <c r="K77" s="198"/>
      <c r="L77" s="119"/>
      <c r="M77" s="206"/>
      <c r="N77" s="206"/>
      <c r="O77" s="206"/>
      <c r="P77" s="206"/>
      <c r="Q77" s="206"/>
      <c r="R77" s="104"/>
    </row>
    <row r="78" spans="1:18" s="105" customFormat="1" ht="31.5" customHeight="1" x14ac:dyDescent="0.55000000000000004">
      <c r="A78" s="200" t="s">
        <v>146</v>
      </c>
      <c r="B78" s="201"/>
      <c r="C78" s="194"/>
      <c r="D78" s="195"/>
      <c r="E78" s="196" t="s">
        <v>182</v>
      </c>
      <c r="F78" s="197"/>
      <c r="G78" s="193" t="s">
        <v>182</v>
      </c>
      <c r="H78" s="194"/>
      <c r="I78" s="194"/>
      <c r="J78" s="194"/>
      <c r="K78" s="198"/>
      <c r="L78" s="119"/>
      <c r="M78" s="206"/>
      <c r="N78" s="206"/>
      <c r="O78" s="206"/>
      <c r="P78" s="206"/>
      <c r="Q78" s="206"/>
      <c r="R78" s="104"/>
    </row>
    <row r="79" spans="1:18" s="105" customFormat="1" ht="31.5" customHeight="1" x14ac:dyDescent="0.55000000000000004">
      <c r="A79" s="200"/>
      <c r="B79" s="201"/>
      <c r="C79" s="209"/>
      <c r="D79" s="210"/>
      <c r="E79" s="211"/>
      <c r="F79" s="212"/>
      <c r="G79" s="208"/>
      <c r="H79" s="209"/>
      <c r="I79" s="209"/>
      <c r="J79" s="209"/>
      <c r="K79" s="198"/>
      <c r="L79" s="119"/>
      <c r="M79" s="206"/>
      <c r="N79" s="206"/>
      <c r="O79" s="206"/>
      <c r="P79" s="206"/>
      <c r="Q79" s="206"/>
      <c r="R79" s="104"/>
    </row>
    <row r="80" spans="1:18" s="105" customFormat="1" ht="31.5" customHeight="1" thickBot="1" x14ac:dyDescent="0.6">
      <c r="A80" s="221"/>
      <c r="B80" s="222"/>
      <c r="C80" s="222"/>
      <c r="D80" s="222"/>
      <c r="E80" s="222"/>
      <c r="F80" s="222"/>
      <c r="G80" s="222"/>
      <c r="H80" s="222"/>
      <c r="I80" s="222"/>
      <c r="J80" s="222"/>
      <c r="K80" s="223"/>
      <c r="L80" s="224"/>
      <c r="M80" s="225"/>
      <c r="N80" s="225"/>
      <c r="O80" s="225"/>
      <c r="P80" s="225"/>
      <c r="Q80" s="225"/>
      <c r="R80" s="226"/>
    </row>
  </sheetData>
  <mergeCells count="112">
    <mergeCell ref="A80:J80"/>
    <mergeCell ref="A19:A23"/>
    <mergeCell ref="B19:B23"/>
    <mergeCell ref="C19:C23"/>
    <mergeCell ref="A25:A34"/>
    <mergeCell ref="B25:B34"/>
    <mergeCell ref="C25:C34"/>
    <mergeCell ref="A36:A37"/>
    <mergeCell ref="B36:B37"/>
    <mergeCell ref="C36:C37"/>
    <mergeCell ref="A78:B79"/>
    <mergeCell ref="C78:D79"/>
    <mergeCell ref="E78:E79"/>
    <mergeCell ref="F78:F79"/>
    <mergeCell ref="G78:G79"/>
    <mergeCell ref="H78:J79"/>
    <mergeCell ref="A75:B77"/>
    <mergeCell ref="C75:D77"/>
    <mergeCell ref="E75:E77"/>
    <mergeCell ref="F75:F77"/>
    <mergeCell ref="G75:G77"/>
    <mergeCell ref="H75:J77"/>
    <mergeCell ref="B68:R68"/>
    <mergeCell ref="B69:G69"/>
    <mergeCell ref="B70:R70"/>
    <mergeCell ref="A71:B74"/>
    <mergeCell ref="C71:D74"/>
    <mergeCell ref="E71:E74"/>
    <mergeCell ref="F71:F74"/>
    <mergeCell ref="G71:G74"/>
    <mergeCell ref="H71:J74"/>
    <mergeCell ref="M71:Q80"/>
    <mergeCell ref="L65:N65"/>
    <mergeCell ref="O65:P65"/>
    <mergeCell ref="C66:K66"/>
    <mergeCell ref="L66:N66"/>
    <mergeCell ref="O66:P66"/>
    <mergeCell ref="B67:G67"/>
    <mergeCell ref="O62:P62"/>
    <mergeCell ref="Q62:R62"/>
    <mergeCell ref="C63:K63"/>
    <mergeCell ref="L63:N63"/>
    <mergeCell ref="O63:P63"/>
    <mergeCell ref="Q63:R66"/>
    <mergeCell ref="C64:K64"/>
    <mergeCell ref="L64:N64"/>
    <mergeCell ref="O64:P64"/>
    <mergeCell ref="C65:K65"/>
    <mergeCell ref="A57:G57"/>
    <mergeCell ref="C58:G58"/>
    <mergeCell ref="C59:G59"/>
    <mergeCell ref="C60:G60"/>
    <mergeCell ref="B61:D61"/>
    <mergeCell ref="B62:B66"/>
    <mergeCell ref="F62:J62"/>
    <mergeCell ref="C51:G51"/>
    <mergeCell ref="C52:G52"/>
    <mergeCell ref="C53:G53"/>
    <mergeCell ref="C54:G54"/>
    <mergeCell ref="C55:G55"/>
    <mergeCell ref="C56:G56"/>
    <mergeCell ref="C48:G48"/>
    <mergeCell ref="N48:O48"/>
    <mergeCell ref="C49:G49"/>
    <mergeCell ref="N49:O49"/>
    <mergeCell ref="C50:G50"/>
    <mergeCell ref="N50:O50"/>
    <mergeCell ref="C45:G45"/>
    <mergeCell ref="N45:O45"/>
    <mergeCell ref="C46:G46"/>
    <mergeCell ref="N46:O46"/>
    <mergeCell ref="C47:G47"/>
    <mergeCell ref="N47:O47"/>
    <mergeCell ref="R17:R18"/>
    <mergeCell ref="I42:Q42"/>
    <mergeCell ref="A43:G43"/>
    <mergeCell ref="H43:K43"/>
    <mergeCell ref="L43:L44"/>
    <mergeCell ref="C44:G44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4" r:id="rId1" xr:uid="{3350F969-915F-43D1-BD06-169BC0575CE0}"/>
  </hyperlinks>
  <pageMargins left="0.7" right="0.7" top="0.75" bottom="0.75" header="0.3" footer="0.3"/>
  <pageSetup scale="14" fitToHeight="0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9585E-FF1B-4B94-B181-11356193EF2D}">
  <sheetPr>
    <pageSetUpPr fitToPage="1"/>
  </sheetPr>
  <dimension ref="A1:R80"/>
  <sheetViews>
    <sheetView zoomScale="30" zoomScaleNormal="30" workbookViewId="0">
      <selection activeCell="A19" sqref="A19:O40"/>
    </sheetView>
  </sheetViews>
  <sheetFormatPr defaultRowHeight="31.5" customHeight="1" x14ac:dyDescent="0.55000000000000004"/>
  <cols>
    <col min="1" max="1" width="15.5703125" style="227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27" bestFit="1" customWidth="1"/>
    <col min="6" max="6" width="42" style="227" customWidth="1"/>
    <col min="7" max="7" width="255.7109375" style="4" bestFit="1" customWidth="1"/>
    <col min="8" max="8" width="33" style="227" customWidth="1"/>
    <col min="9" max="9" width="62.42578125" style="227" customWidth="1"/>
    <col min="10" max="10" width="45.140625" style="227" customWidth="1"/>
    <col min="11" max="13" width="35.28515625" style="227" bestFit="1" customWidth="1"/>
    <col min="14" max="14" width="40.7109375" style="227" bestFit="1" customWidth="1"/>
    <col min="15" max="15" width="36.85546875" style="227" bestFit="1" customWidth="1"/>
    <col min="16" max="17" width="36.85546875" style="228" customWidth="1"/>
    <col min="18" max="18" width="36.85546875" style="229" customWidth="1"/>
    <col min="19" max="16384" width="9.140625" style="4"/>
  </cols>
  <sheetData>
    <row r="1" spans="1:18" ht="31.5" customHeight="1" x14ac:dyDescent="0.25">
      <c r="A1" s="1" t="s">
        <v>147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185</v>
      </c>
      <c r="C5" s="16" t="s">
        <v>2</v>
      </c>
      <c r="D5" s="17" t="s">
        <v>186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37" customFormat="1" ht="39" x14ac:dyDescent="0.6">
      <c r="A7" s="230" t="s">
        <v>4</v>
      </c>
      <c r="B7" s="231"/>
      <c r="C7" s="232" t="s">
        <v>5</v>
      </c>
      <c r="D7" s="233" t="s">
        <v>6</v>
      </c>
      <c r="E7" s="232" t="s">
        <v>7</v>
      </c>
      <c r="F7" s="233" t="s">
        <v>8</v>
      </c>
      <c r="G7" s="234" t="s">
        <v>9</v>
      </c>
      <c r="H7" s="233" t="s">
        <v>10</v>
      </c>
      <c r="I7" s="235" t="s">
        <v>11</v>
      </c>
      <c r="J7" s="236"/>
      <c r="K7" s="21"/>
      <c r="L7" s="22"/>
      <c r="M7" s="22"/>
      <c r="N7" s="22"/>
      <c r="O7" s="22"/>
      <c r="P7" s="22"/>
      <c r="Q7" s="22"/>
      <c r="R7" s="23"/>
    </row>
    <row r="8" spans="1:18" s="237" customFormat="1" ht="39.75" x14ac:dyDescent="0.6">
      <c r="A8" s="238" t="s">
        <v>12</v>
      </c>
      <c r="B8" s="239"/>
      <c r="C8" s="240" t="s">
        <v>13</v>
      </c>
      <c r="D8" s="241" t="s">
        <v>14</v>
      </c>
      <c r="E8" s="242"/>
      <c r="F8" s="241" t="s">
        <v>15</v>
      </c>
      <c r="G8" s="243"/>
      <c r="H8" s="241" t="s">
        <v>16</v>
      </c>
      <c r="I8" s="244" t="s">
        <v>17</v>
      </c>
      <c r="J8" s="245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18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37" customFormat="1" ht="39" x14ac:dyDescent="0.6">
      <c r="A10" s="230" t="s">
        <v>4</v>
      </c>
      <c r="B10" s="231"/>
      <c r="C10" s="232" t="s">
        <v>19</v>
      </c>
      <c r="D10" s="233" t="s">
        <v>6</v>
      </c>
      <c r="E10" s="232" t="s">
        <v>20</v>
      </c>
      <c r="F10" s="233" t="s">
        <v>8</v>
      </c>
      <c r="G10" s="234" t="s">
        <v>21</v>
      </c>
      <c r="H10" s="233" t="s">
        <v>10</v>
      </c>
      <c r="I10" s="235" t="s">
        <v>22</v>
      </c>
      <c r="J10" s="236"/>
      <c r="K10" s="21"/>
      <c r="L10" s="22"/>
      <c r="M10" s="22"/>
      <c r="N10" s="22"/>
      <c r="O10" s="22"/>
      <c r="P10" s="22"/>
      <c r="Q10" s="22"/>
      <c r="R10" s="23"/>
    </row>
    <row r="11" spans="1:18" s="237" customFormat="1" ht="39.75" x14ac:dyDescent="0.6">
      <c r="A11" s="238" t="s">
        <v>12</v>
      </c>
      <c r="B11" s="239"/>
      <c r="C11" s="240">
        <v>60737</v>
      </c>
      <c r="D11" s="241" t="s">
        <v>14</v>
      </c>
      <c r="E11" s="246" t="s">
        <v>23</v>
      </c>
      <c r="F11" s="241" t="s">
        <v>15</v>
      </c>
      <c r="G11" s="243"/>
      <c r="H11" s="241" t="s">
        <v>16</v>
      </c>
      <c r="I11" s="244" t="s">
        <v>17</v>
      </c>
      <c r="J11" s="245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24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237" customFormat="1" ht="39" x14ac:dyDescent="0.6">
      <c r="A13" s="230" t="s">
        <v>4</v>
      </c>
      <c r="B13" s="231"/>
      <c r="C13" s="232" t="s">
        <v>25</v>
      </c>
      <c r="D13" s="233" t="s">
        <v>6</v>
      </c>
      <c r="E13" s="232" t="s">
        <v>26</v>
      </c>
      <c r="F13" s="233" t="s">
        <v>8</v>
      </c>
      <c r="G13" s="234" t="s">
        <v>27</v>
      </c>
      <c r="H13" s="233" t="s">
        <v>10</v>
      </c>
      <c r="I13" s="235" t="s">
        <v>28</v>
      </c>
      <c r="J13" s="236"/>
      <c r="K13" s="21"/>
      <c r="L13" s="22"/>
      <c r="M13" s="22"/>
      <c r="N13" s="22"/>
      <c r="O13" s="22"/>
      <c r="P13" s="22"/>
      <c r="Q13" s="22"/>
      <c r="R13" s="23"/>
    </row>
    <row r="14" spans="1:18" s="237" customFormat="1" ht="39.75" x14ac:dyDescent="0.6">
      <c r="A14" s="238" t="s">
        <v>12</v>
      </c>
      <c r="B14" s="239"/>
      <c r="C14" s="240">
        <v>60694</v>
      </c>
      <c r="D14" s="241" t="s">
        <v>14</v>
      </c>
      <c r="E14" s="242" t="s">
        <v>29</v>
      </c>
      <c r="F14" s="241" t="s">
        <v>15</v>
      </c>
      <c r="G14" s="243"/>
      <c r="H14" s="241" t="s">
        <v>16</v>
      </c>
      <c r="I14" s="244" t="s">
        <v>17</v>
      </c>
      <c r="J14" s="245"/>
      <c r="K14" s="21"/>
      <c r="L14" s="22"/>
      <c r="M14" s="22"/>
      <c r="N14" s="22"/>
      <c r="O14" s="22"/>
      <c r="P14" s="22"/>
      <c r="Q14" s="22"/>
      <c r="R14" s="23"/>
    </row>
    <row r="15" spans="1:18" s="39" customFormat="1" ht="20.25" customHeight="1" thickBot="1" x14ac:dyDescent="0.75">
      <c r="A15" s="33"/>
      <c r="B15" s="34"/>
      <c r="C15" s="34"/>
      <c r="D15" s="34"/>
      <c r="E15" s="34"/>
      <c r="F15" s="34"/>
      <c r="G15" s="34"/>
      <c r="H15" s="34"/>
      <c r="I15" s="34"/>
      <c r="J15" s="35"/>
      <c r="K15" s="36"/>
      <c r="L15" s="37"/>
      <c r="M15" s="37"/>
      <c r="N15" s="37"/>
      <c r="O15" s="37"/>
      <c r="P15" s="37"/>
      <c r="Q15" s="37"/>
      <c r="R15" s="38"/>
    </row>
    <row r="16" spans="1:18" s="39" customFormat="1" ht="47.25" x14ac:dyDescent="0.7">
      <c r="A16" s="40" t="s">
        <v>30</v>
      </c>
      <c r="B16" s="41"/>
      <c r="C16" s="41"/>
      <c r="D16" s="41"/>
      <c r="E16" s="41"/>
      <c r="F16" s="41"/>
      <c r="G16" s="41"/>
      <c r="H16" s="41"/>
      <c r="I16" s="41"/>
      <c r="J16" s="42"/>
      <c r="K16" s="43"/>
      <c r="L16" s="44"/>
      <c r="M16" s="44"/>
      <c r="N16" s="44"/>
      <c r="O16" s="44"/>
      <c r="P16" s="45"/>
      <c r="Q16" s="45"/>
      <c r="R16" s="46"/>
    </row>
    <row r="17" spans="1:18" s="57" customFormat="1" ht="31.5" customHeight="1" x14ac:dyDescent="0.25">
      <c r="A17" s="47" t="s">
        <v>31</v>
      </c>
      <c r="B17" s="48" t="s">
        <v>32</v>
      </c>
      <c r="C17" s="49" t="s">
        <v>33</v>
      </c>
      <c r="D17" s="49" t="s">
        <v>34</v>
      </c>
      <c r="E17" s="49" t="s">
        <v>33</v>
      </c>
      <c r="F17" s="50" t="s">
        <v>35</v>
      </c>
      <c r="G17" s="50" t="s">
        <v>36</v>
      </c>
      <c r="H17" s="51" t="s">
        <v>37</v>
      </c>
      <c r="I17" s="50" t="s">
        <v>38</v>
      </c>
      <c r="J17" s="52" t="s">
        <v>39</v>
      </c>
      <c r="K17" s="53"/>
      <c r="L17" s="53"/>
      <c r="M17" s="53"/>
      <c r="N17" s="53"/>
      <c r="O17" s="54"/>
      <c r="P17" s="55" t="s">
        <v>150</v>
      </c>
      <c r="Q17" s="55" t="s">
        <v>151</v>
      </c>
      <c r="R17" s="56" t="s">
        <v>152</v>
      </c>
    </row>
    <row r="18" spans="1:18" s="57" customFormat="1" ht="36" x14ac:dyDescent="0.25">
      <c r="A18" s="58"/>
      <c r="B18" s="48"/>
      <c r="C18" s="48"/>
      <c r="D18" s="48"/>
      <c r="E18" s="48"/>
      <c r="F18" s="59"/>
      <c r="G18" s="59"/>
      <c r="H18" s="60"/>
      <c r="I18" s="59"/>
      <c r="J18" s="61" t="s">
        <v>153</v>
      </c>
      <c r="K18" s="62" t="s">
        <v>154</v>
      </c>
      <c r="L18" s="62" t="s">
        <v>155</v>
      </c>
      <c r="M18" s="61" t="s">
        <v>156</v>
      </c>
      <c r="N18" s="61" t="s">
        <v>157</v>
      </c>
      <c r="O18" s="61" t="s">
        <v>158</v>
      </c>
      <c r="P18" s="63"/>
      <c r="Q18" s="63"/>
      <c r="R18" s="64"/>
    </row>
    <row r="19" spans="1:18" s="75" customFormat="1" ht="147" customHeight="1" x14ac:dyDescent="0.25">
      <c r="A19" s="247">
        <v>1</v>
      </c>
      <c r="B19" s="248" t="s">
        <v>46</v>
      </c>
      <c r="C19" s="249">
        <f>0.3 *1.69794730299263</f>
        <v>0.50938419089778897</v>
      </c>
      <c r="D19" s="65" t="s">
        <v>47</v>
      </c>
      <c r="E19" s="66">
        <f>C19/5</f>
        <v>0.1018768381795578</v>
      </c>
      <c r="F19" s="66">
        <f t="shared" ref="F19:F40" si="0">E19/$E$41 * 100</f>
        <v>0.33958946059852591</v>
      </c>
      <c r="G19" s="67" t="s">
        <v>48</v>
      </c>
      <c r="H19" s="68">
        <v>1</v>
      </c>
      <c r="I19" s="69" t="s">
        <v>49</v>
      </c>
      <c r="J19" s="70">
        <v>100</v>
      </c>
      <c r="K19" s="71">
        <v>95</v>
      </c>
      <c r="L19" s="71">
        <v>90</v>
      </c>
      <c r="M19" s="71">
        <v>85</v>
      </c>
      <c r="N19" s="71">
        <v>80</v>
      </c>
      <c r="O19" s="71" t="s">
        <v>50</v>
      </c>
      <c r="P19" s="72"/>
      <c r="Q19" s="73">
        <f t="shared" ref="Q19:Q40" si="1">IF(OR(TRIM(P19)="",P19=0),0,
IF(P19&lt;N19,50,
IF(P19&lt;M19,60,
IF(P19&lt;L19,70,
IF(P19&lt;K19,80,
IF(ISNUMBER(J19),
    IF(P19&lt;J19,IF(P19&gt;=K19,90,80),100),
    IF(P19=K19,90,100)
))))))</f>
        <v>0</v>
      </c>
      <c r="R19" s="74">
        <f t="shared" ref="R19:R40" si="2">F19*Q19/100</f>
        <v>0</v>
      </c>
    </row>
    <row r="20" spans="1:18" s="75" customFormat="1" ht="147" customHeight="1" x14ac:dyDescent="0.25">
      <c r="A20" s="250"/>
      <c r="B20" s="251"/>
      <c r="C20" s="252"/>
      <c r="D20" s="65" t="s">
        <v>51</v>
      </c>
      <c r="E20" s="66">
        <f>C19/5</f>
        <v>0.1018768381795578</v>
      </c>
      <c r="F20" s="66">
        <f t="shared" si="0"/>
        <v>0.33958946059852591</v>
      </c>
      <c r="G20" s="67" t="s">
        <v>52</v>
      </c>
      <c r="H20" s="68">
        <v>1</v>
      </c>
      <c r="I20" s="69" t="s">
        <v>49</v>
      </c>
      <c r="J20" s="70">
        <v>100</v>
      </c>
      <c r="K20" s="71">
        <v>95</v>
      </c>
      <c r="L20" s="71">
        <v>90</v>
      </c>
      <c r="M20" s="71">
        <v>85</v>
      </c>
      <c r="N20" s="71">
        <v>80</v>
      </c>
      <c r="O20" s="71" t="s">
        <v>50</v>
      </c>
      <c r="P20" s="72"/>
      <c r="Q20" s="73">
        <f t="shared" si="1"/>
        <v>0</v>
      </c>
      <c r="R20" s="74">
        <f t="shared" si="2"/>
        <v>0</v>
      </c>
    </row>
    <row r="21" spans="1:18" s="75" customFormat="1" ht="147" customHeight="1" x14ac:dyDescent="0.25">
      <c r="A21" s="250"/>
      <c r="B21" s="251"/>
      <c r="C21" s="252"/>
      <c r="D21" s="65" t="s">
        <v>53</v>
      </c>
      <c r="E21" s="66">
        <f>C19/5</f>
        <v>0.1018768381795578</v>
      </c>
      <c r="F21" s="66">
        <f t="shared" si="0"/>
        <v>0.33958946059852591</v>
      </c>
      <c r="G21" s="67" t="s">
        <v>54</v>
      </c>
      <c r="H21" s="68">
        <v>1</v>
      </c>
      <c r="I21" s="69" t="s">
        <v>49</v>
      </c>
      <c r="J21" s="70">
        <v>100</v>
      </c>
      <c r="K21" s="71">
        <v>95</v>
      </c>
      <c r="L21" s="71">
        <v>90</v>
      </c>
      <c r="M21" s="71">
        <v>85</v>
      </c>
      <c r="N21" s="71">
        <v>80</v>
      </c>
      <c r="O21" s="71" t="s">
        <v>50</v>
      </c>
      <c r="P21" s="72"/>
      <c r="Q21" s="73">
        <f t="shared" si="1"/>
        <v>0</v>
      </c>
      <c r="R21" s="74">
        <f t="shared" si="2"/>
        <v>0</v>
      </c>
    </row>
    <row r="22" spans="1:18" s="75" customFormat="1" ht="147" customHeight="1" x14ac:dyDescent="0.25">
      <c r="A22" s="250"/>
      <c r="B22" s="251"/>
      <c r="C22" s="252"/>
      <c r="D22" s="65" t="s">
        <v>55</v>
      </c>
      <c r="E22" s="66">
        <f>C19/5</f>
        <v>0.1018768381795578</v>
      </c>
      <c r="F22" s="66">
        <f t="shared" si="0"/>
        <v>0.33958946059852591</v>
      </c>
      <c r="G22" s="67" t="s">
        <v>56</v>
      </c>
      <c r="H22" s="76">
        <v>5</v>
      </c>
      <c r="I22" s="69" t="s">
        <v>57</v>
      </c>
      <c r="J22" s="70" t="s">
        <v>58</v>
      </c>
      <c r="K22" s="71">
        <v>5</v>
      </c>
      <c r="L22" s="71">
        <v>4</v>
      </c>
      <c r="M22" s="71">
        <v>3</v>
      </c>
      <c r="N22" s="71">
        <v>2</v>
      </c>
      <c r="O22" s="71">
        <v>1</v>
      </c>
      <c r="P22" s="72"/>
      <c r="Q22" s="73">
        <f t="shared" si="1"/>
        <v>0</v>
      </c>
      <c r="R22" s="74">
        <f t="shared" si="2"/>
        <v>0</v>
      </c>
    </row>
    <row r="23" spans="1:18" s="75" customFormat="1" ht="147" customHeight="1" x14ac:dyDescent="0.25">
      <c r="A23" s="253"/>
      <c r="B23" s="254"/>
      <c r="C23" s="255"/>
      <c r="D23" s="65" t="s">
        <v>59</v>
      </c>
      <c r="E23" s="66">
        <f>C19/5</f>
        <v>0.1018768381795578</v>
      </c>
      <c r="F23" s="66">
        <f t="shared" si="0"/>
        <v>0.33958946059852591</v>
      </c>
      <c r="G23" s="67" t="s">
        <v>60</v>
      </c>
      <c r="H23" s="68">
        <v>1</v>
      </c>
      <c r="I23" s="69" t="s">
        <v>49</v>
      </c>
      <c r="J23" s="70">
        <v>100</v>
      </c>
      <c r="K23" s="71">
        <v>95</v>
      </c>
      <c r="L23" s="71">
        <v>90</v>
      </c>
      <c r="M23" s="71">
        <v>85</v>
      </c>
      <c r="N23" s="71">
        <v>80</v>
      </c>
      <c r="O23" s="71" t="s">
        <v>50</v>
      </c>
      <c r="P23" s="72"/>
      <c r="Q23" s="73">
        <f t="shared" si="1"/>
        <v>0</v>
      </c>
      <c r="R23" s="74">
        <f t="shared" si="2"/>
        <v>0</v>
      </c>
    </row>
    <row r="24" spans="1:18" s="75" customFormat="1" ht="147" customHeight="1" x14ac:dyDescent="0.25">
      <c r="A24" s="76">
        <v>2</v>
      </c>
      <c r="B24" s="65" t="s">
        <v>61</v>
      </c>
      <c r="C24" s="256">
        <f>0.3 *1.01876838179558</f>
        <v>0.30563051453867396</v>
      </c>
      <c r="D24" s="65" t="s">
        <v>62</v>
      </c>
      <c r="E24" s="66">
        <f>C24</f>
        <v>0.30563051453867396</v>
      </c>
      <c r="F24" s="66">
        <f t="shared" si="0"/>
        <v>1.0187683817955797</v>
      </c>
      <c r="G24" s="67" t="s">
        <v>63</v>
      </c>
      <c r="H24" s="68">
        <v>0.5</v>
      </c>
      <c r="I24" s="69" t="s">
        <v>49</v>
      </c>
      <c r="J24" s="70" t="s">
        <v>64</v>
      </c>
      <c r="K24" s="71">
        <v>50</v>
      </c>
      <c r="L24" s="71">
        <v>45</v>
      </c>
      <c r="M24" s="71">
        <v>40</v>
      </c>
      <c r="N24" s="71">
        <v>25</v>
      </c>
      <c r="O24" s="71" t="s">
        <v>65</v>
      </c>
      <c r="P24" s="72"/>
      <c r="Q24" s="73">
        <f t="shared" si="1"/>
        <v>0</v>
      </c>
      <c r="R24" s="74">
        <f t="shared" si="2"/>
        <v>0</v>
      </c>
    </row>
    <row r="25" spans="1:18" s="75" customFormat="1" ht="147" customHeight="1" x14ac:dyDescent="0.25">
      <c r="A25" s="247">
        <v>3</v>
      </c>
      <c r="B25" s="248" t="s">
        <v>66</v>
      </c>
      <c r="C25" s="249">
        <f>0.3 *90.5976168096783</f>
        <v>27.179285042903491</v>
      </c>
      <c r="D25" s="65" t="s">
        <v>67</v>
      </c>
      <c r="E25" s="66">
        <f>C25/10</f>
        <v>2.7179285042903492</v>
      </c>
      <c r="F25" s="66">
        <f t="shared" si="0"/>
        <v>9.0597616809678296</v>
      </c>
      <c r="G25" s="65" t="s">
        <v>68</v>
      </c>
      <c r="H25" s="77">
        <v>0.8</v>
      </c>
      <c r="I25" s="76" t="s">
        <v>49</v>
      </c>
      <c r="J25" s="70" t="s">
        <v>69</v>
      </c>
      <c r="K25" s="71">
        <v>80</v>
      </c>
      <c r="L25" s="71">
        <v>75</v>
      </c>
      <c r="M25" s="71">
        <v>70</v>
      </c>
      <c r="N25" s="71">
        <v>50</v>
      </c>
      <c r="O25" s="71" t="s">
        <v>70</v>
      </c>
      <c r="P25" s="72"/>
      <c r="Q25" s="73">
        <f t="shared" si="1"/>
        <v>0</v>
      </c>
      <c r="R25" s="74">
        <f t="shared" si="2"/>
        <v>0</v>
      </c>
    </row>
    <row r="26" spans="1:18" s="75" customFormat="1" ht="147" customHeight="1" x14ac:dyDescent="0.25">
      <c r="A26" s="250"/>
      <c r="B26" s="251"/>
      <c r="C26" s="252"/>
      <c r="D26" s="65" t="s">
        <v>71</v>
      </c>
      <c r="E26" s="66">
        <f>C25/10</f>
        <v>2.7179285042903492</v>
      </c>
      <c r="F26" s="66">
        <f t="shared" si="0"/>
        <v>9.0597616809678296</v>
      </c>
      <c r="G26" s="65" t="s">
        <v>72</v>
      </c>
      <c r="H26" s="77">
        <v>1</v>
      </c>
      <c r="I26" s="69" t="s">
        <v>49</v>
      </c>
      <c r="J26" s="70">
        <v>100</v>
      </c>
      <c r="K26" s="71">
        <v>95</v>
      </c>
      <c r="L26" s="71">
        <v>90</v>
      </c>
      <c r="M26" s="71">
        <v>85</v>
      </c>
      <c r="N26" s="71">
        <v>80</v>
      </c>
      <c r="O26" s="71" t="s">
        <v>50</v>
      </c>
      <c r="P26" s="72"/>
      <c r="Q26" s="73">
        <f t="shared" si="1"/>
        <v>0</v>
      </c>
      <c r="R26" s="74">
        <f t="shared" si="2"/>
        <v>0</v>
      </c>
    </row>
    <row r="27" spans="1:18" s="75" customFormat="1" ht="147" customHeight="1" x14ac:dyDescent="0.25">
      <c r="A27" s="250"/>
      <c r="B27" s="251"/>
      <c r="C27" s="252"/>
      <c r="D27" s="65" t="s">
        <v>73</v>
      </c>
      <c r="E27" s="66">
        <f>C25/10</f>
        <v>2.7179285042903492</v>
      </c>
      <c r="F27" s="66">
        <f t="shared" si="0"/>
        <v>9.0597616809678296</v>
      </c>
      <c r="G27" s="65" t="s">
        <v>74</v>
      </c>
      <c r="H27" s="77">
        <v>0.9</v>
      </c>
      <c r="I27" s="76" t="s">
        <v>49</v>
      </c>
      <c r="J27" s="70" t="s">
        <v>75</v>
      </c>
      <c r="K27" s="71">
        <v>90</v>
      </c>
      <c r="L27" s="71">
        <v>80</v>
      </c>
      <c r="M27" s="71">
        <v>70</v>
      </c>
      <c r="N27" s="71">
        <v>50</v>
      </c>
      <c r="O27" s="71" t="s">
        <v>70</v>
      </c>
      <c r="P27" s="72"/>
      <c r="Q27" s="73">
        <f t="shared" si="1"/>
        <v>0</v>
      </c>
      <c r="R27" s="74">
        <f t="shared" si="2"/>
        <v>0</v>
      </c>
    </row>
    <row r="28" spans="1:18" s="75" customFormat="1" ht="147" customHeight="1" x14ac:dyDescent="0.25">
      <c r="A28" s="250"/>
      <c r="B28" s="251"/>
      <c r="C28" s="252"/>
      <c r="D28" s="65" t="s">
        <v>76</v>
      </c>
      <c r="E28" s="66">
        <f>C25/10</f>
        <v>2.7179285042903492</v>
      </c>
      <c r="F28" s="66">
        <f t="shared" si="0"/>
        <v>9.0597616809678296</v>
      </c>
      <c r="G28" s="65" t="s">
        <v>77</v>
      </c>
      <c r="H28" s="77">
        <v>0.8</v>
      </c>
      <c r="I28" s="76" t="s">
        <v>49</v>
      </c>
      <c r="J28" s="70" t="s">
        <v>69</v>
      </c>
      <c r="K28" s="71">
        <v>80</v>
      </c>
      <c r="L28" s="71">
        <v>75</v>
      </c>
      <c r="M28" s="71">
        <v>70</v>
      </c>
      <c r="N28" s="71">
        <v>50</v>
      </c>
      <c r="O28" s="71" t="s">
        <v>70</v>
      </c>
      <c r="P28" s="72"/>
      <c r="Q28" s="73">
        <f t="shared" si="1"/>
        <v>0</v>
      </c>
      <c r="R28" s="74">
        <f t="shared" si="2"/>
        <v>0</v>
      </c>
    </row>
    <row r="29" spans="1:18" s="75" customFormat="1" ht="147" customHeight="1" x14ac:dyDescent="0.25">
      <c r="A29" s="250"/>
      <c r="B29" s="251"/>
      <c r="C29" s="252"/>
      <c r="D29" s="65" t="s">
        <v>78</v>
      </c>
      <c r="E29" s="66">
        <f>C25/10</f>
        <v>2.7179285042903492</v>
      </c>
      <c r="F29" s="66">
        <f t="shared" si="0"/>
        <v>9.0597616809678296</v>
      </c>
      <c r="G29" s="65" t="s">
        <v>79</v>
      </c>
      <c r="H29" s="77">
        <v>0.9</v>
      </c>
      <c r="I29" s="76" t="s">
        <v>49</v>
      </c>
      <c r="J29" s="70" t="s">
        <v>75</v>
      </c>
      <c r="K29" s="71">
        <v>90</v>
      </c>
      <c r="L29" s="71">
        <v>80</v>
      </c>
      <c r="M29" s="71">
        <v>70</v>
      </c>
      <c r="N29" s="71">
        <v>50</v>
      </c>
      <c r="O29" s="71" t="s">
        <v>70</v>
      </c>
      <c r="P29" s="72"/>
      <c r="Q29" s="73">
        <f t="shared" si="1"/>
        <v>0</v>
      </c>
      <c r="R29" s="74">
        <f t="shared" si="2"/>
        <v>0</v>
      </c>
    </row>
    <row r="30" spans="1:18" s="75" customFormat="1" ht="147" customHeight="1" x14ac:dyDescent="0.25">
      <c r="A30" s="250"/>
      <c r="B30" s="251"/>
      <c r="C30" s="252"/>
      <c r="D30" s="65" t="s">
        <v>80</v>
      </c>
      <c r="E30" s="66">
        <f>C25/10</f>
        <v>2.7179285042903492</v>
      </c>
      <c r="F30" s="66">
        <f t="shared" si="0"/>
        <v>9.0597616809678296</v>
      </c>
      <c r="G30" s="65" t="s">
        <v>81</v>
      </c>
      <c r="H30" s="77">
        <v>0.8</v>
      </c>
      <c r="I30" s="76" t="s">
        <v>49</v>
      </c>
      <c r="J30" s="70" t="s">
        <v>69</v>
      </c>
      <c r="K30" s="71">
        <v>80</v>
      </c>
      <c r="L30" s="71">
        <v>75</v>
      </c>
      <c r="M30" s="71">
        <v>70</v>
      </c>
      <c r="N30" s="71">
        <v>50</v>
      </c>
      <c r="O30" s="71" t="s">
        <v>70</v>
      </c>
      <c r="P30" s="72"/>
      <c r="Q30" s="73">
        <f t="shared" si="1"/>
        <v>0</v>
      </c>
      <c r="R30" s="74">
        <f t="shared" si="2"/>
        <v>0</v>
      </c>
    </row>
    <row r="31" spans="1:18" s="75" customFormat="1" ht="147" customHeight="1" x14ac:dyDescent="0.25">
      <c r="A31" s="250"/>
      <c r="B31" s="251"/>
      <c r="C31" s="252"/>
      <c r="D31" s="65" t="s">
        <v>82</v>
      </c>
      <c r="E31" s="66">
        <f>C25/10</f>
        <v>2.7179285042903492</v>
      </c>
      <c r="F31" s="66">
        <f t="shared" si="0"/>
        <v>9.0597616809678296</v>
      </c>
      <c r="G31" s="65" t="s">
        <v>83</v>
      </c>
      <c r="H31" s="77">
        <v>0.9</v>
      </c>
      <c r="I31" s="76" t="s">
        <v>49</v>
      </c>
      <c r="J31" s="70" t="s">
        <v>75</v>
      </c>
      <c r="K31" s="71">
        <v>90</v>
      </c>
      <c r="L31" s="71">
        <v>80</v>
      </c>
      <c r="M31" s="71">
        <v>70</v>
      </c>
      <c r="N31" s="71">
        <v>50</v>
      </c>
      <c r="O31" s="71" t="s">
        <v>70</v>
      </c>
      <c r="P31" s="72"/>
      <c r="Q31" s="73">
        <f t="shared" si="1"/>
        <v>0</v>
      </c>
      <c r="R31" s="74">
        <f t="shared" si="2"/>
        <v>0</v>
      </c>
    </row>
    <row r="32" spans="1:18" s="75" customFormat="1" ht="147" customHeight="1" x14ac:dyDescent="0.25">
      <c r="A32" s="250"/>
      <c r="B32" s="251"/>
      <c r="C32" s="252"/>
      <c r="D32" s="65" t="s">
        <v>84</v>
      </c>
      <c r="E32" s="66">
        <f>C25/10</f>
        <v>2.7179285042903492</v>
      </c>
      <c r="F32" s="66">
        <f t="shared" si="0"/>
        <v>9.0597616809678296</v>
      </c>
      <c r="G32" s="65" t="s">
        <v>85</v>
      </c>
      <c r="H32" s="77">
        <v>0.8</v>
      </c>
      <c r="I32" s="76" t="s">
        <v>49</v>
      </c>
      <c r="J32" s="70" t="s">
        <v>69</v>
      </c>
      <c r="K32" s="71">
        <v>80</v>
      </c>
      <c r="L32" s="71">
        <v>75</v>
      </c>
      <c r="M32" s="71">
        <v>70</v>
      </c>
      <c r="N32" s="71">
        <v>50</v>
      </c>
      <c r="O32" s="71" t="s">
        <v>70</v>
      </c>
      <c r="P32" s="72"/>
      <c r="Q32" s="73">
        <f t="shared" si="1"/>
        <v>0</v>
      </c>
      <c r="R32" s="74">
        <f t="shared" si="2"/>
        <v>0</v>
      </c>
    </row>
    <row r="33" spans="1:18" s="75" customFormat="1" ht="147" customHeight="1" x14ac:dyDescent="0.25">
      <c r="A33" s="250"/>
      <c r="B33" s="251"/>
      <c r="C33" s="252"/>
      <c r="D33" s="65" t="s">
        <v>86</v>
      </c>
      <c r="E33" s="66">
        <f>C25/10</f>
        <v>2.7179285042903492</v>
      </c>
      <c r="F33" s="66">
        <f t="shared" si="0"/>
        <v>9.0597616809678296</v>
      </c>
      <c r="G33" s="65" t="s">
        <v>87</v>
      </c>
      <c r="H33" s="76">
        <v>80</v>
      </c>
      <c r="I33" s="76" t="s">
        <v>49</v>
      </c>
      <c r="J33" s="70" t="s">
        <v>69</v>
      </c>
      <c r="K33" s="71">
        <v>80</v>
      </c>
      <c r="L33" s="71">
        <v>75</v>
      </c>
      <c r="M33" s="71">
        <v>70</v>
      </c>
      <c r="N33" s="71">
        <v>50</v>
      </c>
      <c r="O33" s="71" t="s">
        <v>70</v>
      </c>
      <c r="P33" s="72"/>
      <c r="Q33" s="73">
        <f t="shared" si="1"/>
        <v>0</v>
      </c>
      <c r="R33" s="74">
        <f t="shared" si="2"/>
        <v>0</v>
      </c>
    </row>
    <row r="34" spans="1:18" s="75" customFormat="1" ht="147" customHeight="1" x14ac:dyDescent="0.25">
      <c r="A34" s="253"/>
      <c r="B34" s="254"/>
      <c r="C34" s="255"/>
      <c r="D34" s="65" t="s">
        <v>88</v>
      </c>
      <c r="E34" s="66">
        <f>C25/10</f>
        <v>2.7179285042903492</v>
      </c>
      <c r="F34" s="66">
        <f t="shared" si="0"/>
        <v>9.0597616809678296</v>
      </c>
      <c r="G34" s="65" t="s">
        <v>89</v>
      </c>
      <c r="H34" s="77">
        <v>0.8</v>
      </c>
      <c r="I34" s="76" t="s">
        <v>49</v>
      </c>
      <c r="J34" s="70" t="s">
        <v>69</v>
      </c>
      <c r="K34" s="71">
        <v>80</v>
      </c>
      <c r="L34" s="71">
        <v>75</v>
      </c>
      <c r="M34" s="71">
        <v>70</v>
      </c>
      <c r="N34" s="71">
        <v>50</v>
      </c>
      <c r="O34" s="71" t="s">
        <v>70</v>
      </c>
      <c r="P34" s="72"/>
      <c r="Q34" s="73">
        <f t="shared" si="1"/>
        <v>0</v>
      </c>
      <c r="R34" s="74">
        <f t="shared" si="2"/>
        <v>0</v>
      </c>
    </row>
    <row r="35" spans="1:18" s="75" customFormat="1" ht="147" customHeight="1" x14ac:dyDescent="0.25">
      <c r="A35" s="76">
        <v>4</v>
      </c>
      <c r="B35" s="65" t="s">
        <v>90</v>
      </c>
      <c r="C35" s="78">
        <f>0.3*1.5918255965556</f>
        <v>0.47754767896667999</v>
      </c>
      <c r="D35" s="65" t="s">
        <v>91</v>
      </c>
      <c r="E35" s="66">
        <f>C35</f>
        <v>0.47754767896667999</v>
      </c>
      <c r="F35" s="66">
        <f t="shared" si="0"/>
        <v>1.5918255965555996</v>
      </c>
      <c r="G35" s="67" t="s">
        <v>92</v>
      </c>
      <c r="H35" s="76">
        <v>5</v>
      </c>
      <c r="I35" s="69" t="s">
        <v>57</v>
      </c>
      <c r="J35" s="70" t="s">
        <v>58</v>
      </c>
      <c r="K35" s="71">
        <v>5</v>
      </c>
      <c r="L35" s="71">
        <v>4</v>
      </c>
      <c r="M35" s="71">
        <v>3</v>
      </c>
      <c r="N35" s="71">
        <v>2</v>
      </c>
      <c r="O35" s="71">
        <v>1</v>
      </c>
      <c r="P35" s="72"/>
      <c r="Q35" s="73">
        <f t="shared" si="1"/>
        <v>0</v>
      </c>
      <c r="R35" s="74">
        <f t="shared" si="2"/>
        <v>0</v>
      </c>
    </row>
    <row r="36" spans="1:18" s="75" customFormat="1" ht="147" customHeight="1" x14ac:dyDescent="0.25">
      <c r="A36" s="247">
        <v>5</v>
      </c>
      <c r="B36" s="248" t="s">
        <v>93</v>
      </c>
      <c r="C36" s="257">
        <f>0.3 *3.18365119311119</f>
        <v>0.95509535793335698</v>
      </c>
      <c r="D36" s="65" t="s">
        <v>94</v>
      </c>
      <c r="E36" s="66">
        <f>C36/2</f>
        <v>0.47754767896667849</v>
      </c>
      <c r="F36" s="66">
        <f t="shared" si="0"/>
        <v>1.5918255965555947</v>
      </c>
      <c r="G36" s="67" t="s">
        <v>95</v>
      </c>
      <c r="H36" s="77">
        <v>0.8</v>
      </c>
      <c r="I36" s="76" t="s">
        <v>49</v>
      </c>
      <c r="J36" s="70" t="s">
        <v>69</v>
      </c>
      <c r="K36" s="71">
        <v>80</v>
      </c>
      <c r="L36" s="71">
        <v>75</v>
      </c>
      <c r="M36" s="71">
        <v>70</v>
      </c>
      <c r="N36" s="71">
        <v>50</v>
      </c>
      <c r="O36" s="71" t="s">
        <v>70</v>
      </c>
      <c r="P36" s="72"/>
      <c r="Q36" s="73">
        <f t="shared" si="1"/>
        <v>0</v>
      </c>
      <c r="R36" s="74">
        <f t="shared" si="2"/>
        <v>0</v>
      </c>
    </row>
    <row r="37" spans="1:18" s="75" customFormat="1" ht="147" customHeight="1" x14ac:dyDescent="0.25">
      <c r="A37" s="253"/>
      <c r="B37" s="254"/>
      <c r="C37" s="258"/>
      <c r="D37" s="65" t="s">
        <v>96</v>
      </c>
      <c r="E37" s="66">
        <f>C36/2</f>
        <v>0.47754767896667849</v>
      </c>
      <c r="F37" s="66">
        <f t="shared" si="0"/>
        <v>1.5918255965555947</v>
      </c>
      <c r="G37" s="67" t="s">
        <v>97</v>
      </c>
      <c r="H37" s="77">
        <v>0.8</v>
      </c>
      <c r="I37" s="76" t="s">
        <v>49</v>
      </c>
      <c r="J37" s="70" t="s">
        <v>69</v>
      </c>
      <c r="K37" s="71">
        <v>80</v>
      </c>
      <c r="L37" s="71">
        <v>75</v>
      </c>
      <c r="M37" s="71">
        <v>70</v>
      </c>
      <c r="N37" s="71">
        <v>50</v>
      </c>
      <c r="O37" s="71" t="s">
        <v>70</v>
      </c>
      <c r="P37" s="72"/>
      <c r="Q37" s="73">
        <f t="shared" si="1"/>
        <v>0</v>
      </c>
      <c r="R37" s="74">
        <f t="shared" si="2"/>
        <v>0</v>
      </c>
    </row>
    <row r="38" spans="1:18" s="75" customFormat="1" ht="147" customHeight="1" x14ac:dyDescent="0.25">
      <c r="A38" s="259">
        <v>6</v>
      </c>
      <c r="B38" s="260" t="s">
        <v>98</v>
      </c>
      <c r="C38" s="261">
        <f>0.3 *1.0612170643704</f>
        <v>0.31836511931111999</v>
      </c>
      <c r="D38" s="65" t="s">
        <v>99</v>
      </c>
      <c r="E38" s="66">
        <f>C38</f>
        <v>0.31836511931111999</v>
      </c>
      <c r="F38" s="66">
        <f t="shared" si="0"/>
        <v>1.0612170643703998</v>
      </c>
      <c r="G38" s="67" t="s">
        <v>100</v>
      </c>
      <c r="H38" s="77">
        <v>0.8</v>
      </c>
      <c r="I38" s="76" t="s">
        <v>49</v>
      </c>
      <c r="J38" s="70" t="s">
        <v>69</v>
      </c>
      <c r="K38" s="71">
        <v>80</v>
      </c>
      <c r="L38" s="71">
        <v>75</v>
      </c>
      <c r="M38" s="71">
        <v>70</v>
      </c>
      <c r="N38" s="71">
        <v>50</v>
      </c>
      <c r="O38" s="71" t="s">
        <v>70</v>
      </c>
      <c r="P38" s="72"/>
      <c r="Q38" s="73">
        <f t="shared" si="1"/>
        <v>0</v>
      </c>
      <c r="R38" s="74">
        <f t="shared" si="2"/>
        <v>0</v>
      </c>
    </row>
    <row r="39" spans="1:18" s="75" customFormat="1" ht="147" customHeight="1" x14ac:dyDescent="0.25">
      <c r="A39" s="76">
        <v>7</v>
      </c>
      <c r="B39" s="65" t="s">
        <v>101</v>
      </c>
      <c r="C39" s="78">
        <f>0.3 *0.424486825748159</f>
        <v>0.12734604772444769</v>
      </c>
      <c r="D39" s="260" t="s">
        <v>102</v>
      </c>
      <c r="E39" s="66">
        <f>C39</f>
        <v>0.12734604772444769</v>
      </c>
      <c r="F39" s="66">
        <f t="shared" si="0"/>
        <v>0.42448682574815888</v>
      </c>
      <c r="G39" s="67" t="s">
        <v>103</v>
      </c>
      <c r="H39" s="68">
        <v>0.7</v>
      </c>
      <c r="I39" s="76" t="s">
        <v>49</v>
      </c>
      <c r="J39" s="70" t="s">
        <v>104</v>
      </c>
      <c r="K39" s="71">
        <v>70</v>
      </c>
      <c r="L39" s="71">
        <v>60</v>
      </c>
      <c r="M39" s="71">
        <v>50</v>
      </c>
      <c r="N39" s="71">
        <v>40</v>
      </c>
      <c r="O39" s="71" t="s">
        <v>105</v>
      </c>
      <c r="P39" s="72"/>
      <c r="Q39" s="73">
        <f t="shared" si="1"/>
        <v>0</v>
      </c>
      <c r="R39" s="74">
        <f t="shared" si="2"/>
        <v>0</v>
      </c>
    </row>
    <row r="40" spans="1:18" s="75" customFormat="1" ht="147" customHeight="1" x14ac:dyDescent="0.25">
      <c r="A40" s="76">
        <v>8</v>
      </c>
      <c r="B40" s="65" t="s">
        <v>106</v>
      </c>
      <c r="C40" s="78">
        <f>0.3 *0.424486825748159</f>
        <v>0.12734604772444769</v>
      </c>
      <c r="D40" s="67" t="s">
        <v>107</v>
      </c>
      <c r="E40" s="66">
        <f>C40</f>
        <v>0.12734604772444769</v>
      </c>
      <c r="F40" s="66">
        <f t="shared" si="0"/>
        <v>0.42448682574815888</v>
      </c>
      <c r="G40" s="67" t="s">
        <v>108</v>
      </c>
      <c r="H40" s="68">
        <v>0.5</v>
      </c>
      <c r="I40" s="69" t="s">
        <v>49</v>
      </c>
      <c r="J40" s="70" t="s">
        <v>64</v>
      </c>
      <c r="K40" s="71">
        <v>50</v>
      </c>
      <c r="L40" s="71">
        <v>45</v>
      </c>
      <c r="M40" s="71">
        <v>40</v>
      </c>
      <c r="N40" s="71">
        <v>25</v>
      </c>
      <c r="O40" s="71" t="s">
        <v>65</v>
      </c>
      <c r="P40" s="72">
        <v>0</v>
      </c>
      <c r="Q40" s="73">
        <f t="shared" si="1"/>
        <v>0</v>
      </c>
      <c r="R40" s="74">
        <f t="shared" si="2"/>
        <v>0</v>
      </c>
    </row>
    <row r="41" spans="1:18" s="89" customFormat="1" ht="44.25" x14ac:dyDescent="0.25">
      <c r="A41" s="79"/>
      <c r="B41" s="80" t="s">
        <v>109</v>
      </c>
      <c r="C41" s="81">
        <f>SUM(C19:C40)</f>
        <v>30.000000000000007</v>
      </c>
      <c r="D41" s="80"/>
      <c r="E41" s="81">
        <f>SUM(E19:E40)</f>
        <v>30.000000000000007</v>
      </c>
      <c r="F41" s="81">
        <f>SUM(F19:F40)</f>
        <v>100</v>
      </c>
      <c r="G41" s="82"/>
      <c r="H41" s="83"/>
      <c r="I41" s="84"/>
      <c r="J41" s="85"/>
      <c r="K41" s="85"/>
      <c r="L41" s="85"/>
      <c r="M41" s="85"/>
      <c r="N41" s="85"/>
      <c r="O41" s="85"/>
      <c r="P41" s="86"/>
      <c r="Q41" s="87"/>
      <c r="R41" s="88">
        <f>SUM(R19:R40)</f>
        <v>0</v>
      </c>
    </row>
    <row r="42" spans="1:18" s="91" customFormat="1" ht="66" customHeight="1" x14ac:dyDescent="0.7">
      <c r="A42" s="90"/>
      <c r="G42" s="92"/>
      <c r="H42" s="92"/>
      <c r="I42" s="93" t="s">
        <v>159</v>
      </c>
      <c r="J42" s="94"/>
      <c r="K42" s="94"/>
      <c r="L42" s="94"/>
      <c r="M42" s="94"/>
      <c r="N42" s="94"/>
      <c r="O42" s="94"/>
      <c r="P42" s="94"/>
      <c r="Q42" s="95"/>
      <c r="R42" s="96">
        <f>R41/100 * 70</f>
        <v>0</v>
      </c>
    </row>
    <row r="43" spans="1:18" s="105" customFormat="1" ht="36" x14ac:dyDescent="0.55000000000000004">
      <c r="A43" s="97" t="s">
        <v>110</v>
      </c>
      <c r="B43" s="98"/>
      <c r="C43" s="98"/>
      <c r="D43" s="98"/>
      <c r="E43" s="98"/>
      <c r="F43" s="98"/>
      <c r="G43" s="99"/>
      <c r="H43" s="100"/>
      <c r="I43" s="100"/>
      <c r="J43" s="100"/>
      <c r="K43" s="100"/>
      <c r="L43" s="55" t="s">
        <v>115</v>
      </c>
      <c r="M43" s="101" t="s">
        <v>111</v>
      </c>
      <c r="N43" s="101"/>
      <c r="O43" s="101"/>
      <c r="P43" s="102"/>
      <c r="Q43" s="103"/>
      <c r="R43" s="104"/>
    </row>
    <row r="44" spans="1:18" s="105" customFormat="1" ht="31.5" customHeight="1" x14ac:dyDescent="0.55000000000000004">
      <c r="A44" s="106"/>
      <c r="B44" s="107"/>
      <c r="C44" s="108" t="s">
        <v>112</v>
      </c>
      <c r="D44" s="108"/>
      <c r="E44" s="108"/>
      <c r="F44" s="108"/>
      <c r="G44" s="108"/>
      <c r="H44" s="109" t="s">
        <v>160</v>
      </c>
      <c r="I44" s="109" t="s">
        <v>161</v>
      </c>
      <c r="J44" s="109"/>
      <c r="K44" s="110"/>
      <c r="L44" s="63"/>
      <c r="M44" s="111"/>
      <c r="N44" s="111"/>
      <c r="O44" s="111"/>
      <c r="P44" s="112"/>
      <c r="Q44" s="103"/>
      <c r="R44" s="104"/>
    </row>
    <row r="45" spans="1:18" s="105" customFormat="1" ht="36" customHeight="1" x14ac:dyDescent="0.55000000000000004">
      <c r="A45" s="113">
        <v>1</v>
      </c>
      <c r="B45" s="114" t="s">
        <v>116</v>
      </c>
      <c r="C45" s="115"/>
      <c r="D45" s="116"/>
      <c r="E45" s="116"/>
      <c r="F45" s="116"/>
      <c r="G45" s="117"/>
      <c r="H45" s="118"/>
      <c r="I45" s="118"/>
      <c r="J45" s="118"/>
      <c r="K45" s="118"/>
      <c r="L45" s="119"/>
      <c r="M45" s="120" t="s">
        <v>40</v>
      </c>
      <c r="N45" s="121" t="s">
        <v>117</v>
      </c>
      <c r="O45" s="122"/>
      <c r="P45" s="112"/>
      <c r="Q45" s="103"/>
      <c r="R45" s="104"/>
    </row>
    <row r="46" spans="1:18" s="105" customFormat="1" ht="84.75" customHeight="1" x14ac:dyDescent="0.55000000000000004">
      <c r="A46" s="123" t="s">
        <v>118</v>
      </c>
      <c r="B46" s="124" t="s">
        <v>162</v>
      </c>
      <c r="C46" s="125"/>
      <c r="D46" s="126"/>
      <c r="E46" s="126"/>
      <c r="F46" s="126"/>
      <c r="G46" s="127"/>
      <c r="H46" s="128">
        <v>4</v>
      </c>
      <c r="I46" s="129"/>
      <c r="J46" s="128"/>
      <c r="K46" s="128"/>
      <c r="L46" s="119"/>
      <c r="M46" s="120" t="s">
        <v>41</v>
      </c>
      <c r="N46" s="121" t="s">
        <v>119</v>
      </c>
      <c r="O46" s="122"/>
      <c r="P46" s="112"/>
      <c r="Q46" s="103"/>
      <c r="R46" s="104"/>
    </row>
    <row r="47" spans="1:18" s="105" customFormat="1" ht="82.5" customHeight="1" x14ac:dyDescent="0.55000000000000004">
      <c r="A47" s="123" t="s">
        <v>120</v>
      </c>
      <c r="B47" s="124" t="s">
        <v>163</v>
      </c>
      <c r="C47" s="125"/>
      <c r="D47" s="126"/>
      <c r="E47" s="126"/>
      <c r="F47" s="126"/>
      <c r="G47" s="127"/>
      <c r="H47" s="128">
        <v>2</v>
      </c>
      <c r="I47" s="129"/>
      <c r="J47" s="128"/>
      <c r="K47" s="128"/>
      <c r="L47" s="119"/>
      <c r="M47" s="120" t="s">
        <v>42</v>
      </c>
      <c r="N47" s="121" t="s">
        <v>121</v>
      </c>
      <c r="O47" s="122"/>
      <c r="P47" s="112"/>
      <c r="Q47" s="103"/>
      <c r="R47" s="104"/>
    </row>
    <row r="48" spans="1:18" s="105" customFormat="1" ht="78.75" customHeight="1" x14ac:dyDescent="0.55000000000000004">
      <c r="A48" s="123" t="s">
        <v>122</v>
      </c>
      <c r="B48" s="124" t="s">
        <v>123</v>
      </c>
      <c r="C48" s="125"/>
      <c r="D48" s="126"/>
      <c r="E48" s="126"/>
      <c r="F48" s="126"/>
      <c r="G48" s="127"/>
      <c r="H48" s="128">
        <v>2</v>
      </c>
      <c r="I48" s="129"/>
      <c r="J48" s="128"/>
      <c r="K48" s="128"/>
      <c r="L48" s="119"/>
      <c r="M48" s="120" t="s">
        <v>43</v>
      </c>
      <c r="N48" s="121" t="s">
        <v>124</v>
      </c>
      <c r="O48" s="122"/>
      <c r="P48" s="112"/>
      <c r="Q48" s="103"/>
      <c r="R48" s="104"/>
    </row>
    <row r="49" spans="1:18" s="105" customFormat="1" ht="36" x14ac:dyDescent="0.55000000000000004">
      <c r="A49" s="130">
        <v>2</v>
      </c>
      <c r="B49" s="131" t="s">
        <v>125</v>
      </c>
      <c r="C49" s="132"/>
      <c r="D49" s="133"/>
      <c r="E49" s="133"/>
      <c r="F49" s="133"/>
      <c r="G49" s="134"/>
      <c r="H49" s="128"/>
      <c r="I49" s="129"/>
      <c r="J49" s="128"/>
      <c r="K49" s="128"/>
      <c r="L49" s="119"/>
      <c r="M49" s="120" t="s">
        <v>44</v>
      </c>
      <c r="N49" s="121" t="s">
        <v>126</v>
      </c>
      <c r="O49" s="122"/>
      <c r="P49" s="112"/>
      <c r="Q49" s="103"/>
      <c r="R49" s="104"/>
    </row>
    <row r="50" spans="1:18" s="105" customFormat="1" ht="82.5" customHeight="1" x14ac:dyDescent="0.55000000000000004">
      <c r="A50" s="123" t="s">
        <v>118</v>
      </c>
      <c r="B50" s="135" t="s">
        <v>164</v>
      </c>
      <c r="C50" s="136"/>
      <c r="D50" s="137"/>
      <c r="E50" s="137"/>
      <c r="F50" s="137"/>
      <c r="G50" s="138"/>
      <c r="H50" s="128">
        <v>2</v>
      </c>
      <c r="I50" s="129"/>
      <c r="J50" s="128"/>
      <c r="K50" s="128"/>
      <c r="L50" s="119"/>
      <c r="M50" s="120" t="s">
        <v>45</v>
      </c>
      <c r="N50" s="121" t="s">
        <v>127</v>
      </c>
      <c r="O50" s="122"/>
      <c r="P50" s="139"/>
      <c r="Q50" s="103"/>
      <c r="R50" s="104"/>
    </row>
    <row r="51" spans="1:18" s="105" customFormat="1" ht="114.75" customHeight="1" x14ac:dyDescent="0.55000000000000004">
      <c r="A51" s="123" t="s">
        <v>120</v>
      </c>
      <c r="B51" s="135" t="s">
        <v>165</v>
      </c>
      <c r="C51" s="136"/>
      <c r="D51" s="137"/>
      <c r="E51" s="137"/>
      <c r="F51" s="137"/>
      <c r="G51" s="138"/>
      <c r="H51" s="128">
        <v>2</v>
      </c>
      <c r="I51" s="129"/>
      <c r="J51" s="128"/>
      <c r="K51" s="128"/>
      <c r="L51" s="119"/>
      <c r="M51" s="112" t="s">
        <v>115</v>
      </c>
      <c r="N51" s="140" t="s">
        <v>128</v>
      </c>
      <c r="O51" s="141"/>
      <c r="P51" s="139"/>
      <c r="Q51" s="103"/>
      <c r="R51" s="104"/>
    </row>
    <row r="52" spans="1:18" s="105" customFormat="1" ht="72" customHeight="1" x14ac:dyDescent="0.55000000000000004">
      <c r="A52" s="123" t="s">
        <v>122</v>
      </c>
      <c r="B52" s="135" t="s">
        <v>166</v>
      </c>
      <c r="C52" s="136"/>
      <c r="D52" s="137"/>
      <c r="E52" s="137"/>
      <c r="F52" s="137"/>
      <c r="G52" s="138"/>
      <c r="H52" s="128">
        <v>2</v>
      </c>
      <c r="I52" s="129"/>
      <c r="J52" s="128"/>
      <c r="K52" s="128"/>
      <c r="L52" s="119"/>
      <c r="M52" s="112" t="s">
        <v>129</v>
      </c>
      <c r="N52" s="140" t="s">
        <v>130</v>
      </c>
      <c r="O52" s="141"/>
      <c r="P52" s="139"/>
      <c r="Q52" s="103"/>
      <c r="R52" s="104"/>
    </row>
    <row r="53" spans="1:18" s="105" customFormat="1" ht="66" customHeight="1" x14ac:dyDescent="0.55000000000000004">
      <c r="A53" s="130">
        <v>3</v>
      </c>
      <c r="B53" s="131" t="s">
        <v>131</v>
      </c>
      <c r="C53" s="132"/>
      <c r="D53" s="133"/>
      <c r="E53" s="133"/>
      <c r="F53" s="133"/>
      <c r="G53" s="134"/>
      <c r="H53" s="128"/>
      <c r="I53" s="129"/>
      <c r="J53" s="128"/>
      <c r="K53" s="128"/>
      <c r="L53" s="119"/>
      <c r="M53" s="112" t="s">
        <v>113</v>
      </c>
      <c r="N53" s="140" t="s">
        <v>132</v>
      </c>
      <c r="O53" s="141"/>
      <c r="P53" s="139"/>
      <c r="Q53" s="103"/>
      <c r="R53" s="104"/>
    </row>
    <row r="54" spans="1:18" s="105" customFormat="1" ht="72" customHeight="1" x14ac:dyDescent="0.55000000000000004">
      <c r="A54" s="123" t="s">
        <v>118</v>
      </c>
      <c r="B54" s="135" t="s">
        <v>133</v>
      </c>
      <c r="C54" s="142"/>
      <c r="D54" s="143"/>
      <c r="E54" s="143"/>
      <c r="F54" s="143"/>
      <c r="G54" s="144"/>
      <c r="H54" s="128">
        <v>2</v>
      </c>
      <c r="I54" s="129"/>
      <c r="J54" s="128"/>
      <c r="K54" s="128"/>
      <c r="L54" s="119"/>
      <c r="M54" s="112" t="s">
        <v>114</v>
      </c>
      <c r="N54" s="140" t="s">
        <v>134</v>
      </c>
      <c r="O54" s="141"/>
      <c r="P54" s="139"/>
      <c r="Q54" s="103"/>
      <c r="R54" s="104"/>
    </row>
    <row r="55" spans="1:18" s="105" customFormat="1" ht="72" customHeight="1" x14ac:dyDescent="0.55000000000000004">
      <c r="A55" s="123" t="s">
        <v>120</v>
      </c>
      <c r="B55" s="135" t="s">
        <v>167</v>
      </c>
      <c r="C55" s="142"/>
      <c r="D55" s="143"/>
      <c r="E55" s="143"/>
      <c r="F55" s="143"/>
      <c r="G55" s="144"/>
      <c r="H55" s="128">
        <v>2</v>
      </c>
      <c r="I55" s="129"/>
      <c r="J55" s="128"/>
      <c r="K55" s="128"/>
      <c r="L55" s="119"/>
      <c r="M55" s="112" t="s">
        <v>135</v>
      </c>
      <c r="N55" s="140" t="s">
        <v>136</v>
      </c>
      <c r="O55" s="141"/>
      <c r="P55" s="139"/>
      <c r="Q55" s="103"/>
      <c r="R55" s="104"/>
    </row>
    <row r="56" spans="1:18" s="105" customFormat="1" ht="44.25" customHeight="1" x14ac:dyDescent="0.55000000000000004">
      <c r="A56" s="123" t="s">
        <v>122</v>
      </c>
      <c r="B56" s="135" t="s">
        <v>168</v>
      </c>
      <c r="C56" s="142"/>
      <c r="D56" s="143"/>
      <c r="E56" s="143"/>
      <c r="F56" s="143"/>
      <c r="G56" s="144"/>
      <c r="H56" s="128">
        <v>2</v>
      </c>
      <c r="I56" s="129"/>
      <c r="J56" s="128"/>
      <c r="K56" s="128"/>
      <c r="L56" s="119"/>
      <c r="M56" s="145"/>
      <c r="N56" s="145"/>
      <c r="O56" s="145"/>
      <c r="P56" s="146"/>
      <c r="Q56" s="103"/>
      <c r="R56" s="104"/>
    </row>
    <row r="57" spans="1:18" s="105" customFormat="1" ht="31.5" customHeight="1" x14ac:dyDescent="0.55000000000000004">
      <c r="A57" s="147" t="s">
        <v>137</v>
      </c>
      <c r="B57" s="148"/>
      <c r="C57" s="148"/>
      <c r="D57" s="148"/>
      <c r="E57" s="148"/>
      <c r="F57" s="148"/>
      <c r="G57" s="148"/>
      <c r="H57" s="149">
        <f>SUM(H46:H56)</f>
        <v>20</v>
      </c>
      <c r="I57" s="149">
        <f>SUM(I46:I56)</f>
        <v>0</v>
      </c>
      <c r="J57" s="149"/>
      <c r="K57" s="150"/>
      <c r="L57" s="119"/>
      <c r="M57" s="145"/>
      <c r="N57" s="145"/>
      <c r="O57" s="145"/>
      <c r="P57" s="146"/>
      <c r="Q57" s="103"/>
      <c r="R57" s="104"/>
    </row>
    <row r="58" spans="1:18" s="105" customFormat="1" ht="36" customHeight="1" x14ac:dyDescent="0.55000000000000004">
      <c r="A58" s="151" t="s">
        <v>118</v>
      </c>
      <c r="B58" s="152" t="s">
        <v>138</v>
      </c>
      <c r="C58" s="136" t="s">
        <v>139</v>
      </c>
      <c r="D58" s="137"/>
      <c r="E58" s="137"/>
      <c r="F58" s="137"/>
      <c r="G58" s="138"/>
      <c r="H58" s="153">
        <v>4</v>
      </c>
      <c r="I58" s="154"/>
      <c r="J58" s="153"/>
      <c r="K58" s="155"/>
      <c r="L58" s="119"/>
      <c r="M58" s="145"/>
      <c r="N58" s="145"/>
      <c r="O58" s="145"/>
      <c r="P58" s="146"/>
      <c r="Q58" s="103"/>
      <c r="R58" s="104"/>
    </row>
    <row r="59" spans="1:18" s="105" customFormat="1" ht="129" customHeight="1" x14ac:dyDescent="0.55000000000000004">
      <c r="A59" s="151" t="s">
        <v>120</v>
      </c>
      <c r="B59" s="152" t="s">
        <v>140</v>
      </c>
      <c r="C59" s="136" t="s">
        <v>141</v>
      </c>
      <c r="D59" s="137"/>
      <c r="E59" s="137"/>
      <c r="F59" s="137"/>
      <c r="G59" s="138"/>
      <c r="H59" s="153">
        <v>3</v>
      </c>
      <c r="I59" s="154"/>
      <c r="J59" s="153"/>
      <c r="K59" s="155"/>
      <c r="L59" s="119"/>
      <c r="M59" s="145"/>
      <c r="N59" s="145"/>
      <c r="O59" s="145"/>
      <c r="P59" s="146"/>
      <c r="Q59" s="103"/>
      <c r="R59" s="104"/>
    </row>
    <row r="60" spans="1:18" s="105" customFormat="1" ht="69" customHeight="1" x14ac:dyDescent="0.55000000000000004">
      <c r="A60" s="151" t="s">
        <v>120</v>
      </c>
      <c r="B60" s="152" t="s">
        <v>142</v>
      </c>
      <c r="C60" s="136" t="s">
        <v>143</v>
      </c>
      <c r="D60" s="137"/>
      <c r="E60" s="137"/>
      <c r="F60" s="137"/>
      <c r="G60" s="138"/>
      <c r="H60" s="153">
        <v>3</v>
      </c>
      <c r="I60" s="154"/>
      <c r="J60" s="153"/>
      <c r="K60" s="155"/>
      <c r="L60" s="119"/>
      <c r="M60" s="145"/>
      <c r="N60" s="145"/>
      <c r="O60" s="145"/>
      <c r="P60" s="146"/>
      <c r="Q60" s="103"/>
      <c r="R60" s="104"/>
    </row>
    <row r="61" spans="1:18" s="105" customFormat="1" ht="46.5" customHeight="1" x14ac:dyDescent="0.55000000000000004">
      <c r="A61" s="156"/>
      <c r="B61" s="157" t="s">
        <v>144</v>
      </c>
      <c r="C61" s="157"/>
      <c r="D61" s="157"/>
      <c r="E61" s="158"/>
      <c r="F61" s="158"/>
      <c r="G61" s="158"/>
      <c r="H61" s="149">
        <f>SUM(H58:H60)</f>
        <v>10</v>
      </c>
      <c r="I61" s="149">
        <f>SUM(I58:I60)</f>
        <v>0</v>
      </c>
      <c r="J61" s="158"/>
      <c r="K61" s="159"/>
      <c r="L61" s="145"/>
      <c r="M61" s="145"/>
      <c r="N61" s="145"/>
      <c r="O61" s="145"/>
      <c r="P61" s="146"/>
      <c r="Q61" s="103"/>
      <c r="R61" s="104"/>
    </row>
    <row r="62" spans="1:18" s="167" customFormat="1" ht="45" customHeight="1" x14ac:dyDescent="0.7">
      <c r="A62" s="160"/>
      <c r="B62" s="161"/>
      <c r="C62" s="162"/>
      <c r="D62" s="162"/>
      <c r="E62" s="162"/>
      <c r="F62" s="163"/>
      <c r="G62" s="163"/>
      <c r="H62" s="163"/>
      <c r="I62" s="163"/>
      <c r="J62" s="163"/>
      <c r="K62" s="162"/>
      <c r="L62" s="162"/>
      <c r="M62" s="162"/>
      <c r="N62" s="162"/>
      <c r="O62" s="164" t="s">
        <v>169</v>
      </c>
      <c r="P62" s="165"/>
      <c r="Q62" s="164" t="s">
        <v>170</v>
      </c>
      <c r="R62" s="166"/>
    </row>
    <row r="63" spans="1:18" s="167" customFormat="1" ht="45" customHeight="1" x14ac:dyDescent="0.7">
      <c r="A63" s="160"/>
      <c r="B63" s="168"/>
      <c r="C63" s="169" t="s">
        <v>171</v>
      </c>
      <c r="D63" s="170"/>
      <c r="E63" s="170"/>
      <c r="F63" s="170"/>
      <c r="G63" s="170"/>
      <c r="H63" s="170"/>
      <c r="I63" s="170"/>
      <c r="J63" s="170"/>
      <c r="K63" s="171"/>
      <c r="L63" s="172"/>
      <c r="M63" s="173"/>
      <c r="N63" s="174"/>
      <c r="O63" s="175">
        <f>R42</f>
        <v>0</v>
      </c>
      <c r="P63" s="176"/>
      <c r="Q63" s="177">
        <f>O66/100 * 20</f>
        <v>0</v>
      </c>
      <c r="R63" s="178"/>
    </row>
    <row r="64" spans="1:18" s="167" customFormat="1" ht="45" customHeight="1" x14ac:dyDescent="0.7">
      <c r="A64" s="160"/>
      <c r="B64" s="168"/>
      <c r="C64" s="170" t="s">
        <v>172</v>
      </c>
      <c r="D64" s="170"/>
      <c r="E64" s="170"/>
      <c r="F64" s="170"/>
      <c r="G64" s="170"/>
      <c r="H64" s="170"/>
      <c r="I64" s="170"/>
      <c r="J64" s="170"/>
      <c r="K64" s="170"/>
      <c r="L64" s="173"/>
      <c r="M64" s="173"/>
      <c r="N64" s="174"/>
      <c r="O64" s="175">
        <f>I57</f>
        <v>0</v>
      </c>
      <c r="P64" s="176"/>
      <c r="Q64" s="179"/>
      <c r="R64" s="180"/>
    </row>
    <row r="65" spans="1:18" s="167" customFormat="1" ht="45" customHeight="1" x14ac:dyDescent="0.7">
      <c r="A65" s="160"/>
      <c r="B65" s="168"/>
      <c r="C65" s="169" t="s">
        <v>173</v>
      </c>
      <c r="D65" s="170"/>
      <c r="E65" s="170"/>
      <c r="F65" s="170"/>
      <c r="G65" s="170"/>
      <c r="H65" s="170"/>
      <c r="I65" s="170"/>
      <c r="J65" s="170"/>
      <c r="K65" s="171"/>
      <c r="L65" s="172"/>
      <c r="M65" s="173"/>
      <c r="N65" s="174"/>
      <c r="O65" s="175">
        <f>I61</f>
        <v>0</v>
      </c>
      <c r="P65" s="176"/>
      <c r="Q65" s="179"/>
      <c r="R65" s="180"/>
    </row>
    <row r="66" spans="1:18" s="167" customFormat="1" ht="45" customHeight="1" x14ac:dyDescent="0.7">
      <c r="A66" s="160"/>
      <c r="B66" s="181"/>
      <c r="C66" s="169" t="s">
        <v>174</v>
      </c>
      <c r="D66" s="170"/>
      <c r="E66" s="170"/>
      <c r="F66" s="170"/>
      <c r="G66" s="170"/>
      <c r="H66" s="170"/>
      <c r="I66" s="170"/>
      <c r="J66" s="170"/>
      <c r="K66" s="171"/>
      <c r="L66" s="172"/>
      <c r="M66" s="173"/>
      <c r="N66" s="174"/>
      <c r="O66" s="175">
        <f>SUM(O63:P65)</f>
        <v>0</v>
      </c>
      <c r="P66" s="176"/>
      <c r="Q66" s="182"/>
      <c r="R66" s="183"/>
    </row>
    <row r="67" spans="1:18" s="167" customFormat="1" ht="64.900000000000006" customHeight="1" x14ac:dyDescent="0.7">
      <c r="A67" s="160"/>
      <c r="B67" s="184" t="s">
        <v>175</v>
      </c>
      <c r="C67" s="184"/>
      <c r="D67" s="184"/>
      <c r="E67" s="184"/>
      <c r="F67" s="184"/>
      <c r="G67" s="184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6"/>
    </row>
    <row r="68" spans="1:18" s="167" customFormat="1" ht="64.900000000000006" customHeight="1" x14ac:dyDescent="0.7">
      <c r="A68" s="160"/>
      <c r="B68" s="187" t="s">
        <v>176</v>
      </c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8"/>
    </row>
    <row r="69" spans="1:18" s="167" customFormat="1" ht="48.75" customHeight="1" x14ac:dyDescent="0.7">
      <c r="A69" s="160"/>
      <c r="B69" s="189" t="s">
        <v>177</v>
      </c>
      <c r="C69" s="189"/>
      <c r="D69" s="189"/>
      <c r="E69" s="189"/>
      <c r="F69" s="189"/>
      <c r="G69" s="189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1"/>
    </row>
    <row r="70" spans="1:18" s="167" customFormat="1" ht="45.75" x14ac:dyDescent="0.7">
      <c r="A70" s="160"/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8"/>
    </row>
    <row r="71" spans="1:18" s="105" customFormat="1" ht="31.5" customHeight="1" x14ac:dyDescent="0.55000000000000004">
      <c r="A71" s="192" t="s">
        <v>178</v>
      </c>
      <c r="B71" s="193"/>
      <c r="C71" s="194"/>
      <c r="D71" s="195"/>
      <c r="E71" s="196" t="s">
        <v>179</v>
      </c>
      <c r="F71" s="197"/>
      <c r="G71" s="193" t="s">
        <v>180</v>
      </c>
      <c r="H71" s="194"/>
      <c r="I71" s="194"/>
      <c r="J71" s="194"/>
      <c r="K71" s="198"/>
      <c r="L71" s="119"/>
      <c r="M71" s="199"/>
      <c r="N71" s="199"/>
      <c r="O71" s="199"/>
      <c r="P71" s="199"/>
      <c r="Q71" s="199"/>
      <c r="R71" s="104"/>
    </row>
    <row r="72" spans="1:18" s="105" customFormat="1" ht="31.5" customHeight="1" x14ac:dyDescent="0.55000000000000004">
      <c r="A72" s="200"/>
      <c r="B72" s="201"/>
      <c r="C72" s="202"/>
      <c r="D72" s="203"/>
      <c r="E72" s="204"/>
      <c r="F72" s="205"/>
      <c r="G72" s="201"/>
      <c r="H72" s="202"/>
      <c r="I72" s="202"/>
      <c r="J72" s="202"/>
      <c r="K72" s="198"/>
      <c r="L72" s="119"/>
      <c r="M72" s="206"/>
      <c r="N72" s="206"/>
      <c r="O72" s="206"/>
      <c r="P72" s="206"/>
      <c r="Q72" s="206"/>
      <c r="R72" s="104"/>
    </row>
    <row r="73" spans="1:18" s="105" customFormat="1" ht="31.5" customHeight="1" x14ac:dyDescent="0.55000000000000004">
      <c r="A73" s="200"/>
      <c r="B73" s="201"/>
      <c r="C73" s="202"/>
      <c r="D73" s="203"/>
      <c r="E73" s="204"/>
      <c r="F73" s="205"/>
      <c r="G73" s="201"/>
      <c r="H73" s="202"/>
      <c r="I73" s="202"/>
      <c r="J73" s="202"/>
      <c r="K73" s="198"/>
      <c r="L73" s="119"/>
      <c r="M73" s="206"/>
      <c r="N73" s="206"/>
      <c r="O73" s="206"/>
      <c r="P73" s="206"/>
      <c r="Q73" s="206"/>
      <c r="R73" s="104"/>
    </row>
    <row r="74" spans="1:18" s="105" customFormat="1" ht="31.5" customHeight="1" x14ac:dyDescent="0.55000000000000004">
      <c r="A74" s="207"/>
      <c r="B74" s="208"/>
      <c r="C74" s="209"/>
      <c r="D74" s="210"/>
      <c r="E74" s="211"/>
      <c r="F74" s="212"/>
      <c r="G74" s="208"/>
      <c r="H74" s="209"/>
      <c r="I74" s="209"/>
      <c r="J74" s="209"/>
      <c r="K74" s="198"/>
      <c r="L74" s="119"/>
      <c r="M74" s="206"/>
      <c r="N74" s="206"/>
      <c r="O74" s="206"/>
      <c r="P74" s="206"/>
      <c r="Q74" s="206"/>
      <c r="R74" s="104"/>
    </row>
    <row r="75" spans="1:18" s="105" customFormat="1" ht="31.5" customHeight="1" x14ac:dyDescent="0.55000000000000004">
      <c r="A75" s="213" t="s">
        <v>145</v>
      </c>
      <c r="B75" s="214"/>
      <c r="C75" s="194"/>
      <c r="D75" s="195"/>
      <c r="E75" s="215" t="s">
        <v>181</v>
      </c>
      <c r="F75" s="197"/>
      <c r="G75" s="214" t="s">
        <v>181</v>
      </c>
      <c r="H75" s="194"/>
      <c r="I75" s="194"/>
      <c r="J75" s="194"/>
      <c r="K75" s="198"/>
      <c r="L75" s="119"/>
      <c r="M75" s="206"/>
      <c r="N75" s="206"/>
      <c r="O75" s="206"/>
      <c r="P75" s="206"/>
      <c r="Q75" s="206"/>
      <c r="R75" s="104"/>
    </row>
    <row r="76" spans="1:18" s="105" customFormat="1" ht="31.5" customHeight="1" x14ac:dyDescent="0.55000000000000004">
      <c r="A76" s="216"/>
      <c r="B76" s="217"/>
      <c r="C76" s="202"/>
      <c r="D76" s="203"/>
      <c r="E76" s="218"/>
      <c r="F76" s="205"/>
      <c r="G76" s="217"/>
      <c r="H76" s="202"/>
      <c r="I76" s="202"/>
      <c r="J76" s="202"/>
      <c r="K76" s="198"/>
      <c r="L76" s="119"/>
      <c r="M76" s="206"/>
      <c r="N76" s="206"/>
      <c r="O76" s="206"/>
      <c r="P76" s="206"/>
      <c r="Q76" s="206"/>
      <c r="R76" s="104"/>
    </row>
    <row r="77" spans="1:18" s="105" customFormat="1" ht="31.5" customHeight="1" x14ac:dyDescent="0.55000000000000004">
      <c r="A77" s="216"/>
      <c r="B77" s="217"/>
      <c r="C77" s="209"/>
      <c r="D77" s="210"/>
      <c r="E77" s="219"/>
      <c r="F77" s="212"/>
      <c r="G77" s="220"/>
      <c r="H77" s="209"/>
      <c r="I77" s="209"/>
      <c r="J77" s="209"/>
      <c r="K77" s="198"/>
      <c r="L77" s="119"/>
      <c r="M77" s="206"/>
      <c r="N77" s="206"/>
      <c r="O77" s="206"/>
      <c r="P77" s="206"/>
      <c r="Q77" s="206"/>
      <c r="R77" s="104"/>
    </row>
    <row r="78" spans="1:18" s="105" customFormat="1" ht="31.5" customHeight="1" x14ac:dyDescent="0.55000000000000004">
      <c r="A78" s="200" t="s">
        <v>146</v>
      </c>
      <c r="B78" s="201"/>
      <c r="C78" s="194"/>
      <c r="D78" s="195"/>
      <c r="E78" s="196" t="s">
        <v>182</v>
      </c>
      <c r="F78" s="197"/>
      <c r="G78" s="193" t="s">
        <v>182</v>
      </c>
      <c r="H78" s="194"/>
      <c r="I78" s="194"/>
      <c r="J78" s="194"/>
      <c r="K78" s="198"/>
      <c r="L78" s="119"/>
      <c r="M78" s="206"/>
      <c r="N78" s="206"/>
      <c r="O78" s="206"/>
      <c r="P78" s="206"/>
      <c r="Q78" s="206"/>
      <c r="R78" s="104"/>
    </row>
    <row r="79" spans="1:18" s="105" customFormat="1" ht="31.5" customHeight="1" x14ac:dyDescent="0.55000000000000004">
      <c r="A79" s="200"/>
      <c r="B79" s="201"/>
      <c r="C79" s="209"/>
      <c r="D79" s="210"/>
      <c r="E79" s="211"/>
      <c r="F79" s="212"/>
      <c r="G79" s="208"/>
      <c r="H79" s="209"/>
      <c r="I79" s="209"/>
      <c r="J79" s="209"/>
      <c r="K79" s="198"/>
      <c r="L79" s="119"/>
      <c r="M79" s="206"/>
      <c r="N79" s="206"/>
      <c r="O79" s="206"/>
      <c r="P79" s="206"/>
      <c r="Q79" s="206"/>
      <c r="R79" s="104"/>
    </row>
    <row r="80" spans="1:18" s="105" customFormat="1" ht="31.5" customHeight="1" thickBot="1" x14ac:dyDescent="0.6">
      <c r="A80" s="221"/>
      <c r="B80" s="222"/>
      <c r="C80" s="222"/>
      <c r="D80" s="222"/>
      <c r="E80" s="222"/>
      <c r="F80" s="222"/>
      <c r="G80" s="222"/>
      <c r="H80" s="222"/>
      <c r="I80" s="222"/>
      <c r="J80" s="222"/>
      <c r="K80" s="223"/>
      <c r="L80" s="224"/>
      <c r="M80" s="225"/>
      <c r="N80" s="225"/>
      <c r="O80" s="225"/>
      <c r="P80" s="225"/>
      <c r="Q80" s="225"/>
      <c r="R80" s="226"/>
    </row>
  </sheetData>
  <mergeCells count="112">
    <mergeCell ref="A80:J80"/>
    <mergeCell ref="A19:A23"/>
    <mergeCell ref="B19:B23"/>
    <mergeCell ref="C19:C23"/>
    <mergeCell ref="A25:A34"/>
    <mergeCell ref="B25:B34"/>
    <mergeCell ref="C25:C34"/>
    <mergeCell ref="A36:A37"/>
    <mergeCell ref="B36:B37"/>
    <mergeCell ref="C36:C37"/>
    <mergeCell ref="A78:B79"/>
    <mergeCell ref="C78:D79"/>
    <mergeCell ref="E78:E79"/>
    <mergeCell ref="F78:F79"/>
    <mergeCell ref="G78:G79"/>
    <mergeCell ref="H78:J79"/>
    <mergeCell ref="A75:B77"/>
    <mergeCell ref="C75:D77"/>
    <mergeCell ref="E75:E77"/>
    <mergeCell ref="F75:F77"/>
    <mergeCell ref="G75:G77"/>
    <mergeCell ref="H75:J77"/>
    <mergeCell ref="B68:R68"/>
    <mergeCell ref="B69:G69"/>
    <mergeCell ref="B70:R70"/>
    <mergeCell ref="A71:B74"/>
    <mergeCell ref="C71:D74"/>
    <mergeCell ref="E71:E74"/>
    <mergeCell ref="F71:F74"/>
    <mergeCell ref="G71:G74"/>
    <mergeCell ref="H71:J74"/>
    <mergeCell ref="M71:Q80"/>
    <mergeCell ref="L65:N65"/>
    <mergeCell ref="O65:P65"/>
    <mergeCell ref="C66:K66"/>
    <mergeCell ref="L66:N66"/>
    <mergeCell ref="O66:P66"/>
    <mergeCell ref="B67:G67"/>
    <mergeCell ref="O62:P62"/>
    <mergeCell ref="Q62:R62"/>
    <mergeCell ref="C63:K63"/>
    <mergeCell ref="L63:N63"/>
    <mergeCell ref="O63:P63"/>
    <mergeCell ref="Q63:R66"/>
    <mergeCell ref="C64:K64"/>
    <mergeCell ref="L64:N64"/>
    <mergeCell ref="O64:P64"/>
    <mergeCell ref="C65:K65"/>
    <mergeCell ref="A57:G57"/>
    <mergeCell ref="C58:G58"/>
    <mergeCell ref="C59:G59"/>
    <mergeCell ref="C60:G60"/>
    <mergeCell ref="B61:D61"/>
    <mergeCell ref="B62:B66"/>
    <mergeCell ref="F62:J62"/>
    <mergeCell ref="C51:G51"/>
    <mergeCell ref="C52:G52"/>
    <mergeCell ref="C53:G53"/>
    <mergeCell ref="C54:G54"/>
    <mergeCell ref="C55:G55"/>
    <mergeCell ref="C56:G56"/>
    <mergeCell ref="C48:G48"/>
    <mergeCell ref="N48:O48"/>
    <mergeCell ref="C49:G49"/>
    <mergeCell ref="N49:O49"/>
    <mergeCell ref="C50:G50"/>
    <mergeCell ref="N50:O50"/>
    <mergeCell ref="C45:G45"/>
    <mergeCell ref="N45:O45"/>
    <mergeCell ref="C46:G46"/>
    <mergeCell ref="N46:O46"/>
    <mergeCell ref="C47:G47"/>
    <mergeCell ref="N47:O47"/>
    <mergeCell ref="R17:R18"/>
    <mergeCell ref="I42:Q42"/>
    <mergeCell ref="A43:G43"/>
    <mergeCell ref="H43:K43"/>
    <mergeCell ref="L43:L44"/>
    <mergeCell ref="C44:G44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4" r:id="rId1" xr:uid="{0EEEC54F-9078-4B8E-9A8A-EC6626E51A4C}"/>
  </hyperlinks>
  <pageMargins left="0.7" right="0.7" top="0.75" bottom="0.75" header="0.3" footer="0.3"/>
  <pageSetup scale="14" fitToHeight="0" orientation="landscape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502B8-D5DE-4723-AC07-92C4B7072737}">
  <sheetPr>
    <pageSetUpPr fitToPage="1"/>
  </sheetPr>
  <dimension ref="A1:R80"/>
  <sheetViews>
    <sheetView zoomScale="30" zoomScaleNormal="30" workbookViewId="0">
      <selection activeCell="A19" sqref="A19:O40"/>
    </sheetView>
  </sheetViews>
  <sheetFormatPr defaultRowHeight="31.5" customHeight="1" x14ac:dyDescent="0.55000000000000004"/>
  <cols>
    <col min="1" max="1" width="15.5703125" style="227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27" bestFit="1" customWidth="1"/>
    <col min="6" max="6" width="42" style="227" customWidth="1"/>
    <col min="7" max="7" width="255.7109375" style="4" bestFit="1" customWidth="1"/>
    <col min="8" max="8" width="33" style="227" customWidth="1"/>
    <col min="9" max="9" width="62.42578125" style="227" customWidth="1"/>
    <col min="10" max="10" width="45.140625" style="227" customWidth="1"/>
    <col min="11" max="13" width="35.28515625" style="227" bestFit="1" customWidth="1"/>
    <col min="14" max="14" width="40.7109375" style="227" bestFit="1" customWidth="1"/>
    <col min="15" max="15" width="36.85546875" style="227" bestFit="1" customWidth="1"/>
    <col min="16" max="17" width="36.85546875" style="228" customWidth="1"/>
    <col min="18" max="18" width="36.85546875" style="229" customWidth="1"/>
    <col min="19" max="16384" width="9.140625" style="4"/>
  </cols>
  <sheetData>
    <row r="1" spans="1:18" ht="31.5" customHeight="1" x14ac:dyDescent="0.25">
      <c r="A1" s="1" t="s">
        <v>147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187</v>
      </c>
      <c r="C5" s="16" t="s">
        <v>2</v>
      </c>
      <c r="D5" s="17" t="s">
        <v>188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37" customFormat="1" ht="39" x14ac:dyDescent="0.6">
      <c r="A7" s="230" t="s">
        <v>4</v>
      </c>
      <c r="B7" s="231"/>
      <c r="C7" s="232" t="s">
        <v>5</v>
      </c>
      <c r="D7" s="233" t="s">
        <v>6</v>
      </c>
      <c r="E7" s="232" t="s">
        <v>7</v>
      </c>
      <c r="F7" s="233" t="s">
        <v>8</v>
      </c>
      <c r="G7" s="234" t="s">
        <v>9</v>
      </c>
      <c r="H7" s="233" t="s">
        <v>10</v>
      </c>
      <c r="I7" s="235" t="s">
        <v>11</v>
      </c>
      <c r="J7" s="236"/>
      <c r="K7" s="21"/>
      <c r="L7" s="22"/>
      <c r="M7" s="22"/>
      <c r="N7" s="22"/>
      <c r="O7" s="22"/>
      <c r="P7" s="22"/>
      <c r="Q7" s="22"/>
      <c r="R7" s="23"/>
    </row>
    <row r="8" spans="1:18" s="237" customFormat="1" ht="39.75" x14ac:dyDescent="0.6">
      <c r="A8" s="238" t="s">
        <v>12</v>
      </c>
      <c r="B8" s="239"/>
      <c r="C8" s="240" t="s">
        <v>13</v>
      </c>
      <c r="D8" s="241" t="s">
        <v>14</v>
      </c>
      <c r="E8" s="242"/>
      <c r="F8" s="241" t="s">
        <v>15</v>
      </c>
      <c r="G8" s="243"/>
      <c r="H8" s="241" t="s">
        <v>16</v>
      </c>
      <c r="I8" s="244" t="s">
        <v>17</v>
      </c>
      <c r="J8" s="245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18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37" customFormat="1" ht="39" x14ac:dyDescent="0.6">
      <c r="A10" s="230" t="s">
        <v>4</v>
      </c>
      <c r="B10" s="231"/>
      <c r="C10" s="232" t="s">
        <v>19</v>
      </c>
      <c r="D10" s="233" t="s">
        <v>6</v>
      </c>
      <c r="E10" s="232" t="s">
        <v>20</v>
      </c>
      <c r="F10" s="233" t="s">
        <v>8</v>
      </c>
      <c r="G10" s="234" t="s">
        <v>21</v>
      </c>
      <c r="H10" s="233" t="s">
        <v>10</v>
      </c>
      <c r="I10" s="235" t="s">
        <v>22</v>
      </c>
      <c r="J10" s="236"/>
      <c r="K10" s="21"/>
      <c r="L10" s="22"/>
      <c r="M10" s="22"/>
      <c r="N10" s="22"/>
      <c r="O10" s="22"/>
      <c r="P10" s="22"/>
      <c r="Q10" s="22"/>
      <c r="R10" s="23"/>
    </row>
    <row r="11" spans="1:18" s="237" customFormat="1" ht="39.75" x14ac:dyDescent="0.6">
      <c r="A11" s="238" t="s">
        <v>12</v>
      </c>
      <c r="B11" s="239"/>
      <c r="C11" s="240">
        <v>60737</v>
      </c>
      <c r="D11" s="241" t="s">
        <v>14</v>
      </c>
      <c r="E11" s="246" t="s">
        <v>23</v>
      </c>
      <c r="F11" s="241" t="s">
        <v>15</v>
      </c>
      <c r="G11" s="243"/>
      <c r="H11" s="241" t="s">
        <v>16</v>
      </c>
      <c r="I11" s="244" t="s">
        <v>17</v>
      </c>
      <c r="J11" s="245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24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237" customFormat="1" ht="39" x14ac:dyDescent="0.6">
      <c r="A13" s="230" t="s">
        <v>4</v>
      </c>
      <c r="B13" s="231"/>
      <c r="C13" s="232" t="s">
        <v>25</v>
      </c>
      <c r="D13" s="233" t="s">
        <v>6</v>
      </c>
      <c r="E13" s="232" t="s">
        <v>26</v>
      </c>
      <c r="F13" s="233" t="s">
        <v>8</v>
      </c>
      <c r="G13" s="234" t="s">
        <v>27</v>
      </c>
      <c r="H13" s="233" t="s">
        <v>10</v>
      </c>
      <c r="I13" s="235" t="s">
        <v>28</v>
      </c>
      <c r="J13" s="236"/>
      <c r="K13" s="21"/>
      <c r="L13" s="22"/>
      <c r="M13" s="22"/>
      <c r="N13" s="22"/>
      <c r="O13" s="22"/>
      <c r="P13" s="22"/>
      <c r="Q13" s="22"/>
      <c r="R13" s="23"/>
    </row>
    <row r="14" spans="1:18" s="237" customFormat="1" ht="39.75" x14ac:dyDescent="0.6">
      <c r="A14" s="238" t="s">
        <v>12</v>
      </c>
      <c r="B14" s="239"/>
      <c r="C14" s="240">
        <v>60694</v>
      </c>
      <c r="D14" s="241" t="s">
        <v>14</v>
      </c>
      <c r="E14" s="242" t="s">
        <v>29</v>
      </c>
      <c r="F14" s="241" t="s">
        <v>15</v>
      </c>
      <c r="G14" s="243"/>
      <c r="H14" s="241" t="s">
        <v>16</v>
      </c>
      <c r="I14" s="244" t="s">
        <v>17</v>
      </c>
      <c r="J14" s="245"/>
      <c r="K14" s="21"/>
      <c r="L14" s="22"/>
      <c r="M14" s="22"/>
      <c r="N14" s="22"/>
      <c r="O14" s="22"/>
      <c r="P14" s="22"/>
      <c r="Q14" s="22"/>
      <c r="R14" s="23"/>
    </row>
    <row r="15" spans="1:18" s="39" customFormat="1" ht="20.25" customHeight="1" thickBot="1" x14ac:dyDescent="0.75">
      <c r="A15" s="33"/>
      <c r="B15" s="34"/>
      <c r="C15" s="34"/>
      <c r="D15" s="34"/>
      <c r="E15" s="34"/>
      <c r="F15" s="34"/>
      <c r="G15" s="34"/>
      <c r="H15" s="34"/>
      <c r="I15" s="34"/>
      <c r="J15" s="35"/>
      <c r="K15" s="36"/>
      <c r="L15" s="37"/>
      <c r="M15" s="37"/>
      <c r="N15" s="37"/>
      <c r="O15" s="37"/>
      <c r="P15" s="37"/>
      <c r="Q15" s="37"/>
      <c r="R15" s="38"/>
    </row>
    <row r="16" spans="1:18" s="39" customFormat="1" ht="47.25" x14ac:dyDescent="0.7">
      <c r="A16" s="40" t="s">
        <v>30</v>
      </c>
      <c r="B16" s="41"/>
      <c r="C16" s="41"/>
      <c r="D16" s="41"/>
      <c r="E16" s="41"/>
      <c r="F16" s="41"/>
      <c r="G16" s="41"/>
      <c r="H16" s="41"/>
      <c r="I16" s="41"/>
      <c r="J16" s="42"/>
      <c r="K16" s="43"/>
      <c r="L16" s="44"/>
      <c r="M16" s="44"/>
      <c r="N16" s="44"/>
      <c r="O16" s="44"/>
      <c r="P16" s="45"/>
      <c r="Q16" s="45"/>
      <c r="R16" s="46"/>
    </row>
    <row r="17" spans="1:18" s="57" customFormat="1" ht="31.5" customHeight="1" x14ac:dyDescent="0.25">
      <c r="A17" s="47" t="s">
        <v>31</v>
      </c>
      <c r="B17" s="48" t="s">
        <v>32</v>
      </c>
      <c r="C17" s="49" t="s">
        <v>33</v>
      </c>
      <c r="D17" s="49" t="s">
        <v>34</v>
      </c>
      <c r="E17" s="49" t="s">
        <v>33</v>
      </c>
      <c r="F17" s="50" t="s">
        <v>35</v>
      </c>
      <c r="G17" s="50" t="s">
        <v>36</v>
      </c>
      <c r="H17" s="51" t="s">
        <v>37</v>
      </c>
      <c r="I17" s="50" t="s">
        <v>38</v>
      </c>
      <c r="J17" s="52" t="s">
        <v>39</v>
      </c>
      <c r="K17" s="53"/>
      <c r="L17" s="53"/>
      <c r="M17" s="53"/>
      <c r="N17" s="53"/>
      <c r="O17" s="54"/>
      <c r="P17" s="55" t="s">
        <v>150</v>
      </c>
      <c r="Q17" s="55" t="s">
        <v>151</v>
      </c>
      <c r="R17" s="56" t="s">
        <v>152</v>
      </c>
    </row>
    <row r="18" spans="1:18" s="57" customFormat="1" ht="36" x14ac:dyDescent="0.25">
      <c r="A18" s="58"/>
      <c r="B18" s="48"/>
      <c r="C18" s="48"/>
      <c r="D18" s="48"/>
      <c r="E18" s="48"/>
      <c r="F18" s="59"/>
      <c r="G18" s="59"/>
      <c r="H18" s="60"/>
      <c r="I18" s="59"/>
      <c r="J18" s="61" t="s">
        <v>153</v>
      </c>
      <c r="K18" s="62" t="s">
        <v>154</v>
      </c>
      <c r="L18" s="62" t="s">
        <v>155</v>
      </c>
      <c r="M18" s="61" t="s">
        <v>156</v>
      </c>
      <c r="N18" s="61" t="s">
        <v>157</v>
      </c>
      <c r="O18" s="61" t="s">
        <v>158</v>
      </c>
      <c r="P18" s="63"/>
      <c r="Q18" s="63"/>
      <c r="R18" s="64"/>
    </row>
    <row r="19" spans="1:18" s="75" customFormat="1" ht="147" customHeight="1" x14ac:dyDescent="0.25">
      <c r="A19" s="247">
        <v>1</v>
      </c>
      <c r="B19" s="248" t="s">
        <v>46</v>
      </c>
      <c r="C19" s="249">
        <f>0.3 *1.69794730299263</f>
        <v>0.50938419089778897</v>
      </c>
      <c r="D19" s="65" t="s">
        <v>47</v>
      </c>
      <c r="E19" s="66">
        <f>C19/5</f>
        <v>0.1018768381795578</v>
      </c>
      <c r="F19" s="66">
        <f t="shared" ref="F19:F40" si="0">E19/$E$41 * 100</f>
        <v>0.33958946059852591</v>
      </c>
      <c r="G19" s="67" t="s">
        <v>48</v>
      </c>
      <c r="H19" s="68">
        <v>1</v>
      </c>
      <c r="I19" s="69" t="s">
        <v>49</v>
      </c>
      <c r="J19" s="70">
        <v>100</v>
      </c>
      <c r="K19" s="71">
        <v>95</v>
      </c>
      <c r="L19" s="71">
        <v>90</v>
      </c>
      <c r="M19" s="71">
        <v>85</v>
      </c>
      <c r="N19" s="71">
        <v>80</v>
      </c>
      <c r="O19" s="71" t="s">
        <v>50</v>
      </c>
      <c r="P19" s="72"/>
      <c r="Q19" s="73">
        <f t="shared" ref="Q19:Q40" si="1">IF(OR(TRIM(P19)="",P19=0),0,
IF(P19&lt;N19,50,
IF(P19&lt;M19,60,
IF(P19&lt;L19,70,
IF(P19&lt;K19,80,
IF(ISNUMBER(J19),
    IF(P19&lt;J19,IF(P19&gt;=K19,90,80),100),
    IF(P19=K19,90,100)
))))))</f>
        <v>0</v>
      </c>
      <c r="R19" s="74">
        <f t="shared" ref="R19:R40" si="2">F19*Q19/100</f>
        <v>0</v>
      </c>
    </row>
    <row r="20" spans="1:18" s="75" customFormat="1" ht="147" customHeight="1" x14ac:dyDescent="0.25">
      <c r="A20" s="250"/>
      <c r="B20" s="251"/>
      <c r="C20" s="252"/>
      <c r="D20" s="65" t="s">
        <v>51</v>
      </c>
      <c r="E20" s="66">
        <f>C19/5</f>
        <v>0.1018768381795578</v>
      </c>
      <c r="F20" s="66">
        <f t="shared" si="0"/>
        <v>0.33958946059852591</v>
      </c>
      <c r="G20" s="67" t="s">
        <v>52</v>
      </c>
      <c r="H20" s="68">
        <v>1</v>
      </c>
      <c r="I20" s="69" t="s">
        <v>49</v>
      </c>
      <c r="J20" s="70">
        <v>100</v>
      </c>
      <c r="K20" s="71">
        <v>95</v>
      </c>
      <c r="L20" s="71">
        <v>90</v>
      </c>
      <c r="M20" s="71">
        <v>85</v>
      </c>
      <c r="N20" s="71">
        <v>80</v>
      </c>
      <c r="O20" s="71" t="s">
        <v>50</v>
      </c>
      <c r="P20" s="72"/>
      <c r="Q20" s="73">
        <f t="shared" si="1"/>
        <v>0</v>
      </c>
      <c r="R20" s="74">
        <f t="shared" si="2"/>
        <v>0</v>
      </c>
    </row>
    <row r="21" spans="1:18" s="75" customFormat="1" ht="147" customHeight="1" x14ac:dyDescent="0.25">
      <c r="A21" s="250"/>
      <c r="B21" s="251"/>
      <c r="C21" s="252"/>
      <c r="D21" s="65" t="s">
        <v>53</v>
      </c>
      <c r="E21" s="66">
        <f>C19/5</f>
        <v>0.1018768381795578</v>
      </c>
      <c r="F21" s="66">
        <f t="shared" si="0"/>
        <v>0.33958946059852591</v>
      </c>
      <c r="G21" s="67" t="s">
        <v>54</v>
      </c>
      <c r="H21" s="68">
        <v>1</v>
      </c>
      <c r="I21" s="69" t="s">
        <v>49</v>
      </c>
      <c r="J21" s="70">
        <v>100</v>
      </c>
      <c r="K21" s="71">
        <v>95</v>
      </c>
      <c r="L21" s="71">
        <v>90</v>
      </c>
      <c r="M21" s="71">
        <v>85</v>
      </c>
      <c r="N21" s="71">
        <v>80</v>
      </c>
      <c r="O21" s="71" t="s">
        <v>50</v>
      </c>
      <c r="P21" s="72"/>
      <c r="Q21" s="73">
        <f t="shared" si="1"/>
        <v>0</v>
      </c>
      <c r="R21" s="74">
        <f t="shared" si="2"/>
        <v>0</v>
      </c>
    </row>
    <row r="22" spans="1:18" s="75" customFormat="1" ht="147" customHeight="1" x14ac:dyDescent="0.25">
      <c r="A22" s="250"/>
      <c r="B22" s="251"/>
      <c r="C22" s="252"/>
      <c r="D22" s="65" t="s">
        <v>55</v>
      </c>
      <c r="E22" s="66">
        <f>C19/5</f>
        <v>0.1018768381795578</v>
      </c>
      <c r="F22" s="66">
        <f t="shared" si="0"/>
        <v>0.33958946059852591</v>
      </c>
      <c r="G22" s="67" t="s">
        <v>56</v>
      </c>
      <c r="H22" s="76">
        <v>5</v>
      </c>
      <c r="I22" s="69" t="s">
        <v>57</v>
      </c>
      <c r="J22" s="70" t="s">
        <v>58</v>
      </c>
      <c r="K22" s="71">
        <v>5</v>
      </c>
      <c r="L22" s="71">
        <v>4</v>
      </c>
      <c r="M22" s="71">
        <v>3</v>
      </c>
      <c r="N22" s="71">
        <v>2</v>
      </c>
      <c r="O22" s="71">
        <v>1</v>
      </c>
      <c r="P22" s="72"/>
      <c r="Q22" s="73">
        <f t="shared" si="1"/>
        <v>0</v>
      </c>
      <c r="R22" s="74">
        <f t="shared" si="2"/>
        <v>0</v>
      </c>
    </row>
    <row r="23" spans="1:18" s="75" customFormat="1" ht="147" customHeight="1" x14ac:dyDescent="0.25">
      <c r="A23" s="253"/>
      <c r="B23" s="254"/>
      <c r="C23" s="255"/>
      <c r="D23" s="65" t="s">
        <v>59</v>
      </c>
      <c r="E23" s="66">
        <f>C19/5</f>
        <v>0.1018768381795578</v>
      </c>
      <c r="F23" s="66">
        <f t="shared" si="0"/>
        <v>0.33958946059852591</v>
      </c>
      <c r="G23" s="67" t="s">
        <v>60</v>
      </c>
      <c r="H23" s="68">
        <v>1</v>
      </c>
      <c r="I23" s="69" t="s">
        <v>49</v>
      </c>
      <c r="J23" s="70">
        <v>100</v>
      </c>
      <c r="K23" s="71">
        <v>95</v>
      </c>
      <c r="L23" s="71">
        <v>90</v>
      </c>
      <c r="M23" s="71">
        <v>85</v>
      </c>
      <c r="N23" s="71">
        <v>80</v>
      </c>
      <c r="O23" s="71" t="s">
        <v>50</v>
      </c>
      <c r="P23" s="72"/>
      <c r="Q23" s="73">
        <f t="shared" si="1"/>
        <v>0</v>
      </c>
      <c r="R23" s="74">
        <f t="shared" si="2"/>
        <v>0</v>
      </c>
    </row>
    <row r="24" spans="1:18" s="75" customFormat="1" ht="147" customHeight="1" x14ac:dyDescent="0.25">
      <c r="A24" s="76">
        <v>2</v>
      </c>
      <c r="B24" s="65" t="s">
        <v>61</v>
      </c>
      <c r="C24" s="256">
        <f>0.3 *1.01876838179558</f>
        <v>0.30563051453867396</v>
      </c>
      <c r="D24" s="65" t="s">
        <v>62</v>
      </c>
      <c r="E24" s="66">
        <f>C24</f>
        <v>0.30563051453867396</v>
      </c>
      <c r="F24" s="66">
        <f t="shared" si="0"/>
        <v>1.0187683817955797</v>
      </c>
      <c r="G24" s="67" t="s">
        <v>63</v>
      </c>
      <c r="H24" s="68">
        <v>0.5</v>
      </c>
      <c r="I24" s="69" t="s">
        <v>49</v>
      </c>
      <c r="J24" s="70" t="s">
        <v>64</v>
      </c>
      <c r="K24" s="71">
        <v>50</v>
      </c>
      <c r="L24" s="71">
        <v>45</v>
      </c>
      <c r="M24" s="71">
        <v>40</v>
      </c>
      <c r="N24" s="71">
        <v>25</v>
      </c>
      <c r="O24" s="71" t="s">
        <v>65</v>
      </c>
      <c r="P24" s="72"/>
      <c r="Q24" s="73">
        <f t="shared" si="1"/>
        <v>0</v>
      </c>
      <c r="R24" s="74">
        <f t="shared" si="2"/>
        <v>0</v>
      </c>
    </row>
    <row r="25" spans="1:18" s="75" customFormat="1" ht="147" customHeight="1" x14ac:dyDescent="0.25">
      <c r="A25" s="247">
        <v>3</v>
      </c>
      <c r="B25" s="248" t="s">
        <v>66</v>
      </c>
      <c r="C25" s="249">
        <f>0.3 *90.5976168096783</f>
        <v>27.179285042903491</v>
      </c>
      <c r="D25" s="65" t="s">
        <v>67</v>
      </c>
      <c r="E25" s="66">
        <f>C25/10</f>
        <v>2.7179285042903492</v>
      </c>
      <c r="F25" s="66">
        <f t="shared" si="0"/>
        <v>9.0597616809678296</v>
      </c>
      <c r="G25" s="65" t="s">
        <v>68</v>
      </c>
      <c r="H25" s="77">
        <v>0.8</v>
      </c>
      <c r="I25" s="76" t="s">
        <v>49</v>
      </c>
      <c r="J25" s="70" t="s">
        <v>69</v>
      </c>
      <c r="K25" s="71">
        <v>80</v>
      </c>
      <c r="L25" s="71">
        <v>75</v>
      </c>
      <c r="M25" s="71">
        <v>70</v>
      </c>
      <c r="N25" s="71">
        <v>50</v>
      </c>
      <c r="O25" s="71" t="s">
        <v>70</v>
      </c>
      <c r="P25" s="72"/>
      <c r="Q25" s="73">
        <f t="shared" si="1"/>
        <v>0</v>
      </c>
      <c r="R25" s="74">
        <f t="shared" si="2"/>
        <v>0</v>
      </c>
    </row>
    <row r="26" spans="1:18" s="75" customFormat="1" ht="147" customHeight="1" x14ac:dyDescent="0.25">
      <c r="A26" s="250"/>
      <c r="B26" s="251"/>
      <c r="C26" s="252"/>
      <c r="D26" s="65" t="s">
        <v>71</v>
      </c>
      <c r="E26" s="66">
        <f>C25/10</f>
        <v>2.7179285042903492</v>
      </c>
      <c r="F26" s="66">
        <f t="shared" si="0"/>
        <v>9.0597616809678296</v>
      </c>
      <c r="G26" s="65" t="s">
        <v>72</v>
      </c>
      <c r="H26" s="77">
        <v>1</v>
      </c>
      <c r="I26" s="69" t="s">
        <v>49</v>
      </c>
      <c r="J26" s="70">
        <v>100</v>
      </c>
      <c r="K26" s="71">
        <v>95</v>
      </c>
      <c r="L26" s="71">
        <v>90</v>
      </c>
      <c r="M26" s="71">
        <v>85</v>
      </c>
      <c r="N26" s="71">
        <v>80</v>
      </c>
      <c r="O26" s="71" t="s">
        <v>50</v>
      </c>
      <c r="P26" s="72"/>
      <c r="Q26" s="73">
        <f t="shared" si="1"/>
        <v>0</v>
      </c>
      <c r="R26" s="74">
        <f t="shared" si="2"/>
        <v>0</v>
      </c>
    </row>
    <row r="27" spans="1:18" s="75" customFormat="1" ht="147" customHeight="1" x14ac:dyDescent="0.25">
      <c r="A27" s="250"/>
      <c r="B27" s="251"/>
      <c r="C27" s="252"/>
      <c r="D27" s="65" t="s">
        <v>73</v>
      </c>
      <c r="E27" s="66">
        <f>C25/10</f>
        <v>2.7179285042903492</v>
      </c>
      <c r="F27" s="66">
        <f t="shared" si="0"/>
        <v>9.0597616809678296</v>
      </c>
      <c r="G27" s="65" t="s">
        <v>74</v>
      </c>
      <c r="H27" s="77">
        <v>0.9</v>
      </c>
      <c r="I27" s="76" t="s">
        <v>49</v>
      </c>
      <c r="J27" s="70" t="s">
        <v>75</v>
      </c>
      <c r="K27" s="71">
        <v>90</v>
      </c>
      <c r="L27" s="71">
        <v>80</v>
      </c>
      <c r="M27" s="71">
        <v>70</v>
      </c>
      <c r="N27" s="71">
        <v>50</v>
      </c>
      <c r="O27" s="71" t="s">
        <v>70</v>
      </c>
      <c r="P27" s="72"/>
      <c r="Q27" s="73">
        <f t="shared" si="1"/>
        <v>0</v>
      </c>
      <c r="R27" s="74">
        <f t="shared" si="2"/>
        <v>0</v>
      </c>
    </row>
    <row r="28" spans="1:18" s="75" customFormat="1" ht="147" customHeight="1" x14ac:dyDescent="0.25">
      <c r="A28" s="250"/>
      <c r="B28" s="251"/>
      <c r="C28" s="252"/>
      <c r="D28" s="65" t="s">
        <v>76</v>
      </c>
      <c r="E28" s="66">
        <f>C25/10</f>
        <v>2.7179285042903492</v>
      </c>
      <c r="F28" s="66">
        <f t="shared" si="0"/>
        <v>9.0597616809678296</v>
      </c>
      <c r="G28" s="65" t="s">
        <v>77</v>
      </c>
      <c r="H28" s="77">
        <v>0.8</v>
      </c>
      <c r="I28" s="76" t="s">
        <v>49</v>
      </c>
      <c r="J28" s="70" t="s">
        <v>69</v>
      </c>
      <c r="K28" s="71">
        <v>80</v>
      </c>
      <c r="L28" s="71">
        <v>75</v>
      </c>
      <c r="M28" s="71">
        <v>70</v>
      </c>
      <c r="N28" s="71">
        <v>50</v>
      </c>
      <c r="O28" s="71" t="s">
        <v>70</v>
      </c>
      <c r="P28" s="72"/>
      <c r="Q28" s="73">
        <f t="shared" si="1"/>
        <v>0</v>
      </c>
      <c r="R28" s="74">
        <f t="shared" si="2"/>
        <v>0</v>
      </c>
    </row>
    <row r="29" spans="1:18" s="75" customFormat="1" ht="147" customHeight="1" x14ac:dyDescent="0.25">
      <c r="A29" s="250"/>
      <c r="B29" s="251"/>
      <c r="C29" s="252"/>
      <c r="D29" s="65" t="s">
        <v>78</v>
      </c>
      <c r="E29" s="66">
        <f>C25/10</f>
        <v>2.7179285042903492</v>
      </c>
      <c r="F29" s="66">
        <f t="shared" si="0"/>
        <v>9.0597616809678296</v>
      </c>
      <c r="G29" s="65" t="s">
        <v>79</v>
      </c>
      <c r="H29" s="77">
        <v>0.9</v>
      </c>
      <c r="I29" s="76" t="s">
        <v>49</v>
      </c>
      <c r="J29" s="70" t="s">
        <v>75</v>
      </c>
      <c r="K29" s="71">
        <v>90</v>
      </c>
      <c r="L29" s="71">
        <v>80</v>
      </c>
      <c r="M29" s="71">
        <v>70</v>
      </c>
      <c r="N29" s="71">
        <v>50</v>
      </c>
      <c r="O29" s="71" t="s">
        <v>70</v>
      </c>
      <c r="P29" s="72"/>
      <c r="Q29" s="73">
        <f t="shared" si="1"/>
        <v>0</v>
      </c>
      <c r="R29" s="74">
        <f t="shared" si="2"/>
        <v>0</v>
      </c>
    </row>
    <row r="30" spans="1:18" s="75" customFormat="1" ht="147" customHeight="1" x14ac:dyDescent="0.25">
      <c r="A30" s="250"/>
      <c r="B30" s="251"/>
      <c r="C30" s="252"/>
      <c r="D30" s="65" t="s">
        <v>80</v>
      </c>
      <c r="E30" s="66">
        <f>C25/10</f>
        <v>2.7179285042903492</v>
      </c>
      <c r="F30" s="66">
        <f t="shared" si="0"/>
        <v>9.0597616809678296</v>
      </c>
      <c r="G30" s="65" t="s">
        <v>81</v>
      </c>
      <c r="H30" s="77">
        <v>0.8</v>
      </c>
      <c r="I30" s="76" t="s">
        <v>49</v>
      </c>
      <c r="J30" s="70" t="s">
        <v>69</v>
      </c>
      <c r="K30" s="71">
        <v>80</v>
      </c>
      <c r="L30" s="71">
        <v>75</v>
      </c>
      <c r="M30" s="71">
        <v>70</v>
      </c>
      <c r="N30" s="71">
        <v>50</v>
      </c>
      <c r="O30" s="71" t="s">
        <v>70</v>
      </c>
      <c r="P30" s="72"/>
      <c r="Q30" s="73">
        <f t="shared" si="1"/>
        <v>0</v>
      </c>
      <c r="R30" s="74">
        <f t="shared" si="2"/>
        <v>0</v>
      </c>
    </row>
    <row r="31" spans="1:18" s="75" customFormat="1" ht="147" customHeight="1" x14ac:dyDescent="0.25">
      <c r="A31" s="250"/>
      <c r="B31" s="251"/>
      <c r="C31" s="252"/>
      <c r="D31" s="65" t="s">
        <v>82</v>
      </c>
      <c r="E31" s="66">
        <f>C25/10</f>
        <v>2.7179285042903492</v>
      </c>
      <c r="F31" s="66">
        <f t="shared" si="0"/>
        <v>9.0597616809678296</v>
      </c>
      <c r="G31" s="65" t="s">
        <v>83</v>
      </c>
      <c r="H31" s="77">
        <v>0.9</v>
      </c>
      <c r="I31" s="76" t="s">
        <v>49</v>
      </c>
      <c r="J31" s="70" t="s">
        <v>75</v>
      </c>
      <c r="K31" s="71">
        <v>90</v>
      </c>
      <c r="L31" s="71">
        <v>80</v>
      </c>
      <c r="M31" s="71">
        <v>70</v>
      </c>
      <c r="N31" s="71">
        <v>50</v>
      </c>
      <c r="O31" s="71" t="s">
        <v>70</v>
      </c>
      <c r="P31" s="72"/>
      <c r="Q31" s="73">
        <f t="shared" si="1"/>
        <v>0</v>
      </c>
      <c r="R31" s="74">
        <f t="shared" si="2"/>
        <v>0</v>
      </c>
    </row>
    <row r="32" spans="1:18" s="75" customFormat="1" ht="147" customHeight="1" x14ac:dyDescent="0.25">
      <c r="A32" s="250"/>
      <c r="B32" s="251"/>
      <c r="C32" s="252"/>
      <c r="D32" s="65" t="s">
        <v>84</v>
      </c>
      <c r="E32" s="66">
        <f>C25/10</f>
        <v>2.7179285042903492</v>
      </c>
      <c r="F32" s="66">
        <f t="shared" si="0"/>
        <v>9.0597616809678296</v>
      </c>
      <c r="G32" s="65" t="s">
        <v>85</v>
      </c>
      <c r="H32" s="77">
        <v>0.8</v>
      </c>
      <c r="I32" s="76" t="s">
        <v>49</v>
      </c>
      <c r="J32" s="70" t="s">
        <v>69</v>
      </c>
      <c r="K32" s="71">
        <v>80</v>
      </c>
      <c r="L32" s="71">
        <v>75</v>
      </c>
      <c r="M32" s="71">
        <v>70</v>
      </c>
      <c r="N32" s="71">
        <v>50</v>
      </c>
      <c r="O32" s="71" t="s">
        <v>70</v>
      </c>
      <c r="P32" s="72"/>
      <c r="Q32" s="73">
        <f t="shared" si="1"/>
        <v>0</v>
      </c>
      <c r="R32" s="74">
        <f t="shared" si="2"/>
        <v>0</v>
      </c>
    </row>
    <row r="33" spans="1:18" s="75" customFormat="1" ht="147" customHeight="1" x14ac:dyDescent="0.25">
      <c r="A33" s="250"/>
      <c r="B33" s="251"/>
      <c r="C33" s="252"/>
      <c r="D33" s="65" t="s">
        <v>86</v>
      </c>
      <c r="E33" s="66">
        <f>C25/10</f>
        <v>2.7179285042903492</v>
      </c>
      <c r="F33" s="66">
        <f t="shared" si="0"/>
        <v>9.0597616809678296</v>
      </c>
      <c r="G33" s="65" t="s">
        <v>87</v>
      </c>
      <c r="H33" s="76">
        <v>80</v>
      </c>
      <c r="I33" s="76" t="s">
        <v>49</v>
      </c>
      <c r="J33" s="70" t="s">
        <v>69</v>
      </c>
      <c r="K33" s="71">
        <v>80</v>
      </c>
      <c r="L33" s="71">
        <v>75</v>
      </c>
      <c r="M33" s="71">
        <v>70</v>
      </c>
      <c r="N33" s="71">
        <v>50</v>
      </c>
      <c r="O33" s="71" t="s">
        <v>70</v>
      </c>
      <c r="P33" s="72"/>
      <c r="Q33" s="73">
        <f t="shared" si="1"/>
        <v>0</v>
      </c>
      <c r="R33" s="74">
        <f t="shared" si="2"/>
        <v>0</v>
      </c>
    </row>
    <row r="34" spans="1:18" s="75" customFormat="1" ht="147" customHeight="1" x14ac:dyDescent="0.25">
      <c r="A34" s="253"/>
      <c r="B34" s="254"/>
      <c r="C34" s="255"/>
      <c r="D34" s="65" t="s">
        <v>88</v>
      </c>
      <c r="E34" s="66">
        <f>C25/10</f>
        <v>2.7179285042903492</v>
      </c>
      <c r="F34" s="66">
        <f t="shared" si="0"/>
        <v>9.0597616809678296</v>
      </c>
      <c r="G34" s="65" t="s">
        <v>89</v>
      </c>
      <c r="H34" s="77">
        <v>0.8</v>
      </c>
      <c r="I34" s="76" t="s">
        <v>49</v>
      </c>
      <c r="J34" s="70" t="s">
        <v>69</v>
      </c>
      <c r="K34" s="71">
        <v>80</v>
      </c>
      <c r="L34" s="71">
        <v>75</v>
      </c>
      <c r="M34" s="71">
        <v>70</v>
      </c>
      <c r="N34" s="71">
        <v>50</v>
      </c>
      <c r="O34" s="71" t="s">
        <v>70</v>
      </c>
      <c r="P34" s="72"/>
      <c r="Q34" s="73">
        <f t="shared" si="1"/>
        <v>0</v>
      </c>
      <c r="R34" s="74">
        <f t="shared" si="2"/>
        <v>0</v>
      </c>
    </row>
    <row r="35" spans="1:18" s="75" customFormat="1" ht="147" customHeight="1" x14ac:dyDescent="0.25">
      <c r="A35" s="76">
        <v>4</v>
      </c>
      <c r="B35" s="65" t="s">
        <v>90</v>
      </c>
      <c r="C35" s="78">
        <f>0.3*1.5918255965556</f>
        <v>0.47754767896667999</v>
      </c>
      <c r="D35" s="65" t="s">
        <v>91</v>
      </c>
      <c r="E35" s="66">
        <f>C35</f>
        <v>0.47754767896667999</v>
      </c>
      <c r="F35" s="66">
        <f t="shared" si="0"/>
        <v>1.5918255965555996</v>
      </c>
      <c r="G35" s="67" t="s">
        <v>92</v>
      </c>
      <c r="H35" s="76">
        <v>5</v>
      </c>
      <c r="I35" s="69" t="s">
        <v>57</v>
      </c>
      <c r="J35" s="70" t="s">
        <v>58</v>
      </c>
      <c r="K35" s="71">
        <v>5</v>
      </c>
      <c r="L35" s="71">
        <v>4</v>
      </c>
      <c r="M35" s="71">
        <v>3</v>
      </c>
      <c r="N35" s="71">
        <v>2</v>
      </c>
      <c r="O35" s="71">
        <v>1</v>
      </c>
      <c r="P35" s="72"/>
      <c r="Q35" s="73">
        <f t="shared" si="1"/>
        <v>0</v>
      </c>
      <c r="R35" s="74">
        <f t="shared" si="2"/>
        <v>0</v>
      </c>
    </row>
    <row r="36" spans="1:18" s="75" customFormat="1" ht="147" customHeight="1" x14ac:dyDescent="0.25">
      <c r="A36" s="247">
        <v>5</v>
      </c>
      <c r="B36" s="248" t="s">
        <v>93</v>
      </c>
      <c r="C36" s="257">
        <f>0.3 *3.18365119311119</f>
        <v>0.95509535793335698</v>
      </c>
      <c r="D36" s="65" t="s">
        <v>94</v>
      </c>
      <c r="E36" s="66">
        <f>C36/2</f>
        <v>0.47754767896667849</v>
      </c>
      <c r="F36" s="66">
        <f t="shared" si="0"/>
        <v>1.5918255965555947</v>
      </c>
      <c r="G36" s="67" t="s">
        <v>95</v>
      </c>
      <c r="H36" s="77">
        <v>0.8</v>
      </c>
      <c r="I36" s="76" t="s">
        <v>49</v>
      </c>
      <c r="J36" s="70" t="s">
        <v>69</v>
      </c>
      <c r="K36" s="71">
        <v>80</v>
      </c>
      <c r="L36" s="71">
        <v>75</v>
      </c>
      <c r="M36" s="71">
        <v>70</v>
      </c>
      <c r="N36" s="71">
        <v>50</v>
      </c>
      <c r="O36" s="71" t="s">
        <v>70</v>
      </c>
      <c r="P36" s="72"/>
      <c r="Q36" s="73">
        <f t="shared" si="1"/>
        <v>0</v>
      </c>
      <c r="R36" s="74">
        <f t="shared" si="2"/>
        <v>0</v>
      </c>
    </row>
    <row r="37" spans="1:18" s="75" customFormat="1" ht="147" customHeight="1" x14ac:dyDescent="0.25">
      <c r="A37" s="253"/>
      <c r="B37" s="254"/>
      <c r="C37" s="258"/>
      <c r="D37" s="65" t="s">
        <v>96</v>
      </c>
      <c r="E37" s="66">
        <f>C36/2</f>
        <v>0.47754767896667849</v>
      </c>
      <c r="F37" s="66">
        <f t="shared" si="0"/>
        <v>1.5918255965555947</v>
      </c>
      <c r="G37" s="67" t="s">
        <v>97</v>
      </c>
      <c r="H37" s="77">
        <v>0.8</v>
      </c>
      <c r="I37" s="76" t="s">
        <v>49</v>
      </c>
      <c r="J37" s="70" t="s">
        <v>69</v>
      </c>
      <c r="K37" s="71">
        <v>80</v>
      </c>
      <c r="L37" s="71">
        <v>75</v>
      </c>
      <c r="M37" s="71">
        <v>70</v>
      </c>
      <c r="N37" s="71">
        <v>50</v>
      </c>
      <c r="O37" s="71" t="s">
        <v>70</v>
      </c>
      <c r="P37" s="72"/>
      <c r="Q37" s="73">
        <f t="shared" si="1"/>
        <v>0</v>
      </c>
      <c r="R37" s="74">
        <f t="shared" si="2"/>
        <v>0</v>
      </c>
    </row>
    <row r="38" spans="1:18" s="75" customFormat="1" ht="147" customHeight="1" x14ac:dyDescent="0.25">
      <c r="A38" s="259">
        <v>6</v>
      </c>
      <c r="B38" s="260" t="s">
        <v>98</v>
      </c>
      <c r="C38" s="261">
        <f>0.3 *1.0612170643704</f>
        <v>0.31836511931111999</v>
      </c>
      <c r="D38" s="65" t="s">
        <v>99</v>
      </c>
      <c r="E38" s="66">
        <f>C38</f>
        <v>0.31836511931111999</v>
      </c>
      <c r="F38" s="66">
        <f t="shared" si="0"/>
        <v>1.0612170643703998</v>
      </c>
      <c r="G38" s="67" t="s">
        <v>100</v>
      </c>
      <c r="H38" s="77">
        <v>0.8</v>
      </c>
      <c r="I38" s="76" t="s">
        <v>49</v>
      </c>
      <c r="J38" s="70" t="s">
        <v>69</v>
      </c>
      <c r="K38" s="71">
        <v>80</v>
      </c>
      <c r="L38" s="71">
        <v>75</v>
      </c>
      <c r="M38" s="71">
        <v>70</v>
      </c>
      <c r="N38" s="71">
        <v>50</v>
      </c>
      <c r="O38" s="71" t="s">
        <v>70</v>
      </c>
      <c r="P38" s="72"/>
      <c r="Q38" s="73">
        <f t="shared" si="1"/>
        <v>0</v>
      </c>
      <c r="R38" s="74">
        <f t="shared" si="2"/>
        <v>0</v>
      </c>
    </row>
    <row r="39" spans="1:18" s="75" customFormat="1" ht="147" customHeight="1" x14ac:dyDescent="0.25">
      <c r="A39" s="76">
        <v>7</v>
      </c>
      <c r="B39" s="65" t="s">
        <v>101</v>
      </c>
      <c r="C39" s="78">
        <f>0.3 *0.424486825748159</f>
        <v>0.12734604772444769</v>
      </c>
      <c r="D39" s="260" t="s">
        <v>102</v>
      </c>
      <c r="E39" s="66">
        <f>C39</f>
        <v>0.12734604772444769</v>
      </c>
      <c r="F39" s="66">
        <f t="shared" si="0"/>
        <v>0.42448682574815888</v>
      </c>
      <c r="G39" s="67" t="s">
        <v>103</v>
      </c>
      <c r="H39" s="68">
        <v>0.7</v>
      </c>
      <c r="I39" s="76" t="s">
        <v>49</v>
      </c>
      <c r="J39" s="70" t="s">
        <v>104</v>
      </c>
      <c r="K39" s="71">
        <v>70</v>
      </c>
      <c r="L39" s="71">
        <v>60</v>
      </c>
      <c r="M39" s="71">
        <v>50</v>
      </c>
      <c r="N39" s="71">
        <v>40</v>
      </c>
      <c r="O39" s="71" t="s">
        <v>105</v>
      </c>
      <c r="P39" s="72"/>
      <c r="Q39" s="73">
        <f t="shared" si="1"/>
        <v>0</v>
      </c>
      <c r="R39" s="74">
        <f t="shared" si="2"/>
        <v>0</v>
      </c>
    </row>
    <row r="40" spans="1:18" s="75" customFormat="1" ht="147" customHeight="1" x14ac:dyDescent="0.25">
      <c r="A40" s="76">
        <v>8</v>
      </c>
      <c r="B40" s="65" t="s">
        <v>106</v>
      </c>
      <c r="C40" s="78">
        <f>0.3 *0.424486825748159</f>
        <v>0.12734604772444769</v>
      </c>
      <c r="D40" s="67" t="s">
        <v>107</v>
      </c>
      <c r="E40" s="66">
        <f>C40</f>
        <v>0.12734604772444769</v>
      </c>
      <c r="F40" s="66">
        <f t="shared" si="0"/>
        <v>0.42448682574815888</v>
      </c>
      <c r="G40" s="67" t="s">
        <v>108</v>
      </c>
      <c r="H40" s="68">
        <v>0.5</v>
      </c>
      <c r="I40" s="69" t="s">
        <v>49</v>
      </c>
      <c r="J40" s="70" t="s">
        <v>64</v>
      </c>
      <c r="K40" s="71">
        <v>50</v>
      </c>
      <c r="L40" s="71">
        <v>45</v>
      </c>
      <c r="M40" s="71">
        <v>40</v>
      </c>
      <c r="N40" s="71">
        <v>25</v>
      </c>
      <c r="O40" s="71" t="s">
        <v>65</v>
      </c>
      <c r="P40" s="72">
        <v>0</v>
      </c>
      <c r="Q40" s="73">
        <f t="shared" si="1"/>
        <v>0</v>
      </c>
      <c r="R40" s="74">
        <f t="shared" si="2"/>
        <v>0</v>
      </c>
    </row>
    <row r="41" spans="1:18" s="89" customFormat="1" ht="44.25" x14ac:dyDescent="0.25">
      <c r="A41" s="79"/>
      <c r="B41" s="80" t="s">
        <v>109</v>
      </c>
      <c r="C41" s="81">
        <f>SUM(C19:C40)</f>
        <v>30.000000000000007</v>
      </c>
      <c r="D41" s="80"/>
      <c r="E41" s="81">
        <f>SUM(E19:E40)</f>
        <v>30.000000000000007</v>
      </c>
      <c r="F41" s="81">
        <f>SUM(F19:F40)</f>
        <v>100</v>
      </c>
      <c r="G41" s="82"/>
      <c r="H41" s="83"/>
      <c r="I41" s="84"/>
      <c r="J41" s="85"/>
      <c r="K41" s="85"/>
      <c r="L41" s="85"/>
      <c r="M41" s="85"/>
      <c r="N41" s="85"/>
      <c r="O41" s="85"/>
      <c r="P41" s="86"/>
      <c r="Q41" s="87"/>
      <c r="R41" s="88">
        <f>SUM(R19:R40)</f>
        <v>0</v>
      </c>
    </row>
    <row r="42" spans="1:18" s="91" customFormat="1" ht="66" customHeight="1" x14ac:dyDescent="0.7">
      <c r="A42" s="90"/>
      <c r="G42" s="92"/>
      <c r="H42" s="92"/>
      <c r="I42" s="93" t="s">
        <v>159</v>
      </c>
      <c r="J42" s="94"/>
      <c r="K42" s="94"/>
      <c r="L42" s="94"/>
      <c r="M42" s="94"/>
      <c r="N42" s="94"/>
      <c r="O42" s="94"/>
      <c r="P42" s="94"/>
      <c r="Q42" s="95"/>
      <c r="R42" s="96">
        <f>R41/100 * 70</f>
        <v>0</v>
      </c>
    </row>
    <row r="43" spans="1:18" s="105" customFormat="1" ht="36" x14ac:dyDescent="0.55000000000000004">
      <c r="A43" s="97" t="s">
        <v>110</v>
      </c>
      <c r="B43" s="98"/>
      <c r="C43" s="98"/>
      <c r="D43" s="98"/>
      <c r="E43" s="98"/>
      <c r="F43" s="98"/>
      <c r="G43" s="99"/>
      <c r="H43" s="100"/>
      <c r="I43" s="100"/>
      <c r="J43" s="100"/>
      <c r="K43" s="100"/>
      <c r="L43" s="55" t="s">
        <v>115</v>
      </c>
      <c r="M43" s="101" t="s">
        <v>111</v>
      </c>
      <c r="N43" s="101"/>
      <c r="O43" s="101"/>
      <c r="P43" s="102"/>
      <c r="Q43" s="103"/>
      <c r="R43" s="104"/>
    </row>
    <row r="44" spans="1:18" s="105" customFormat="1" ht="31.5" customHeight="1" x14ac:dyDescent="0.55000000000000004">
      <c r="A44" s="106"/>
      <c r="B44" s="107"/>
      <c r="C44" s="108" t="s">
        <v>112</v>
      </c>
      <c r="D44" s="108"/>
      <c r="E44" s="108"/>
      <c r="F44" s="108"/>
      <c r="G44" s="108"/>
      <c r="H44" s="109" t="s">
        <v>160</v>
      </c>
      <c r="I44" s="109" t="s">
        <v>161</v>
      </c>
      <c r="J44" s="109"/>
      <c r="K44" s="110"/>
      <c r="L44" s="63"/>
      <c r="M44" s="111"/>
      <c r="N44" s="111"/>
      <c r="O44" s="111"/>
      <c r="P44" s="112"/>
      <c r="Q44" s="103"/>
      <c r="R44" s="104"/>
    </row>
    <row r="45" spans="1:18" s="105" customFormat="1" ht="36" customHeight="1" x14ac:dyDescent="0.55000000000000004">
      <c r="A45" s="113">
        <v>1</v>
      </c>
      <c r="B45" s="114" t="s">
        <v>116</v>
      </c>
      <c r="C45" s="115"/>
      <c r="D45" s="116"/>
      <c r="E45" s="116"/>
      <c r="F45" s="116"/>
      <c r="G45" s="117"/>
      <c r="H45" s="118"/>
      <c r="I45" s="118"/>
      <c r="J45" s="118"/>
      <c r="K45" s="118"/>
      <c r="L45" s="119"/>
      <c r="M45" s="120" t="s">
        <v>40</v>
      </c>
      <c r="N45" s="121" t="s">
        <v>117</v>
      </c>
      <c r="O45" s="122"/>
      <c r="P45" s="112"/>
      <c r="Q45" s="103"/>
      <c r="R45" s="104"/>
    </row>
    <row r="46" spans="1:18" s="105" customFormat="1" ht="84.75" customHeight="1" x14ac:dyDescent="0.55000000000000004">
      <c r="A46" s="123" t="s">
        <v>118</v>
      </c>
      <c r="B46" s="124" t="s">
        <v>162</v>
      </c>
      <c r="C46" s="125"/>
      <c r="D46" s="126"/>
      <c r="E46" s="126"/>
      <c r="F46" s="126"/>
      <c r="G46" s="127"/>
      <c r="H46" s="128">
        <v>4</v>
      </c>
      <c r="I46" s="129"/>
      <c r="J46" s="128"/>
      <c r="K46" s="128"/>
      <c r="L46" s="119"/>
      <c r="M46" s="120" t="s">
        <v>41</v>
      </c>
      <c r="N46" s="121" t="s">
        <v>119</v>
      </c>
      <c r="O46" s="122"/>
      <c r="P46" s="112"/>
      <c r="Q46" s="103"/>
      <c r="R46" s="104"/>
    </row>
    <row r="47" spans="1:18" s="105" customFormat="1" ht="82.5" customHeight="1" x14ac:dyDescent="0.55000000000000004">
      <c r="A47" s="123" t="s">
        <v>120</v>
      </c>
      <c r="B47" s="124" t="s">
        <v>163</v>
      </c>
      <c r="C47" s="125"/>
      <c r="D47" s="126"/>
      <c r="E47" s="126"/>
      <c r="F47" s="126"/>
      <c r="G47" s="127"/>
      <c r="H47" s="128">
        <v>2</v>
      </c>
      <c r="I47" s="129"/>
      <c r="J47" s="128"/>
      <c r="K47" s="128"/>
      <c r="L47" s="119"/>
      <c r="M47" s="120" t="s">
        <v>42</v>
      </c>
      <c r="N47" s="121" t="s">
        <v>121</v>
      </c>
      <c r="O47" s="122"/>
      <c r="P47" s="112"/>
      <c r="Q47" s="103"/>
      <c r="R47" s="104"/>
    </row>
    <row r="48" spans="1:18" s="105" customFormat="1" ht="78.75" customHeight="1" x14ac:dyDescent="0.55000000000000004">
      <c r="A48" s="123" t="s">
        <v>122</v>
      </c>
      <c r="B48" s="124" t="s">
        <v>123</v>
      </c>
      <c r="C48" s="125"/>
      <c r="D48" s="126"/>
      <c r="E48" s="126"/>
      <c r="F48" s="126"/>
      <c r="G48" s="127"/>
      <c r="H48" s="128">
        <v>2</v>
      </c>
      <c r="I48" s="129"/>
      <c r="J48" s="128"/>
      <c r="K48" s="128"/>
      <c r="L48" s="119"/>
      <c r="M48" s="120" t="s">
        <v>43</v>
      </c>
      <c r="N48" s="121" t="s">
        <v>124</v>
      </c>
      <c r="O48" s="122"/>
      <c r="P48" s="112"/>
      <c r="Q48" s="103"/>
      <c r="R48" s="104"/>
    </row>
    <row r="49" spans="1:18" s="105" customFormat="1" ht="36" x14ac:dyDescent="0.55000000000000004">
      <c r="A49" s="130">
        <v>2</v>
      </c>
      <c r="B49" s="131" t="s">
        <v>125</v>
      </c>
      <c r="C49" s="132"/>
      <c r="D49" s="133"/>
      <c r="E49" s="133"/>
      <c r="F49" s="133"/>
      <c r="G49" s="134"/>
      <c r="H49" s="128"/>
      <c r="I49" s="129"/>
      <c r="J49" s="128"/>
      <c r="K49" s="128"/>
      <c r="L49" s="119"/>
      <c r="M49" s="120" t="s">
        <v>44</v>
      </c>
      <c r="N49" s="121" t="s">
        <v>126</v>
      </c>
      <c r="O49" s="122"/>
      <c r="P49" s="112"/>
      <c r="Q49" s="103"/>
      <c r="R49" s="104"/>
    </row>
    <row r="50" spans="1:18" s="105" customFormat="1" ht="82.5" customHeight="1" x14ac:dyDescent="0.55000000000000004">
      <c r="A50" s="123" t="s">
        <v>118</v>
      </c>
      <c r="B50" s="135" t="s">
        <v>164</v>
      </c>
      <c r="C50" s="136"/>
      <c r="D50" s="137"/>
      <c r="E50" s="137"/>
      <c r="F50" s="137"/>
      <c r="G50" s="138"/>
      <c r="H50" s="128">
        <v>2</v>
      </c>
      <c r="I50" s="129"/>
      <c r="J50" s="128"/>
      <c r="K50" s="128"/>
      <c r="L50" s="119"/>
      <c r="M50" s="120" t="s">
        <v>45</v>
      </c>
      <c r="N50" s="121" t="s">
        <v>127</v>
      </c>
      <c r="O50" s="122"/>
      <c r="P50" s="139"/>
      <c r="Q50" s="103"/>
      <c r="R50" s="104"/>
    </row>
    <row r="51" spans="1:18" s="105" customFormat="1" ht="114.75" customHeight="1" x14ac:dyDescent="0.55000000000000004">
      <c r="A51" s="123" t="s">
        <v>120</v>
      </c>
      <c r="B51" s="135" t="s">
        <v>165</v>
      </c>
      <c r="C51" s="136"/>
      <c r="D51" s="137"/>
      <c r="E51" s="137"/>
      <c r="F51" s="137"/>
      <c r="G51" s="138"/>
      <c r="H51" s="128">
        <v>2</v>
      </c>
      <c r="I51" s="129"/>
      <c r="J51" s="128"/>
      <c r="K51" s="128"/>
      <c r="L51" s="119"/>
      <c r="M51" s="112" t="s">
        <v>115</v>
      </c>
      <c r="N51" s="140" t="s">
        <v>128</v>
      </c>
      <c r="O51" s="141"/>
      <c r="P51" s="139"/>
      <c r="Q51" s="103"/>
      <c r="R51" s="104"/>
    </row>
    <row r="52" spans="1:18" s="105" customFormat="1" ht="72" customHeight="1" x14ac:dyDescent="0.55000000000000004">
      <c r="A52" s="123" t="s">
        <v>122</v>
      </c>
      <c r="B52" s="135" t="s">
        <v>166</v>
      </c>
      <c r="C52" s="136"/>
      <c r="D52" s="137"/>
      <c r="E52" s="137"/>
      <c r="F52" s="137"/>
      <c r="G52" s="138"/>
      <c r="H52" s="128">
        <v>2</v>
      </c>
      <c r="I52" s="129"/>
      <c r="J52" s="128"/>
      <c r="K52" s="128"/>
      <c r="L52" s="119"/>
      <c r="M52" s="112" t="s">
        <v>129</v>
      </c>
      <c r="N52" s="140" t="s">
        <v>130</v>
      </c>
      <c r="O52" s="141"/>
      <c r="P52" s="139"/>
      <c r="Q52" s="103"/>
      <c r="R52" s="104"/>
    </row>
    <row r="53" spans="1:18" s="105" customFormat="1" ht="66" customHeight="1" x14ac:dyDescent="0.55000000000000004">
      <c r="A53" s="130">
        <v>3</v>
      </c>
      <c r="B53" s="131" t="s">
        <v>131</v>
      </c>
      <c r="C53" s="132"/>
      <c r="D53" s="133"/>
      <c r="E53" s="133"/>
      <c r="F53" s="133"/>
      <c r="G53" s="134"/>
      <c r="H53" s="128"/>
      <c r="I53" s="129"/>
      <c r="J53" s="128"/>
      <c r="K53" s="128"/>
      <c r="L53" s="119"/>
      <c r="M53" s="112" t="s">
        <v>113</v>
      </c>
      <c r="N53" s="140" t="s">
        <v>132</v>
      </c>
      <c r="O53" s="141"/>
      <c r="P53" s="139"/>
      <c r="Q53" s="103"/>
      <c r="R53" s="104"/>
    </row>
    <row r="54" spans="1:18" s="105" customFormat="1" ht="72" customHeight="1" x14ac:dyDescent="0.55000000000000004">
      <c r="A54" s="123" t="s">
        <v>118</v>
      </c>
      <c r="B54" s="135" t="s">
        <v>133</v>
      </c>
      <c r="C54" s="142"/>
      <c r="D54" s="143"/>
      <c r="E54" s="143"/>
      <c r="F54" s="143"/>
      <c r="G54" s="144"/>
      <c r="H54" s="128">
        <v>2</v>
      </c>
      <c r="I54" s="129"/>
      <c r="J54" s="128"/>
      <c r="K54" s="128"/>
      <c r="L54" s="119"/>
      <c r="M54" s="112" t="s">
        <v>114</v>
      </c>
      <c r="N54" s="140" t="s">
        <v>134</v>
      </c>
      <c r="O54" s="141"/>
      <c r="P54" s="139"/>
      <c r="Q54" s="103"/>
      <c r="R54" s="104"/>
    </row>
    <row r="55" spans="1:18" s="105" customFormat="1" ht="72" customHeight="1" x14ac:dyDescent="0.55000000000000004">
      <c r="A55" s="123" t="s">
        <v>120</v>
      </c>
      <c r="B55" s="135" t="s">
        <v>167</v>
      </c>
      <c r="C55" s="142"/>
      <c r="D55" s="143"/>
      <c r="E55" s="143"/>
      <c r="F55" s="143"/>
      <c r="G55" s="144"/>
      <c r="H55" s="128">
        <v>2</v>
      </c>
      <c r="I55" s="129"/>
      <c r="J55" s="128"/>
      <c r="K55" s="128"/>
      <c r="L55" s="119"/>
      <c r="M55" s="112" t="s">
        <v>135</v>
      </c>
      <c r="N55" s="140" t="s">
        <v>136</v>
      </c>
      <c r="O55" s="141"/>
      <c r="P55" s="139"/>
      <c r="Q55" s="103"/>
      <c r="R55" s="104"/>
    </row>
    <row r="56" spans="1:18" s="105" customFormat="1" ht="44.25" customHeight="1" x14ac:dyDescent="0.55000000000000004">
      <c r="A56" s="123" t="s">
        <v>122</v>
      </c>
      <c r="B56" s="135" t="s">
        <v>168</v>
      </c>
      <c r="C56" s="142"/>
      <c r="D56" s="143"/>
      <c r="E56" s="143"/>
      <c r="F56" s="143"/>
      <c r="G56" s="144"/>
      <c r="H56" s="128">
        <v>2</v>
      </c>
      <c r="I56" s="129"/>
      <c r="J56" s="128"/>
      <c r="K56" s="128"/>
      <c r="L56" s="119"/>
      <c r="M56" s="145"/>
      <c r="N56" s="145"/>
      <c r="O56" s="145"/>
      <c r="P56" s="146"/>
      <c r="Q56" s="103"/>
      <c r="R56" s="104"/>
    </row>
    <row r="57" spans="1:18" s="105" customFormat="1" ht="31.5" customHeight="1" x14ac:dyDescent="0.55000000000000004">
      <c r="A57" s="147" t="s">
        <v>137</v>
      </c>
      <c r="B57" s="148"/>
      <c r="C57" s="148"/>
      <c r="D57" s="148"/>
      <c r="E57" s="148"/>
      <c r="F57" s="148"/>
      <c r="G57" s="148"/>
      <c r="H57" s="149">
        <f>SUM(H46:H56)</f>
        <v>20</v>
      </c>
      <c r="I57" s="149">
        <f>SUM(I46:I56)</f>
        <v>0</v>
      </c>
      <c r="J57" s="149"/>
      <c r="K57" s="150"/>
      <c r="L57" s="119"/>
      <c r="M57" s="145"/>
      <c r="N57" s="145"/>
      <c r="O57" s="145"/>
      <c r="P57" s="146"/>
      <c r="Q57" s="103"/>
      <c r="R57" s="104"/>
    </row>
    <row r="58" spans="1:18" s="105" customFormat="1" ht="36" customHeight="1" x14ac:dyDescent="0.55000000000000004">
      <c r="A58" s="151" t="s">
        <v>118</v>
      </c>
      <c r="B58" s="152" t="s">
        <v>138</v>
      </c>
      <c r="C58" s="136" t="s">
        <v>139</v>
      </c>
      <c r="D58" s="137"/>
      <c r="E58" s="137"/>
      <c r="F58" s="137"/>
      <c r="G58" s="138"/>
      <c r="H58" s="153">
        <v>4</v>
      </c>
      <c r="I58" s="154"/>
      <c r="J58" s="153"/>
      <c r="K58" s="155"/>
      <c r="L58" s="119"/>
      <c r="M58" s="145"/>
      <c r="N58" s="145"/>
      <c r="O58" s="145"/>
      <c r="P58" s="146"/>
      <c r="Q58" s="103"/>
      <c r="R58" s="104"/>
    </row>
    <row r="59" spans="1:18" s="105" customFormat="1" ht="129" customHeight="1" x14ac:dyDescent="0.55000000000000004">
      <c r="A59" s="151" t="s">
        <v>120</v>
      </c>
      <c r="B59" s="152" t="s">
        <v>140</v>
      </c>
      <c r="C59" s="136" t="s">
        <v>141</v>
      </c>
      <c r="D59" s="137"/>
      <c r="E59" s="137"/>
      <c r="F59" s="137"/>
      <c r="G59" s="138"/>
      <c r="H59" s="153">
        <v>3</v>
      </c>
      <c r="I59" s="154"/>
      <c r="J59" s="153"/>
      <c r="K59" s="155"/>
      <c r="L59" s="119"/>
      <c r="M59" s="145"/>
      <c r="N59" s="145"/>
      <c r="O59" s="145"/>
      <c r="P59" s="146"/>
      <c r="Q59" s="103"/>
      <c r="R59" s="104"/>
    </row>
    <row r="60" spans="1:18" s="105" customFormat="1" ht="69" customHeight="1" x14ac:dyDescent="0.55000000000000004">
      <c r="A60" s="151" t="s">
        <v>120</v>
      </c>
      <c r="B60" s="152" t="s">
        <v>142</v>
      </c>
      <c r="C60" s="136" t="s">
        <v>143</v>
      </c>
      <c r="D60" s="137"/>
      <c r="E60" s="137"/>
      <c r="F60" s="137"/>
      <c r="G60" s="138"/>
      <c r="H60" s="153">
        <v>3</v>
      </c>
      <c r="I60" s="154"/>
      <c r="J60" s="153"/>
      <c r="K60" s="155"/>
      <c r="L60" s="119"/>
      <c r="M60" s="145"/>
      <c r="N60" s="145"/>
      <c r="O60" s="145"/>
      <c r="P60" s="146"/>
      <c r="Q60" s="103"/>
      <c r="R60" s="104"/>
    </row>
    <row r="61" spans="1:18" s="105" customFormat="1" ht="46.5" customHeight="1" x14ac:dyDescent="0.55000000000000004">
      <c r="A61" s="156"/>
      <c r="B61" s="157" t="s">
        <v>144</v>
      </c>
      <c r="C61" s="157"/>
      <c r="D61" s="157"/>
      <c r="E61" s="158"/>
      <c r="F61" s="158"/>
      <c r="G61" s="158"/>
      <c r="H61" s="149">
        <f>SUM(H58:H60)</f>
        <v>10</v>
      </c>
      <c r="I61" s="149">
        <f>SUM(I58:I60)</f>
        <v>0</v>
      </c>
      <c r="J61" s="158"/>
      <c r="K61" s="159"/>
      <c r="L61" s="145"/>
      <c r="M61" s="145"/>
      <c r="N61" s="145"/>
      <c r="O61" s="145"/>
      <c r="P61" s="146"/>
      <c r="Q61" s="103"/>
      <c r="R61" s="104"/>
    </row>
    <row r="62" spans="1:18" s="167" customFormat="1" ht="45" customHeight="1" x14ac:dyDescent="0.7">
      <c r="A62" s="160"/>
      <c r="B62" s="161"/>
      <c r="C62" s="162"/>
      <c r="D62" s="162"/>
      <c r="E62" s="162"/>
      <c r="F62" s="163"/>
      <c r="G62" s="163"/>
      <c r="H62" s="163"/>
      <c r="I62" s="163"/>
      <c r="J62" s="163"/>
      <c r="K62" s="162"/>
      <c r="L62" s="162"/>
      <c r="M62" s="162"/>
      <c r="N62" s="162"/>
      <c r="O62" s="164" t="s">
        <v>169</v>
      </c>
      <c r="P62" s="165"/>
      <c r="Q62" s="164" t="s">
        <v>170</v>
      </c>
      <c r="R62" s="166"/>
    </row>
    <row r="63" spans="1:18" s="167" customFormat="1" ht="45" customHeight="1" x14ac:dyDescent="0.7">
      <c r="A63" s="160"/>
      <c r="B63" s="168"/>
      <c r="C63" s="169" t="s">
        <v>171</v>
      </c>
      <c r="D63" s="170"/>
      <c r="E63" s="170"/>
      <c r="F63" s="170"/>
      <c r="G63" s="170"/>
      <c r="H63" s="170"/>
      <c r="I63" s="170"/>
      <c r="J63" s="170"/>
      <c r="K63" s="171"/>
      <c r="L63" s="172"/>
      <c r="M63" s="173"/>
      <c r="N63" s="174"/>
      <c r="O63" s="175">
        <f>R42</f>
        <v>0</v>
      </c>
      <c r="P63" s="176"/>
      <c r="Q63" s="177">
        <f>O66/100 * 20</f>
        <v>0</v>
      </c>
      <c r="R63" s="178"/>
    </row>
    <row r="64" spans="1:18" s="167" customFormat="1" ht="45" customHeight="1" x14ac:dyDescent="0.7">
      <c r="A64" s="160"/>
      <c r="B64" s="168"/>
      <c r="C64" s="170" t="s">
        <v>172</v>
      </c>
      <c r="D64" s="170"/>
      <c r="E64" s="170"/>
      <c r="F64" s="170"/>
      <c r="G64" s="170"/>
      <c r="H64" s="170"/>
      <c r="I64" s="170"/>
      <c r="J64" s="170"/>
      <c r="K64" s="170"/>
      <c r="L64" s="173"/>
      <c r="M64" s="173"/>
      <c r="N64" s="174"/>
      <c r="O64" s="175">
        <f>I57</f>
        <v>0</v>
      </c>
      <c r="P64" s="176"/>
      <c r="Q64" s="179"/>
      <c r="R64" s="180"/>
    </row>
    <row r="65" spans="1:18" s="167" customFormat="1" ht="45" customHeight="1" x14ac:dyDescent="0.7">
      <c r="A65" s="160"/>
      <c r="B65" s="168"/>
      <c r="C65" s="169" t="s">
        <v>173</v>
      </c>
      <c r="D65" s="170"/>
      <c r="E65" s="170"/>
      <c r="F65" s="170"/>
      <c r="G65" s="170"/>
      <c r="H65" s="170"/>
      <c r="I65" s="170"/>
      <c r="J65" s="170"/>
      <c r="K65" s="171"/>
      <c r="L65" s="172"/>
      <c r="M65" s="173"/>
      <c r="N65" s="174"/>
      <c r="O65" s="175">
        <f>I61</f>
        <v>0</v>
      </c>
      <c r="P65" s="176"/>
      <c r="Q65" s="179"/>
      <c r="R65" s="180"/>
    </row>
    <row r="66" spans="1:18" s="167" customFormat="1" ht="45" customHeight="1" x14ac:dyDescent="0.7">
      <c r="A66" s="160"/>
      <c r="B66" s="181"/>
      <c r="C66" s="169" t="s">
        <v>174</v>
      </c>
      <c r="D66" s="170"/>
      <c r="E66" s="170"/>
      <c r="F66" s="170"/>
      <c r="G66" s="170"/>
      <c r="H66" s="170"/>
      <c r="I66" s="170"/>
      <c r="J66" s="170"/>
      <c r="K66" s="171"/>
      <c r="L66" s="172"/>
      <c r="M66" s="173"/>
      <c r="N66" s="174"/>
      <c r="O66" s="175">
        <f>SUM(O63:P65)</f>
        <v>0</v>
      </c>
      <c r="P66" s="176"/>
      <c r="Q66" s="182"/>
      <c r="R66" s="183"/>
    </row>
    <row r="67" spans="1:18" s="167" customFormat="1" ht="64.900000000000006" customHeight="1" x14ac:dyDescent="0.7">
      <c r="A67" s="160"/>
      <c r="B67" s="184" t="s">
        <v>175</v>
      </c>
      <c r="C67" s="184"/>
      <c r="D67" s="184"/>
      <c r="E67" s="184"/>
      <c r="F67" s="184"/>
      <c r="G67" s="184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6"/>
    </row>
    <row r="68" spans="1:18" s="167" customFormat="1" ht="64.900000000000006" customHeight="1" x14ac:dyDescent="0.7">
      <c r="A68" s="160"/>
      <c r="B68" s="187" t="s">
        <v>176</v>
      </c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8"/>
    </row>
    <row r="69" spans="1:18" s="167" customFormat="1" ht="48.75" customHeight="1" x14ac:dyDescent="0.7">
      <c r="A69" s="160"/>
      <c r="B69" s="189" t="s">
        <v>177</v>
      </c>
      <c r="C69" s="189"/>
      <c r="D69" s="189"/>
      <c r="E69" s="189"/>
      <c r="F69" s="189"/>
      <c r="G69" s="189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1"/>
    </row>
    <row r="70" spans="1:18" s="167" customFormat="1" ht="45.75" x14ac:dyDescent="0.7">
      <c r="A70" s="160"/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8"/>
    </row>
    <row r="71" spans="1:18" s="105" customFormat="1" ht="31.5" customHeight="1" x14ac:dyDescent="0.55000000000000004">
      <c r="A71" s="192" t="s">
        <v>178</v>
      </c>
      <c r="B71" s="193"/>
      <c r="C71" s="194"/>
      <c r="D71" s="195"/>
      <c r="E71" s="196" t="s">
        <v>179</v>
      </c>
      <c r="F71" s="197"/>
      <c r="G71" s="193" t="s">
        <v>180</v>
      </c>
      <c r="H71" s="194"/>
      <c r="I71" s="194"/>
      <c r="J71" s="194"/>
      <c r="K71" s="198"/>
      <c r="L71" s="119"/>
      <c r="M71" s="199"/>
      <c r="N71" s="199"/>
      <c r="O71" s="199"/>
      <c r="P71" s="199"/>
      <c r="Q71" s="199"/>
      <c r="R71" s="104"/>
    </row>
    <row r="72" spans="1:18" s="105" customFormat="1" ht="31.5" customHeight="1" x14ac:dyDescent="0.55000000000000004">
      <c r="A72" s="200"/>
      <c r="B72" s="201"/>
      <c r="C72" s="202"/>
      <c r="D72" s="203"/>
      <c r="E72" s="204"/>
      <c r="F72" s="205"/>
      <c r="G72" s="201"/>
      <c r="H72" s="202"/>
      <c r="I72" s="202"/>
      <c r="J72" s="202"/>
      <c r="K72" s="198"/>
      <c r="L72" s="119"/>
      <c r="M72" s="206"/>
      <c r="N72" s="206"/>
      <c r="O72" s="206"/>
      <c r="P72" s="206"/>
      <c r="Q72" s="206"/>
      <c r="R72" s="104"/>
    </row>
    <row r="73" spans="1:18" s="105" customFormat="1" ht="31.5" customHeight="1" x14ac:dyDescent="0.55000000000000004">
      <c r="A73" s="200"/>
      <c r="B73" s="201"/>
      <c r="C73" s="202"/>
      <c r="D73" s="203"/>
      <c r="E73" s="204"/>
      <c r="F73" s="205"/>
      <c r="G73" s="201"/>
      <c r="H73" s="202"/>
      <c r="I73" s="202"/>
      <c r="J73" s="202"/>
      <c r="K73" s="198"/>
      <c r="L73" s="119"/>
      <c r="M73" s="206"/>
      <c r="N73" s="206"/>
      <c r="O73" s="206"/>
      <c r="P73" s="206"/>
      <c r="Q73" s="206"/>
      <c r="R73" s="104"/>
    </row>
    <row r="74" spans="1:18" s="105" customFormat="1" ht="31.5" customHeight="1" x14ac:dyDescent="0.55000000000000004">
      <c r="A74" s="207"/>
      <c r="B74" s="208"/>
      <c r="C74" s="209"/>
      <c r="D74" s="210"/>
      <c r="E74" s="211"/>
      <c r="F74" s="212"/>
      <c r="G74" s="208"/>
      <c r="H74" s="209"/>
      <c r="I74" s="209"/>
      <c r="J74" s="209"/>
      <c r="K74" s="198"/>
      <c r="L74" s="119"/>
      <c r="M74" s="206"/>
      <c r="N74" s="206"/>
      <c r="O74" s="206"/>
      <c r="P74" s="206"/>
      <c r="Q74" s="206"/>
      <c r="R74" s="104"/>
    </row>
    <row r="75" spans="1:18" s="105" customFormat="1" ht="31.5" customHeight="1" x14ac:dyDescent="0.55000000000000004">
      <c r="A75" s="213" t="s">
        <v>145</v>
      </c>
      <c r="B75" s="214"/>
      <c r="C75" s="194"/>
      <c r="D75" s="195"/>
      <c r="E75" s="215" t="s">
        <v>181</v>
      </c>
      <c r="F75" s="197"/>
      <c r="G75" s="214" t="s">
        <v>181</v>
      </c>
      <c r="H75" s="194"/>
      <c r="I75" s="194"/>
      <c r="J75" s="194"/>
      <c r="K75" s="198"/>
      <c r="L75" s="119"/>
      <c r="M75" s="206"/>
      <c r="N75" s="206"/>
      <c r="O75" s="206"/>
      <c r="P75" s="206"/>
      <c r="Q75" s="206"/>
      <c r="R75" s="104"/>
    </row>
    <row r="76" spans="1:18" s="105" customFormat="1" ht="31.5" customHeight="1" x14ac:dyDescent="0.55000000000000004">
      <c r="A76" s="216"/>
      <c r="B76" s="217"/>
      <c r="C76" s="202"/>
      <c r="D76" s="203"/>
      <c r="E76" s="218"/>
      <c r="F76" s="205"/>
      <c r="G76" s="217"/>
      <c r="H76" s="202"/>
      <c r="I76" s="202"/>
      <c r="J76" s="202"/>
      <c r="K76" s="198"/>
      <c r="L76" s="119"/>
      <c r="M76" s="206"/>
      <c r="N76" s="206"/>
      <c r="O76" s="206"/>
      <c r="P76" s="206"/>
      <c r="Q76" s="206"/>
      <c r="R76" s="104"/>
    </row>
    <row r="77" spans="1:18" s="105" customFormat="1" ht="31.5" customHeight="1" x14ac:dyDescent="0.55000000000000004">
      <c r="A77" s="216"/>
      <c r="B77" s="217"/>
      <c r="C77" s="209"/>
      <c r="D77" s="210"/>
      <c r="E77" s="219"/>
      <c r="F77" s="212"/>
      <c r="G77" s="220"/>
      <c r="H77" s="209"/>
      <c r="I77" s="209"/>
      <c r="J77" s="209"/>
      <c r="K77" s="198"/>
      <c r="L77" s="119"/>
      <c r="M77" s="206"/>
      <c r="N77" s="206"/>
      <c r="O77" s="206"/>
      <c r="P77" s="206"/>
      <c r="Q77" s="206"/>
      <c r="R77" s="104"/>
    </row>
    <row r="78" spans="1:18" s="105" customFormat="1" ht="31.5" customHeight="1" x14ac:dyDescent="0.55000000000000004">
      <c r="A78" s="200" t="s">
        <v>146</v>
      </c>
      <c r="B78" s="201"/>
      <c r="C78" s="194"/>
      <c r="D78" s="195"/>
      <c r="E78" s="196" t="s">
        <v>182</v>
      </c>
      <c r="F78" s="197"/>
      <c r="G78" s="193" t="s">
        <v>182</v>
      </c>
      <c r="H78" s="194"/>
      <c r="I78" s="194"/>
      <c r="J78" s="194"/>
      <c r="K78" s="198"/>
      <c r="L78" s="119"/>
      <c r="M78" s="206"/>
      <c r="N78" s="206"/>
      <c r="O78" s="206"/>
      <c r="P78" s="206"/>
      <c r="Q78" s="206"/>
      <c r="R78" s="104"/>
    </row>
    <row r="79" spans="1:18" s="105" customFormat="1" ht="31.5" customHeight="1" x14ac:dyDescent="0.55000000000000004">
      <c r="A79" s="200"/>
      <c r="B79" s="201"/>
      <c r="C79" s="209"/>
      <c r="D79" s="210"/>
      <c r="E79" s="211"/>
      <c r="F79" s="212"/>
      <c r="G79" s="208"/>
      <c r="H79" s="209"/>
      <c r="I79" s="209"/>
      <c r="J79" s="209"/>
      <c r="K79" s="198"/>
      <c r="L79" s="119"/>
      <c r="M79" s="206"/>
      <c r="N79" s="206"/>
      <c r="O79" s="206"/>
      <c r="P79" s="206"/>
      <c r="Q79" s="206"/>
      <c r="R79" s="104"/>
    </row>
    <row r="80" spans="1:18" s="105" customFormat="1" ht="31.5" customHeight="1" thickBot="1" x14ac:dyDescent="0.6">
      <c r="A80" s="221"/>
      <c r="B80" s="222"/>
      <c r="C80" s="222"/>
      <c r="D80" s="222"/>
      <c r="E80" s="222"/>
      <c r="F80" s="222"/>
      <c r="G80" s="222"/>
      <c r="H80" s="222"/>
      <c r="I80" s="222"/>
      <c r="J80" s="222"/>
      <c r="K80" s="223"/>
      <c r="L80" s="224"/>
      <c r="M80" s="225"/>
      <c r="N80" s="225"/>
      <c r="O80" s="225"/>
      <c r="P80" s="225"/>
      <c r="Q80" s="225"/>
      <c r="R80" s="226"/>
    </row>
  </sheetData>
  <mergeCells count="112">
    <mergeCell ref="A80:J80"/>
    <mergeCell ref="A19:A23"/>
    <mergeCell ref="B19:B23"/>
    <mergeCell ref="C19:C23"/>
    <mergeCell ref="A25:A34"/>
    <mergeCell ref="B25:B34"/>
    <mergeCell ref="C25:C34"/>
    <mergeCell ref="A36:A37"/>
    <mergeCell ref="B36:B37"/>
    <mergeCell ref="C36:C37"/>
    <mergeCell ref="A78:B79"/>
    <mergeCell ref="C78:D79"/>
    <mergeCell ref="E78:E79"/>
    <mergeCell ref="F78:F79"/>
    <mergeCell ref="G78:G79"/>
    <mergeCell ref="H78:J79"/>
    <mergeCell ref="A75:B77"/>
    <mergeCell ref="C75:D77"/>
    <mergeCell ref="E75:E77"/>
    <mergeCell ref="F75:F77"/>
    <mergeCell ref="G75:G77"/>
    <mergeCell ref="H75:J77"/>
    <mergeCell ref="B68:R68"/>
    <mergeCell ref="B69:G69"/>
    <mergeCell ref="B70:R70"/>
    <mergeCell ref="A71:B74"/>
    <mergeCell ref="C71:D74"/>
    <mergeCell ref="E71:E74"/>
    <mergeCell ref="F71:F74"/>
    <mergeCell ref="G71:G74"/>
    <mergeCell ref="H71:J74"/>
    <mergeCell ref="M71:Q80"/>
    <mergeCell ref="L65:N65"/>
    <mergeCell ref="O65:P65"/>
    <mergeCell ref="C66:K66"/>
    <mergeCell ref="L66:N66"/>
    <mergeCell ref="O66:P66"/>
    <mergeCell ref="B67:G67"/>
    <mergeCell ref="O62:P62"/>
    <mergeCell ref="Q62:R62"/>
    <mergeCell ref="C63:K63"/>
    <mergeCell ref="L63:N63"/>
    <mergeCell ref="O63:P63"/>
    <mergeCell ref="Q63:R66"/>
    <mergeCell ref="C64:K64"/>
    <mergeCell ref="L64:N64"/>
    <mergeCell ref="O64:P64"/>
    <mergeCell ref="C65:K65"/>
    <mergeCell ref="A57:G57"/>
    <mergeCell ref="C58:G58"/>
    <mergeCell ref="C59:G59"/>
    <mergeCell ref="C60:G60"/>
    <mergeCell ref="B61:D61"/>
    <mergeCell ref="B62:B66"/>
    <mergeCell ref="F62:J62"/>
    <mergeCell ref="C51:G51"/>
    <mergeCell ref="C52:G52"/>
    <mergeCell ref="C53:G53"/>
    <mergeCell ref="C54:G54"/>
    <mergeCell ref="C55:G55"/>
    <mergeCell ref="C56:G56"/>
    <mergeCell ref="C48:G48"/>
    <mergeCell ref="N48:O48"/>
    <mergeCell ref="C49:G49"/>
    <mergeCell ref="N49:O49"/>
    <mergeCell ref="C50:G50"/>
    <mergeCell ref="N50:O50"/>
    <mergeCell ref="C45:G45"/>
    <mergeCell ref="N45:O45"/>
    <mergeCell ref="C46:G46"/>
    <mergeCell ref="N46:O46"/>
    <mergeCell ref="C47:G47"/>
    <mergeCell ref="N47:O47"/>
    <mergeCell ref="R17:R18"/>
    <mergeCell ref="I42:Q42"/>
    <mergeCell ref="A43:G43"/>
    <mergeCell ref="H43:K43"/>
    <mergeCell ref="L43:L44"/>
    <mergeCell ref="C44:G44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4" r:id="rId1" xr:uid="{569A0F9F-DDEB-441E-AF85-6789DC4D8627}"/>
  </hyperlinks>
  <pageMargins left="0.7" right="0.7" top="0.75" bottom="0.75" header="0.3" footer="0.3"/>
  <pageSetup scale="14" fitToHeight="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FIRST QUARTER</vt:lpstr>
      <vt:lpstr>SECOND QUARTER</vt:lpstr>
      <vt:lpstr>THIRD QUARTER</vt:lpstr>
      <vt:lpstr>FOURTH QUARTER</vt:lpstr>
      <vt:lpstr>'FIRST QUARTER'!Print_Area</vt:lpstr>
      <vt:lpstr>'FOURTH QUARTER'!Print_Area</vt:lpstr>
      <vt:lpstr>'SECOND QUARTER'!Print_Area</vt:lpstr>
      <vt:lpstr>'THIRD QUARTER'!Print_Area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2026-04-09T13:44:25Z</dcterms:created>
  <dcterms:modified xsi:type="dcterms:W3CDTF">2026-04-09T20:39:36Z</dcterms:modified>
</cp:coreProperties>
</file>