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D\"/>
    </mc:Choice>
  </mc:AlternateContent>
  <xr:revisionPtr revIDLastSave="0" documentId="13_ncr:1_{CACDA498-1994-4272-A467-AD319C7611B6}" xr6:coauthVersionLast="47" xr6:coauthVersionMax="47" xr10:uidLastSave="{00000000-0000-0000-0000-000000000000}"/>
  <bookViews>
    <workbookView xWindow="-120" yWindow="-120" windowWidth="20730" windowHeight="11040" xr2:uid="{29AC5655-2C0F-4E0D-B214-A1B860912C09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3" l="1"/>
  <c r="E40" i="3" s="1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O65" i="5"/>
  <c r="O64" i="5"/>
  <c r="I61" i="5"/>
  <c r="H61" i="5"/>
  <c r="I57" i="5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O65" i="4"/>
  <c r="O64" i="4"/>
  <c r="I61" i="4"/>
  <c r="H61" i="4"/>
  <c r="I57" i="4"/>
  <c r="H57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O65" i="3"/>
  <c r="O64" i="3"/>
  <c r="I61" i="3"/>
  <c r="H61" i="3"/>
  <c r="I57" i="3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65" i="2"/>
  <c r="O64" i="2"/>
  <c r="I61" i="2"/>
  <c r="H61" i="2"/>
  <c r="I57" i="2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E23" i="2"/>
  <c r="E21" i="2"/>
  <c r="E19" i="2"/>
  <c r="C41" i="2"/>
  <c r="E22" i="5"/>
  <c r="E20" i="5"/>
  <c r="C41" i="5"/>
  <c r="E23" i="5"/>
  <c r="E21" i="5"/>
  <c r="E19" i="5"/>
  <c r="E22" i="4"/>
  <c r="E20" i="4"/>
  <c r="C41" i="4"/>
  <c r="E23" i="4"/>
  <c r="E21" i="4"/>
  <c r="E19" i="4"/>
  <c r="C41" i="3"/>
  <c r="E26" i="2"/>
  <c r="E28" i="2"/>
  <c r="E30" i="2"/>
  <c r="E32" i="2"/>
  <c r="E34" i="2"/>
  <c r="E37" i="2"/>
  <c r="E26" i="5"/>
  <c r="E28" i="5"/>
  <c r="E30" i="5"/>
  <c r="E32" i="5"/>
  <c r="E34" i="5"/>
  <c r="E37" i="5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E25" i="2"/>
  <c r="E27" i="2"/>
  <c r="E29" i="2"/>
  <c r="E31" i="2"/>
  <c r="E25" i="5"/>
  <c r="E27" i="5"/>
  <c r="E29" i="5"/>
  <c r="E31" i="5"/>
  <c r="E25" i="4"/>
  <c r="E27" i="4"/>
  <c r="E29" i="4"/>
  <c r="E31" i="4"/>
  <c r="E20" i="3"/>
  <c r="E25" i="3"/>
  <c r="E27" i="3"/>
  <c r="E29" i="3"/>
  <c r="E31" i="3"/>
  <c r="F31" i="4" l="1"/>
  <c r="R31" i="4" s="1"/>
  <c r="F31" i="5"/>
  <c r="R31" i="5" s="1"/>
  <c r="F31" i="2"/>
  <c r="R31" i="2" s="1"/>
  <c r="E41" i="3"/>
  <c r="F28" i="3" s="1"/>
  <c r="R28" i="3" s="1"/>
  <c r="F34" i="5"/>
  <c r="R34" i="5" s="1"/>
  <c r="F26" i="5"/>
  <c r="R26" i="5" s="1"/>
  <c r="F30" i="2"/>
  <c r="R30" i="2" s="1"/>
  <c r="F22" i="5"/>
  <c r="R22" i="5" s="1"/>
  <c r="F20" i="2"/>
  <c r="R20" i="2" s="1"/>
  <c r="F27" i="3"/>
  <c r="R27" i="3" s="1"/>
  <c r="F29" i="5"/>
  <c r="R29" i="5" s="1"/>
  <c r="F29" i="2"/>
  <c r="R29" i="2" s="1"/>
  <c r="F26" i="3"/>
  <c r="R26" i="3" s="1"/>
  <c r="F28" i="2"/>
  <c r="R28" i="2" s="1"/>
  <c r="F20" i="4"/>
  <c r="R20" i="4" s="1"/>
  <c r="F19" i="2"/>
  <c r="E41" i="2"/>
  <c r="F27" i="4"/>
  <c r="R27" i="4" s="1"/>
  <c r="F26" i="4"/>
  <c r="R26" i="4" s="1"/>
  <c r="F34" i="2"/>
  <c r="R34" i="2" s="1"/>
  <c r="F21" i="4"/>
  <c r="R21" i="4" s="1"/>
  <c r="F22" i="4"/>
  <c r="R22" i="4" s="1"/>
  <c r="F21" i="2"/>
  <c r="R21" i="2" s="1"/>
  <c r="F37" i="4"/>
  <c r="R37" i="4" s="1"/>
  <c r="F32" i="5"/>
  <c r="R32" i="5" s="1"/>
  <c r="F37" i="2"/>
  <c r="R37" i="2" s="1"/>
  <c r="E41" i="4"/>
  <c r="F19" i="4"/>
  <c r="F23" i="5"/>
  <c r="R23" i="5" s="1"/>
  <c r="F22" i="2"/>
  <c r="R22" i="2" s="1"/>
  <c r="F27" i="5"/>
  <c r="R27" i="5" s="1"/>
  <c r="F27" i="2"/>
  <c r="R27" i="2" s="1"/>
  <c r="F23" i="3"/>
  <c r="R23" i="3" s="1"/>
  <c r="F34" i="4"/>
  <c r="R34" i="4" s="1"/>
  <c r="F30" i="5"/>
  <c r="R30" i="5" s="1"/>
  <c r="F26" i="2"/>
  <c r="R26" i="2" s="1"/>
  <c r="F31" i="3"/>
  <c r="R31" i="3" s="1"/>
  <c r="F25" i="4"/>
  <c r="R25" i="4" s="1"/>
  <c r="F25" i="5"/>
  <c r="R25" i="5" s="1"/>
  <c r="F25" i="2"/>
  <c r="R25" i="2" s="1"/>
  <c r="F32" i="4"/>
  <c r="R32" i="4" s="1"/>
  <c r="F37" i="5"/>
  <c r="R37" i="5" s="1"/>
  <c r="F32" i="2"/>
  <c r="R32" i="2" s="1"/>
  <c r="F23" i="4"/>
  <c r="R23" i="4" s="1"/>
  <c r="F19" i="5"/>
  <c r="E41" i="5"/>
  <c r="F20" i="5"/>
  <c r="R20" i="5" s="1"/>
  <c r="F23" i="2"/>
  <c r="R23" i="2" s="1"/>
  <c r="R19" i="5" l="1"/>
  <c r="F32" i="3"/>
  <c r="R32" i="3" s="1"/>
  <c r="F19" i="3"/>
  <c r="R19" i="2"/>
  <c r="F22" i="3"/>
  <c r="R22" i="3" s="1"/>
  <c r="F39" i="3"/>
  <c r="R39" i="3" s="1"/>
  <c r="F36" i="3"/>
  <c r="R36" i="3" s="1"/>
  <c r="F33" i="3"/>
  <c r="R33" i="3" s="1"/>
  <c r="F38" i="3"/>
  <c r="R38" i="3" s="1"/>
  <c r="F24" i="3"/>
  <c r="R24" i="3" s="1"/>
  <c r="F35" i="3"/>
  <c r="R35" i="3" s="1"/>
  <c r="F40" i="3"/>
  <c r="R40" i="3" s="1"/>
  <c r="F21" i="3"/>
  <c r="R21" i="3" s="1"/>
  <c r="R19" i="4"/>
  <c r="F39" i="5"/>
  <c r="R39" i="5" s="1"/>
  <c r="F36" i="5"/>
  <c r="R36" i="5" s="1"/>
  <c r="F33" i="5"/>
  <c r="R33" i="5" s="1"/>
  <c r="F40" i="5"/>
  <c r="R40" i="5" s="1"/>
  <c r="F24" i="5"/>
  <c r="R24" i="5" s="1"/>
  <c r="F35" i="5"/>
  <c r="R35" i="5" s="1"/>
  <c r="F38" i="5"/>
  <c r="R38" i="5" s="1"/>
  <c r="F28" i="5"/>
  <c r="R28" i="5" s="1"/>
  <c r="F30" i="3"/>
  <c r="R30" i="3" s="1"/>
  <c r="F20" i="3"/>
  <c r="R20" i="3" s="1"/>
  <c r="F25" i="3"/>
  <c r="R25" i="3" s="1"/>
  <c r="F40" i="4"/>
  <c r="R40" i="4" s="1"/>
  <c r="F36" i="4"/>
  <c r="R36" i="4" s="1"/>
  <c r="F39" i="4"/>
  <c r="R39" i="4" s="1"/>
  <c r="F35" i="4"/>
  <c r="R35" i="4" s="1"/>
  <c r="F33" i="4"/>
  <c r="R33" i="4" s="1"/>
  <c r="F38" i="4"/>
  <c r="R38" i="4" s="1"/>
  <c r="F24" i="4"/>
  <c r="R24" i="4" s="1"/>
  <c r="F34" i="3"/>
  <c r="R34" i="3" s="1"/>
  <c r="F33" i="2"/>
  <c r="R33" i="2" s="1"/>
  <c r="F35" i="2"/>
  <c r="R35" i="2" s="1"/>
  <c r="F39" i="2"/>
  <c r="R39" i="2" s="1"/>
  <c r="F38" i="2"/>
  <c r="R38" i="2" s="1"/>
  <c r="F36" i="2"/>
  <c r="R36" i="2" s="1"/>
  <c r="F40" i="2"/>
  <c r="R40" i="2" s="1"/>
  <c r="F24" i="2"/>
  <c r="R24" i="2" s="1"/>
  <c r="F28" i="4"/>
  <c r="R28" i="4" s="1"/>
  <c r="F29" i="4"/>
  <c r="R29" i="4" s="1"/>
  <c r="F21" i="5"/>
  <c r="R21" i="5" s="1"/>
  <c r="F30" i="4"/>
  <c r="R30" i="4" s="1"/>
  <c r="F37" i="3"/>
  <c r="R37" i="3" s="1"/>
  <c r="F29" i="3"/>
  <c r="R29" i="3" s="1"/>
  <c r="R41" i="2" l="1"/>
  <c r="R42" i="2" s="1"/>
  <c r="O63" i="2" s="1"/>
  <c r="O66" i="2" s="1"/>
  <c r="Q63" i="2" s="1"/>
  <c r="R41" i="4"/>
  <c r="R42" i="4" s="1"/>
  <c r="O63" i="4" s="1"/>
  <c r="O66" i="4" s="1"/>
  <c r="Q63" i="4" s="1"/>
  <c r="F41" i="3"/>
  <c r="R19" i="3"/>
  <c r="R41" i="3" s="1"/>
  <c r="R42" i="3" s="1"/>
  <c r="O63" i="3" s="1"/>
  <c r="O66" i="3" s="1"/>
  <c r="Q63" i="3" s="1"/>
  <c r="R41" i="5"/>
  <c r="R42" i="5" s="1"/>
  <c r="O63" i="5" s="1"/>
  <c r="O66" i="5" s="1"/>
  <c r="Q63" i="5" s="1"/>
  <c r="F41" i="4"/>
  <c r="F41" i="2"/>
  <c r="F41" i="5"/>
</calcChain>
</file>

<file path=xl/sharedStrings.xml><?xml version="1.0" encoding="utf-8"?>
<sst xmlns="http://schemas.openxmlformats.org/spreadsheetml/2006/main" count="1048" uniqueCount="188">
  <si>
    <t>PERFORMANCE APPRAISAL PERIOD:</t>
  </si>
  <si>
    <t>FROM</t>
  </si>
  <si>
    <t>To</t>
  </si>
  <si>
    <t>SECTION 1: EMPLOYEE INFORMATION</t>
  </si>
  <si>
    <t>Surname:</t>
  </si>
  <si>
    <t xml:space="preserve">NASIR </t>
  </si>
  <si>
    <t>Firstname</t>
  </si>
  <si>
    <t>MOHAMMED</t>
  </si>
  <si>
    <t>Othername</t>
  </si>
  <si>
    <t>SAID</t>
  </si>
  <si>
    <t>Designation</t>
  </si>
  <si>
    <t>Chief Admin Officer</t>
  </si>
  <si>
    <t>IPPIS No.</t>
  </si>
  <si>
    <t>Email</t>
  </si>
  <si>
    <t>NASIRUS2003@YAHOO.CO.UK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</si>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</sst>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quotePrefix="1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7E13AA40-7117-48BD-9DBE-5D50533095A1}"/>
    <cellStyle name="Normal" xfId="0" builtinId="0"/>
    <cellStyle name="Normal 2 2" xfId="10" xr:uid="{CC7D1C47-4C84-492A-855B-6B0AE772996F}"/>
    <cellStyle name="Normal 2 2 3 2" xfId="12" xr:uid="{721228DD-4756-4832-BFFA-3503D875F73B}"/>
    <cellStyle name="Normal 2 3" xfId="1" xr:uid="{299345CA-983F-43C2-B11F-9728C08AE4FB}"/>
    <cellStyle name="Normal 2 3 2" xfId="9" xr:uid="{0896C90D-D0B0-42E6-8B3B-CC3A27002222}"/>
    <cellStyle name="Normal 2 3 5" xfId="7" xr:uid="{ADE2D268-50C0-40B7-81A8-2E30793137D9}"/>
    <cellStyle name="Normal 2 3 6" xfId="2" xr:uid="{9FE4EB59-72FC-4367-AFC8-F3E1B6BD43FB}"/>
    <cellStyle name="Normal 2 4 2" xfId="8" xr:uid="{668868D4-E421-4887-8A03-E7333D26D2A9}"/>
    <cellStyle name="Normal 2 5 2 2" xfId="6" xr:uid="{4BD6B410-A638-43C7-A6B6-504B3A553D60}"/>
    <cellStyle name="Normal 2 7" xfId="11" xr:uid="{25109AC1-61D1-4AA5-99DF-5B6A10218DA8}"/>
    <cellStyle name="Normal 4 2 2 2 2" xfId="5" xr:uid="{40126702-BAB0-40B4-8D35-B3F34A6D13F1}"/>
    <cellStyle name="Normal 5 2 2" xfId="4" xr:uid="{252A4B90-B159-436A-BD92-8CE94981FD15}"/>
    <cellStyle name="Percent 2 2" xfId="13" xr:uid="{29141FFF-0508-45E0-94BC-5DDD0C744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AEACE3C4-C5BB-4914-97D4-C66B2890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4826D4B-F71A-4906-917E-E31B0980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51F67EFD-A253-44BE-8E0C-1AC1DBF44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8B82478-B63A-4091-B805-8B550598F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D01B-67F0-4A39-9012-0E2B8C717C5B}">
  <sheetPr>
    <pageSetUpPr fitToPage="1"/>
  </sheetPr>
  <dimension ref="A1:R80"/>
  <sheetViews>
    <sheetView tabSelected="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147</v>
      </c>
      <c r="C5" s="16" t="s">
        <v>2</v>
      </c>
      <c r="D5" s="17" t="s">
        <v>148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88710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11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22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24</v>
      </c>
      <c r="D13" s="233" t="s">
        <v>6</v>
      </c>
      <c r="E13" s="232" t="s">
        <v>25</v>
      </c>
      <c r="F13" s="233" t="s">
        <v>8</v>
      </c>
      <c r="G13" s="234" t="s">
        <v>26</v>
      </c>
      <c r="H13" s="233" t="s">
        <v>10</v>
      </c>
      <c r="I13" s="235" t="s">
        <v>27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28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29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30</v>
      </c>
      <c r="B17" s="48" t="s">
        <v>31</v>
      </c>
      <c r="C17" s="49" t="s">
        <v>32</v>
      </c>
      <c r="D17" s="49" t="s">
        <v>33</v>
      </c>
      <c r="E17" s="49" t="s">
        <v>32</v>
      </c>
      <c r="F17" s="50" t="s">
        <v>34</v>
      </c>
      <c r="G17" s="50" t="s">
        <v>35</v>
      </c>
      <c r="H17" s="51" t="s">
        <v>36</v>
      </c>
      <c r="I17" s="50" t="s">
        <v>37</v>
      </c>
      <c r="J17" s="52" t="s">
        <v>38</v>
      </c>
      <c r="K17" s="53"/>
      <c r="L17" s="53"/>
      <c r="M17" s="53"/>
      <c r="N17" s="53"/>
      <c r="O17" s="54"/>
      <c r="P17" s="55" t="s">
        <v>149</v>
      </c>
      <c r="Q17" s="55" t="s">
        <v>150</v>
      </c>
      <c r="R17" s="56" t="s">
        <v>151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152</v>
      </c>
      <c r="K18" s="62" t="s">
        <v>153</v>
      </c>
      <c r="L18" s="62" t="s">
        <v>154</v>
      </c>
      <c r="M18" s="61" t="s">
        <v>155</v>
      </c>
      <c r="N18" s="61" t="s">
        <v>156</v>
      </c>
      <c r="O18" s="61" t="s">
        <v>157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45</v>
      </c>
      <c r="C19" s="249">
        <f>0.5 *1.69794730299263</f>
        <v>0.84897365149631498</v>
      </c>
      <c r="D19" s="65" t="s">
        <v>46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47</v>
      </c>
      <c r="H19" s="68">
        <v>1</v>
      </c>
      <c r="I19" s="69" t="s">
        <v>48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49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50</v>
      </c>
      <c r="E20" s="66">
        <f>C19/5</f>
        <v>0.16979473029926301</v>
      </c>
      <c r="F20" s="66">
        <f t="shared" si="0"/>
        <v>0.33958946059852602</v>
      </c>
      <c r="G20" s="67" t="s">
        <v>51</v>
      </c>
      <c r="H20" s="68">
        <v>1</v>
      </c>
      <c r="I20" s="69" t="s">
        <v>48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49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52</v>
      </c>
      <c r="E21" s="66">
        <f>C19/5</f>
        <v>0.16979473029926301</v>
      </c>
      <c r="F21" s="66">
        <f t="shared" si="0"/>
        <v>0.33958946059852602</v>
      </c>
      <c r="G21" s="67" t="s">
        <v>53</v>
      </c>
      <c r="H21" s="68">
        <v>1</v>
      </c>
      <c r="I21" s="69" t="s">
        <v>48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49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54</v>
      </c>
      <c r="E22" s="66">
        <f>C19/5</f>
        <v>0.16979473029926301</v>
      </c>
      <c r="F22" s="66">
        <f t="shared" si="0"/>
        <v>0.33958946059852602</v>
      </c>
      <c r="G22" s="67" t="s">
        <v>55</v>
      </c>
      <c r="H22" s="76">
        <v>5</v>
      </c>
      <c r="I22" s="69" t="s">
        <v>56</v>
      </c>
      <c r="J22" s="70" t="s">
        <v>57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58</v>
      </c>
      <c r="E23" s="66">
        <f>C19/5</f>
        <v>0.16979473029926301</v>
      </c>
      <c r="F23" s="66">
        <f t="shared" si="0"/>
        <v>0.33958946059852602</v>
      </c>
      <c r="G23" s="67" t="s">
        <v>59</v>
      </c>
      <c r="H23" s="68">
        <v>1</v>
      </c>
      <c r="I23" s="69" t="s">
        <v>48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49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60</v>
      </c>
      <c r="C24" s="256">
        <f>0.5 *1.01876838179558</f>
        <v>0.50938419089778997</v>
      </c>
      <c r="D24" s="65" t="s">
        <v>61</v>
      </c>
      <c r="E24" s="66">
        <f>C24</f>
        <v>0.50938419089778997</v>
      </c>
      <c r="F24" s="66">
        <f t="shared" si="0"/>
        <v>1.0187683817955799</v>
      </c>
      <c r="G24" s="67" t="s">
        <v>62</v>
      </c>
      <c r="H24" s="68">
        <v>0.5</v>
      </c>
      <c r="I24" s="69" t="s">
        <v>48</v>
      </c>
      <c r="J24" s="70" t="s">
        <v>63</v>
      </c>
      <c r="K24" s="71">
        <v>50</v>
      </c>
      <c r="L24" s="71">
        <v>45</v>
      </c>
      <c r="M24" s="71">
        <v>40</v>
      </c>
      <c r="N24" s="71">
        <v>25</v>
      </c>
      <c r="O24" s="71" t="s">
        <v>64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65</v>
      </c>
      <c r="C25" s="249">
        <f>0.5 *90.5976168096783</f>
        <v>45.29880840483915</v>
      </c>
      <c r="D25" s="65" t="s">
        <v>66</v>
      </c>
      <c r="E25" s="66">
        <f>C25/10</f>
        <v>4.5298808404839148</v>
      </c>
      <c r="F25" s="66">
        <f t="shared" si="0"/>
        <v>9.0597616809678296</v>
      </c>
      <c r="G25" s="65" t="s">
        <v>67</v>
      </c>
      <c r="H25" s="77">
        <v>0.8</v>
      </c>
      <c r="I25" s="76" t="s">
        <v>48</v>
      </c>
      <c r="J25" s="70" t="s">
        <v>68</v>
      </c>
      <c r="K25" s="71">
        <v>80</v>
      </c>
      <c r="L25" s="71">
        <v>75</v>
      </c>
      <c r="M25" s="71">
        <v>70</v>
      </c>
      <c r="N25" s="71">
        <v>50</v>
      </c>
      <c r="O25" s="71" t="s">
        <v>69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70</v>
      </c>
      <c r="E26" s="66">
        <f>C25/10</f>
        <v>4.5298808404839148</v>
      </c>
      <c r="F26" s="66">
        <f t="shared" si="0"/>
        <v>9.0597616809678296</v>
      </c>
      <c r="G26" s="65" t="s">
        <v>71</v>
      </c>
      <c r="H26" s="77">
        <v>1</v>
      </c>
      <c r="I26" s="69" t="s">
        <v>48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49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72</v>
      </c>
      <c r="E27" s="66">
        <f>C25/10</f>
        <v>4.5298808404839148</v>
      </c>
      <c r="F27" s="66">
        <f t="shared" si="0"/>
        <v>9.0597616809678296</v>
      </c>
      <c r="G27" s="65" t="s">
        <v>73</v>
      </c>
      <c r="H27" s="77">
        <v>0.9</v>
      </c>
      <c r="I27" s="76" t="s">
        <v>48</v>
      </c>
      <c r="J27" s="70" t="s">
        <v>74</v>
      </c>
      <c r="K27" s="71">
        <v>90</v>
      </c>
      <c r="L27" s="71">
        <v>80</v>
      </c>
      <c r="M27" s="71">
        <v>70</v>
      </c>
      <c r="N27" s="71">
        <v>50</v>
      </c>
      <c r="O27" s="71" t="s">
        <v>69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75</v>
      </c>
      <c r="E28" s="66">
        <f>C25/10</f>
        <v>4.5298808404839148</v>
      </c>
      <c r="F28" s="66">
        <f t="shared" si="0"/>
        <v>9.0597616809678296</v>
      </c>
      <c r="G28" s="65" t="s">
        <v>76</v>
      </c>
      <c r="H28" s="77">
        <v>0.8</v>
      </c>
      <c r="I28" s="76" t="s">
        <v>48</v>
      </c>
      <c r="J28" s="70" t="s">
        <v>68</v>
      </c>
      <c r="K28" s="71">
        <v>80</v>
      </c>
      <c r="L28" s="71">
        <v>75</v>
      </c>
      <c r="M28" s="71">
        <v>70</v>
      </c>
      <c r="N28" s="71">
        <v>50</v>
      </c>
      <c r="O28" s="71" t="s">
        <v>69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77</v>
      </c>
      <c r="E29" s="66">
        <f>C25/10</f>
        <v>4.5298808404839148</v>
      </c>
      <c r="F29" s="66">
        <f t="shared" si="0"/>
        <v>9.0597616809678296</v>
      </c>
      <c r="G29" s="65" t="s">
        <v>78</v>
      </c>
      <c r="H29" s="77">
        <v>0.9</v>
      </c>
      <c r="I29" s="76" t="s">
        <v>48</v>
      </c>
      <c r="J29" s="70" t="s">
        <v>74</v>
      </c>
      <c r="K29" s="71">
        <v>90</v>
      </c>
      <c r="L29" s="71">
        <v>80</v>
      </c>
      <c r="M29" s="71">
        <v>70</v>
      </c>
      <c r="N29" s="71">
        <v>50</v>
      </c>
      <c r="O29" s="71" t="s">
        <v>69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79</v>
      </c>
      <c r="E30" s="66">
        <f>C25/10</f>
        <v>4.5298808404839148</v>
      </c>
      <c r="F30" s="66">
        <f t="shared" si="0"/>
        <v>9.0597616809678296</v>
      </c>
      <c r="G30" s="65" t="s">
        <v>80</v>
      </c>
      <c r="H30" s="77">
        <v>0.8</v>
      </c>
      <c r="I30" s="76" t="s">
        <v>48</v>
      </c>
      <c r="J30" s="70" t="s">
        <v>68</v>
      </c>
      <c r="K30" s="71">
        <v>80</v>
      </c>
      <c r="L30" s="71">
        <v>75</v>
      </c>
      <c r="M30" s="71">
        <v>70</v>
      </c>
      <c r="N30" s="71">
        <v>50</v>
      </c>
      <c r="O30" s="71" t="s">
        <v>69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81</v>
      </c>
      <c r="E31" s="66">
        <f>C25/10</f>
        <v>4.5298808404839148</v>
      </c>
      <c r="F31" s="66">
        <f t="shared" si="0"/>
        <v>9.0597616809678296</v>
      </c>
      <c r="G31" s="65" t="s">
        <v>82</v>
      </c>
      <c r="H31" s="77">
        <v>0.9</v>
      </c>
      <c r="I31" s="76" t="s">
        <v>48</v>
      </c>
      <c r="J31" s="70" t="s">
        <v>74</v>
      </c>
      <c r="K31" s="71">
        <v>90</v>
      </c>
      <c r="L31" s="71">
        <v>80</v>
      </c>
      <c r="M31" s="71">
        <v>70</v>
      </c>
      <c r="N31" s="71">
        <v>50</v>
      </c>
      <c r="O31" s="71" t="s">
        <v>69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83</v>
      </c>
      <c r="E32" s="66">
        <f>C25/10</f>
        <v>4.5298808404839148</v>
      </c>
      <c r="F32" s="66">
        <f t="shared" si="0"/>
        <v>9.0597616809678296</v>
      </c>
      <c r="G32" s="65" t="s">
        <v>84</v>
      </c>
      <c r="H32" s="77">
        <v>0.8</v>
      </c>
      <c r="I32" s="76" t="s">
        <v>48</v>
      </c>
      <c r="J32" s="70" t="s">
        <v>68</v>
      </c>
      <c r="K32" s="71">
        <v>80</v>
      </c>
      <c r="L32" s="71">
        <v>75</v>
      </c>
      <c r="M32" s="71">
        <v>70</v>
      </c>
      <c r="N32" s="71">
        <v>50</v>
      </c>
      <c r="O32" s="71" t="s">
        <v>69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85</v>
      </c>
      <c r="E33" s="66">
        <f>C25/10</f>
        <v>4.5298808404839148</v>
      </c>
      <c r="F33" s="66">
        <f t="shared" si="0"/>
        <v>9.0597616809678296</v>
      </c>
      <c r="G33" s="65" t="s">
        <v>86</v>
      </c>
      <c r="H33" s="76">
        <v>80</v>
      </c>
      <c r="I33" s="76" t="s">
        <v>48</v>
      </c>
      <c r="J33" s="70" t="s">
        <v>68</v>
      </c>
      <c r="K33" s="71">
        <v>80</v>
      </c>
      <c r="L33" s="71">
        <v>75</v>
      </c>
      <c r="M33" s="71">
        <v>70</v>
      </c>
      <c r="N33" s="71">
        <v>50</v>
      </c>
      <c r="O33" s="71" t="s">
        <v>69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87</v>
      </c>
      <c r="E34" s="66">
        <f>C25/10</f>
        <v>4.5298808404839148</v>
      </c>
      <c r="F34" s="66">
        <f t="shared" si="0"/>
        <v>9.0597616809678296</v>
      </c>
      <c r="G34" s="65" t="s">
        <v>88</v>
      </c>
      <c r="H34" s="77">
        <v>0.8</v>
      </c>
      <c r="I34" s="76" t="s">
        <v>48</v>
      </c>
      <c r="J34" s="70" t="s">
        <v>68</v>
      </c>
      <c r="K34" s="71">
        <v>80</v>
      </c>
      <c r="L34" s="71">
        <v>75</v>
      </c>
      <c r="M34" s="71">
        <v>70</v>
      </c>
      <c r="N34" s="71">
        <v>50</v>
      </c>
      <c r="O34" s="71" t="s">
        <v>69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89</v>
      </c>
      <c r="C35" s="78">
        <f>0.5 *1.5918255965556</f>
        <v>0.79591279827780004</v>
      </c>
      <c r="D35" s="65" t="s">
        <v>90</v>
      </c>
      <c r="E35" s="66">
        <f>C35</f>
        <v>0.79591279827780004</v>
      </c>
      <c r="F35" s="66">
        <f t="shared" si="0"/>
        <v>1.5918255965556003</v>
      </c>
      <c r="G35" s="67" t="s">
        <v>91</v>
      </c>
      <c r="H35" s="76">
        <v>5</v>
      </c>
      <c r="I35" s="69" t="s">
        <v>56</v>
      </c>
      <c r="J35" s="70" t="s">
        <v>57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92</v>
      </c>
      <c r="C36" s="257">
        <f>0.5 *3.18365119311119</f>
        <v>1.591825596555595</v>
      </c>
      <c r="D36" s="65" t="s">
        <v>93</v>
      </c>
      <c r="E36" s="66">
        <f>C36/2</f>
        <v>0.79591279827779748</v>
      </c>
      <c r="F36" s="66">
        <f t="shared" si="0"/>
        <v>1.591825596555595</v>
      </c>
      <c r="G36" s="67" t="s">
        <v>94</v>
      </c>
      <c r="H36" s="77">
        <v>0.8</v>
      </c>
      <c r="I36" s="76" t="s">
        <v>48</v>
      </c>
      <c r="J36" s="70" t="s">
        <v>68</v>
      </c>
      <c r="K36" s="71">
        <v>80</v>
      </c>
      <c r="L36" s="71">
        <v>75</v>
      </c>
      <c r="M36" s="71">
        <v>70</v>
      </c>
      <c r="N36" s="71">
        <v>50</v>
      </c>
      <c r="O36" s="71" t="s">
        <v>69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95</v>
      </c>
      <c r="E37" s="66">
        <f>C36/2</f>
        <v>0.79591279827779748</v>
      </c>
      <c r="F37" s="66">
        <f t="shared" si="0"/>
        <v>1.591825596555595</v>
      </c>
      <c r="G37" s="67" t="s">
        <v>96</v>
      </c>
      <c r="H37" s="77">
        <v>0.8</v>
      </c>
      <c r="I37" s="76" t="s">
        <v>48</v>
      </c>
      <c r="J37" s="70" t="s">
        <v>68</v>
      </c>
      <c r="K37" s="71">
        <v>80</v>
      </c>
      <c r="L37" s="71">
        <v>75</v>
      </c>
      <c r="M37" s="71">
        <v>70</v>
      </c>
      <c r="N37" s="71">
        <v>50</v>
      </c>
      <c r="O37" s="71" t="s">
        <v>69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97</v>
      </c>
      <c r="C38" s="261">
        <f>0.5 *1.0612170643704</f>
        <v>0.53060853218519999</v>
      </c>
      <c r="D38" s="65" t="s">
        <v>98</v>
      </c>
      <c r="E38" s="66">
        <f>C38</f>
        <v>0.53060853218519999</v>
      </c>
      <c r="F38" s="66">
        <f t="shared" si="0"/>
        <v>1.0612170643704</v>
      </c>
      <c r="G38" s="67" t="s">
        <v>99</v>
      </c>
      <c r="H38" s="77">
        <v>0.8</v>
      </c>
      <c r="I38" s="76" t="s">
        <v>48</v>
      </c>
      <c r="J38" s="70" t="s">
        <v>68</v>
      </c>
      <c r="K38" s="71">
        <v>80</v>
      </c>
      <c r="L38" s="71">
        <v>75</v>
      </c>
      <c r="M38" s="71">
        <v>70</v>
      </c>
      <c r="N38" s="71">
        <v>50</v>
      </c>
      <c r="O38" s="71" t="s">
        <v>69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100</v>
      </c>
      <c r="C39" s="78">
        <f>0.5 *0.424486825748159</f>
        <v>0.2122434128740795</v>
      </c>
      <c r="D39" s="260" t="s">
        <v>101</v>
      </c>
      <c r="E39" s="66">
        <f>C39</f>
        <v>0.2122434128740795</v>
      </c>
      <c r="F39" s="66">
        <f t="shared" si="0"/>
        <v>0.42448682574815894</v>
      </c>
      <c r="G39" s="67" t="s">
        <v>102</v>
      </c>
      <c r="H39" s="68">
        <v>0.7</v>
      </c>
      <c r="I39" s="76" t="s">
        <v>48</v>
      </c>
      <c r="J39" s="70" t="s">
        <v>103</v>
      </c>
      <c r="K39" s="71">
        <v>70</v>
      </c>
      <c r="L39" s="71">
        <v>60</v>
      </c>
      <c r="M39" s="71">
        <v>50</v>
      </c>
      <c r="N39" s="71">
        <v>40</v>
      </c>
      <c r="O39" s="71" t="s">
        <v>104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105</v>
      </c>
      <c r="C40" s="78">
        <f>0.5 *0.424486825748159</f>
        <v>0.2122434128740795</v>
      </c>
      <c r="D40" s="67" t="s">
        <v>106</v>
      </c>
      <c r="E40" s="66">
        <f>C40</f>
        <v>0.2122434128740795</v>
      </c>
      <c r="F40" s="66">
        <f t="shared" si="0"/>
        <v>0.42448682574815894</v>
      </c>
      <c r="G40" s="67" t="s">
        <v>107</v>
      </c>
      <c r="H40" s="68">
        <v>0.5</v>
      </c>
      <c r="I40" s="69" t="s">
        <v>48</v>
      </c>
      <c r="J40" s="70" t="s">
        <v>63</v>
      </c>
      <c r="K40" s="71">
        <v>50</v>
      </c>
      <c r="L40" s="71">
        <v>45</v>
      </c>
      <c r="M40" s="71">
        <v>40</v>
      </c>
      <c r="N40" s="71">
        <v>25</v>
      </c>
      <c r="O40" s="71" t="s">
        <v>64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108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158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109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114</v>
      </c>
      <c r="M43" s="101" t="s">
        <v>110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111</v>
      </c>
      <c r="D44" s="108"/>
      <c r="E44" s="108"/>
      <c r="F44" s="108"/>
      <c r="G44" s="108"/>
      <c r="H44" s="109" t="s">
        <v>159</v>
      </c>
      <c r="I44" s="109" t="s">
        <v>160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115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39</v>
      </c>
      <c r="N45" s="121" t="s">
        <v>116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117</v>
      </c>
      <c r="B46" s="124" t="s">
        <v>161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40</v>
      </c>
      <c r="N46" s="121" t="s">
        <v>118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119</v>
      </c>
      <c r="B47" s="124" t="s">
        <v>162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41</v>
      </c>
      <c r="N47" s="121" t="s">
        <v>120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121</v>
      </c>
      <c r="B48" s="124" t="s">
        <v>122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42</v>
      </c>
      <c r="N48" s="121" t="s">
        <v>123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124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43</v>
      </c>
      <c r="N49" s="121" t="s">
        <v>125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117</v>
      </c>
      <c r="B50" s="135" t="s">
        <v>163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44</v>
      </c>
      <c r="N50" s="121" t="s">
        <v>126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119</v>
      </c>
      <c r="B51" s="135" t="s">
        <v>164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114</v>
      </c>
      <c r="N51" s="140" t="s">
        <v>127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121</v>
      </c>
      <c r="B52" s="135" t="s">
        <v>165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128</v>
      </c>
      <c r="N52" s="140" t="s">
        <v>129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130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112</v>
      </c>
      <c r="N53" s="140" t="s">
        <v>131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117</v>
      </c>
      <c r="B54" s="135" t="s">
        <v>132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113</v>
      </c>
      <c r="N54" s="140" t="s">
        <v>133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119</v>
      </c>
      <c r="B55" s="135" t="s">
        <v>166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134</v>
      </c>
      <c r="N55" s="140" t="s">
        <v>135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121</v>
      </c>
      <c r="B56" s="135" t="s">
        <v>167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136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117</v>
      </c>
      <c r="B58" s="152" t="s">
        <v>137</v>
      </c>
      <c r="C58" s="136" t="s">
        <v>138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119</v>
      </c>
      <c r="B59" s="152" t="s">
        <v>139</v>
      </c>
      <c r="C59" s="136" t="s">
        <v>140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119</v>
      </c>
      <c r="B60" s="152" t="s">
        <v>141</v>
      </c>
      <c r="C60" s="136" t="s">
        <v>142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143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168</v>
      </c>
      <c r="P62" s="165"/>
      <c r="Q62" s="164" t="s">
        <v>169</v>
      </c>
      <c r="R62" s="166"/>
    </row>
    <row r="63" spans="1:18" s="167" customFormat="1" ht="45" customHeight="1" x14ac:dyDescent="0.7">
      <c r="A63" s="160"/>
      <c r="B63" s="168"/>
      <c r="C63" s="169" t="s">
        <v>170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171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172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173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174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175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176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177</v>
      </c>
      <c r="B71" s="193"/>
      <c r="C71" s="194"/>
      <c r="D71" s="195"/>
      <c r="E71" s="196" t="s">
        <v>178</v>
      </c>
      <c r="F71" s="197"/>
      <c r="G71" s="193" t="s">
        <v>179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144</v>
      </c>
      <c r="B75" s="214"/>
      <c r="C75" s="194"/>
      <c r="D75" s="195"/>
      <c r="E75" s="215" t="s">
        <v>180</v>
      </c>
      <c r="F75" s="197"/>
      <c r="G75" s="214" t="s">
        <v>180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145</v>
      </c>
      <c r="B78" s="201"/>
      <c r="C78" s="194"/>
      <c r="D78" s="195"/>
      <c r="E78" s="196" t="s">
        <v>181</v>
      </c>
      <c r="F78" s="197"/>
      <c r="G78" s="193" t="s">
        <v>181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F60D20B3-116E-4949-B8FD-C2C2997B8523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73E4-FA40-4B9B-8371-930E301C0E76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182</v>
      </c>
      <c r="C5" s="16" t="s">
        <v>2</v>
      </c>
      <c r="D5" s="17" t="s">
        <v>183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88710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11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22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24</v>
      </c>
      <c r="D13" s="233" t="s">
        <v>6</v>
      </c>
      <c r="E13" s="232" t="s">
        <v>25</v>
      </c>
      <c r="F13" s="233" t="s">
        <v>8</v>
      </c>
      <c r="G13" s="234" t="s">
        <v>26</v>
      </c>
      <c r="H13" s="233" t="s">
        <v>10</v>
      </c>
      <c r="I13" s="235" t="s">
        <v>27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28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29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30</v>
      </c>
      <c r="B17" s="48" t="s">
        <v>31</v>
      </c>
      <c r="C17" s="49" t="s">
        <v>32</v>
      </c>
      <c r="D17" s="49" t="s">
        <v>33</v>
      </c>
      <c r="E17" s="49" t="s">
        <v>32</v>
      </c>
      <c r="F17" s="50" t="s">
        <v>34</v>
      </c>
      <c r="G17" s="50" t="s">
        <v>35</v>
      </c>
      <c r="H17" s="51" t="s">
        <v>36</v>
      </c>
      <c r="I17" s="50" t="s">
        <v>37</v>
      </c>
      <c r="J17" s="52" t="s">
        <v>38</v>
      </c>
      <c r="K17" s="53"/>
      <c r="L17" s="53"/>
      <c r="M17" s="53"/>
      <c r="N17" s="53"/>
      <c r="O17" s="54"/>
      <c r="P17" s="55" t="s">
        <v>149</v>
      </c>
      <c r="Q17" s="55" t="s">
        <v>150</v>
      </c>
      <c r="R17" s="56" t="s">
        <v>151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152</v>
      </c>
      <c r="K18" s="62" t="s">
        <v>153</v>
      </c>
      <c r="L18" s="62" t="s">
        <v>154</v>
      </c>
      <c r="M18" s="61" t="s">
        <v>155</v>
      </c>
      <c r="N18" s="61" t="s">
        <v>156</v>
      </c>
      <c r="O18" s="61" t="s">
        <v>157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45</v>
      </c>
      <c r="C19" s="249">
        <f>0.5 *1.69794730299263</f>
        <v>0.84897365149631498</v>
      </c>
      <c r="D19" s="65" t="s">
        <v>46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47</v>
      </c>
      <c r="H19" s="68">
        <v>1</v>
      </c>
      <c r="I19" s="69" t="s">
        <v>48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49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50</v>
      </c>
      <c r="E20" s="66">
        <f>C19/5</f>
        <v>0.16979473029926301</v>
      </c>
      <c r="F20" s="66">
        <f t="shared" si="0"/>
        <v>0.33958946059852602</v>
      </c>
      <c r="G20" s="67" t="s">
        <v>51</v>
      </c>
      <c r="H20" s="68">
        <v>1</v>
      </c>
      <c r="I20" s="69" t="s">
        <v>48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49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52</v>
      </c>
      <c r="E21" s="66">
        <f>C19/5</f>
        <v>0.16979473029926301</v>
      </c>
      <c r="F21" s="66">
        <f t="shared" si="0"/>
        <v>0.33958946059852602</v>
      </c>
      <c r="G21" s="67" t="s">
        <v>53</v>
      </c>
      <c r="H21" s="68">
        <v>1</v>
      </c>
      <c r="I21" s="69" t="s">
        <v>48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49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54</v>
      </c>
      <c r="E22" s="66">
        <f>C19/5</f>
        <v>0.16979473029926301</v>
      </c>
      <c r="F22" s="66">
        <f t="shared" si="0"/>
        <v>0.33958946059852602</v>
      </c>
      <c r="G22" s="67" t="s">
        <v>55</v>
      </c>
      <c r="H22" s="76">
        <v>5</v>
      </c>
      <c r="I22" s="69" t="s">
        <v>56</v>
      </c>
      <c r="J22" s="70" t="s">
        <v>57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58</v>
      </c>
      <c r="E23" s="66">
        <f>C19/5</f>
        <v>0.16979473029926301</v>
      </c>
      <c r="F23" s="66">
        <f t="shared" si="0"/>
        <v>0.33958946059852602</v>
      </c>
      <c r="G23" s="67" t="s">
        <v>59</v>
      </c>
      <c r="H23" s="68">
        <v>1</v>
      </c>
      <c r="I23" s="69" t="s">
        <v>48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49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60</v>
      </c>
      <c r="C24" s="256">
        <f>0.5 *1.01876838179558</f>
        <v>0.50938419089778997</v>
      </c>
      <c r="D24" s="65" t="s">
        <v>61</v>
      </c>
      <c r="E24" s="66">
        <f>C24</f>
        <v>0.50938419089778997</v>
      </c>
      <c r="F24" s="66">
        <f t="shared" si="0"/>
        <v>1.0187683817955799</v>
      </c>
      <c r="G24" s="67" t="s">
        <v>62</v>
      </c>
      <c r="H24" s="68">
        <v>0.5</v>
      </c>
      <c r="I24" s="69" t="s">
        <v>48</v>
      </c>
      <c r="J24" s="70" t="s">
        <v>63</v>
      </c>
      <c r="K24" s="71">
        <v>50</v>
      </c>
      <c r="L24" s="71">
        <v>45</v>
      </c>
      <c r="M24" s="71">
        <v>40</v>
      </c>
      <c r="N24" s="71">
        <v>25</v>
      </c>
      <c r="O24" s="71" t="s">
        <v>64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65</v>
      </c>
      <c r="C25" s="249">
        <f>0.5 *90.5976168096783</f>
        <v>45.29880840483915</v>
      </c>
      <c r="D25" s="65" t="s">
        <v>66</v>
      </c>
      <c r="E25" s="66">
        <f>C25/10</f>
        <v>4.5298808404839148</v>
      </c>
      <c r="F25" s="66">
        <f t="shared" si="0"/>
        <v>9.0597616809678296</v>
      </c>
      <c r="G25" s="65" t="s">
        <v>67</v>
      </c>
      <c r="H25" s="77">
        <v>0.8</v>
      </c>
      <c r="I25" s="76" t="s">
        <v>48</v>
      </c>
      <c r="J25" s="70" t="s">
        <v>68</v>
      </c>
      <c r="K25" s="71">
        <v>80</v>
      </c>
      <c r="L25" s="71">
        <v>75</v>
      </c>
      <c r="M25" s="71">
        <v>70</v>
      </c>
      <c r="N25" s="71">
        <v>50</v>
      </c>
      <c r="O25" s="71" t="s">
        <v>69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70</v>
      </c>
      <c r="E26" s="66">
        <f>C25/10</f>
        <v>4.5298808404839148</v>
      </c>
      <c r="F26" s="66">
        <f t="shared" si="0"/>
        <v>9.0597616809678296</v>
      </c>
      <c r="G26" s="65" t="s">
        <v>71</v>
      </c>
      <c r="H26" s="77">
        <v>1</v>
      </c>
      <c r="I26" s="69" t="s">
        <v>48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49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72</v>
      </c>
      <c r="E27" s="66">
        <f>C25/10</f>
        <v>4.5298808404839148</v>
      </c>
      <c r="F27" s="66">
        <f t="shared" si="0"/>
        <v>9.0597616809678296</v>
      </c>
      <c r="G27" s="65" t="s">
        <v>73</v>
      </c>
      <c r="H27" s="77">
        <v>0.9</v>
      </c>
      <c r="I27" s="76" t="s">
        <v>48</v>
      </c>
      <c r="J27" s="70" t="s">
        <v>74</v>
      </c>
      <c r="K27" s="71">
        <v>90</v>
      </c>
      <c r="L27" s="71">
        <v>80</v>
      </c>
      <c r="M27" s="71">
        <v>70</v>
      </c>
      <c r="N27" s="71">
        <v>50</v>
      </c>
      <c r="O27" s="71" t="s">
        <v>69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75</v>
      </c>
      <c r="E28" s="66">
        <f>C25/10</f>
        <v>4.5298808404839148</v>
      </c>
      <c r="F28" s="66">
        <f t="shared" si="0"/>
        <v>9.0597616809678296</v>
      </c>
      <c r="G28" s="65" t="s">
        <v>76</v>
      </c>
      <c r="H28" s="77">
        <v>0.8</v>
      </c>
      <c r="I28" s="76" t="s">
        <v>48</v>
      </c>
      <c r="J28" s="70" t="s">
        <v>68</v>
      </c>
      <c r="K28" s="71">
        <v>80</v>
      </c>
      <c r="L28" s="71">
        <v>75</v>
      </c>
      <c r="M28" s="71">
        <v>70</v>
      </c>
      <c r="N28" s="71">
        <v>50</v>
      </c>
      <c r="O28" s="71" t="s">
        <v>69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77</v>
      </c>
      <c r="E29" s="66">
        <f>C25/10</f>
        <v>4.5298808404839148</v>
      </c>
      <c r="F29" s="66">
        <f t="shared" si="0"/>
        <v>9.0597616809678296</v>
      </c>
      <c r="G29" s="65" t="s">
        <v>78</v>
      </c>
      <c r="H29" s="77">
        <v>0.9</v>
      </c>
      <c r="I29" s="76" t="s">
        <v>48</v>
      </c>
      <c r="J29" s="70" t="s">
        <v>74</v>
      </c>
      <c r="K29" s="71">
        <v>90</v>
      </c>
      <c r="L29" s="71">
        <v>80</v>
      </c>
      <c r="M29" s="71">
        <v>70</v>
      </c>
      <c r="N29" s="71">
        <v>50</v>
      </c>
      <c r="O29" s="71" t="s">
        <v>69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79</v>
      </c>
      <c r="E30" s="66">
        <f>C25/10</f>
        <v>4.5298808404839148</v>
      </c>
      <c r="F30" s="66">
        <f t="shared" si="0"/>
        <v>9.0597616809678296</v>
      </c>
      <c r="G30" s="65" t="s">
        <v>80</v>
      </c>
      <c r="H30" s="77">
        <v>0.8</v>
      </c>
      <c r="I30" s="76" t="s">
        <v>48</v>
      </c>
      <c r="J30" s="70" t="s">
        <v>68</v>
      </c>
      <c r="K30" s="71">
        <v>80</v>
      </c>
      <c r="L30" s="71">
        <v>75</v>
      </c>
      <c r="M30" s="71">
        <v>70</v>
      </c>
      <c r="N30" s="71">
        <v>50</v>
      </c>
      <c r="O30" s="71" t="s">
        <v>69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81</v>
      </c>
      <c r="E31" s="66">
        <f>C25/10</f>
        <v>4.5298808404839148</v>
      </c>
      <c r="F31" s="66">
        <f t="shared" si="0"/>
        <v>9.0597616809678296</v>
      </c>
      <c r="G31" s="65" t="s">
        <v>82</v>
      </c>
      <c r="H31" s="77">
        <v>0.9</v>
      </c>
      <c r="I31" s="76" t="s">
        <v>48</v>
      </c>
      <c r="J31" s="70" t="s">
        <v>74</v>
      </c>
      <c r="K31" s="71">
        <v>90</v>
      </c>
      <c r="L31" s="71">
        <v>80</v>
      </c>
      <c r="M31" s="71">
        <v>70</v>
      </c>
      <c r="N31" s="71">
        <v>50</v>
      </c>
      <c r="O31" s="71" t="s">
        <v>69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83</v>
      </c>
      <c r="E32" s="66">
        <f>C25/10</f>
        <v>4.5298808404839148</v>
      </c>
      <c r="F32" s="66">
        <f t="shared" si="0"/>
        <v>9.0597616809678296</v>
      </c>
      <c r="G32" s="65" t="s">
        <v>84</v>
      </c>
      <c r="H32" s="77">
        <v>0.8</v>
      </c>
      <c r="I32" s="76" t="s">
        <v>48</v>
      </c>
      <c r="J32" s="70" t="s">
        <v>68</v>
      </c>
      <c r="K32" s="71">
        <v>80</v>
      </c>
      <c r="L32" s="71">
        <v>75</v>
      </c>
      <c r="M32" s="71">
        <v>70</v>
      </c>
      <c r="N32" s="71">
        <v>50</v>
      </c>
      <c r="O32" s="71" t="s">
        <v>69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85</v>
      </c>
      <c r="E33" s="66">
        <f>C25/10</f>
        <v>4.5298808404839148</v>
      </c>
      <c r="F33" s="66">
        <f t="shared" si="0"/>
        <v>9.0597616809678296</v>
      </c>
      <c r="G33" s="65" t="s">
        <v>86</v>
      </c>
      <c r="H33" s="76">
        <v>80</v>
      </c>
      <c r="I33" s="76" t="s">
        <v>48</v>
      </c>
      <c r="J33" s="70" t="s">
        <v>68</v>
      </c>
      <c r="K33" s="71">
        <v>80</v>
      </c>
      <c r="L33" s="71">
        <v>75</v>
      </c>
      <c r="M33" s="71">
        <v>70</v>
      </c>
      <c r="N33" s="71">
        <v>50</v>
      </c>
      <c r="O33" s="71" t="s">
        <v>69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87</v>
      </c>
      <c r="E34" s="66">
        <f>C25/10</f>
        <v>4.5298808404839148</v>
      </c>
      <c r="F34" s="66">
        <f t="shared" si="0"/>
        <v>9.0597616809678296</v>
      </c>
      <c r="G34" s="65" t="s">
        <v>88</v>
      </c>
      <c r="H34" s="77">
        <v>0.8</v>
      </c>
      <c r="I34" s="76" t="s">
        <v>48</v>
      </c>
      <c r="J34" s="70" t="s">
        <v>68</v>
      </c>
      <c r="K34" s="71">
        <v>80</v>
      </c>
      <c r="L34" s="71">
        <v>75</v>
      </c>
      <c r="M34" s="71">
        <v>70</v>
      </c>
      <c r="N34" s="71">
        <v>50</v>
      </c>
      <c r="O34" s="71" t="s">
        <v>69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89</v>
      </c>
      <c r="C35" s="78">
        <f>0.5 *1.5918255965556</f>
        <v>0.79591279827780004</v>
      </c>
      <c r="D35" s="65" t="s">
        <v>90</v>
      </c>
      <c r="E35" s="66">
        <f>C35</f>
        <v>0.79591279827780004</v>
      </c>
      <c r="F35" s="66">
        <f t="shared" si="0"/>
        <v>1.5918255965556003</v>
      </c>
      <c r="G35" s="67" t="s">
        <v>91</v>
      </c>
      <c r="H35" s="76">
        <v>5</v>
      </c>
      <c r="I35" s="69" t="s">
        <v>56</v>
      </c>
      <c r="J35" s="70" t="s">
        <v>57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92</v>
      </c>
      <c r="C36" s="257">
        <f>0.5 *3.18365119311119</f>
        <v>1.591825596555595</v>
      </c>
      <c r="D36" s="65" t="s">
        <v>93</v>
      </c>
      <c r="E36" s="66">
        <f>C36/2</f>
        <v>0.79591279827779748</v>
      </c>
      <c r="F36" s="66">
        <f t="shared" si="0"/>
        <v>1.591825596555595</v>
      </c>
      <c r="G36" s="67" t="s">
        <v>94</v>
      </c>
      <c r="H36" s="77">
        <v>0.8</v>
      </c>
      <c r="I36" s="76" t="s">
        <v>48</v>
      </c>
      <c r="J36" s="70" t="s">
        <v>68</v>
      </c>
      <c r="K36" s="71">
        <v>80</v>
      </c>
      <c r="L36" s="71">
        <v>75</v>
      </c>
      <c r="M36" s="71">
        <v>70</v>
      </c>
      <c r="N36" s="71">
        <v>50</v>
      </c>
      <c r="O36" s="71" t="s">
        <v>69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95</v>
      </c>
      <c r="E37" s="66">
        <f>C36/2</f>
        <v>0.79591279827779748</v>
      </c>
      <c r="F37" s="66">
        <f t="shared" si="0"/>
        <v>1.591825596555595</v>
      </c>
      <c r="G37" s="67" t="s">
        <v>96</v>
      </c>
      <c r="H37" s="77">
        <v>0.8</v>
      </c>
      <c r="I37" s="76" t="s">
        <v>48</v>
      </c>
      <c r="J37" s="70" t="s">
        <v>68</v>
      </c>
      <c r="K37" s="71">
        <v>80</v>
      </c>
      <c r="L37" s="71">
        <v>75</v>
      </c>
      <c r="M37" s="71">
        <v>70</v>
      </c>
      <c r="N37" s="71">
        <v>50</v>
      </c>
      <c r="O37" s="71" t="s">
        <v>69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97</v>
      </c>
      <c r="C38" s="261">
        <f>0.5 *1.0612170643704</f>
        <v>0.53060853218519999</v>
      </c>
      <c r="D38" s="65" t="s">
        <v>98</v>
      </c>
      <c r="E38" s="66">
        <f>C38</f>
        <v>0.53060853218519999</v>
      </c>
      <c r="F38" s="66">
        <f t="shared" si="0"/>
        <v>1.0612170643704</v>
      </c>
      <c r="G38" s="67" t="s">
        <v>99</v>
      </c>
      <c r="H38" s="77">
        <v>0.8</v>
      </c>
      <c r="I38" s="76" t="s">
        <v>48</v>
      </c>
      <c r="J38" s="70" t="s">
        <v>68</v>
      </c>
      <c r="K38" s="71">
        <v>80</v>
      </c>
      <c r="L38" s="71">
        <v>75</v>
      </c>
      <c r="M38" s="71">
        <v>70</v>
      </c>
      <c r="N38" s="71">
        <v>50</v>
      </c>
      <c r="O38" s="71" t="s">
        <v>69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100</v>
      </c>
      <c r="C39" s="78">
        <f>0.5 *0.424486825748159</f>
        <v>0.2122434128740795</v>
      </c>
      <c r="D39" s="260" t="s">
        <v>101</v>
      </c>
      <c r="E39" s="66">
        <f>C39</f>
        <v>0.2122434128740795</v>
      </c>
      <c r="F39" s="66">
        <f t="shared" si="0"/>
        <v>0.42448682574815894</v>
      </c>
      <c r="G39" s="67" t="s">
        <v>102</v>
      </c>
      <c r="H39" s="68">
        <v>0.7</v>
      </c>
      <c r="I39" s="76" t="s">
        <v>48</v>
      </c>
      <c r="J39" s="70" t="s">
        <v>103</v>
      </c>
      <c r="K39" s="71">
        <v>70</v>
      </c>
      <c r="L39" s="71">
        <v>60</v>
      </c>
      <c r="M39" s="71">
        <v>50</v>
      </c>
      <c r="N39" s="71">
        <v>40</v>
      </c>
      <c r="O39" s="71" t="s">
        <v>104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105</v>
      </c>
      <c r="C40" s="78">
        <f>0.5 *0.424486825748159</f>
        <v>0.2122434128740795</v>
      </c>
      <c r="D40" s="67" t="s">
        <v>106</v>
      </c>
      <c r="E40" s="66">
        <f>C40</f>
        <v>0.2122434128740795</v>
      </c>
      <c r="F40" s="66">
        <f t="shared" si="0"/>
        <v>0.42448682574815894</v>
      </c>
      <c r="G40" s="67" t="s">
        <v>107</v>
      </c>
      <c r="H40" s="68">
        <v>0.5</v>
      </c>
      <c r="I40" s="69" t="s">
        <v>48</v>
      </c>
      <c r="J40" s="70" t="s">
        <v>63</v>
      </c>
      <c r="K40" s="71">
        <v>50</v>
      </c>
      <c r="L40" s="71">
        <v>45</v>
      </c>
      <c r="M40" s="71">
        <v>40</v>
      </c>
      <c r="N40" s="71">
        <v>25</v>
      </c>
      <c r="O40" s="71" t="s">
        <v>64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108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158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109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114</v>
      </c>
      <c r="M43" s="101" t="s">
        <v>110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111</v>
      </c>
      <c r="D44" s="108"/>
      <c r="E44" s="108"/>
      <c r="F44" s="108"/>
      <c r="G44" s="108"/>
      <c r="H44" s="109" t="s">
        <v>159</v>
      </c>
      <c r="I44" s="109" t="s">
        <v>160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115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39</v>
      </c>
      <c r="N45" s="121" t="s">
        <v>116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117</v>
      </c>
      <c r="B46" s="124" t="s">
        <v>161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40</v>
      </c>
      <c r="N46" s="121" t="s">
        <v>118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119</v>
      </c>
      <c r="B47" s="124" t="s">
        <v>162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41</v>
      </c>
      <c r="N47" s="121" t="s">
        <v>120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121</v>
      </c>
      <c r="B48" s="124" t="s">
        <v>122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42</v>
      </c>
      <c r="N48" s="121" t="s">
        <v>123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124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43</v>
      </c>
      <c r="N49" s="121" t="s">
        <v>125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117</v>
      </c>
      <c r="B50" s="135" t="s">
        <v>163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44</v>
      </c>
      <c r="N50" s="121" t="s">
        <v>126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119</v>
      </c>
      <c r="B51" s="135" t="s">
        <v>164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114</v>
      </c>
      <c r="N51" s="140" t="s">
        <v>127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121</v>
      </c>
      <c r="B52" s="135" t="s">
        <v>165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128</v>
      </c>
      <c r="N52" s="140" t="s">
        <v>129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130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112</v>
      </c>
      <c r="N53" s="140" t="s">
        <v>131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117</v>
      </c>
      <c r="B54" s="135" t="s">
        <v>132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113</v>
      </c>
      <c r="N54" s="140" t="s">
        <v>133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119</v>
      </c>
      <c r="B55" s="135" t="s">
        <v>166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134</v>
      </c>
      <c r="N55" s="140" t="s">
        <v>135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121</v>
      </c>
      <c r="B56" s="135" t="s">
        <v>167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136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117</v>
      </c>
      <c r="B58" s="152" t="s">
        <v>137</v>
      </c>
      <c r="C58" s="136" t="s">
        <v>138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119</v>
      </c>
      <c r="B59" s="152" t="s">
        <v>139</v>
      </c>
      <c r="C59" s="136" t="s">
        <v>140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119</v>
      </c>
      <c r="B60" s="152" t="s">
        <v>141</v>
      </c>
      <c r="C60" s="136" t="s">
        <v>142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143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168</v>
      </c>
      <c r="P62" s="165"/>
      <c r="Q62" s="164" t="s">
        <v>169</v>
      </c>
      <c r="R62" s="166"/>
    </row>
    <row r="63" spans="1:18" s="167" customFormat="1" ht="45" customHeight="1" x14ac:dyDescent="0.7">
      <c r="A63" s="160"/>
      <c r="B63" s="168"/>
      <c r="C63" s="169" t="s">
        <v>170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171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172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173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174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175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176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177</v>
      </c>
      <c r="B71" s="193"/>
      <c r="C71" s="194"/>
      <c r="D71" s="195"/>
      <c r="E71" s="196" t="s">
        <v>178</v>
      </c>
      <c r="F71" s="197"/>
      <c r="G71" s="193" t="s">
        <v>179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144</v>
      </c>
      <c r="B75" s="214"/>
      <c r="C75" s="194"/>
      <c r="D75" s="195"/>
      <c r="E75" s="215" t="s">
        <v>180</v>
      </c>
      <c r="F75" s="197"/>
      <c r="G75" s="214" t="s">
        <v>180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145</v>
      </c>
      <c r="B78" s="201"/>
      <c r="C78" s="194"/>
      <c r="D78" s="195"/>
      <c r="E78" s="196" t="s">
        <v>181</v>
      </c>
      <c r="F78" s="197"/>
      <c r="G78" s="193" t="s">
        <v>181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8303BDC1-18CB-4072-8AC9-0616FD19AB46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8E03-A71F-4F92-BA87-EDDDE1458BC8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184</v>
      </c>
      <c r="C5" s="16" t="s">
        <v>2</v>
      </c>
      <c r="D5" s="17" t="s">
        <v>185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88710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11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22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24</v>
      </c>
      <c r="D13" s="233" t="s">
        <v>6</v>
      </c>
      <c r="E13" s="232" t="s">
        <v>25</v>
      </c>
      <c r="F13" s="233" t="s">
        <v>8</v>
      </c>
      <c r="G13" s="234" t="s">
        <v>26</v>
      </c>
      <c r="H13" s="233" t="s">
        <v>10</v>
      </c>
      <c r="I13" s="235" t="s">
        <v>27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28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29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30</v>
      </c>
      <c r="B17" s="48" t="s">
        <v>31</v>
      </c>
      <c r="C17" s="49" t="s">
        <v>32</v>
      </c>
      <c r="D17" s="49" t="s">
        <v>33</v>
      </c>
      <c r="E17" s="49" t="s">
        <v>32</v>
      </c>
      <c r="F17" s="50" t="s">
        <v>34</v>
      </c>
      <c r="G17" s="50" t="s">
        <v>35</v>
      </c>
      <c r="H17" s="51" t="s">
        <v>36</v>
      </c>
      <c r="I17" s="50" t="s">
        <v>37</v>
      </c>
      <c r="J17" s="52" t="s">
        <v>38</v>
      </c>
      <c r="K17" s="53"/>
      <c r="L17" s="53"/>
      <c r="M17" s="53"/>
      <c r="N17" s="53"/>
      <c r="O17" s="54"/>
      <c r="P17" s="55" t="s">
        <v>149</v>
      </c>
      <c r="Q17" s="55" t="s">
        <v>150</v>
      </c>
      <c r="R17" s="56" t="s">
        <v>151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152</v>
      </c>
      <c r="K18" s="62" t="s">
        <v>153</v>
      </c>
      <c r="L18" s="62" t="s">
        <v>154</v>
      </c>
      <c r="M18" s="61" t="s">
        <v>155</v>
      </c>
      <c r="N18" s="61" t="s">
        <v>156</v>
      </c>
      <c r="O18" s="61" t="s">
        <v>157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45</v>
      </c>
      <c r="C19" s="249">
        <f>0.5 *1.69794730299263</f>
        <v>0.84897365149631498</v>
      </c>
      <c r="D19" s="65" t="s">
        <v>46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47</v>
      </c>
      <c r="H19" s="68">
        <v>1</v>
      </c>
      <c r="I19" s="69" t="s">
        <v>48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49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50</v>
      </c>
      <c r="E20" s="66">
        <f>C19/5</f>
        <v>0.16979473029926301</v>
      </c>
      <c r="F20" s="66">
        <f t="shared" si="0"/>
        <v>0.33958946059852602</v>
      </c>
      <c r="G20" s="67" t="s">
        <v>51</v>
      </c>
      <c r="H20" s="68">
        <v>1</v>
      </c>
      <c r="I20" s="69" t="s">
        <v>48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49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52</v>
      </c>
      <c r="E21" s="66">
        <f>C19/5</f>
        <v>0.16979473029926301</v>
      </c>
      <c r="F21" s="66">
        <f t="shared" si="0"/>
        <v>0.33958946059852602</v>
      </c>
      <c r="G21" s="67" t="s">
        <v>53</v>
      </c>
      <c r="H21" s="68">
        <v>1</v>
      </c>
      <c r="I21" s="69" t="s">
        <v>48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49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54</v>
      </c>
      <c r="E22" s="66">
        <f>C19/5</f>
        <v>0.16979473029926301</v>
      </c>
      <c r="F22" s="66">
        <f t="shared" si="0"/>
        <v>0.33958946059852602</v>
      </c>
      <c r="G22" s="67" t="s">
        <v>55</v>
      </c>
      <c r="H22" s="76">
        <v>5</v>
      </c>
      <c r="I22" s="69" t="s">
        <v>56</v>
      </c>
      <c r="J22" s="70" t="s">
        <v>57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58</v>
      </c>
      <c r="E23" s="66">
        <f>C19/5</f>
        <v>0.16979473029926301</v>
      </c>
      <c r="F23" s="66">
        <f t="shared" si="0"/>
        <v>0.33958946059852602</v>
      </c>
      <c r="G23" s="67" t="s">
        <v>59</v>
      </c>
      <c r="H23" s="68">
        <v>1</v>
      </c>
      <c r="I23" s="69" t="s">
        <v>48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49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60</v>
      </c>
      <c r="C24" s="256">
        <f>0.5 *1.01876838179558</f>
        <v>0.50938419089778997</v>
      </c>
      <c r="D24" s="65" t="s">
        <v>61</v>
      </c>
      <c r="E24" s="66">
        <f>C24</f>
        <v>0.50938419089778997</v>
      </c>
      <c r="F24" s="66">
        <f t="shared" si="0"/>
        <v>1.0187683817955799</v>
      </c>
      <c r="G24" s="67" t="s">
        <v>62</v>
      </c>
      <c r="H24" s="68">
        <v>0.5</v>
      </c>
      <c r="I24" s="69" t="s">
        <v>48</v>
      </c>
      <c r="J24" s="70" t="s">
        <v>63</v>
      </c>
      <c r="K24" s="71">
        <v>50</v>
      </c>
      <c r="L24" s="71">
        <v>45</v>
      </c>
      <c r="M24" s="71">
        <v>40</v>
      </c>
      <c r="N24" s="71">
        <v>25</v>
      </c>
      <c r="O24" s="71" t="s">
        <v>64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65</v>
      </c>
      <c r="C25" s="249">
        <f>0.5 *90.5976168096783</f>
        <v>45.29880840483915</v>
      </c>
      <c r="D25" s="65" t="s">
        <v>66</v>
      </c>
      <c r="E25" s="66">
        <f>C25/10</f>
        <v>4.5298808404839148</v>
      </c>
      <c r="F25" s="66">
        <f t="shared" si="0"/>
        <v>9.0597616809678296</v>
      </c>
      <c r="G25" s="65" t="s">
        <v>67</v>
      </c>
      <c r="H25" s="77">
        <v>0.8</v>
      </c>
      <c r="I25" s="76" t="s">
        <v>48</v>
      </c>
      <c r="J25" s="70" t="s">
        <v>68</v>
      </c>
      <c r="K25" s="71">
        <v>80</v>
      </c>
      <c r="L25" s="71">
        <v>75</v>
      </c>
      <c r="M25" s="71">
        <v>70</v>
      </c>
      <c r="N25" s="71">
        <v>50</v>
      </c>
      <c r="O25" s="71" t="s">
        <v>69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70</v>
      </c>
      <c r="E26" s="66">
        <f>C25/10</f>
        <v>4.5298808404839148</v>
      </c>
      <c r="F26" s="66">
        <f t="shared" si="0"/>
        <v>9.0597616809678296</v>
      </c>
      <c r="G26" s="65" t="s">
        <v>71</v>
      </c>
      <c r="H26" s="77">
        <v>1</v>
      </c>
      <c r="I26" s="69" t="s">
        <v>48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49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72</v>
      </c>
      <c r="E27" s="66">
        <f>C25/10</f>
        <v>4.5298808404839148</v>
      </c>
      <c r="F27" s="66">
        <f t="shared" si="0"/>
        <v>9.0597616809678296</v>
      </c>
      <c r="G27" s="65" t="s">
        <v>73</v>
      </c>
      <c r="H27" s="77">
        <v>0.9</v>
      </c>
      <c r="I27" s="76" t="s">
        <v>48</v>
      </c>
      <c r="J27" s="70" t="s">
        <v>74</v>
      </c>
      <c r="K27" s="71">
        <v>90</v>
      </c>
      <c r="L27" s="71">
        <v>80</v>
      </c>
      <c r="M27" s="71">
        <v>70</v>
      </c>
      <c r="N27" s="71">
        <v>50</v>
      </c>
      <c r="O27" s="71" t="s">
        <v>69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75</v>
      </c>
      <c r="E28" s="66">
        <f>C25/10</f>
        <v>4.5298808404839148</v>
      </c>
      <c r="F28" s="66">
        <f t="shared" si="0"/>
        <v>9.0597616809678296</v>
      </c>
      <c r="G28" s="65" t="s">
        <v>76</v>
      </c>
      <c r="H28" s="77">
        <v>0.8</v>
      </c>
      <c r="I28" s="76" t="s">
        <v>48</v>
      </c>
      <c r="J28" s="70" t="s">
        <v>68</v>
      </c>
      <c r="K28" s="71">
        <v>80</v>
      </c>
      <c r="L28" s="71">
        <v>75</v>
      </c>
      <c r="M28" s="71">
        <v>70</v>
      </c>
      <c r="N28" s="71">
        <v>50</v>
      </c>
      <c r="O28" s="71" t="s">
        <v>69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77</v>
      </c>
      <c r="E29" s="66">
        <f>C25/10</f>
        <v>4.5298808404839148</v>
      </c>
      <c r="F29" s="66">
        <f t="shared" si="0"/>
        <v>9.0597616809678296</v>
      </c>
      <c r="G29" s="65" t="s">
        <v>78</v>
      </c>
      <c r="H29" s="77">
        <v>0.9</v>
      </c>
      <c r="I29" s="76" t="s">
        <v>48</v>
      </c>
      <c r="J29" s="70" t="s">
        <v>74</v>
      </c>
      <c r="K29" s="71">
        <v>90</v>
      </c>
      <c r="L29" s="71">
        <v>80</v>
      </c>
      <c r="M29" s="71">
        <v>70</v>
      </c>
      <c r="N29" s="71">
        <v>50</v>
      </c>
      <c r="O29" s="71" t="s">
        <v>69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79</v>
      </c>
      <c r="E30" s="66">
        <f>C25/10</f>
        <v>4.5298808404839148</v>
      </c>
      <c r="F30" s="66">
        <f t="shared" si="0"/>
        <v>9.0597616809678296</v>
      </c>
      <c r="G30" s="65" t="s">
        <v>80</v>
      </c>
      <c r="H30" s="77">
        <v>0.8</v>
      </c>
      <c r="I30" s="76" t="s">
        <v>48</v>
      </c>
      <c r="J30" s="70" t="s">
        <v>68</v>
      </c>
      <c r="K30" s="71">
        <v>80</v>
      </c>
      <c r="L30" s="71">
        <v>75</v>
      </c>
      <c r="M30" s="71">
        <v>70</v>
      </c>
      <c r="N30" s="71">
        <v>50</v>
      </c>
      <c r="O30" s="71" t="s">
        <v>69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81</v>
      </c>
      <c r="E31" s="66">
        <f>C25/10</f>
        <v>4.5298808404839148</v>
      </c>
      <c r="F31" s="66">
        <f t="shared" si="0"/>
        <v>9.0597616809678296</v>
      </c>
      <c r="G31" s="65" t="s">
        <v>82</v>
      </c>
      <c r="H31" s="77">
        <v>0.9</v>
      </c>
      <c r="I31" s="76" t="s">
        <v>48</v>
      </c>
      <c r="J31" s="70" t="s">
        <v>74</v>
      </c>
      <c r="K31" s="71">
        <v>90</v>
      </c>
      <c r="L31" s="71">
        <v>80</v>
      </c>
      <c r="M31" s="71">
        <v>70</v>
      </c>
      <c r="N31" s="71">
        <v>50</v>
      </c>
      <c r="O31" s="71" t="s">
        <v>69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83</v>
      </c>
      <c r="E32" s="66">
        <f>C25/10</f>
        <v>4.5298808404839148</v>
      </c>
      <c r="F32" s="66">
        <f t="shared" si="0"/>
        <v>9.0597616809678296</v>
      </c>
      <c r="G32" s="65" t="s">
        <v>84</v>
      </c>
      <c r="H32" s="77">
        <v>0.8</v>
      </c>
      <c r="I32" s="76" t="s">
        <v>48</v>
      </c>
      <c r="J32" s="70" t="s">
        <v>68</v>
      </c>
      <c r="K32" s="71">
        <v>80</v>
      </c>
      <c r="L32" s="71">
        <v>75</v>
      </c>
      <c r="M32" s="71">
        <v>70</v>
      </c>
      <c r="N32" s="71">
        <v>50</v>
      </c>
      <c r="O32" s="71" t="s">
        <v>69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85</v>
      </c>
      <c r="E33" s="66">
        <f>C25/10</f>
        <v>4.5298808404839148</v>
      </c>
      <c r="F33" s="66">
        <f t="shared" si="0"/>
        <v>9.0597616809678296</v>
      </c>
      <c r="G33" s="65" t="s">
        <v>86</v>
      </c>
      <c r="H33" s="76">
        <v>80</v>
      </c>
      <c r="I33" s="76" t="s">
        <v>48</v>
      </c>
      <c r="J33" s="70" t="s">
        <v>68</v>
      </c>
      <c r="K33" s="71">
        <v>80</v>
      </c>
      <c r="L33" s="71">
        <v>75</v>
      </c>
      <c r="M33" s="71">
        <v>70</v>
      </c>
      <c r="N33" s="71">
        <v>50</v>
      </c>
      <c r="O33" s="71" t="s">
        <v>69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87</v>
      </c>
      <c r="E34" s="66">
        <f>C25/10</f>
        <v>4.5298808404839148</v>
      </c>
      <c r="F34" s="66">
        <f t="shared" si="0"/>
        <v>9.0597616809678296</v>
      </c>
      <c r="G34" s="65" t="s">
        <v>88</v>
      </c>
      <c r="H34" s="77">
        <v>0.8</v>
      </c>
      <c r="I34" s="76" t="s">
        <v>48</v>
      </c>
      <c r="J34" s="70" t="s">
        <v>68</v>
      </c>
      <c r="K34" s="71">
        <v>80</v>
      </c>
      <c r="L34" s="71">
        <v>75</v>
      </c>
      <c r="M34" s="71">
        <v>70</v>
      </c>
      <c r="N34" s="71">
        <v>50</v>
      </c>
      <c r="O34" s="71" t="s">
        <v>69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89</v>
      </c>
      <c r="C35" s="78">
        <f>0.5 *1.5918255965556</f>
        <v>0.79591279827780004</v>
      </c>
      <c r="D35" s="65" t="s">
        <v>90</v>
      </c>
      <c r="E35" s="66">
        <f>C35</f>
        <v>0.79591279827780004</v>
      </c>
      <c r="F35" s="66">
        <f t="shared" si="0"/>
        <v>1.5918255965556003</v>
      </c>
      <c r="G35" s="67" t="s">
        <v>91</v>
      </c>
      <c r="H35" s="76">
        <v>5</v>
      </c>
      <c r="I35" s="69" t="s">
        <v>56</v>
      </c>
      <c r="J35" s="70" t="s">
        <v>57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92</v>
      </c>
      <c r="C36" s="257">
        <f>0.5 *3.18365119311119</f>
        <v>1.591825596555595</v>
      </c>
      <c r="D36" s="65" t="s">
        <v>93</v>
      </c>
      <c r="E36" s="66">
        <f>C36/2</f>
        <v>0.79591279827779748</v>
      </c>
      <c r="F36" s="66">
        <f t="shared" si="0"/>
        <v>1.591825596555595</v>
      </c>
      <c r="G36" s="67" t="s">
        <v>94</v>
      </c>
      <c r="H36" s="77">
        <v>0.8</v>
      </c>
      <c r="I36" s="76" t="s">
        <v>48</v>
      </c>
      <c r="J36" s="70" t="s">
        <v>68</v>
      </c>
      <c r="K36" s="71">
        <v>80</v>
      </c>
      <c r="L36" s="71">
        <v>75</v>
      </c>
      <c r="M36" s="71">
        <v>70</v>
      </c>
      <c r="N36" s="71">
        <v>50</v>
      </c>
      <c r="O36" s="71" t="s">
        <v>69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95</v>
      </c>
      <c r="E37" s="66">
        <f>C36/2</f>
        <v>0.79591279827779748</v>
      </c>
      <c r="F37" s="66">
        <f t="shared" si="0"/>
        <v>1.591825596555595</v>
      </c>
      <c r="G37" s="67" t="s">
        <v>96</v>
      </c>
      <c r="H37" s="77">
        <v>0.8</v>
      </c>
      <c r="I37" s="76" t="s">
        <v>48</v>
      </c>
      <c r="J37" s="70" t="s">
        <v>68</v>
      </c>
      <c r="K37" s="71">
        <v>80</v>
      </c>
      <c r="L37" s="71">
        <v>75</v>
      </c>
      <c r="M37" s="71">
        <v>70</v>
      </c>
      <c r="N37" s="71">
        <v>50</v>
      </c>
      <c r="O37" s="71" t="s">
        <v>69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97</v>
      </c>
      <c r="C38" s="261">
        <f>0.5 *1.0612170643704</f>
        <v>0.53060853218519999</v>
      </c>
      <c r="D38" s="65" t="s">
        <v>98</v>
      </c>
      <c r="E38" s="66">
        <f>C38</f>
        <v>0.53060853218519999</v>
      </c>
      <c r="F38" s="66">
        <f t="shared" si="0"/>
        <v>1.0612170643704</v>
      </c>
      <c r="G38" s="67" t="s">
        <v>99</v>
      </c>
      <c r="H38" s="77">
        <v>0.8</v>
      </c>
      <c r="I38" s="76" t="s">
        <v>48</v>
      </c>
      <c r="J38" s="70" t="s">
        <v>68</v>
      </c>
      <c r="K38" s="71">
        <v>80</v>
      </c>
      <c r="L38" s="71">
        <v>75</v>
      </c>
      <c r="M38" s="71">
        <v>70</v>
      </c>
      <c r="N38" s="71">
        <v>50</v>
      </c>
      <c r="O38" s="71" t="s">
        <v>69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100</v>
      </c>
      <c r="C39" s="78">
        <f>0.5 *0.424486825748159</f>
        <v>0.2122434128740795</v>
      </c>
      <c r="D39" s="260" t="s">
        <v>101</v>
      </c>
      <c r="E39" s="66">
        <f>C39</f>
        <v>0.2122434128740795</v>
      </c>
      <c r="F39" s="66">
        <f t="shared" si="0"/>
        <v>0.42448682574815894</v>
      </c>
      <c r="G39" s="67" t="s">
        <v>102</v>
      </c>
      <c r="H39" s="68">
        <v>0.7</v>
      </c>
      <c r="I39" s="76" t="s">
        <v>48</v>
      </c>
      <c r="J39" s="70" t="s">
        <v>103</v>
      </c>
      <c r="K39" s="71">
        <v>70</v>
      </c>
      <c r="L39" s="71">
        <v>60</v>
      </c>
      <c r="M39" s="71">
        <v>50</v>
      </c>
      <c r="N39" s="71">
        <v>40</v>
      </c>
      <c r="O39" s="71" t="s">
        <v>104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105</v>
      </c>
      <c r="C40" s="78">
        <f>0.5 *0.424486825748159</f>
        <v>0.2122434128740795</v>
      </c>
      <c r="D40" s="67" t="s">
        <v>106</v>
      </c>
      <c r="E40" s="66">
        <f>C40</f>
        <v>0.2122434128740795</v>
      </c>
      <c r="F40" s="66">
        <f t="shared" si="0"/>
        <v>0.42448682574815894</v>
      </c>
      <c r="G40" s="67" t="s">
        <v>107</v>
      </c>
      <c r="H40" s="68">
        <v>0.5</v>
      </c>
      <c r="I40" s="69" t="s">
        <v>48</v>
      </c>
      <c r="J40" s="70" t="s">
        <v>63</v>
      </c>
      <c r="K40" s="71">
        <v>50</v>
      </c>
      <c r="L40" s="71">
        <v>45</v>
      </c>
      <c r="M40" s="71">
        <v>40</v>
      </c>
      <c r="N40" s="71">
        <v>25</v>
      </c>
      <c r="O40" s="71" t="s">
        <v>64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108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158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109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114</v>
      </c>
      <c r="M43" s="101" t="s">
        <v>110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111</v>
      </c>
      <c r="D44" s="108"/>
      <c r="E44" s="108"/>
      <c r="F44" s="108"/>
      <c r="G44" s="108"/>
      <c r="H44" s="109" t="s">
        <v>159</v>
      </c>
      <c r="I44" s="109" t="s">
        <v>160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115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39</v>
      </c>
      <c r="N45" s="121" t="s">
        <v>116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117</v>
      </c>
      <c r="B46" s="124" t="s">
        <v>161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40</v>
      </c>
      <c r="N46" s="121" t="s">
        <v>118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119</v>
      </c>
      <c r="B47" s="124" t="s">
        <v>162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41</v>
      </c>
      <c r="N47" s="121" t="s">
        <v>120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121</v>
      </c>
      <c r="B48" s="124" t="s">
        <v>122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42</v>
      </c>
      <c r="N48" s="121" t="s">
        <v>123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124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43</v>
      </c>
      <c r="N49" s="121" t="s">
        <v>125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117</v>
      </c>
      <c r="B50" s="135" t="s">
        <v>163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44</v>
      </c>
      <c r="N50" s="121" t="s">
        <v>126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119</v>
      </c>
      <c r="B51" s="135" t="s">
        <v>164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114</v>
      </c>
      <c r="N51" s="140" t="s">
        <v>127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121</v>
      </c>
      <c r="B52" s="135" t="s">
        <v>165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128</v>
      </c>
      <c r="N52" s="140" t="s">
        <v>129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130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112</v>
      </c>
      <c r="N53" s="140" t="s">
        <v>131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117</v>
      </c>
      <c r="B54" s="135" t="s">
        <v>132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113</v>
      </c>
      <c r="N54" s="140" t="s">
        <v>133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119</v>
      </c>
      <c r="B55" s="135" t="s">
        <v>166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134</v>
      </c>
      <c r="N55" s="140" t="s">
        <v>135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121</v>
      </c>
      <c r="B56" s="135" t="s">
        <v>167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136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117</v>
      </c>
      <c r="B58" s="152" t="s">
        <v>137</v>
      </c>
      <c r="C58" s="136" t="s">
        <v>138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119</v>
      </c>
      <c r="B59" s="152" t="s">
        <v>139</v>
      </c>
      <c r="C59" s="136" t="s">
        <v>140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119</v>
      </c>
      <c r="B60" s="152" t="s">
        <v>141</v>
      </c>
      <c r="C60" s="136" t="s">
        <v>142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143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168</v>
      </c>
      <c r="P62" s="165"/>
      <c r="Q62" s="164" t="s">
        <v>169</v>
      </c>
      <c r="R62" s="166"/>
    </row>
    <row r="63" spans="1:18" s="167" customFormat="1" ht="45" customHeight="1" x14ac:dyDescent="0.7">
      <c r="A63" s="160"/>
      <c r="B63" s="168"/>
      <c r="C63" s="169" t="s">
        <v>170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171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172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173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174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175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176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177</v>
      </c>
      <c r="B71" s="193"/>
      <c r="C71" s="194"/>
      <c r="D71" s="195"/>
      <c r="E71" s="196" t="s">
        <v>178</v>
      </c>
      <c r="F71" s="197"/>
      <c r="G71" s="193" t="s">
        <v>179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144</v>
      </c>
      <c r="B75" s="214"/>
      <c r="C75" s="194"/>
      <c r="D75" s="195"/>
      <c r="E75" s="215" t="s">
        <v>180</v>
      </c>
      <c r="F75" s="197"/>
      <c r="G75" s="214" t="s">
        <v>180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145</v>
      </c>
      <c r="B78" s="201"/>
      <c r="C78" s="194"/>
      <c r="D78" s="195"/>
      <c r="E78" s="196" t="s">
        <v>181</v>
      </c>
      <c r="F78" s="197"/>
      <c r="G78" s="193" t="s">
        <v>181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00042FE3-08B4-4E0C-8135-734A11C64705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FC25-54CC-46DB-8B99-422FCFF78BE5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186</v>
      </c>
      <c r="C5" s="16" t="s">
        <v>2</v>
      </c>
      <c r="D5" s="17" t="s">
        <v>187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88710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11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22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24</v>
      </c>
      <c r="D13" s="233" t="s">
        <v>6</v>
      </c>
      <c r="E13" s="232" t="s">
        <v>25</v>
      </c>
      <c r="F13" s="233" t="s">
        <v>8</v>
      </c>
      <c r="G13" s="234" t="s">
        <v>26</v>
      </c>
      <c r="H13" s="233" t="s">
        <v>10</v>
      </c>
      <c r="I13" s="235" t="s">
        <v>27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28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29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30</v>
      </c>
      <c r="B17" s="48" t="s">
        <v>31</v>
      </c>
      <c r="C17" s="49" t="s">
        <v>32</v>
      </c>
      <c r="D17" s="49" t="s">
        <v>33</v>
      </c>
      <c r="E17" s="49" t="s">
        <v>32</v>
      </c>
      <c r="F17" s="50" t="s">
        <v>34</v>
      </c>
      <c r="G17" s="50" t="s">
        <v>35</v>
      </c>
      <c r="H17" s="51" t="s">
        <v>36</v>
      </c>
      <c r="I17" s="50" t="s">
        <v>37</v>
      </c>
      <c r="J17" s="52" t="s">
        <v>38</v>
      </c>
      <c r="K17" s="53"/>
      <c r="L17" s="53"/>
      <c r="M17" s="53"/>
      <c r="N17" s="53"/>
      <c r="O17" s="54"/>
      <c r="P17" s="55" t="s">
        <v>149</v>
      </c>
      <c r="Q17" s="55" t="s">
        <v>150</v>
      </c>
      <c r="R17" s="56" t="s">
        <v>151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152</v>
      </c>
      <c r="K18" s="62" t="s">
        <v>153</v>
      </c>
      <c r="L18" s="62" t="s">
        <v>154</v>
      </c>
      <c r="M18" s="61" t="s">
        <v>155</v>
      </c>
      <c r="N18" s="61" t="s">
        <v>156</v>
      </c>
      <c r="O18" s="61" t="s">
        <v>157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45</v>
      </c>
      <c r="C19" s="249">
        <f>0.5 *1.69794730299263</f>
        <v>0.84897365149631498</v>
      </c>
      <c r="D19" s="65" t="s">
        <v>46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47</v>
      </c>
      <c r="H19" s="68">
        <v>1</v>
      </c>
      <c r="I19" s="69" t="s">
        <v>48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49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50</v>
      </c>
      <c r="E20" s="66">
        <f>C19/5</f>
        <v>0.16979473029926301</v>
      </c>
      <c r="F20" s="66">
        <f t="shared" si="0"/>
        <v>0.33958946059852602</v>
      </c>
      <c r="G20" s="67" t="s">
        <v>51</v>
      </c>
      <c r="H20" s="68">
        <v>1</v>
      </c>
      <c r="I20" s="69" t="s">
        <v>48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49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52</v>
      </c>
      <c r="E21" s="66">
        <f>C19/5</f>
        <v>0.16979473029926301</v>
      </c>
      <c r="F21" s="66">
        <f t="shared" si="0"/>
        <v>0.33958946059852602</v>
      </c>
      <c r="G21" s="67" t="s">
        <v>53</v>
      </c>
      <c r="H21" s="68">
        <v>1</v>
      </c>
      <c r="I21" s="69" t="s">
        <v>48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49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54</v>
      </c>
      <c r="E22" s="66">
        <f>C19/5</f>
        <v>0.16979473029926301</v>
      </c>
      <c r="F22" s="66">
        <f t="shared" si="0"/>
        <v>0.33958946059852602</v>
      </c>
      <c r="G22" s="67" t="s">
        <v>55</v>
      </c>
      <c r="H22" s="76">
        <v>5</v>
      </c>
      <c r="I22" s="69" t="s">
        <v>56</v>
      </c>
      <c r="J22" s="70" t="s">
        <v>57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58</v>
      </c>
      <c r="E23" s="66">
        <f>C19/5</f>
        <v>0.16979473029926301</v>
      </c>
      <c r="F23" s="66">
        <f t="shared" si="0"/>
        <v>0.33958946059852602</v>
      </c>
      <c r="G23" s="67" t="s">
        <v>59</v>
      </c>
      <c r="H23" s="68">
        <v>1</v>
      </c>
      <c r="I23" s="69" t="s">
        <v>48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49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60</v>
      </c>
      <c r="C24" s="256">
        <f>0.5 *1.01876838179558</f>
        <v>0.50938419089778997</v>
      </c>
      <c r="D24" s="65" t="s">
        <v>61</v>
      </c>
      <c r="E24" s="66">
        <f>C24</f>
        <v>0.50938419089778997</v>
      </c>
      <c r="F24" s="66">
        <f t="shared" si="0"/>
        <v>1.0187683817955799</v>
      </c>
      <c r="G24" s="67" t="s">
        <v>62</v>
      </c>
      <c r="H24" s="68">
        <v>0.5</v>
      </c>
      <c r="I24" s="69" t="s">
        <v>48</v>
      </c>
      <c r="J24" s="70" t="s">
        <v>63</v>
      </c>
      <c r="K24" s="71">
        <v>50</v>
      </c>
      <c r="L24" s="71">
        <v>45</v>
      </c>
      <c r="M24" s="71">
        <v>40</v>
      </c>
      <c r="N24" s="71">
        <v>25</v>
      </c>
      <c r="O24" s="71" t="s">
        <v>64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65</v>
      </c>
      <c r="C25" s="249">
        <f>0.5 *90.5976168096783</f>
        <v>45.29880840483915</v>
      </c>
      <c r="D25" s="65" t="s">
        <v>66</v>
      </c>
      <c r="E25" s="66">
        <f>C25/10</f>
        <v>4.5298808404839148</v>
      </c>
      <c r="F25" s="66">
        <f t="shared" si="0"/>
        <v>9.0597616809678296</v>
      </c>
      <c r="G25" s="65" t="s">
        <v>67</v>
      </c>
      <c r="H25" s="77">
        <v>0.8</v>
      </c>
      <c r="I25" s="76" t="s">
        <v>48</v>
      </c>
      <c r="J25" s="70" t="s">
        <v>68</v>
      </c>
      <c r="K25" s="71">
        <v>80</v>
      </c>
      <c r="L25" s="71">
        <v>75</v>
      </c>
      <c r="M25" s="71">
        <v>70</v>
      </c>
      <c r="N25" s="71">
        <v>50</v>
      </c>
      <c r="O25" s="71" t="s">
        <v>69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70</v>
      </c>
      <c r="E26" s="66">
        <f>C25/10</f>
        <v>4.5298808404839148</v>
      </c>
      <c r="F26" s="66">
        <f t="shared" si="0"/>
        <v>9.0597616809678296</v>
      </c>
      <c r="G26" s="65" t="s">
        <v>71</v>
      </c>
      <c r="H26" s="77">
        <v>1</v>
      </c>
      <c r="I26" s="69" t="s">
        <v>48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49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72</v>
      </c>
      <c r="E27" s="66">
        <f>C25/10</f>
        <v>4.5298808404839148</v>
      </c>
      <c r="F27" s="66">
        <f t="shared" si="0"/>
        <v>9.0597616809678296</v>
      </c>
      <c r="G27" s="65" t="s">
        <v>73</v>
      </c>
      <c r="H27" s="77">
        <v>0.9</v>
      </c>
      <c r="I27" s="76" t="s">
        <v>48</v>
      </c>
      <c r="J27" s="70" t="s">
        <v>74</v>
      </c>
      <c r="K27" s="71">
        <v>90</v>
      </c>
      <c r="L27" s="71">
        <v>80</v>
      </c>
      <c r="M27" s="71">
        <v>70</v>
      </c>
      <c r="N27" s="71">
        <v>50</v>
      </c>
      <c r="O27" s="71" t="s">
        <v>69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75</v>
      </c>
      <c r="E28" s="66">
        <f>C25/10</f>
        <v>4.5298808404839148</v>
      </c>
      <c r="F28" s="66">
        <f t="shared" si="0"/>
        <v>9.0597616809678296</v>
      </c>
      <c r="G28" s="65" t="s">
        <v>76</v>
      </c>
      <c r="H28" s="77">
        <v>0.8</v>
      </c>
      <c r="I28" s="76" t="s">
        <v>48</v>
      </c>
      <c r="J28" s="70" t="s">
        <v>68</v>
      </c>
      <c r="K28" s="71">
        <v>80</v>
      </c>
      <c r="L28" s="71">
        <v>75</v>
      </c>
      <c r="M28" s="71">
        <v>70</v>
      </c>
      <c r="N28" s="71">
        <v>50</v>
      </c>
      <c r="O28" s="71" t="s">
        <v>69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77</v>
      </c>
      <c r="E29" s="66">
        <f>C25/10</f>
        <v>4.5298808404839148</v>
      </c>
      <c r="F29" s="66">
        <f t="shared" si="0"/>
        <v>9.0597616809678296</v>
      </c>
      <c r="G29" s="65" t="s">
        <v>78</v>
      </c>
      <c r="H29" s="77">
        <v>0.9</v>
      </c>
      <c r="I29" s="76" t="s">
        <v>48</v>
      </c>
      <c r="J29" s="70" t="s">
        <v>74</v>
      </c>
      <c r="K29" s="71">
        <v>90</v>
      </c>
      <c r="L29" s="71">
        <v>80</v>
      </c>
      <c r="M29" s="71">
        <v>70</v>
      </c>
      <c r="N29" s="71">
        <v>50</v>
      </c>
      <c r="O29" s="71" t="s">
        <v>69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79</v>
      </c>
      <c r="E30" s="66">
        <f>C25/10</f>
        <v>4.5298808404839148</v>
      </c>
      <c r="F30" s="66">
        <f t="shared" si="0"/>
        <v>9.0597616809678296</v>
      </c>
      <c r="G30" s="65" t="s">
        <v>80</v>
      </c>
      <c r="H30" s="77">
        <v>0.8</v>
      </c>
      <c r="I30" s="76" t="s">
        <v>48</v>
      </c>
      <c r="J30" s="70" t="s">
        <v>68</v>
      </c>
      <c r="K30" s="71">
        <v>80</v>
      </c>
      <c r="L30" s="71">
        <v>75</v>
      </c>
      <c r="M30" s="71">
        <v>70</v>
      </c>
      <c r="N30" s="71">
        <v>50</v>
      </c>
      <c r="O30" s="71" t="s">
        <v>69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81</v>
      </c>
      <c r="E31" s="66">
        <f>C25/10</f>
        <v>4.5298808404839148</v>
      </c>
      <c r="F31" s="66">
        <f t="shared" si="0"/>
        <v>9.0597616809678296</v>
      </c>
      <c r="G31" s="65" t="s">
        <v>82</v>
      </c>
      <c r="H31" s="77">
        <v>0.9</v>
      </c>
      <c r="I31" s="76" t="s">
        <v>48</v>
      </c>
      <c r="J31" s="70" t="s">
        <v>74</v>
      </c>
      <c r="K31" s="71">
        <v>90</v>
      </c>
      <c r="L31" s="71">
        <v>80</v>
      </c>
      <c r="M31" s="71">
        <v>70</v>
      </c>
      <c r="N31" s="71">
        <v>50</v>
      </c>
      <c r="O31" s="71" t="s">
        <v>69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83</v>
      </c>
      <c r="E32" s="66">
        <f>C25/10</f>
        <v>4.5298808404839148</v>
      </c>
      <c r="F32" s="66">
        <f t="shared" si="0"/>
        <v>9.0597616809678296</v>
      </c>
      <c r="G32" s="65" t="s">
        <v>84</v>
      </c>
      <c r="H32" s="77">
        <v>0.8</v>
      </c>
      <c r="I32" s="76" t="s">
        <v>48</v>
      </c>
      <c r="J32" s="70" t="s">
        <v>68</v>
      </c>
      <c r="K32" s="71">
        <v>80</v>
      </c>
      <c r="L32" s="71">
        <v>75</v>
      </c>
      <c r="M32" s="71">
        <v>70</v>
      </c>
      <c r="N32" s="71">
        <v>50</v>
      </c>
      <c r="O32" s="71" t="s">
        <v>69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85</v>
      </c>
      <c r="E33" s="66">
        <f>C25/10</f>
        <v>4.5298808404839148</v>
      </c>
      <c r="F33" s="66">
        <f t="shared" si="0"/>
        <v>9.0597616809678296</v>
      </c>
      <c r="G33" s="65" t="s">
        <v>86</v>
      </c>
      <c r="H33" s="76">
        <v>80</v>
      </c>
      <c r="I33" s="76" t="s">
        <v>48</v>
      </c>
      <c r="J33" s="70" t="s">
        <v>68</v>
      </c>
      <c r="K33" s="71">
        <v>80</v>
      </c>
      <c r="L33" s="71">
        <v>75</v>
      </c>
      <c r="M33" s="71">
        <v>70</v>
      </c>
      <c r="N33" s="71">
        <v>50</v>
      </c>
      <c r="O33" s="71" t="s">
        <v>69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87</v>
      </c>
      <c r="E34" s="66">
        <f>C25/10</f>
        <v>4.5298808404839148</v>
      </c>
      <c r="F34" s="66">
        <f t="shared" si="0"/>
        <v>9.0597616809678296</v>
      </c>
      <c r="G34" s="65" t="s">
        <v>88</v>
      </c>
      <c r="H34" s="77">
        <v>0.8</v>
      </c>
      <c r="I34" s="76" t="s">
        <v>48</v>
      </c>
      <c r="J34" s="70" t="s">
        <v>68</v>
      </c>
      <c r="K34" s="71">
        <v>80</v>
      </c>
      <c r="L34" s="71">
        <v>75</v>
      </c>
      <c r="M34" s="71">
        <v>70</v>
      </c>
      <c r="N34" s="71">
        <v>50</v>
      </c>
      <c r="O34" s="71" t="s">
        <v>69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89</v>
      </c>
      <c r="C35" s="78">
        <f>0.5 *1.5918255965556</f>
        <v>0.79591279827780004</v>
      </c>
      <c r="D35" s="65" t="s">
        <v>90</v>
      </c>
      <c r="E35" s="66">
        <f>C35</f>
        <v>0.79591279827780004</v>
      </c>
      <c r="F35" s="66">
        <f t="shared" si="0"/>
        <v>1.5918255965556003</v>
      </c>
      <c r="G35" s="67" t="s">
        <v>91</v>
      </c>
      <c r="H35" s="76">
        <v>5</v>
      </c>
      <c r="I35" s="69" t="s">
        <v>56</v>
      </c>
      <c r="J35" s="70" t="s">
        <v>57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92</v>
      </c>
      <c r="C36" s="257">
        <f>0.5 *3.18365119311119</f>
        <v>1.591825596555595</v>
      </c>
      <c r="D36" s="65" t="s">
        <v>93</v>
      </c>
      <c r="E36" s="66">
        <f>C36/2</f>
        <v>0.79591279827779748</v>
      </c>
      <c r="F36" s="66">
        <f t="shared" si="0"/>
        <v>1.591825596555595</v>
      </c>
      <c r="G36" s="67" t="s">
        <v>94</v>
      </c>
      <c r="H36" s="77">
        <v>0.8</v>
      </c>
      <c r="I36" s="76" t="s">
        <v>48</v>
      </c>
      <c r="J36" s="70" t="s">
        <v>68</v>
      </c>
      <c r="K36" s="71">
        <v>80</v>
      </c>
      <c r="L36" s="71">
        <v>75</v>
      </c>
      <c r="M36" s="71">
        <v>70</v>
      </c>
      <c r="N36" s="71">
        <v>50</v>
      </c>
      <c r="O36" s="71" t="s">
        <v>69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95</v>
      </c>
      <c r="E37" s="66">
        <f>C36/2</f>
        <v>0.79591279827779748</v>
      </c>
      <c r="F37" s="66">
        <f t="shared" si="0"/>
        <v>1.591825596555595</v>
      </c>
      <c r="G37" s="67" t="s">
        <v>96</v>
      </c>
      <c r="H37" s="77">
        <v>0.8</v>
      </c>
      <c r="I37" s="76" t="s">
        <v>48</v>
      </c>
      <c r="J37" s="70" t="s">
        <v>68</v>
      </c>
      <c r="K37" s="71">
        <v>80</v>
      </c>
      <c r="L37" s="71">
        <v>75</v>
      </c>
      <c r="M37" s="71">
        <v>70</v>
      </c>
      <c r="N37" s="71">
        <v>50</v>
      </c>
      <c r="O37" s="71" t="s">
        <v>69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97</v>
      </c>
      <c r="C38" s="261">
        <f>0.5 *1.0612170643704</f>
        <v>0.53060853218519999</v>
      </c>
      <c r="D38" s="65" t="s">
        <v>98</v>
      </c>
      <c r="E38" s="66">
        <f>C38</f>
        <v>0.53060853218519999</v>
      </c>
      <c r="F38" s="66">
        <f t="shared" si="0"/>
        <v>1.0612170643704</v>
      </c>
      <c r="G38" s="67" t="s">
        <v>99</v>
      </c>
      <c r="H38" s="77">
        <v>0.8</v>
      </c>
      <c r="I38" s="76" t="s">
        <v>48</v>
      </c>
      <c r="J38" s="70" t="s">
        <v>68</v>
      </c>
      <c r="K38" s="71">
        <v>80</v>
      </c>
      <c r="L38" s="71">
        <v>75</v>
      </c>
      <c r="M38" s="71">
        <v>70</v>
      </c>
      <c r="N38" s="71">
        <v>50</v>
      </c>
      <c r="O38" s="71" t="s">
        <v>69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100</v>
      </c>
      <c r="C39" s="78">
        <f>0.5 *0.424486825748159</f>
        <v>0.2122434128740795</v>
      </c>
      <c r="D39" s="260" t="s">
        <v>101</v>
      </c>
      <c r="E39" s="66">
        <f>C39</f>
        <v>0.2122434128740795</v>
      </c>
      <c r="F39" s="66">
        <f t="shared" si="0"/>
        <v>0.42448682574815894</v>
      </c>
      <c r="G39" s="67" t="s">
        <v>102</v>
      </c>
      <c r="H39" s="68">
        <v>0.7</v>
      </c>
      <c r="I39" s="76" t="s">
        <v>48</v>
      </c>
      <c r="J39" s="70" t="s">
        <v>103</v>
      </c>
      <c r="K39" s="71">
        <v>70</v>
      </c>
      <c r="L39" s="71">
        <v>60</v>
      </c>
      <c r="M39" s="71">
        <v>50</v>
      </c>
      <c r="N39" s="71">
        <v>40</v>
      </c>
      <c r="O39" s="71" t="s">
        <v>104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105</v>
      </c>
      <c r="C40" s="78">
        <f>0.5 *0.424486825748159</f>
        <v>0.2122434128740795</v>
      </c>
      <c r="D40" s="67" t="s">
        <v>106</v>
      </c>
      <c r="E40" s="66">
        <f>C40</f>
        <v>0.2122434128740795</v>
      </c>
      <c r="F40" s="66">
        <f t="shared" si="0"/>
        <v>0.42448682574815894</v>
      </c>
      <c r="G40" s="67" t="s">
        <v>107</v>
      </c>
      <c r="H40" s="68">
        <v>0.5</v>
      </c>
      <c r="I40" s="69" t="s">
        <v>48</v>
      </c>
      <c r="J40" s="70" t="s">
        <v>63</v>
      </c>
      <c r="K40" s="71">
        <v>50</v>
      </c>
      <c r="L40" s="71">
        <v>45</v>
      </c>
      <c r="M40" s="71">
        <v>40</v>
      </c>
      <c r="N40" s="71">
        <v>25</v>
      </c>
      <c r="O40" s="71" t="s">
        <v>64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108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158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109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114</v>
      </c>
      <c r="M43" s="101" t="s">
        <v>110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111</v>
      </c>
      <c r="D44" s="108"/>
      <c r="E44" s="108"/>
      <c r="F44" s="108"/>
      <c r="G44" s="108"/>
      <c r="H44" s="109" t="s">
        <v>159</v>
      </c>
      <c r="I44" s="109" t="s">
        <v>160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115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39</v>
      </c>
      <c r="N45" s="121" t="s">
        <v>116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117</v>
      </c>
      <c r="B46" s="124" t="s">
        <v>161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40</v>
      </c>
      <c r="N46" s="121" t="s">
        <v>118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119</v>
      </c>
      <c r="B47" s="124" t="s">
        <v>162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41</v>
      </c>
      <c r="N47" s="121" t="s">
        <v>120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121</v>
      </c>
      <c r="B48" s="124" t="s">
        <v>122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42</v>
      </c>
      <c r="N48" s="121" t="s">
        <v>123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124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43</v>
      </c>
      <c r="N49" s="121" t="s">
        <v>125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117</v>
      </c>
      <c r="B50" s="135" t="s">
        <v>163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44</v>
      </c>
      <c r="N50" s="121" t="s">
        <v>126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119</v>
      </c>
      <c r="B51" s="135" t="s">
        <v>164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114</v>
      </c>
      <c r="N51" s="140" t="s">
        <v>127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121</v>
      </c>
      <c r="B52" s="135" t="s">
        <v>165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128</v>
      </c>
      <c r="N52" s="140" t="s">
        <v>129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130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112</v>
      </c>
      <c r="N53" s="140" t="s">
        <v>131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117</v>
      </c>
      <c r="B54" s="135" t="s">
        <v>132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113</v>
      </c>
      <c r="N54" s="140" t="s">
        <v>133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119</v>
      </c>
      <c r="B55" s="135" t="s">
        <v>166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134</v>
      </c>
      <c r="N55" s="140" t="s">
        <v>135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121</v>
      </c>
      <c r="B56" s="135" t="s">
        <v>167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136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117</v>
      </c>
      <c r="B58" s="152" t="s">
        <v>137</v>
      </c>
      <c r="C58" s="136" t="s">
        <v>138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119</v>
      </c>
      <c r="B59" s="152" t="s">
        <v>139</v>
      </c>
      <c r="C59" s="136" t="s">
        <v>140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119</v>
      </c>
      <c r="B60" s="152" t="s">
        <v>141</v>
      </c>
      <c r="C60" s="136" t="s">
        <v>142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143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168</v>
      </c>
      <c r="P62" s="165"/>
      <c r="Q62" s="164" t="s">
        <v>169</v>
      </c>
      <c r="R62" s="166"/>
    </row>
    <row r="63" spans="1:18" s="167" customFormat="1" ht="45" customHeight="1" x14ac:dyDescent="0.7">
      <c r="A63" s="160"/>
      <c r="B63" s="168"/>
      <c r="C63" s="169" t="s">
        <v>170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171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172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173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174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175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176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177</v>
      </c>
      <c r="B71" s="193"/>
      <c r="C71" s="194"/>
      <c r="D71" s="195"/>
      <c r="E71" s="196" t="s">
        <v>178</v>
      </c>
      <c r="F71" s="197"/>
      <c r="G71" s="193" t="s">
        <v>179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144</v>
      </c>
      <c r="B75" s="214"/>
      <c r="C75" s="194"/>
      <c r="D75" s="195"/>
      <c r="E75" s="215" t="s">
        <v>180</v>
      </c>
      <c r="F75" s="197"/>
      <c r="G75" s="214" t="s">
        <v>180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145</v>
      </c>
      <c r="B78" s="201"/>
      <c r="C78" s="194"/>
      <c r="D78" s="195"/>
      <c r="E78" s="196" t="s">
        <v>181</v>
      </c>
      <c r="F78" s="197"/>
      <c r="G78" s="193" t="s">
        <v>181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F718AEAB-2C97-49C2-9347-225415603EC3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2026-04-09T13:44:02Z</dcterms:created>
  <dcterms:modified xsi:type="dcterms:W3CDTF">2026-04-09T20:37:50Z</dcterms:modified>
</cp:coreProperties>
</file>