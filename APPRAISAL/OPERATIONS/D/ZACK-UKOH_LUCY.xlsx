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HP USER\Desktop\SERVICOM_2026\APPRAISAL\OPERATIONS\D\"/>
    </mc:Choice>
  </mc:AlternateContent>
  <xr:revisionPtr revIDLastSave="0" documentId="13_ncr:1_{0C42C59D-BCED-430C-AA6D-DB6F18421268}" xr6:coauthVersionLast="44" xr6:coauthVersionMax="47" xr10:uidLastSave="{00000000-0000-0000-0000-000000000000}"/>
  <bookViews>
    <workbookView xWindow="-120" yWindow="-120" windowWidth="29040" windowHeight="15720" activeTab="3" xr2:uid="{ACF01C4F-5407-4ED6-BF53-527288E32005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QUARTER'!$A$1:$R$89</definedName>
    <definedName name="_xlnm.Print_Area" localSheetId="3">'FOURTH QUARTER'!$A$1:$R$89</definedName>
    <definedName name="_xlnm.Print_Area" localSheetId="1">'SECOND QUARTER'!$A$1:$R$89</definedName>
    <definedName name="_xlnm.Print_Area" localSheetId="2">'THIRD QUARTER'!$A$1:$R$89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19" i="2"/>
  <c r="F19" i="3"/>
  <c r="F19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19" i="5"/>
  <c r="E49" i="3"/>
  <c r="C49" i="3"/>
  <c r="C48" i="3"/>
  <c r="E48" i="3" s="1"/>
  <c r="E46" i="3"/>
  <c r="C46" i="3"/>
  <c r="E47" i="3" s="1"/>
  <c r="C44" i="3"/>
  <c r="E45" i="3" s="1"/>
  <c r="C43" i="3"/>
  <c r="E43" i="3" s="1"/>
  <c r="E42" i="3"/>
  <c r="E41" i="3"/>
  <c r="E40" i="3"/>
  <c r="E39" i="3"/>
  <c r="E38" i="3"/>
  <c r="E37" i="3"/>
  <c r="E36" i="3"/>
  <c r="E35" i="3"/>
  <c r="C25" i="3"/>
  <c r="E34" i="3" s="1"/>
  <c r="E24" i="3"/>
  <c r="C24" i="3"/>
  <c r="C19" i="3"/>
  <c r="E23" i="3" s="1"/>
  <c r="C49" i="4"/>
  <c r="E49" i="4" s="1"/>
  <c r="C48" i="4"/>
  <c r="E48" i="4" s="1"/>
  <c r="E47" i="4"/>
  <c r="C46" i="4"/>
  <c r="E46" i="4" s="1"/>
  <c r="C44" i="4"/>
  <c r="E44" i="4" s="1"/>
  <c r="R44" i="4" s="1"/>
  <c r="C43" i="4"/>
  <c r="E43" i="4" s="1"/>
  <c r="E42" i="4"/>
  <c r="E41" i="4"/>
  <c r="E40" i="4"/>
  <c r="R40" i="4" s="1"/>
  <c r="E39" i="4"/>
  <c r="E38" i="4"/>
  <c r="E37" i="4"/>
  <c r="E36" i="4"/>
  <c r="R36" i="4" s="1"/>
  <c r="E35" i="4"/>
  <c r="C25" i="4"/>
  <c r="E33" i="4" s="1"/>
  <c r="C24" i="4"/>
  <c r="E24" i="4" s="1"/>
  <c r="C19" i="4"/>
  <c r="C49" i="5"/>
  <c r="E49" i="5" s="1"/>
  <c r="R49" i="5" s="1"/>
  <c r="C48" i="5"/>
  <c r="E48" i="5" s="1"/>
  <c r="C46" i="5"/>
  <c r="E47" i="5" s="1"/>
  <c r="C44" i="5"/>
  <c r="C43" i="5"/>
  <c r="E43" i="5" s="1"/>
  <c r="R43" i="5" s="1"/>
  <c r="E42" i="5"/>
  <c r="E41" i="5"/>
  <c r="E40" i="5"/>
  <c r="E39" i="5"/>
  <c r="R39" i="5" s="1"/>
  <c r="E38" i="5"/>
  <c r="E37" i="5"/>
  <c r="E36" i="5"/>
  <c r="E35" i="5"/>
  <c r="R35" i="5" s="1"/>
  <c r="C25" i="5"/>
  <c r="E24" i="5"/>
  <c r="C24" i="5"/>
  <c r="C19" i="5"/>
  <c r="E23" i="5" s="1"/>
  <c r="C49" i="2"/>
  <c r="E49" i="2" s="1"/>
  <c r="C48" i="2"/>
  <c r="E48" i="2" s="1"/>
  <c r="E47" i="2"/>
  <c r="C46" i="2"/>
  <c r="E46" i="2" s="1"/>
  <c r="R46" i="2" s="1"/>
  <c r="C44" i="2"/>
  <c r="E44" i="2" s="1"/>
  <c r="C43" i="2"/>
  <c r="E43" i="2" s="1"/>
  <c r="E42" i="2"/>
  <c r="R42" i="2" s="1"/>
  <c r="E41" i="2"/>
  <c r="E40" i="2"/>
  <c r="E39" i="2"/>
  <c r="E38" i="2"/>
  <c r="R38" i="2" s="1"/>
  <c r="E37" i="2"/>
  <c r="E36" i="2"/>
  <c r="E35" i="2"/>
  <c r="C25" i="2"/>
  <c r="E33" i="2" s="1"/>
  <c r="C24" i="2"/>
  <c r="E24" i="2" s="1"/>
  <c r="C19" i="2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I70" i="5"/>
  <c r="O74" i="5" s="1"/>
  <c r="H70" i="5"/>
  <c r="I66" i="5"/>
  <c r="O73" i="5" s="1"/>
  <c r="H66" i="5"/>
  <c r="Q25" i="5"/>
  <c r="Q24" i="5"/>
  <c r="Q23" i="5"/>
  <c r="Q22" i="5"/>
  <c r="Q21" i="5"/>
  <c r="Q20" i="5"/>
  <c r="Q19" i="5"/>
  <c r="I70" i="4"/>
  <c r="O74" i="4" s="1"/>
  <c r="H70" i="4"/>
  <c r="I66" i="4"/>
  <c r="O73" i="4" s="1"/>
  <c r="H66" i="4"/>
  <c r="Q25" i="4"/>
  <c r="Q24" i="4"/>
  <c r="Q23" i="4"/>
  <c r="Q22" i="4"/>
  <c r="Q21" i="4"/>
  <c r="Q20" i="4"/>
  <c r="Q19" i="4"/>
  <c r="I70" i="3"/>
  <c r="O74" i="3" s="1"/>
  <c r="H70" i="3"/>
  <c r="I66" i="3"/>
  <c r="O73" i="3" s="1"/>
  <c r="H66" i="3"/>
  <c r="Q25" i="3"/>
  <c r="Q24" i="3"/>
  <c r="Q23" i="3"/>
  <c r="Q22" i="3"/>
  <c r="Q21" i="3"/>
  <c r="Q20" i="3"/>
  <c r="Q19" i="3"/>
  <c r="I70" i="2"/>
  <c r="O74" i="2" s="1"/>
  <c r="H70" i="2"/>
  <c r="I66" i="2"/>
  <c r="O73" i="2" s="1"/>
  <c r="H66" i="2"/>
  <c r="Q25" i="2"/>
  <c r="Q24" i="2"/>
  <c r="Q23" i="2"/>
  <c r="Q22" i="2"/>
  <c r="Q21" i="2"/>
  <c r="Q20" i="2"/>
  <c r="Q19" i="2"/>
  <c r="R43" i="3" l="1"/>
  <c r="R37" i="3"/>
  <c r="R41" i="3"/>
  <c r="R47" i="3"/>
  <c r="R49" i="3"/>
  <c r="R24" i="4"/>
  <c r="R35" i="4"/>
  <c r="R24" i="2"/>
  <c r="R49" i="2"/>
  <c r="R36" i="2"/>
  <c r="R48" i="2"/>
  <c r="R48" i="4"/>
  <c r="R40" i="2"/>
  <c r="C50" i="3"/>
  <c r="R43" i="4"/>
  <c r="R39" i="3"/>
  <c r="R36" i="3"/>
  <c r="R45" i="3"/>
  <c r="R38" i="4"/>
  <c r="R41" i="2"/>
  <c r="R42" i="4"/>
  <c r="R35" i="3"/>
  <c r="R47" i="5"/>
  <c r="C50" i="5"/>
  <c r="E46" i="5"/>
  <c r="R41" i="5"/>
  <c r="R37" i="5"/>
  <c r="R42" i="5"/>
  <c r="R33" i="2"/>
  <c r="E34" i="5"/>
  <c r="R34" i="5" s="1"/>
  <c r="E32" i="5"/>
  <c r="R32" i="5" s="1"/>
  <c r="E30" i="5"/>
  <c r="E28" i="5"/>
  <c r="E26" i="5"/>
  <c r="E33" i="5"/>
  <c r="R33" i="5" s="1"/>
  <c r="E31" i="5"/>
  <c r="R31" i="5" s="1"/>
  <c r="E29" i="5"/>
  <c r="R29" i="5" s="1"/>
  <c r="E27" i="5"/>
  <c r="R27" i="5" s="1"/>
  <c r="E25" i="5"/>
  <c r="R25" i="5" s="1"/>
  <c r="E45" i="5"/>
  <c r="R45" i="5" s="1"/>
  <c r="E44" i="5"/>
  <c r="R26" i="5"/>
  <c r="E22" i="2"/>
  <c r="E20" i="2"/>
  <c r="C50" i="2"/>
  <c r="E23" i="2"/>
  <c r="E21" i="2"/>
  <c r="E19" i="2"/>
  <c r="E22" i="4"/>
  <c r="R22" i="4" s="1"/>
  <c r="E20" i="4"/>
  <c r="R20" i="4" s="1"/>
  <c r="C50" i="4"/>
  <c r="E23" i="4"/>
  <c r="R23" i="4" s="1"/>
  <c r="E21" i="4"/>
  <c r="R21" i="4" s="1"/>
  <c r="E19" i="4"/>
  <c r="R46" i="4"/>
  <c r="R44" i="2"/>
  <c r="R20" i="2"/>
  <c r="R21" i="2"/>
  <c r="R23" i="3"/>
  <c r="R25" i="4"/>
  <c r="R23" i="5"/>
  <c r="R43" i="2"/>
  <c r="R35" i="2"/>
  <c r="R44" i="5"/>
  <c r="R36" i="5"/>
  <c r="R28" i="5"/>
  <c r="R37" i="4"/>
  <c r="R46" i="3"/>
  <c r="R38" i="3"/>
  <c r="E26" i="2"/>
  <c r="R26" i="2" s="1"/>
  <c r="E28" i="2"/>
  <c r="R28" i="2" s="1"/>
  <c r="E30" i="2"/>
  <c r="R30" i="2" s="1"/>
  <c r="E32" i="2"/>
  <c r="R32" i="2" s="1"/>
  <c r="E34" i="2"/>
  <c r="R34" i="2" s="1"/>
  <c r="E45" i="2"/>
  <c r="R45" i="2" s="1"/>
  <c r="E20" i="5"/>
  <c r="R20" i="5" s="1"/>
  <c r="E22" i="5"/>
  <c r="R22" i="5" s="1"/>
  <c r="E26" i="4"/>
  <c r="R26" i="4" s="1"/>
  <c r="E28" i="4"/>
  <c r="R28" i="4" s="1"/>
  <c r="E30" i="4"/>
  <c r="R30" i="4" s="1"/>
  <c r="E32" i="4"/>
  <c r="R32" i="4" s="1"/>
  <c r="E34" i="4"/>
  <c r="R34" i="4" s="1"/>
  <c r="E45" i="4"/>
  <c r="R45" i="4" s="1"/>
  <c r="E20" i="3"/>
  <c r="E22" i="3"/>
  <c r="R22" i="3" s="1"/>
  <c r="E25" i="3"/>
  <c r="R25" i="3" s="1"/>
  <c r="E27" i="3"/>
  <c r="R27" i="3" s="1"/>
  <c r="E29" i="3"/>
  <c r="R29" i="3" s="1"/>
  <c r="E31" i="3"/>
  <c r="R31" i="3" s="1"/>
  <c r="E33" i="3"/>
  <c r="R33" i="3" s="1"/>
  <c r="E44" i="3"/>
  <c r="R44" i="3" s="1"/>
  <c r="R20" i="3"/>
  <c r="R24" i="5"/>
  <c r="R37" i="2"/>
  <c r="R46" i="5"/>
  <c r="R38" i="5"/>
  <c r="R30" i="5"/>
  <c r="R47" i="4"/>
  <c r="R39" i="4"/>
  <c r="R48" i="3"/>
  <c r="R40" i="3"/>
  <c r="R22" i="2"/>
  <c r="R24" i="3"/>
  <c r="R23" i="2"/>
  <c r="R47" i="2"/>
  <c r="R39" i="2"/>
  <c r="R48" i="5"/>
  <c r="R40" i="5"/>
  <c r="R49" i="4"/>
  <c r="R41" i="4"/>
  <c r="R33" i="4"/>
  <c r="R42" i="3"/>
  <c r="R34" i="3"/>
  <c r="E25" i="2"/>
  <c r="R25" i="2" s="1"/>
  <c r="E27" i="2"/>
  <c r="R27" i="2" s="1"/>
  <c r="E29" i="2"/>
  <c r="R29" i="2" s="1"/>
  <c r="E31" i="2"/>
  <c r="R31" i="2" s="1"/>
  <c r="E19" i="5"/>
  <c r="E21" i="5"/>
  <c r="R21" i="5" s="1"/>
  <c r="E25" i="4"/>
  <c r="E27" i="4"/>
  <c r="R27" i="4" s="1"/>
  <c r="E29" i="4"/>
  <c r="R29" i="4" s="1"/>
  <c r="E31" i="4"/>
  <c r="R31" i="4" s="1"/>
  <c r="E19" i="3"/>
  <c r="E21" i="3"/>
  <c r="R21" i="3" s="1"/>
  <c r="E26" i="3"/>
  <c r="R26" i="3" s="1"/>
  <c r="E28" i="3"/>
  <c r="R28" i="3" s="1"/>
  <c r="E30" i="3"/>
  <c r="R30" i="3" s="1"/>
  <c r="E32" i="3"/>
  <c r="R32" i="3" s="1"/>
  <c r="E50" i="2" l="1"/>
  <c r="E50" i="3"/>
  <c r="E50" i="4"/>
  <c r="E50" i="5"/>
  <c r="F50" i="4" l="1"/>
  <c r="R19" i="4"/>
  <c r="R50" i="4" s="1"/>
  <c r="R51" i="4" s="1"/>
  <c r="O72" i="4" s="1"/>
  <c r="O75" i="4" s="1"/>
  <c r="Q72" i="4" s="1"/>
  <c r="F50" i="5"/>
  <c r="R19" i="5"/>
  <c r="R50" i="5" s="1"/>
  <c r="R51" i="5" s="1"/>
  <c r="O72" i="5" s="1"/>
  <c r="O75" i="5" s="1"/>
  <c r="Q72" i="5" s="1"/>
  <c r="F50" i="3"/>
  <c r="R19" i="3"/>
  <c r="R50" i="3" s="1"/>
  <c r="R51" i="3" s="1"/>
  <c r="O72" i="3" s="1"/>
  <c r="O75" i="3" s="1"/>
  <c r="Q72" i="3" s="1"/>
  <c r="F50" i="2"/>
  <c r="R19" i="2"/>
  <c r="R50" i="2" s="1"/>
  <c r="R51" i="2" s="1"/>
  <c r="O72" i="2" s="1"/>
  <c r="O75" i="2" s="1"/>
  <c r="Q72" i="2" s="1"/>
</calcChain>
</file>

<file path=xl/sharedStrings.xml><?xml version="1.0" encoding="utf-8"?>
<sst xmlns="http://schemas.openxmlformats.org/spreadsheetml/2006/main" count="1180" uniqueCount="202">
  <si>
    <t>PERFORMANCE APPRAISAL PERIOD:</t>
  </si>
  <si>
    <t>FROM</t>
  </si>
  <si>
    <t>To</t>
  </si>
  <si>
    <t>SECTION 1: EMPLOYEE INFORMATION</t>
  </si>
  <si>
    <t>Surname:</t>
  </si>
  <si>
    <t>ZACH-UKOH</t>
  </si>
  <si>
    <t>Firstname</t>
  </si>
  <si>
    <t>LUCY</t>
  </si>
  <si>
    <t>Othername</t>
  </si>
  <si>
    <t>MLUMUN</t>
  </si>
  <si>
    <t>Designation</t>
  </si>
  <si>
    <t>Chief Admin Officer</t>
  </si>
  <si>
    <t>IPPIS No.</t>
  </si>
  <si>
    <t>Email</t>
  </si>
  <si>
    <t>LUCYLOP214@GMAIL.COM</t>
  </si>
  <si>
    <t>Phone No.</t>
  </si>
  <si>
    <t>Department</t>
  </si>
  <si>
    <t>OPERATIONS UNIT</t>
  </si>
  <si>
    <t>SECTION 2: SUPERVISOR INFORMATION</t>
  </si>
  <si>
    <t>AKINBODEWA</t>
  </si>
  <si>
    <t>NGOZI</t>
  </si>
  <si>
    <t>JESSINTA</t>
  </si>
  <si>
    <t>DEPUTY DIRECTOR</t>
  </si>
  <si>
    <t>jakinbodewa@gmail.com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</si>
  <si>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</si>
  <si>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</si>
  <si>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</si>
  <si>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</si>
  <si>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</si>
  <si>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</si>
  <si>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</si>
  <si>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</si>
  <si>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</si>
  <si>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</si>
  <si>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</si>
  <si>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</si>
  <si>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</si>
  <si>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</si>
  <si>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</si>
  <si>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</si>
  <si>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</si>
  <si>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</si>
  <si>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</si>
  <si>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</si>
  <si>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</si>
  <si>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</si>
  <si>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</si>
  <si>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</si>
  <si>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</si>
  <si>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</si>
  <si>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</si>
  <si>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</si>
  <si>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</si>
  <si>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</si>
  <si>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</si>
  <si>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</si>
  <si>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</si>
  <si>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</si>
  <si>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</si>
  <si>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</si>
  <si>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</si>
  <si>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</si>
  <si>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Process Transformation Coordination</t>
  </si>
  <si>
    <t>Supervise digitization of physical records and documents</t>
  </si>
  <si>
    <t>Percentage of records digitized</t>
  </si>
  <si>
    <t>&gt;50</t>
  </si>
  <si>
    <t>&lt;25</t>
  </si>
  <si>
    <t>Service Delivery Evaluation &amp; Coordination</t>
  </si>
  <si>
    <t>Lead SERVICOM Compliance Evaluations (SCE) across assigned MDAs</t>
  </si>
  <si>
    <t>Percentage  of planned SCEs conducted within schedule</t>
  </si>
  <si>
    <t>&gt;80</t>
  </si>
  <si>
    <t>&lt;50</t>
  </si>
  <si>
    <t>Coordinate evaluation activities and assign responsibilities to team members</t>
  </si>
  <si>
    <t>Percentage  of activities executed according to plan</t>
  </si>
  <si>
    <t>Review and validate evaluation data and findings</t>
  </si>
  <si>
    <t>Percentage  of reports validated without errors</t>
  </si>
  <si>
    <t>&gt;90</t>
  </si>
  <si>
    <t>Drive engagement sessions to promote service improvement and accountability</t>
  </si>
  <si>
    <t>Percentage ofplanned  engagement sessions held per period</t>
  </si>
  <si>
    <t>Assess functionality of SERVICOM units/nodal officers in MDAs</t>
  </si>
  <si>
    <t>Percentage  of MDAs assessed with functional SERVICOM structures</t>
  </si>
  <si>
    <t>Supervise development and implementation of Service Charters</t>
  </si>
  <si>
    <t>Percentage  of Service Charters developed/reviewed with MDAs</t>
  </si>
  <si>
    <t>Compile and submit evaluation and performance reports</t>
  </si>
  <si>
    <t>Percentage  of reports submitted within deadlines</t>
  </si>
  <si>
    <t>Provide inputs for year-end performance review and institutional learning</t>
  </si>
  <si>
    <t>Percentage  of required inputs submitted on time</t>
  </si>
  <si>
    <t>Monitor implementation of recommendations by MDAs</t>
  </si>
  <si>
    <t>Percentage  of recommendations tracked and implemented</t>
  </si>
  <si>
    <t>Ensure team compliance with SERVICOM evaluation standards and tools</t>
  </si>
  <si>
    <t>Percentage  compliance with standard procedures</t>
  </si>
  <si>
    <t>Legal Advisory and Compliance Services</t>
  </si>
  <si>
    <t>Provide legal advisory services and ensure compliance with applicable laws and regulations to safeguard SERVICOM’s operations and interests.</t>
  </si>
  <si>
    <t>Percentage of requests for legal advice responded to within specified timelines</t>
  </si>
  <si>
    <t>Percentage of contracts and agreements reviewed before execution</t>
  </si>
  <si>
    <t>Percentage of SERVICOM activities compliant with applicable legal and regulatory requirements</t>
  </si>
  <si>
    <t>Percentage of legal documents prepared accurately and within required timelines</t>
  </si>
  <si>
    <t>Percentage of legal records properly maintained and easily retrievable</t>
  </si>
  <si>
    <t>Percentage of procurement and administrative processes reviewed for legal compliance</t>
  </si>
  <si>
    <t>Percentage of identified legal risks addressed with appropriate legal advice</t>
  </si>
  <si>
    <t>Percentage of legal issues handled in accordance with legal procedures and timelines</t>
  </si>
  <si>
    <t>Innovation &amp; Service Improvement Coordination</t>
  </si>
  <si>
    <t>Identify and prioritize service-improvement and innovation opportunities</t>
  </si>
  <si>
    <t>Number of viable innovation ideas identified and shortlisted</t>
  </si>
  <si>
    <t>Automated Service Delivery</t>
  </si>
  <si>
    <t>Identify and prioritize processes, forms, and routine tasks for automation</t>
  </si>
  <si>
    <t>Number of processes identified  for automation</t>
  </si>
  <si>
    <t>Ensure standardization of official email communication across the unit</t>
  </si>
  <si>
    <t>Percentage  compliance with official email usage policy</t>
  </si>
  <si>
    <t>Capacity Building</t>
  </si>
  <si>
    <t>Identify skill gaps and training needs across  unit</t>
  </si>
  <si>
    <t>Number of training needs assessments conducted</t>
  </si>
  <si>
    <t>Coordinate participation in knowledge-sharing and learning sessions</t>
  </si>
  <si>
    <t>Percentage  of team member participation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</si>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</sst>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9" fontId="1" fillId="0" borderId="0" applyFont="0" applyFill="0" applyBorder="0" applyAlignment="0" applyProtection="0"/>
  </cellStyleXfs>
  <cellXfs count="279">
    <xf numFmtId="0" fontId="0" fillId="0" borderId="0" xfId="0"/>
    <xf numFmtId="0" fontId="1" fillId="0" borderId="0" xfId="8" applyAlignment="1">
      <alignment vertical="top"/>
    </xf>
    <xf numFmtId="0" fontId="12" fillId="0" borderId="0" xfId="8" applyFont="1" applyAlignment="1">
      <alignment vertical="top"/>
    </xf>
    <xf numFmtId="0" fontId="13" fillId="3" borderId="19" xfId="2" applyFont="1" applyFill="1" applyBorder="1" applyAlignment="1">
      <alignment vertical="center"/>
    </xf>
    <xf numFmtId="49" fontId="13" fillId="4" borderId="0" xfId="2" applyNumberFormat="1" applyFont="1" applyFill="1" applyAlignment="1">
      <alignment vertical="center"/>
    </xf>
    <xf numFmtId="0" fontId="13" fillId="3" borderId="0" xfId="2" applyFont="1" applyFill="1" applyAlignment="1">
      <alignment horizontal="center" vertical="center"/>
    </xf>
    <xf numFmtId="49" fontId="13" fillId="0" borderId="9" xfId="2" applyNumberFormat="1" applyFont="1" applyBorder="1" applyAlignment="1">
      <alignment horizontal="center"/>
    </xf>
    <xf numFmtId="0" fontId="14" fillId="2" borderId="0" xfId="2" applyFont="1" applyFill="1" applyAlignment="1">
      <alignment horizontal="center"/>
    </xf>
    <xf numFmtId="0" fontId="15" fillId="2" borderId="0" xfId="2" applyFont="1" applyFill="1"/>
    <xf numFmtId="0" fontId="15" fillId="0" borderId="0" xfId="2" applyFont="1"/>
    <xf numFmtId="0" fontId="16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9" fillId="2" borderId="0" xfId="2" applyFont="1" applyFill="1" applyAlignment="1">
      <alignment horizontal="left"/>
    </xf>
    <xf numFmtId="0" fontId="20" fillId="0" borderId="0" xfId="2" applyFont="1" applyAlignment="1">
      <alignment horizontal="left"/>
    </xf>
    <xf numFmtId="0" fontId="19" fillId="0" borderId="8" xfId="5" applyFont="1" applyBorder="1" applyAlignment="1">
      <alignment horizontal="left"/>
    </xf>
    <xf numFmtId="0" fontId="19" fillId="3" borderId="10" xfId="5" applyFont="1" applyFill="1" applyBorder="1" applyAlignment="1">
      <alignment horizontal="left"/>
    </xf>
    <xf numFmtId="0" fontId="19" fillId="3" borderId="6" xfId="5" applyFont="1" applyFill="1" applyBorder="1" applyAlignment="1">
      <alignment horizontal="left"/>
    </xf>
    <xf numFmtId="0" fontId="19" fillId="0" borderId="6" xfId="5" applyFont="1" applyBorder="1" applyAlignment="1">
      <alignment horizontal="left"/>
    </xf>
    <xf numFmtId="0" fontId="18" fillId="0" borderId="0" xfId="5" applyFont="1"/>
    <xf numFmtId="0" fontId="19" fillId="0" borderId="11" xfId="5" applyFont="1" applyBorder="1" applyAlignment="1">
      <alignment horizontal="left"/>
    </xf>
    <xf numFmtId="0" fontId="19" fillId="3" borderId="12" xfId="5" applyFont="1" applyFill="1" applyBorder="1" applyAlignment="1">
      <alignment horizontal="left"/>
    </xf>
    <xf numFmtId="0" fontId="19" fillId="3" borderId="9" xfId="5" applyFont="1" applyFill="1" applyBorder="1" applyAlignment="1">
      <alignment horizontal="left"/>
    </xf>
    <xf numFmtId="0" fontId="22" fillId="2" borderId="0" xfId="2" applyFont="1" applyFill="1" applyAlignment="1">
      <alignment horizontal="center"/>
    </xf>
    <xf numFmtId="0" fontId="12" fillId="0" borderId="0" xfId="2" applyFont="1"/>
    <xf numFmtId="0" fontId="10" fillId="3" borderId="0" xfId="2" applyFont="1" applyFill="1" applyAlignment="1">
      <alignment horizontal="left"/>
    </xf>
    <xf numFmtId="0" fontId="22" fillId="3" borderId="0" xfId="2" applyFont="1" applyFill="1"/>
    <xf numFmtId="0" fontId="23" fillId="3" borderId="0" xfId="2" applyFont="1" applyFill="1"/>
    <xf numFmtId="0" fontId="12" fillId="3" borderId="0" xfId="2" applyFont="1" applyFill="1"/>
    <xf numFmtId="0" fontId="12" fillId="3" borderId="20" xfId="2" applyFont="1" applyFill="1" applyBorder="1"/>
    <xf numFmtId="0" fontId="24" fillId="2" borderId="14" xfId="8" applyFont="1" applyFill="1" applyBorder="1" applyAlignment="1">
      <alignment horizontal="center" vertical="center" wrapText="1"/>
    </xf>
    <xf numFmtId="0" fontId="25" fillId="0" borderId="0" xfId="8" applyFont="1" applyAlignment="1">
      <alignment vertical="top"/>
    </xf>
    <xf numFmtId="0" fontId="24" fillId="2" borderId="14" xfId="8" applyFont="1" applyFill="1" applyBorder="1" applyAlignment="1">
      <alignment horizontal="center" vertical="center"/>
    </xf>
    <xf numFmtId="0" fontId="26" fillId="0" borderId="12" xfId="2" applyFont="1" applyBorder="1" applyAlignment="1">
      <alignment vertical="center"/>
    </xf>
    <xf numFmtId="0" fontId="26" fillId="0" borderId="12" xfId="2" applyFont="1" applyBorder="1" applyAlignment="1">
      <alignment vertical="center" wrapText="1"/>
    </xf>
    <xf numFmtId="2" fontId="26" fillId="0" borderId="12" xfId="0" applyNumberFormat="1" applyFont="1" applyBorder="1" applyAlignment="1">
      <alignment horizontal="center" vertical="center"/>
    </xf>
    <xf numFmtId="0" fontId="26" fillId="0" borderId="12" xfId="2" applyFont="1" applyBorder="1" applyAlignment="1">
      <alignment horizontal="left" vertical="center" wrapText="1"/>
    </xf>
    <xf numFmtId="9" fontId="26" fillId="0" borderId="12" xfId="2" applyNumberFormat="1" applyFont="1" applyBorder="1" applyAlignment="1">
      <alignment horizontal="center" vertical="center" wrapText="1"/>
    </xf>
    <xf numFmtId="0" fontId="26" fillId="0" borderId="12" xfId="7" applyFont="1" applyBorder="1" applyAlignment="1">
      <alignment horizontal="center" vertical="center" wrapText="1"/>
    </xf>
    <xf numFmtId="0" fontId="26" fillId="0" borderId="12" xfId="8" applyFont="1" applyBorder="1" applyAlignment="1">
      <alignment horizontal="center" vertical="center" wrapText="1"/>
    </xf>
    <xf numFmtId="0" fontId="18" fillId="0" borderId="12" xfId="8" applyFont="1" applyBorder="1" applyAlignment="1">
      <alignment horizontal="center" vertical="center"/>
    </xf>
    <xf numFmtId="0" fontId="28" fillId="0" borderId="12" xfId="11" applyFont="1" applyBorder="1" applyAlignment="1">
      <alignment horizontal="center" vertical="center"/>
    </xf>
    <xf numFmtId="0" fontId="5" fillId="2" borderId="12" xfId="8" applyFont="1" applyFill="1" applyBorder="1" applyAlignment="1">
      <alignment horizontal="center" vertical="center"/>
    </xf>
    <xf numFmtId="2" fontId="5" fillId="2" borderId="12" xfId="8" applyNumberFormat="1" applyFont="1" applyFill="1" applyBorder="1" applyAlignment="1">
      <alignment horizontal="center" vertical="center"/>
    </xf>
    <xf numFmtId="0" fontId="29" fillId="0" borderId="0" xfId="8" applyFont="1" applyAlignment="1">
      <alignment horizontal="left" vertical="top" wrapText="1"/>
    </xf>
    <xf numFmtId="0" fontId="26" fillId="0" borderId="12" xfId="2" applyFont="1" applyBorder="1" applyAlignment="1">
      <alignment horizontal="center" vertical="center"/>
    </xf>
    <xf numFmtId="9" fontId="26" fillId="0" borderId="12" xfId="2" applyNumberFormat="1" applyFont="1" applyBorder="1" applyAlignment="1">
      <alignment horizontal="center" vertical="center"/>
    </xf>
    <xf numFmtId="2" fontId="26" fillId="0" borderId="12" xfId="2" applyNumberFormat="1" applyFont="1" applyBorder="1" applyAlignment="1">
      <alignment vertical="center" wrapText="1"/>
    </xf>
    <xf numFmtId="0" fontId="30" fillId="0" borderId="29" xfId="12" applyFont="1" applyBorder="1" applyAlignment="1">
      <alignment horizontal="center" vertical="center"/>
    </xf>
    <xf numFmtId="0" fontId="31" fillId="0" borderId="10" xfId="8" applyFont="1" applyBorder="1" applyAlignment="1">
      <alignment horizontal="center" vertical="center" wrapText="1"/>
    </xf>
    <xf numFmtId="2" fontId="31" fillId="0" borderId="10" xfId="8" applyNumberFormat="1" applyFont="1" applyBorder="1" applyAlignment="1">
      <alignment horizontal="center" vertical="center" wrapText="1"/>
    </xf>
    <xf numFmtId="2" fontId="30" fillId="0" borderId="10" xfId="12" applyNumberFormat="1" applyFont="1" applyBorder="1" applyAlignment="1">
      <alignment horizontal="left" vertical="center" wrapText="1"/>
    </xf>
    <xf numFmtId="9" fontId="30" fillId="0" borderId="10" xfId="12" applyNumberFormat="1" applyFont="1" applyBorder="1" applyAlignment="1">
      <alignment horizontal="center" vertical="center"/>
    </xf>
    <xf numFmtId="0" fontId="32" fillId="0" borderId="6" xfId="9" applyFont="1" applyBorder="1" applyAlignment="1">
      <alignment vertical="center"/>
    </xf>
    <xf numFmtId="49" fontId="32" fillId="0" borderId="7" xfId="9" applyNumberFormat="1" applyFont="1" applyBorder="1" applyAlignment="1">
      <alignment horizontal="center" vertical="center"/>
    </xf>
    <xf numFmtId="0" fontId="31" fillId="0" borderId="13" xfId="8" applyFont="1" applyBorder="1" applyAlignment="1" applyProtection="1">
      <alignment horizontal="center" vertical="center"/>
      <protection locked="0"/>
    </xf>
    <xf numFmtId="2" fontId="33" fillId="2" borderId="12" xfId="8" applyNumberFormat="1" applyFont="1" applyFill="1" applyBorder="1" applyAlignment="1">
      <alignment horizontal="center" vertical="center"/>
    </xf>
    <xf numFmtId="2" fontId="33" fillId="2" borderId="30" xfId="8" applyNumberFormat="1" applyFont="1" applyFill="1" applyBorder="1" applyAlignment="1">
      <alignment horizontal="center" vertical="center"/>
    </xf>
    <xf numFmtId="0" fontId="29" fillId="0" borderId="0" xfId="13" applyFont="1" applyAlignment="1">
      <alignment horizontal="left" vertical="top" wrapText="1"/>
    </xf>
    <xf numFmtId="0" fontId="34" fillId="0" borderId="31" xfId="8" applyFont="1" applyBorder="1" applyAlignment="1">
      <alignment vertical="center" wrapText="1"/>
    </xf>
    <xf numFmtId="0" fontId="35" fillId="0" borderId="0" xfId="8" applyFont="1" applyAlignment="1">
      <alignment vertical="top" wrapText="1"/>
    </xf>
    <xf numFmtId="0" fontId="36" fillId="0" borderId="10" xfId="8" applyFont="1" applyBorder="1" applyAlignment="1">
      <alignment horizontal="center" vertical="center" wrapText="1"/>
    </xf>
    <xf numFmtId="2" fontId="38" fillId="6" borderId="30" xfId="14" applyNumberFormat="1" applyFont="1" applyFill="1" applyBorder="1" applyAlignment="1" applyProtection="1">
      <alignment horizontal="center"/>
    </xf>
    <xf numFmtId="0" fontId="24" fillId="2" borderId="2" xfId="8" applyFont="1" applyFill="1" applyBorder="1" applyAlignment="1">
      <alignment horizontal="center" vertical="top" wrapText="1"/>
    </xf>
    <xf numFmtId="0" fontId="24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20" xfId="8" applyNumberFormat="1" applyFont="1" applyFill="1" applyBorder="1" applyAlignment="1">
      <alignment horizontal="center"/>
    </xf>
    <xf numFmtId="0" fontId="29" fillId="0" borderId="0" xfId="8" applyFont="1" applyAlignment="1">
      <alignment vertical="top" wrapText="1"/>
    </xf>
    <xf numFmtId="0" fontId="3" fillId="2" borderId="19" xfId="8" applyFont="1" applyFill="1" applyBorder="1" applyAlignment="1">
      <alignment horizontal="right" vertical="top" wrapText="1"/>
    </xf>
    <xf numFmtId="0" fontId="39" fillId="2" borderId="0" xfId="8" applyFont="1" applyFill="1" applyAlignment="1">
      <alignment horizontal="right" vertical="top" wrapText="1"/>
    </xf>
    <xf numFmtId="0" fontId="16" fillId="2" borderId="0" xfId="8" applyFont="1" applyFill="1" applyAlignment="1">
      <alignment horizontal="center" vertical="top" wrapText="1"/>
    </xf>
    <xf numFmtId="0" fontId="16" fillId="2" borderId="5" xfId="8" applyFont="1" applyFill="1" applyBorder="1" applyAlignment="1">
      <alignment horizontal="center" vertical="top" wrapText="1"/>
    </xf>
    <xf numFmtId="0" fontId="24" fillId="2" borderId="7" xfId="8" applyFont="1" applyFill="1" applyBorder="1" applyAlignment="1">
      <alignment horizontal="center" vertical="top" wrapText="1"/>
    </xf>
    <xf numFmtId="0" fontId="40" fillId="2" borderId="12" xfId="8" applyFont="1" applyFill="1" applyBorder="1" applyAlignment="1">
      <alignment horizontal="center" vertical="top" wrapText="1"/>
    </xf>
    <xf numFmtId="0" fontId="6" fillId="0" borderId="29" xfId="2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/>
    </xf>
    <xf numFmtId="0" fontId="41" fillId="0" borderId="10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2" fillId="2" borderId="12" xfId="8" applyFont="1" applyFill="1" applyBorder="1" applyAlignment="1">
      <alignment horizontal="center" vertical="top" wrapText="1"/>
    </xf>
    <xf numFmtId="0" fontId="40" fillId="2" borderId="9" xfId="8" applyFont="1" applyFill="1" applyBorder="1" applyAlignment="1">
      <alignment horizontal="left" vertical="top" wrapText="1"/>
    </xf>
    <xf numFmtId="0" fontId="40" fillId="2" borderId="11" xfId="8" applyFont="1" applyFill="1" applyBorder="1" applyAlignment="1">
      <alignment horizontal="left" vertical="top" wrapText="1"/>
    </xf>
    <xf numFmtId="0" fontId="7" fillId="0" borderId="31" xfId="2" applyFont="1" applyBorder="1" applyAlignment="1">
      <alignment horizontal="center" vertical="center"/>
    </xf>
    <xf numFmtId="0" fontId="7" fillId="0" borderId="12" xfId="2" applyFont="1" applyBorder="1" applyAlignment="1">
      <alignment vertical="center" wrapText="1"/>
    </xf>
    <xf numFmtId="0" fontId="41" fillId="0" borderId="12" xfId="8" applyFont="1" applyBorder="1" applyAlignment="1">
      <alignment horizontal="center" vertical="top" wrapText="1"/>
    </xf>
    <xf numFmtId="0" fontId="41" fillId="0" borderId="12" xfId="8" applyFont="1" applyBorder="1" applyAlignment="1" applyProtection="1">
      <alignment horizontal="center" vertical="top" wrapText="1"/>
      <protection locked="0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 wrapText="1"/>
    </xf>
    <xf numFmtId="0" fontId="7" fillId="0" borderId="12" xfId="2" applyFont="1" applyBorder="1" applyAlignment="1">
      <alignment horizontal="left" vertical="center" wrapText="1"/>
    </xf>
    <xf numFmtId="0" fontId="40" fillId="2" borderId="11" xfId="8" applyFont="1" applyFill="1" applyBorder="1" applyAlignment="1">
      <alignment horizontal="center" vertical="top" wrapText="1"/>
    </xf>
    <xf numFmtId="0" fontId="3" fillId="2" borderId="0" xfId="8" applyFont="1" applyFill="1" applyAlignment="1">
      <alignment horizontal="center" vertical="top" wrapText="1"/>
    </xf>
    <xf numFmtId="0" fontId="16" fillId="2" borderId="5" xfId="8" applyFont="1" applyFill="1" applyBorder="1" applyAlignment="1">
      <alignment horizontal="center" vertical="center" wrapText="1"/>
    </xf>
    <xf numFmtId="0" fontId="16" fillId="2" borderId="13" xfId="8" applyFont="1" applyFill="1" applyBorder="1" applyAlignment="1">
      <alignment horizontal="center" vertical="top" wrapText="1"/>
    </xf>
    <xf numFmtId="0" fontId="16" fillId="2" borderId="11" xfId="8" applyFont="1" applyFill="1" applyBorder="1" applyAlignment="1">
      <alignment horizontal="center" vertical="top" wrapText="1"/>
    </xf>
    <xf numFmtId="0" fontId="7" fillId="0" borderId="31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39" fillId="0" borderId="12" xfId="8" applyFont="1" applyBorder="1" applyAlignment="1">
      <alignment horizontal="center" vertical="top" wrapText="1"/>
    </xf>
    <xf numFmtId="0" fontId="16" fillId="0" borderId="12" xfId="8" applyFont="1" applyBorder="1" applyAlignment="1" applyProtection="1">
      <alignment horizontal="center" vertical="top" wrapText="1"/>
      <protection locked="0"/>
    </xf>
    <xf numFmtId="0" fontId="16" fillId="0" borderId="12" xfId="8" applyFont="1" applyBorder="1" applyAlignment="1">
      <alignment horizontal="center" vertical="top" wrapText="1"/>
    </xf>
    <xf numFmtId="0" fontId="16" fillId="2" borderId="32" xfId="8" applyFont="1" applyFill="1" applyBorder="1" applyAlignment="1">
      <alignment vertical="top" wrapText="1"/>
    </xf>
    <xf numFmtId="0" fontId="16" fillId="2" borderId="13" xfId="8" applyFont="1" applyFill="1" applyBorder="1" applyAlignment="1">
      <alignment vertical="top" wrapText="1"/>
    </xf>
    <xf numFmtId="0" fontId="43" fillId="2" borderId="0" xfId="8" applyFont="1" applyFill="1" applyAlignment="1">
      <alignment horizontal="center" vertical="top" wrapText="1"/>
    </xf>
    <xf numFmtId="0" fontId="12" fillId="7" borderId="19" xfId="8" applyFont="1" applyFill="1" applyBorder="1"/>
    <xf numFmtId="0" fontId="44" fillId="2" borderId="2" xfId="8" applyFont="1" applyFill="1" applyBorder="1" applyAlignment="1">
      <alignment vertical="center" wrapText="1"/>
    </xf>
    <xf numFmtId="0" fontId="12" fillId="0" borderId="0" xfId="8" applyFont="1"/>
    <xf numFmtId="0" fontId="44" fillId="4" borderId="12" xfId="8" applyFont="1" applyFill="1" applyBorder="1" applyAlignment="1">
      <alignment vertical="center" wrapText="1"/>
    </xf>
    <xf numFmtId="0" fontId="44" fillId="4" borderId="30" xfId="8" applyFont="1" applyFill="1" applyBorder="1" applyAlignment="1">
      <alignment vertical="center" wrapText="1"/>
    </xf>
    <xf numFmtId="0" fontId="44" fillId="0" borderId="12" xfId="8" applyFont="1" applyBorder="1" applyAlignment="1">
      <alignment vertical="center" wrapText="1"/>
    </xf>
    <xf numFmtId="0" fontId="44" fillId="0" borderId="30" xfId="8" applyFont="1" applyBorder="1" applyAlignment="1">
      <alignment vertical="center" wrapText="1"/>
    </xf>
    <xf numFmtId="0" fontId="41" fillId="3" borderId="0" xfId="8" applyFont="1" applyFill="1" applyAlignment="1">
      <alignment horizontal="center" vertical="top" wrapText="1"/>
    </xf>
    <xf numFmtId="0" fontId="8" fillId="3" borderId="22" xfId="8" applyFont="1" applyFill="1" applyBorder="1" applyAlignment="1">
      <alignment horizontal="center" vertical="top" wrapText="1"/>
    </xf>
    <xf numFmtId="0" fontId="29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26" fillId="0" borderId="14" xfId="2" applyFont="1" applyBorder="1" applyAlignment="1">
      <alignment horizontal="left" vertical="center" wrapText="1"/>
    </xf>
    <xf numFmtId="2" fontId="26" fillId="0" borderId="12" xfId="2" applyNumberFormat="1" applyFont="1" applyBorder="1" applyAlignment="1">
      <alignment horizontal="center" vertical="center"/>
    </xf>
    <xf numFmtId="0" fontId="17" fillId="0" borderId="8" xfId="3" applyFont="1" applyBorder="1" applyAlignment="1">
      <alignment horizontal="left"/>
    </xf>
    <xf numFmtId="0" fontId="17" fillId="3" borderId="10" xfId="3" applyFont="1" applyFill="1" applyBorder="1" applyAlignment="1">
      <alignment horizontal="left"/>
    </xf>
    <xf numFmtId="0" fontId="17" fillId="0" borderId="6" xfId="3" applyFont="1" applyBorder="1" applyAlignment="1">
      <alignment horizontal="left"/>
    </xf>
    <xf numFmtId="0" fontId="18" fillId="0" borderId="0" xfId="3" applyFont="1" applyAlignment="1">
      <alignment horizontal="left"/>
    </xf>
    <xf numFmtId="0" fontId="47" fillId="0" borderId="11" xfId="3" applyFont="1" applyBorder="1" applyAlignment="1">
      <alignment horizontal="left"/>
    </xf>
    <xf numFmtId="0" fontId="17" fillId="3" borderId="12" xfId="3" applyFont="1" applyFill="1" applyBorder="1" applyAlignment="1">
      <alignment horizontal="left"/>
    </xf>
    <xf numFmtId="0" fontId="48" fillId="0" borderId="11" xfId="4" quotePrefix="1" applyFont="1" applyBorder="1" applyAlignment="1">
      <alignment horizontal="left"/>
    </xf>
    <xf numFmtId="0" fontId="47" fillId="0" borderId="9" xfId="3" applyFont="1" applyBorder="1" applyAlignment="1">
      <alignment horizontal="left"/>
    </xf>
    <xf numFmtId="0" fontId="48" fillId="0" borderId="11" xfId="4" applyFont="1" applyBorder="1" applyAlignment="1">
      <alignment horizontal="left"/>
    </xf>
    <xf numFmtId="0" fontId="49" fillId="0" borderId="11" xfId="1" quotePrefix="1" applyFont="1" applyBorder="1" applyAlignment="1">
      <alignment horizontal="left"/>
    </xf>
    <xf numFmtId="0" fontId="26" fillId="0" borderId="9" xfId="5" applyFont="1" applyBorder="1" applyAlignment="1">
      <alignment horizontal="left"/>
    </xf>
    <xf numFmtId="0" fontId="17" fillId="3" borderId="0" xfId="3" applyFont="1" applyFill="1" applyAlignment="1">
      <alignment horizontal="left" vertical="center"/>
    </xf>
    <xf numFmtId="0" fontId="17" fillId="3" borderId="5" xfId="3" applyFont="1" applyFill="1" applyBorder="1" applyAlignment="1">
      <alignment horizontal="left" vertical="center"/>
    </xf>
    <xf numFmtId="0" fontId="17" fillId="0" borderId="7" xfId="3" applyFont="1" applyBorder="1" applyAlignment="1">
      <alignment horizontal="left"/>
    </xf>
    <xf numFmtId="0" fontId="17" fillId="0" borderId="8" xfId="3" applyFont="1" applyBorder="1" applyAlignment="1">
      <alignment horizontal="left"/>
    </xf>
    <xf numFmtId="0" fontId="17" fillId="3" borderId="0" xfId="3" applyFont="1" applyFill="1" applyAlignment="1">
      <alignment horizontal="left"/>
    </xf>
    <xf numFmtId="0" fontId="17" fillId="3" borderId="5" xfId="3" applyFont="1" applyFill="1" applyBorder="1" applyAlignment="1">
      <alignment horizontal="left"/>
    </xf>
    <xf numFmtId="0" fontId="47" fillId="0" borderId="13" xfId="3" applyFont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19" fillId="2" borderId="0" xfId="2" applyFont="1" applyFill="1" applyAlignment="1">
      <alignment horizontal="left"/>
    </xf>
    <xf numFmtId="0" fontId="19" fillId="3" borderId="0" xfId="5" applyFont="1" applyFill="1" applyAlignment="1">
      <alignment horizontal="left" vertical="center"/>
    </xf>
    <xf numFmtId="0" fontId="19" fillId="3" borderId="5" xfId="5" applyFont="1" applyFill="1" applyBorder="1" applyAlignment="1">
      <alignment horizontal="left" vertical="center"/>
    </xf>
    <xf numFmtId="0" fontId="19" fillId="0" borderId="7" xfId="6" applyFont="1" applyBorder="1" applyAlignment="1">
      <alignment horizontal="left"/>
    </xf>
    <xf numFmtId="0" fontId="19" fillId="0" borderId="8" xfId="6" applyFont="1" applyBorder="1" applyAlignment="1">
      <alignment horizontal="left"/>
    </xf>
    <xf numFmtId="0" fontId="9" fillId="0" borderId="16" xfId="8" applyFont="1" applyBorder="1" applyAlignment="1">
      <alignment horizontal="center" vertical="center"/>
    </xf>
    <xf numFmtId="0" fontId="9" fillId="0" borderId="17" xfId="8" applyFont="1" applyBorder="1" applyAlignment="1">
      <alignment horizontal="center" vertical="center"/>
    </xf>
    <xf numFmtId="0" fontId="9" fillId="0" borderId="18" xfId="8" applyFont="1" applyBorder="1" applyAlignment="1">
      <alignment horizontal="center" vertical="center"/>
    </xf>
    <xf numFmtId="0" fontId="9" fillId="0" borderId="19" xfId="8" applyFont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0" borderId="20" xfId="8" applyFont="1" applyBorder="1" applyAlignment="1">
      <alignment horizontal="center" vertical="center"/>
    </xf>
    <xf numFmtId="0" fontId="10" fillId="2" borderId="16" xfId="8" applyFont="1" applyFill="1" applyBorder="1" applyAlignment="1">
      <alignment horizontal="left" vertical="top" wrapText="1"/>
    </xf>
    <xf numFmtId="0" fontId="10" fillId="2" borderId="17" xfId="8" applyFont="1" applyFill="1" applyBorder="1" applyAlignment="1">
      <alignment horizontal="left" vertical="top" wrapText="1"/>
    </xf>
    <xf numFmtId="0" fontId="11" fillId="2" borderId="16" xfId="8" applyFont="1" applyFill="1" applyBorder="1" applyAlignment="1">
      <alignment horizontal="center" vertical="top" wrapText="1"/>
    </xf>
    <xf numFmtId="0" fontId="11" fillId="2" borderId="17" xfId="8" applyFont="1" applyFill="1" applyBorder="1" applyAlignment="1">
      <alignment horizontal="center" vertical="top" wrapText="1"/>
    </xf>
    <xf numFmtId="0" fontId="11" fillId="2" borderId="18" xfId="8" applyFont="1" applyFill="1" applyBorder="1" applyAlignment="1">
      <alignment horizontal="center" vertical="top" wrapText="1"/>
    </xf>
    <xf numFmtId="0" fontId="11" fillId="2" borderId="19" xfId="8" applyFont="1" applyFill="1" applyBorder="1" applyAlignment="1">
      <alignment horizontal="center" vertical="top" wrapText="1"/>
    </xf>
    <xf numFmtId="0" fontId="11" fillId="2" borderId="0" xfId="8" applyFont="1" applyFill="1" applyAlignment="1">
      <alignment horizontal="center" vertical="top" wrapText="1"/>
    </xf>
    <xf numFmtId="0" fontId="11" fillId="2" borderId="20" xfId="8" applyFont="1" applyFill="1" applyBorder="1" applyAlignment="1">
      <alignment horizontal="center" vertical="top" wrapText="1"/>
    </xf>
    <xf numFmtId="0" fontId="11" fillId="2" borderId="21" xfId="8" applyFont="1" applyFill="1" applyBorder="1" applyAlignment="1">
      <alignment horizontal="center" vertical="top" wrapText="1"/>
    </xf>
    <xf numFmtId="0" fontId="11" fillId="2" borderId="22" xfId="8" applyFont="1" applyFill="1" applyBorder="1" applyAlignment="1">
      <alignment horizontal="center" vertical="top" wrapText="1"/>
    </xf>
    <xf numFmtId="0" fontId="11" fillId="2" borderId="23" xfId="8" applyFont="1" applyFill="1" applyBorder="1" applyAlignment="1">
      <alignment horizontal="center" vertical="top" wrapText="1"/>
    </xf>
    <xf numFmtId="0" fontId="14" fillId="2" borderId="0" xfId="2" applyFont="1" applyFill="1" applyAlignment="1">
      <alignment horizontal="center"/>
    </xf>
    <xf numFmtId="0" fontId="16" fillId="2" borderId="19" xfId="9" applyFont="1" applyFill="1" applyBorder="1" applyAlignment="1">
      <alignment horizontal="left"/>
    </xf>
    <xf numFmtId="0" fontId="16" fillId="2" borderId="0" xfId="9" applyFont="1" applyFill="1" applyAlignment="1">
      <alignment horizontal="left"/>
    </xf>
    <xf numFmtId="0" fontId="19" fillId="3" borderId="0" xfId="5" applyFont="1" applyFill="1" applyAlignment="1">
      <alignment horizontal="left"/>
    </xf>
    <xf numFmtId="0" fontId="19" fillId="3" borderId="5" xfId="5" applyFont="1" applyFill="1" applyBorder="1" applyAlignment="1">
      <alignment horizontal="left"/>
    </xf>
    <xf numFmtId="0" fontId="19" fillId="0" borderId="9" xfId="6" applyFont="1" applyBorder="1" applyAlignment="1">
      <alignment horizontal="left"/>
    </xf>
    <xf numFmtId="0" fontId="19" fillId="0" borderId="11" xfId="6" applyFont="1" applyBorder="1" applyAlignment="1">
      <alignment horizontal="left"/>
    </xf>
    <xf numFmtId="0" fontId="21" fillId="2" borderId="19" xfId="2" applyFont="1" applyFill="1" applyBorder="1"/>
    <xf numFmtId="0" fontId="21" fillId="2" borderId="0" xfId="2" applyFont="1" applyFill="1"/>
    <xf numFmtId="0" fontId="10" fillId="3" borderId="24" xfId="2" applyFont="1" applyFill="1" applyBorder="1" applyAlignment="1">
      <alignment horizontal="left"/>
    </xf>
    <xf numFmtId="0" fontId="10" fillId="3" borderId="2" xfId="2" applyFont="1" applyFill="1" applyBorder="1" applyAlignment="1">
      <alignment horizontal="left"/>
    </xf>
    <xf numFmtId="0" fontId="6" fillId="2" borderId="25" xfId="2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2" fontId="24" fillId="2" borderId="26" xfId="8" applyNumberFormat="1" applyFont="1" applyFill="1" applyBorder="1" applyAlignment="1">
      <alignment horizontal="center" vertical="center" wrapText="1"/>
    </xf>
    <xf numFmtId="2" fontId="24" fillId="2" borderId="28" xfId="8" applyNumberFormat="1" applyFont="1" applyFill="1" applyBorder="1" applyAlignment="1">
      <alignment horizontal="center" vertical="center" wrapText="1"/>
    </xf>
    <xf numFmtId="0" fontId="37" fillId="5" borderId="9" xfId="8" applyFont="1" applyFill="1" applyBorder="1" applyAlignment="1">
      <alignment horizontal="center"/>
    </xf>
    <xf numFmtId="0" fontId="37" fillId="5" borderId="13" xfId="8" applyFont="1" applyFill="1" applyBorder="1" applyAlignment="1">
      <alignment horizontal="center"/>
    </xf>
    <xf numFmtId="0" fontId="37" fillId="5" borderId="11" xfId="8" applyFont="1" applyFill="1" applyBorder="1" applyAlignment="1">
      <alignment horizontal="center"/>
    </xf>
    <xf numFmtId="0" fontId="16" fillId="2" borderId="24" xfId="8" applyFont="1" applyFill="1" applyBorder="1" applyAlignment="1">
      <alignment horizontal="right" vertical="top" wrapText="1"/>
    </xf>
    <xf numFmtId="0" fontId="16" fillId="2" borderId="2" xfId="8" applyFont="1" applyFill="1" applyBorder="1" applyAlignment="1">
      <alignment horizontal="right" vertical="top" wrapText="1"/>
    </xf>
    <xf numFmtId="0" fontId="16" fillId="2" borderId="3" xfId="8" applyFont="1" applyFill="1" applyBorder="1" applyAlignment="1">
      <alignment horizontal="right" vertical="top" wrapText="1"/>
    </xf>
    <xf numFmtId="0" fontId="16" fillId="2" borderId="12" xfId="8" applyFont="1" applyFill="1" applyBorder="1" applyAlignment="1">
      <alignment horizontal="center" vertical="top" wrapText="1"/>
    </xf>
    <xf numFmtId="0" fontId="24" fillId="2" borderId="14" xfId="8" applyFont="1" applyFill="1" applyBorder="1" applyAlignment="1">
      <alignment horizontal="center" vertical="center" wrapText="1"/>
    </xf>
    <xf numFmtId="0" fontId="24" fillId="2" borderId="10" xfId="8" applyFont="1" applyFill="1" applyBorder="1" applyAlignment="1">
      <alignment horizontal="center" vertical="center" wrapText="1"/>
    </xf>
    <xf numFmtId="0" fontId="16" fillId="3" borderId="0" xfId="8" applyFont="1" applyFill="1" applyAlignment="1">
      <alignment horizontal="right" vertical="top" wrapText="1"/>
    </xf>
    <xf numFmtId="0" fontId="26" fillId="0" borderId="14" xfId="2" applyFont="1" applyBorder="1" applyAlignment="1">
      <alignment horizontal="left" vertical="center" wrapText="1"/>
    </xf>
    <xf numFmtId="0" fontId="26" fillId="0" borderId="15" xfId="2" applyFont="1" applyBorder="1" applyAlignment="1">
      <alignment horizontal="left" vertical="center" wrapText="1"/>
    </xf>
    <xf numFmtId="0" fontId="26" fillId="0" borderId="10" xfId="2" applyFont="1" applyBorder="1" applyAlignment="1">
      <alignment horizontal="left" vertical="center" wrapText="1"/>
    </xf>
    <xf numFmtId="0" fontId="26" fillId="0" borderId="14" xfId="2" applyFont="1" applyBorder="1" applyAlignment="1">
      <alignment horizontal="center" vertical="center"/>
    </xf>
    <xf numFmtId="0" fontId="26" fillId="0" borderId="10" xfId="2" applyFont="1" applyBorder="1" applyAlignment="1">
      <alignment horizontal="center" vertical="center"/>
    </xf>
    <xf numFmtId="2" fontId="26" fillId="0" borderId="14" xfId="2" applyNumberFormat="1" applyFont="1" applyBorder="1" applyAlignment="1">
      <alignment horizontal="center" vertical="center" wrapText="1"/>
    </xf>
    <xf numFmtId="2" fontId="26" fillId="0" borderId="10" xfId="2" applyNumberFormat="1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0" fontId="24" fillId="2" borderId="9" xfId="8" applyFont="1" applyFill="1" applyBorder="1" applyAlignment="1">
      <alignment horizontal="center" vertical="center" wrapText="1"/>
    </xf>
    <xf numFmtId="0" fontId="24" fillId="2" borderId="13" xfId="8" applyFont="1" applyFill="1" applyBorder="1" applyAlignment="1">
      <alignment horizontal="center" vertical="center" wrapText="1"/>
    </xf>
    <xf numFmtId="0" fontId="24" fillId="2" borderId="11" xfId="8" applyFont="1" applyFill="1" applyBorder="1" applyAlignment="1">
      <alignment horizontal="center" vertical="center" wrapText="1"/>
    </xf>
    <xf numFmtId="0" fontId="39" fillId="0" borderId="9" xfId="11" applyFont="1" applyBorder="1" applyAlignment="1">
      <alignment horizontal="left" vertical="center" wrapText="1"/>
    </xf>
    <xf numFmtId="0" fontId="39" fillId="0" borderId="13" xfId="11" applyFont="1" applyBorder="1" applyAlignment="1">
      <alignment horizontal="left" vertical="center" wrapText="1"/>
    </xf>
    <xf numFmtId="0" fontId="39" fillId="0" borderId="11" xfId="11" applyFont="1" applyBorder="1" applyAlignment="1">
      <alignment horizontal="left" vertical="center" wrapText="1"/>
    </xf>
    <xf numFmtId="0" fontId="40" fillId="2" borderId="9" xfId="8" applyFont="1" applyFill="1" applyBorder="1" applyAlignment="1">
      <alignment horizontal="left" vertical="top" wrapText="1"/>
    </xf>
    <xf numFmtId="0" fontId="40" fillId="2" borderId="11" xfId="8" applyFont="1" applyFill="1" applyBorder="1" applyAlignment="1">
      <alignment horizontal="left" vertical="top" wrapText="1"/>
    </xf>
    <xf numFmtId="0" fontId="7" fillId="0" borderId="9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39" fillId="0" borderId="9" xfId="11" applyFont="1" applyBorder="1" applyAlignment="1">
      <alignment vertical="center" wrapText="1"/>
    </xf>
    <xf numFmtId="0" fontId="39" fillId="0" borderId="13" xfId="11" applyFont="1" applyBorder="1" applyAlignment="1">
      <alignment vertical="center" wrapText="1"/>
    </xf>
    <xf numFmtId="0" fontId="39" fillId="0" borderId="11" xfId="11" applyFont="1" applyBorder="1" applyAlignment="1">
      <alignment vertical="center" wrapText="1"/>
    </xf>
    <xf numFmtId="0" fontId="7" fillId="0" borderId="6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6" fillId="2" borderId="32" xfId="2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left" vertical="center"/>
    </xf>
    <xf numFmtId="0" fontId="16" fillId="2" borderId="13" xfId="8" applyFont="1" applyFill="1" applyBorder="1" applyAlignment="1">
      <alignment horizontal="left" vertical="top" wrapText="1"/>
    </xf>
    <xf numFmtId="0" fontId="12" fillId="7" borderId="2" xfId="8" applyFont="1" applyFill="1" applyBorder="1" applyAlignment="1">
      <alignment horizontal="center"/>
    </xf>
    <xf numFmtId="0" fontId="12" fillId="7" borderId="0" xfId="8" applyFont="1" applyFill="1" applyAlignment="1">
      <alignment horizontal="center"/>
    </xf>
    <xf numFmtId="0" fontId="12" fillId="7" borderId="7" xfId="8" applyFont="1" applyFill="1" applyBorder="1" applyAlignment="1">
      <alignment horizontal="center"/>
    </xf>
    <xf numFmtId="0" fontId="44" fillId="2" borderId="13" xfId="8" applyFont="1" applyFill="1" applyBorder="1" applyAlignment="1">
      <alignment horizontal="center" vertical="center" wrapText="1"/>
    </xf>
    <xf numFmtId="0" fontId="7" fillId="0" borderId="9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0" fontId="44" fillId="0" borderId="9" xfId="8" applyFont="1" applyBorder="1" applyAlignment="1">
      <alignment horizontal="center" vertical="center" wrapText="1"/>
    </xf>
    <xf numFmtId="0" fontId="44" fillId="0" borderId="13" xfId="8" applyFont="1" applyBorder="1" applyAlignment="1">
      <alignment horizontal="center" vertical="center" wrapText="1"/>
    </xf>
    <xf numFmtId="0" fontId="44" fillId="0" borderId="11" xfId="8" applyFont="1" applyBorder="1" applyAlignment="1">
      <alignment horizontal="center" vertical="center" wrapText="1"/>
    </xf>
    <xf numFmtId="2" fontId="44" fillId="8" borderId="9" xfId="8" applyNumberFormat="1" applyFont="1" applyFill="1" applyBorder="1" applyAlignment="1">
      <alignment horizontal="center" vertical="center" wrapText="1"/>
    </xf>
    <xf numFmtId="2" fontId="44" fillId="8" borderId="11" xfId="8" applyNumberFormat="1" applyFont="1" applyFill="1" applyBorder="1" applyAlignment="1">
      <alignment horizontal="center" vertical="center" wrapText="1"/>
    </xf>
    <xf numFmtId="0" fontId="44" fillId="0" borderId="9" xfId="8" applyFont="1" applyBorder="1" applyAlignment="1">
      <alignment horizontal="left" vertical="center" wrapText="1"/>
    </xf>
    <xf numFmtId="0" fontId="44" fillId="0" borderId="13" xfId="8" applyFont="1" applyBorder="1" applyAlignment="1">
      <alignment horizontal="left" vertical="center" wrapText="1"/>
    </xf>
    <xf numFmtId="0" fontId="44" fillId="0" borderId="11" xfId="8" applyFont="1" applyBorder="1" applyAlignment="1">
      <alignment horizontal="left" vertical="center" wrapText="1"/>
    </xf>
    <xf numFmtId="0" fontId="44" fillId="2" borderId="12" xfId="8" applyFont="1" applyFill="1" applyBorder="1" applyAlignment="1">
      <alignment horizontal="center" vertical="center" wrapText="1"/>
    </xf>
    <xf numFmtId="0" fontId="44" fillId="8" borderId="9" xfId="8" applyFont="1" applyFill="1" applyBorder="1" applyAlignment="1">
      <alignment horizontal="center" vertical="center" wrapText="1"/>
    </xf>
    <xf numFmtId="0" fontId="44" fillId="8" borderId="11" xfId="8" applyFont="1" applyFill="1" applyBorder="1" applyAlignment="1">
      <alignment horizontal="center" vertical="center" wrapText="1"/>
    </xf>
    <xf numFmtId="0" fontId="44" fillId="8" borderId="33" xfId="8" applyFont="1" applyFill="1" applyBorder="1" applyAlignment="1">
      <alignment horizontal="center" vertical="center" wrapText="1"/>
    </xf>
    <xf numFmtId="2" fontId="45" fillId="2" borderId="1" xfId="14" applyNumberFormat="1" applyFont="1" applyFill="1" applyBorder="1" applyAlignment="1" applyProtection="1">
      <alignment horizontal="center" vertical="center" wrapText="1"/>
    </xf>
    <xf numFmtId="2" fontId="45" fillId="2" borderId="34" xfId="14" applyNumberFormat="1" applyFont="1" applyFill="1" applyBorder="1" applyAlignment="1" applyProtection="1">
      <alignment horizontal="center" vertical="center" wrapText="1"/>
    </xf>
    <xf numFmtId="2" fontId="45" fillId="2" borderId="4" xfId="14" applyNumberFormat="1" applyFont="1" applyFill="1" applyBorder="1" applyAlignment="1" applyProtection="1">
      <alignment horizontal="center" vertical="center" wrapText="1"/>
    </xf>
    <xf numFmtId="2" fontId="45" fillId="2" borderId="20" xfId="14" applyNumberFormat="1" applyFont="1" applyFill="1" applyBorder="1" applyAlignment="1" applyProtection="1">
      <alignment horizontal="center" vertical="center" wrapText="1"/>
    </xf>
    <xf numFmtId="2" fontId="45" fillId="2" borderId="6" xfId="14" applyNumberFormat="1" applyFont="1" applyFill="1" applyBorder="1" applyAlignment="1" applyProtection="1">
      <alignment horizontal="center" vertical="center" wrapText="1"/>
    </xf>
    <xf numFmtId="2" fontId="45" fillId="2" borderId="35" xfId="14" applyNumberFormat="1" applyFont="1" applyFill="1" applyBorder="1" applyAlignment="1" applyProtection="1">
      <alignment horizontal="center" vertical="center" wrapText="1"/>
    </xf>
    <xf numFmtId="0" fontId="39" fillId="0" borderId="2" xfId="8" applyFont="1" applyBorder="1" applyAlignment="1">
      <alignment vertical="center" wrapText="1"/>
    </xf>
    <xf numFmtId="0" fontId="39" fillId="0" borderId="0" xfId="8" applyFont="1" applyAlignment="1">
      <alignment vertical="center" wrapText="1"/>
    </xf>
    <xf numFmtId="0" fontId="39" fillId="0" borderId="7" xfId="8" applyFont="1" applyBorder="1" applyAlignment="1">
      <alignment vertical="center" wrapText="1"/>
    </xf>
    <xf numFmtId="0" fontId="46" fillId="4" borderId="12" xfId="8" applyFont="1" applyFill="1" applyBorder="1" applyAlignment="1">
      <alignment horizontal="center" vertical="center" wrapText="1"/>
    </xf>
    <xf numFmtId="0" fontId="46" fillId="4" borderId="30" xfId="8" applyFont="1" applyFill="1" applyBorder="1" applyAlignment="1">
      <alignment horizontal="center" vertical="center" wrapText="1"/>
    </xf>
    <xf numFmtId="0" fontId="44" fillId="2" borderId="12" xfId="8" applyFont="1" applyFill="1" applyBorder="1" applyAlignment="1">
      <alignment horizontal="left" vertical="center" wrapText="1"/>
    </xf>
    <xf numFmtId="0" fontId="16" fillId="2" borderId="24" xfId="8" applyFont="1" applyFill="1" applyBorder="1" applyAlignment="1">
      <alignment vertical="center" wrapText="1"/>
    </xf>
    <xf numFmtId="0" fontId="16" fillId="2" borderId="3" xfId="8" applyFont="1" applyFill="1" applyBorder="1" applyAlignment="1">
      <alignment vertical="center" wrapText="1"/>
    </xf>
    <xf numFmtId="0" fontId="16" fillId="2" borderId="19" xfId="8" applyFont="1" applyFill="1" applyBorder="1" applyAlignment="1">
      <alignment vertical="center" wrapText="1"/>
    </xf>
    <xf numFmtId="0" fontId="16" fillId="2" borderId="5" xfId="8" applyFont="1" applyFill="1" applyBorder="1" applyAlignment="1">
      <alignment vertical="center" wrapText="1"/>
    </xf>
    <xf numFmtId="0" fontId="16" fillId="2" borderId="36" xfId="8" applyFont="1" applyFill="1" applyBorder="1" applyAlignment="1">
      <alignment vertical="center" wrapText="1"/>
    </xf>
    <xf numFmtId="0" fontId="16" fillId="2" borderId="8" xfId="8" applyFont="1" applyFill="1" applyBorder="1" applyAlignment="1">
      <alignment vertical="center" wrapText="1"/>
    </xf>
    <xf numFmtId="0" fontId="39" fillId="0" borderId="3" xfId="8" applyFont="1" applyBorder="1" applyAlignment="1">
      <alignment vertical="center" wrapText="1"/>
    </xf>
    <xf numFmtId="0" fontId="39" fillId="0" borderId="5" xfId="8" applyFont="1" applyBorder="1" applyAlignment="1">
      <alignment vertical="center" wrapText="1"/>
    </xf>
    <xf numFmtId="0" fontId="39" fillId="0" borderId="8" xfId="8" applyFont="1" applyBorder="1" applyAlignment="1">
      <alignment vertical="center" wrapText="1"/>
    </xf>
    <xf numFmtId="0" fontId="16" fillId="2" borderId="1" xfId="8" applyFont="1" applyFill="1" applyBorder="1" applyAlignment="1">
      <alignment vertical="center" wrapText="1"/>
    </xf>
    <xf numFmtId="0" fontId="16" fillId="2" borderId="4" xfId="8" applyFont="1" applyFill="1" applyBorder="1" applyAlignment="1">
      <alignment vertical="center" wrapText="1"/>
    </xf>
    <xf numFmtId="0" fontId="16" fillId="2" borderId="6" xfId="8" applyFont="1" applyFill="1" applyBorder="1" applyAlignment="1">
      <alignment vertical="center" wrapText="1"/>
    </xf>
    <xf numFmtId="0" fontId="39" fillId="0" borderId="2" xfId="8" applyFont="1" applyBorder="1" applyAlignment="1">
      <alignment horizontal="center" vertical="center" wrapText="1"/>
    </xf>
    <xf numFmtId="0" fontId="39" fillId="0" borderId="0" xfId="8" applyFont="1" applyAlignment="1">
      <alignment horizontal="center" vertical="center" wrapText="1"/>
    </xf>
    <xf numFmtId="0" fontId="39" fillId="0" borderId="7" xfId="8" applyFont="1" applyBorder="1" applyAlignment="1">
      <alignment horizontal="center" vertical="center" wrapText="1"/>
    </xf>
    <xf numFmtId="0" fontId="3" fillId="3" borderId="2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0" fontId="29" fillId="3" borderId="21" xfId="8" applyFont="1" applyFill="1" applyBorder="1" applyAlignment="1">
      <alignment vertical="center" wrapText="1"/>
    </xf>
    <xf numFmtId="0" fontId="29" fillId="3" borderId="22" xfId="8" applyFont="1" applyFill="1" applyBorder="1" applyAlignment="1">
      <alignment vertical="center" wrapText="1"/>
    </xf>
    <xf numFmtId="0" fontId="26" fillId="0" borderId="15" xfId="2" applyFont="1" applyBorder="1" applyAlignment="1">
      <alignment horizontal="center" vertical="center"/>
    </xf>
    <xf numFmtId="2" fontId="26" fillId="0" borderId="14" xfId="2" applyNumberFormat="1" applyFont="1" applyBorder="1" applyAlignment="1">
      <alignment horizontal="center" vertical="center"/>
    </xf>
    <xf numFmtId="2" fontId="26" fillId="0" borderId="15" xfId="2" applyNumberFormat="1" applyFont="1" applyBorder="1" applyAlignment="1">
      <alignment horizontal="center" vertical="center"/>
    </xf>
    <xf numFmtId="2" fontId="26" fillId="0" borderId="10" xfId="2" applyNumberFormat="1" applyFont="1" applyBorder="1" applyAlignment="1">
      <alignment horizontal="center" vertical="center"/>
    </xf>
    <xf numFmtId="0" fontId="16" fillId="3" borderId="24" xfId="8" applyFont="1" applyFill="1" applyBorder="1" applyAlignment="1">
      <alignment vertical="center" wrapText="1"/>
    </xf>
    <xf numFmtId="0" fontId="16" fillId="3" borderId="3" xfId="8" applyFont="1" applyFill="1" applyBorder="1" applyAlignment="1">
      <alignment vertical="center" wrapText="1"/>
    </xf>
    <xf numFmtId="0" fontId="16" fillId="3" borderId="19" xfId="8" applyFont="1" applyFill="1" applyBorder="1" applyAlignment="1">
      <alignment vertical="center" wrapText="1"/>
    </xf>
    <xf numFmtId="0" fontId="16" fillId="3" borderId="5" xfId="8" applyFont="1" applyFill="1" applyBorder="1" applyAlignment="1">
      <alignment vertical="center" wrapText="1"/>
    </xf>
    <xf numFmtId="0" fontId="16" fillId="3" borderId="1" xfId="8" applyFont="1" applyFill="1" applyBorder="1" applyAlignment="1">
      <alignment vertical="center" wrapText="1"/>
    </xf>
    <xf numFmtId="0" fontId="16" fillId="3" borderId="4" xfId="8" applyFont="1" applyFill="1" applyBorder="1" applyAlignment="1">
      <alignment vertical="center" wrapText="1"/>
    </xf>
    <xf numFmtId="0" fontId="16" fillId="3" borderId="6" xfId="8" applyFont="1" applyFill="1" applyBorder="1" applyAlignment="1">
      <alignment vertical="center" wrapText="1"/>
    </xf>
    <xf numFmtId="0" fontId="16" fillId="3" borderId="8" xfId="8" applyFont="1" applyFill="1" applyBorder="1" applyAlignment="1">
      <alignment vertical="center" wrapText="1"/>
    </xf>
  </cellXfs>
  <cellStyles count="15">
    <cellStyle name="Hyperlink" xfId="1" builtinId="8"/>
    <cellStyle name="Hyperlink 2" xfId="4" xr:uid="{5F0F3A2A-222A-4955-A1F4-1689A56CAC2B}"/>
    <cellStyle name="Normal" xfId="0" builtinId="0"/>
    <cellStyle name="Normal 2 2" xfId="11" xr:uid="{DFC1F548-6CD0-4EE1-98D6-A4BE56373ADC}"/>
    <cellStyle name="Normal 2 2 3 2" xfId="13" xr:uid="{E5576ADF-F378-454D-91CF-01181AF694D4}"/>
    <cellStyle name="Normal 2 3" xfId="2" xr:uid="{3918AE14-4B1E-4958-9303-DA8580B1A07E}"/>
    <cellStyle name="Normal 2 3 2" xfId="6" xr:uid="{9A551591-1A14-4940-94C4-23CA2BE86F7C}"/>
    <cellStyle name="Normal 2 3 5" xfId="10" xr:uid="{89FA4B32-2718-4CFC-BD56-0F86764A3D3A}"/>
    <cellStyle name="Normal 2 3 6" xfId="3" xr:uid="{298496AF-93A4-4E26-9592-CAFA0FFCA4C2}"/>
    <cellStyle name="Normal 2 4 2" xfId="5" xr:uid="{DF3C3517-8E7D-4F40-8783-F27A123A5960}"/>
    <cellStyle name="Normal 2 5 2 2" xfId="9" xr:uid="{20914F4B-21E6-42EA-ACA8-A7426D145570}"/>
    <cellStyle name="Normal 2 7" xfId="12" xr:uid="{23ADF65F-7F47-4260-8043-AC5552D5DFD0}"/>
    <cellStyle name="Normal 4 2 2 2 2" xfId="8" xr:uid="{7B993DA6-5813-4B82-A434-43EC2F9C49D1}"/>
    <cellStyle name="Normal 5 2 2" xfId="7" xr:uid="{936BDFC3-7EFA-48A4-ADD6-AF6C1C6BF733}"/>
    <cellStyle name="Percent 2 2" xfId="14" xr:uid="{CED11D2A-2265-446B-A8B8-FB19F14B0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E88A555-4060-4203-9372-E86634A5B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2874904F-4534-4883-B8A6-40F8AFA8E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5F48B2A3-02B7-4FEA-8EF7-C4AD91873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25068A3-806E-47BD-82EA-FEA04D9D7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2B36-1F23-40F4-A2FE-F141D0F5C73B}">
  <sheetPr>
    <pageSetUpPr fitToPage="1"/>
  </sheetPr>
  <dimension ref="A1:R89"/>
  <sheetViews>
    <sheetView zoomScale="30" zoomScaleNormal="30" workbookViewId="0">
      <selection activeCell="E50" sqref="E50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141" t="s">
        <v>160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3"/>
    </row>
    <row r="2" spans="1:18" ht="31.5" customHeight="1" x14ac:dyDescent="0.25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6"/>
    </row>
    <row r="3" spans="1:18" ht="31.5" customHeight="1" thickBot="1" x14ac:dyDescent="0.3">
      <c r="A3" s="14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6"/>
    </row>
    <row r="4" spans="1:18" s="2" customFormat="1" ht="45.75" x14ac:dyDescent="0.25">
      <c r="A4" s="147" t="s">
        <v>0</v>
      </c>
      <c r="B4" s="148"/>
      <c r="C4" s="148"/>
      <c r="D4" s="148"/>
      <c r="E4" s="148"/>
      <c r="F4" s="148"/>
      <c r="G4" s="148"/>
      <c r="H4" s="148"/>
      <c r="I4" s="148"/>
      <c r="J4" s="148"/>
      <c r="K4" s="149"/>
      <c r="L4" s="150"/>
      <c r="M4" s="150"/>
      <c r="N4" s="150"/>
      <c r="O4" s="150"/>
      <c r="P4" s="150"/>
      <c r="Q4" s="150"/>
      <c r="R4" s="151"/>
    </row>
    <row r="5" spans="1:18" s="9" customFormat="1" ht="32.25" x14ac:dyDescent="0.5">
      <c r="A5" s="3" t="s">
        <v>1</v>
      </c>
      <c r="B5" s="4" t="s">
        <v>161</v>
      </c>
      <c r="C5" s="5" t="s">
        <v>2</v>
      </c>
      <c r="D5" s="6" t="s">
        <v>162</v>
      </c>
      <c r="E5" s="158"/>
      <c r="F5" s="158"/>
      <c r="G5" s="158"/>
      <c r="H5" s="158"/>
      <c r="I5" s="7"/>
      <c r="J5" s="8"/>
      <c r="K5" s="152"/>
      <c r="L5" s="153"/>
      <c r="M5" s="153"/>
      <c r="N5" s="153"/>
      <c r="O5" s="153"/>
      <c r="P5" s="153"/>
      <c r="Q5" s="153"/>
      <c r="R5" s="154"/>
    </row>
    <row r="6" spans="1:18" s="12" customFormat="1" ht="38.25" customHeight="1" x14ac:dyDescent="0.55000000000000004">
      <c r="A6" s="159" t="s">
        <v>3</v>
      </c>
      <c r="B6" s="160"/>
      <c r="C6" s="160"/>
      <c r="D6" s="160"/>
      <c r="E6" s="160"/>
      <c r="F6" s="160"/>
      <c r="G6" s="160"/>
      <c r="H6" s="160"/>
      <c r="I6" s="10"/>
      <c r="J6" s="11"/>
      <c r="K6" s="152"/>
      <c r="L6" s="153"/>
      <c r="M6" s="153"/>
      <c r="N6" s="153"/>
      <c r="O6" s="153"/>
      <c r="P6" s="153"/>
      <c r="Q6" s="153"/>
      <c r="R6" s="154"/>
    </row>
    <row r="7" spans="1:18" s="120" customFormat="1" ht="39" x14ac:dyDescent="0.6">
      <c r="A7" s="128" t="s">
        <v>4</v>
      </c>
      <c r="B7" s="129"/>
      <c r="C7" s="117" t="s">
        <v>5</v>
      </c>
      <c r="D7" s="118" t="s">
        <v>6</v>
      </c>
      <c r="E7" s="117" t="s">
        <v>7</v>
      </c>
      <c r="F7" s="118" t="s">
        <v>8</v>
      </c>
      <c r="G7" s="119" t="s">
        <v>9</v>
      </c>
      <c r="H7" s="118" t="s">
        <v>10</v>
      </c>
      <c r="I7" s="130" t="s">
        <v>11</v>
      </c>
      <c r="J7" s="131"/>
      <c r="K7" s="152"/>
      <c r="L7" s="153"/>
      <c r="M7" s="153"/>
      <c r="N7" s="153"/>
      <c r="O7" s="153"/>
      <c r="P7" s="153"/>
      <c r="Q7" s="153"/>
      <c r="R7" s="154"/>
    </row>
    <row r="8" spans="1:18" s="120" customFormat="1" ht="39.75" x14ac:dyDescent="0.6">
      <c r="A8" s="132" t="s">
        <v>12</v>
      </c>
      <c r="B8" s="133"/>
      <c r="C8" s="121">
        <v>60737</v>
      </c>
      <c r="D8" s="122" t="s">
        <v>13</v>
      </c>
      <c r="E8" s="123" t="s">
        <v>14</v>
      </c>
      <c r="F8" s="122" t="s">
        <v>15</v>
      </c>
      <c r="G8" s="124"/>
      <c r="H8" s="122" t="s">
        <v>16</v>
      </c>
      <c r="I8" s="134" t="s">
        <v>17</v>
      </c>
      <c r="J8" s="135"/>
      <c r="K8" s="152"/>
      <c r="L8" s="153"/>
      <c r="M8" s="153"/>
      <c r="N8" s="153"/>
      <c r="O8" s="153"/>
      <c r="P8" s="153"/>
      <c r="Q8" s="153"/>
      <c r="R8" s="154"/>
    </row>
    <row r="9" spans="1:18" s="14" customFormat="1" ht="62.25" customHeight="1" x14ac:dyDescent="0.6">
      <c r="A9" s="136" t="s">
        <v>18</v>
      </c>
      <c r="B9" s="136"/>
      <c r="C9" s="136"/>
      <c r="D9" s="136"/>
      <c r="E9" s="136"/>
      <c r="F9" s="136"/>
      <c r="G9" s="136"/>
      <c r="H9" s="136"/>
      <c r="I9" s="136"/>
      <c r="J9" s="13"/>
      <c r="K9" s="152"/>
      <c r="L9" s="153"/>
      <c r="M9" s="153"/>
      <c r="N9" s="153"/>
      <c r="O9" s="153"/>
      <c r="P9" s="153"/>
      <c r="Q9" s="153"/>
      <c r="R9" s="154"/>
    </row>
    <row r="10" spans="1:18" s="120" customFormat="1" ht="39" x14ac:dyDescent="0.6">
      <c r="A10" s="128" t="s">
        <v>4</v>
      </c>
      <c r="B10" s="129"/>
      <c r="C10" s="117" t="s">
        <v>19</v>
      </c>
      <c r="D10" s="118" t="s">
        <v>6</v>
      </c>
      <c r="E10" s="117" t="s">
        <v>20</v>
      </c>
      <c r="F10" s="118" t="s">
        <v>8</v>
      </c>
      <c r="G10" s="119" t="s">
        <v>21</v>
      </c>
      <c r="H10" s="118" t="s">
        <v>10</v>
      </c>
      <c r="I10" s="130" t="s">
        <v>22</v>
      </c>
      <c r="J10" s="131"/>
      <c r="K10" s="152"/>
      <c r="L10" s="153"/>
      <c r="M10" s="153"/>
      <c r="N10" s="153"/>
      <c r="O10" s="153"/>
      <c r="P10" s="153"/>
      <c r="Q10" s="153"/>
      <c r="R10" s="154"/>
    </row>
    <row r="11" spans="1:18" s="120" customFormat="1" ht="39.75" x14ac:dyDescent="0.6">
      <c r="A11" s="132" t="s">
        <v>12</v>
      </c>
      <c r="B11" s="133"/>
      <c r="C11" s="121">
        <v>60694</v>
      </c>
      <c r="D11" s="122" t="s">
        <v>13</v>
      </c>
      <c r="E11" s="125" t="s">
        <v>23</v>
      </c>
      <c r="F11" s="122" t="s">
        <v>15</v>
      </c>
      <c r="G11" s="124"/>
      <c r="H11" s="122" t="s">
        <v>16</v>
      </c>
      <c r="I11" s="134" t="s">
        <v>17</v>
      </c>
      <c r="J11" s="135"/>
      <c r="K11" s="152"/>
      <c r="L11" s="153"/>
      <c r="M11" s="153"/>
      <c r="N11" s="153"/>
      <c r="O11" s="153"/>
      <c r="P11" s="153"/>
      <c r="Q11" s="153"/>
      <c r="R11" s="154"/>
    </row>
    <row r="12" spans="1:18" s="14" customFormat="1" ht="39" x14ac:dyDescent="0.6">
      <c r="A12" s="136" t="s">
        <v>24</v>
      </c>
      <c r="B12" s="136"/>
      <c r="C12" s="136"/>
      <c r="D12" s="136"/>
      <c r="E12" s="136"/>
      <c r="F12" s="136"/>
      <c r="G12" s="136"/>
      <c r="H12" s="136"/>
      <c r="I12" s="136"/>
      <c r="J12" s="13"/>
      <c r="K12" s="152"/>
      <c r="L12" s="153"/>
      <c r="M12" s="153"/>
      <c r="N12" s="153"/>
      <c r="O12" s="153"/>
      <c r="P12" s="153"/>
      <c r="Q12" s="153"/>
      <c r="R12" s="154"/>
    </row>
    <row r="13" spans="1:18" s="19" customFormat="1" ht="39" x14ac:dyDescent="0.6">
      <c r="A13" s="137" t="s">
        <v>4</v>
      </c>
      <c r="B13" s="138"/>
      <c r="C13" s="15" t="s">
        <v>25</v>
      </c>
      <c r="D13" s="16" t="s">
        <v>6</v>
      </c>
      <c r="E13" s="15" t="s">
        <v>26</v>
      </c>
      <c r="F13" s="17" t="s">
        <v>8</v>
      </c>
      <c r="G13" s="18" t="s">
        <v>27</v>
      </c>
      <c r="H13" s="16" t="s">
        <v>10</v>
      </c>
      <c r="I13" s="139" t="s">
        <v>28</v>
      </c>
      <c r="J13" s="140"/>
      <c r="K13" s="152"/>
      <c r="L13" s="153"/>
      <c r="M13" s="153"/>
      <c r="N13" s="153"/>
      <c r="O13" s="153"/>
      <c r="P13" s="153"/>
      <c r="Q13" s="153"/>
      <c r="R13" s="154"/>
    </row>
    <row r="14" spans="1:18" s="19" customFormat="1" ht="39.75" x14ac:dyDescent="0.6">
      <c r="A14" s="161" t="s">
        <v>12</v>
      </c>
      <c r="B14" s="162"/>
      <c r="C14" s="20">
        <v>60529</v>
      </c>
      <c r="D14" s="21" t="s">
        <v>13</v>
      </c>
      <c r="E14" s="126" t="s">
        <v>29</v>
      </c>
      <c r="F14" s="22" t="s">
        <v>15</v>
      </c>
      <c r="G14" s="127"/>
      <c r="H14" s="21" t="s">
        <v>16</v>
      </c>
      <c r="I14" s="163" t="s">
        <v>30</v>
      </c>
      <c r="J14" s="164"/>
      <c r="K14" s="152"/>
      <c r="L14" s="153"/>
      <c r="M14" s="153"/>
      <c r="N14" s="153"/>
      <c r="O14" s="153"/>
      <c r="P14" s="153"/>
      <c r="Q14" s="153"/>
      <c r="R14" s="154"/>
    </row>
    <row r="15" spans="1:18" s="24" customFormat="1" ht="20.25" customHeight="1" thickBot="1" x14ac:dyDescent="0.75">
      <c r="A15" s="165"/>
      <c r="B15" s="166"/>
      <c r="C15" s="166"/>
      <c r="D15" s="166"/>
      <c r="E15" s="166"/>
      <c r="F15" s="166"/>
      <c r="G15" s="166"/>
      <c r="H15" s="166"/>
      <c r="I15" s="166"/>
      <c r="J15" s="23"/>
      <c r="K15" s="155"/>
      <c r="L15" s="156"/>
      <c r="M15" s="156"/>
      <c r="N15" s="156"/>
      <c r="O15" s="156"/>
      <c r="P15" s="156"/>
      <c r="Q15" s="156"/>
      <c r="R15" s="157"/>
    </row>
    <row r="16" spans="1:18" s="24" customFormat="1" ht="47.25" x14ac:dyDescent="0.7">
      <c r="A16" s="167" t="s">
        <v>31</v>
      </c>
      <c r="B16" s="168"/>
      <c r="C16" s="168"/>
      <c r="D16" s="168"/>
      <c r="E16" s="168"/>
      <c r="F16" s="168"/>
      <c r="G16" s="168"/>
      <c r="H16" s="168"/>
      <c r="I16" s="168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169" t="s">
        <v>32</v>
      </c>
      <c r="B17" s="171" t="s">
        <v>33</v>
      </c>
      <c r="C17" s="172" t="s">
        <v>34</v>
      </c>
      <c r="D17" s="172" t="s">
        <v>35</v>
      </c>
      <c r="E17" s="172" t="s">
        <v>34</v>
      </c>
      <c r="F17" s="173" t="s">
        <v>36</v>
      </c>
      <c r="G17" s="173" t="s">
        <v>37</v>
      </c>
      <c r="H17" s="194" t="s">
        <v>38</v>
      </c>
      <c r="I17" s="173" t="s">
        <v>39</v>
      </c>
      <c r="J17" s="196" t="s">
        <v>40</v>
      </c>
      <c r="K17" s="197"/>
      <c r="L17" s="197"/>
      <c r="M17" s="197"/>
      <c r="N17" s="197"/>
      <c r="O17" s="198"/>
      <c r="P17" s="184" t="s">
        <v>163</v>
      </c>
      <c r="Q17" s="184" t="s">
        <v>164</v>
      </c>
      <c r="R17" s="175" t="s">
        <v>165</v>
      </c>
    </row>
    <row r="18" spans="1:18" s="31" customFormat="1" ht="36" x14ac:dyDescent="0.25">
      <c r="A18" s="170"/>
      <c r="B18" s="171"/>
      <c r="C18" s="171"/>
      <c r="D18" s="171"/>
      <c r="E18" s="171"/>
      <c r="F18" s="174"/>
      <c r="G18" s="174"/>
      <c r="H18" s="195"/>
      <c r="I18" s="174"/>
      <c r="J18" s="32" t="s">
        <v>166</v>
      </c>
      <c r="K18" s="30" t="s">
        <v>167</v>
      </c>
      <c r="L18" s="30" t="s">
        <v>168</v>
      </c>
      <c r="M18" s="32" t="s">
        <v>169</v>
      </c>
      <c r="N18" s="32" t="s">
        <v>170</v>
      </c>
      <c r="O18" s="32" t="s">
        <v>171</v>
      </c>
      <c r="P18" s="185"/>
      <c r="Q18" s="185"/>
      <c r="R18" s="176"/>
    </row>
    <row r="19" spans="1:18" s="44" customFormat="1" ht="147" customHeight="1" x14ac:dyDescent="0.25">
      <c r="A19" s="190">
        <v>1</v>
      </c>
      <c r="B19" s="187" t="s">
        <v>47</v>
      </c>
      <c r="C19" s="268">
        <f>0.25 *1.28791886111175</f>
        <v>0.32197971527793751</v>
      </c>
      <c r="D19" s="34" t="s">
        <v>48</v>
      </c>
      <c r="E19" s="35">
        <f>C19/5</f>
        <v>6.4395943055587504E-2</v>
      </c>
      <c r="F19" s="35">
        <f>E19/$E$50* 100</f>
        <v>0.22498543621060257</v>
      </c>
      <c r="G19" s="36" t="s">
        <v>49</v>
      </c>
      <c r="H19" s="37">
        <v>1</v>
      </c>
      <c r="I19" s="38" t="s">
        <v>50</v>
      </c>
      <c r="J19" s="39">
        <v>100</v>
      </c>
      <c r="K19" s="40">
        <v>95</v>
      </c>
      <c r="L19" s="40">
        <v>90</v>
      </c>
      <c r="M19" s="40">
        <v>85</v>
      </c>
      <c r="N19" s="40">
        <v>80</v>
      </c>
      <c r="O19" s="40" t="s">
        <v>51</v>
      </c>
      <c r="P19" s="41"/>
      <c r="Q19" s="42">
        <f t="shared" ref="Q19:Q25" si="0">IF(OR(TRIM(P19)="",P19=0),0,
IF(P19&lt;N19,50,
IF(P19&lt;M19,60,
IF(P19&lt;L19,70,
IF(P19&lt;K19,80,
IF(ISNUMBER(J19),
    IF(P19&lt;J19,IF(P19&gt;=K19,90,80),100),
    IF(P19=K19,90,100)
))))))</f>
        <v>0</v>
      </c>
      <c r="R19" s="43">
        <f t="shared" ref="R19:R25" si="1">F19*Q19/100</f>
        <v>0</v>
      </c>
    </row>
    <row r="20" spans="1:18" s="44" customFormat="1" ht="147" customHeight="1" x14ac:dyDescent="0.25">
      <c r="A20" s="267"/>
      <c r="B20" s="188"/>
      <c r="C20" s="269"/>
      <c r="D20" s="34" t="s">
        <v>52</v>
      </c>
      <c r="E20" s="35">
        <f>C19/5</f>
        <v>6.4395943055587504E-2</v>
      </c>
      <c r="F20" s="35">
        <f t="shared" ref="F20:F49" si="2">E20/$E$50* 100</f>
        <v>0.22498543621060257</v>
      </c>
      <c r="G20" s="36" t="s">
        <v>53</v>
      </c>
      <c r="H20" s="37">
        <v>1</v>
      </c>
      <c r="I20" s="38" t="s">
        <v>50</v>
      </c>
      <c r="J20" s="39">
        <v>100</v>
      </c>
      <c r="K20" s="40">
        <v>95</v>
      </c>
      <c r="L20" s="40">
        <v>90</v>
      </c>
      <c r="M20" s="40">
        <v>85</v>
      </c>
      <c r="N20" s="40">
        <v>80</v>
      </c>
      <c r="O20" s="40" t="s">
        <v>51</v>
      </c>
      <c r="P20" s="41"/>
      <c r="Q20" s="42">
        <f t="shared" si="0"/>
        <v>0</v>
      </c>
      <c r="R20" s="43">
        <f t="shared" si="1"/>
        <v>0</v>
      </c>
    </row>
    <row r="21" spans="1:18" s="44" customFormat="1" ht="147" customHeight="1" x14ac:dyDescent="0.25">
      <c r="A21" s="267"/>
      <c r="B21" s="188"/>
      <c r="C21" s="269"/>
      <c r="D21" s="34" t="s">
        <v>54</v>
      </c>
      <c r="E21" s="35">
        <f>C19/5</f>
        <v>6.4395943055587504E-2</v>
      </c>
      <c r="F21" s="35">
        <f t="shared" si="2"/>
        <v>0.22498543621060257</v>
      </c>
      <c r="G21" s="36" t="s">
        <v>55</v>
      </c>
      <c r="H21" s="37">
        <v>1</v>
      </c>
      <c r="I21" s="38" t="s">
        <v>50</v>
      </c>
      <c r="J21" s="39">
        <v>100</v>
      </c>
      <c r="K21" s="40">
        <v>95</v>
      </c>
      <c r="L21" s="40">
        <v>90</v>
      </c>
      <c r="M21" s="40">
        <v>85</v>
      </c>
      <c r="N21" s="40">
        <v>80</v>
      </c>
      <c r="O21" s="40" t="s">
        <v>51</v>
      </c>
      <c r="P21" s="41"/>
      <c r="Q21" s="42">
        <f t="shared" si="0"/>
        <v>0</v>
      </c>
      <c r="R21" s="43">
        <f t="shared" si="1"/>
        <v>0</v>
      </c>
    </row>
    <row r="22" spans="1:18" s="44" customFormat="1" ht="147" customHeight="1" x14ac:dyDescent="0.25">
      <c r="A22" s="267"/>
      <c r="B22" s="188"/>
      <c r="C22" s="269"/>
      <c r="D22" s="34" t="s">
        <v>56</v>
      </c>
      <c r="E22" s="35">
        <f>C19/5</f>
        <v>6.4395943055587504E-2</v>
      </c>
      <c r="F22" s="35">
        <f t="shared" si="2"/>
        <v>0.22498543621060257</v>
      </c>
      <c r="G22" s="36" t="s">
        <v>57</v>
      </c>
      <c r="H22" s="45">
        <v>5</v>
      </c>
      <c r="I22" s="38" t="s">
        <v>58</v>
      </c>
      <c r="J22" s="39" t="s">
        <v>59</v>
      </c>
      <c r="K22" s="40">
        <v>5</v>
      </c>
      <c r="L22" s="40">
        <v>4</v>
      </c>
      <c r="M22" s="40">
        <v>3</v>
      </c>
      <c r="N22" s="40">
        <v>2</v>
      </c>
      <c r="O22" s="40">
        <v>1</v>
      </c>
      <c r="P22" s="41"/>
      <c r="Q22" s="42">
        <f t="shared" si="0"/>
        <v>0</v>
      </c>
      <c r="R22" s="43">
        <f t="shared" si="1"/>
        <v>0</v>
      </c>
    </row>
    <row r="23" spans="1:18" s="44" customFormat="1" ht="147" customHeight="1" x14ac:dyDescent="0.25">
      <c r="A23" s="191"/>
      <c r="B23" s="189"/>
      <c r="C23" s="270"/>
      <c r="D23" s="34" t="s">
        <v>60</v>
      </c>
      <c r="E23" s="35">
        <f>C19/5</f>
        <v>6.4395943055587504E-2</v>
      </c>
      <c r="F23" s="35">
        <f t="shared" si="2"/>
        <v>0.22498543621060257</v>
      </c>
      <c r="G23" s="36" t="s">
        <v>61</v>
      </c>
      <c r="H23" s="37">
        <v>1</v>
      </c>
      <c r="I23" s="38" t="s">
        <v>50</v>
      </c>
      <c r="J23" s="39">
        <v>100</v>
      </c>
      <c r="K23" s="40">
        <v>95</v>
      </c>
      <c r="L23" s="40">
        <v>90</v>
      </c>
      <c r="M23" s="40">
        <v>85</v>
      </c>
      <c r="N23" s="40">
        <v>80</v>
      </c>
      <c r="O23" s="40" t="s">
        <v>51</v>
      </c>
      <c r="P23" s="41"/>
      <c r="Q23" s="42">
        <f t="shared" si="0"/>
        <v>0</v>
      </c>
      <c r="R23" s="43">
        <f t="shared" si="1"/>
        <v>0</v>
      </c>
    </row>
    <row r="24" spans="1:18" s="44" customFormat="1" ht="147" customHeight="1" x14ac:dyDescent="0.25">
      <c r="A24" s="33">
        <v>2</v>
      </c>
      <c r="B24" s="34" t="s">
        <v>62</v>
      </c>
      <c r="C24" s="116">
        <f>0.25 *0.77275131666705</f>
        <v>0.1931878291667625</v>
      </c>
      <c r="D24" s="34" t="s">
        <v>63</v>
      </c>
      <c r="E24" s="35">
        <f>C24</f>
        <v>0.1931878291667625</v>
      </c>
      <c r="F24" s="35">
        <f t="shared" si="2"/>
        <v>0.67495630863180767</v>
      </c>
      <c r="G24" s="36" t="s">
        <v>64</v>
      </c>
      <c r="H24" s="37">
        <v>0.5</v>
      </c>
      <c r="I24" s="38" t="s">
        <v>50</v>
      </c>
      <c r="J24" s="39" t="s">
        <v>65</v>
      </c>
      <c r="K24" s="40">
        <v>50</v>
      </c>
      <c r="L24" s="40">
        <v>45</v>
      </c>
      <c r="M24" s="40">
        <v>40</v>
      </c>
      <c r="N24" s="40">
        <v>25</v>
      </c>
      <c r="O24" s="40" t="s">
        <v>66</v>
      </c>
      <c r="P24" s="41"/>
      <c r="Q24" s="42">
        <f t="shared" si="0"/>
        <v>0</v>
      </c>
      <c r="R24" s="43">
        <f t="shared" si="1"/>
        <v>0</v>
      </c>
    </row>
    <row r="25" spans="1:18" s="44" customFormat="1" ht="147" customHeight="1" x14ac:dyDescent="0.25">
      <c r="A25" s="190">
        <v>2</v>
      </c>
      <c r="B25" s="187" t="s">
        <v>67</v>
      </c>
      <c r="C25" s="268">
        <f>0.25 *68.7196706607483</f>
        <v>17.179917665187077</v>
      </c>
      <c r="D25" s="34" t="s">
        <v>68</v>
      </c>
      <c r="E25" s="35">
        <f>C25/10</f>
        <v>1.7179917665187077</v>
      </c>
      <c r="F25" s="35">
        <f t="shared" si="2"/>
        <v>6.0022900303328557</v>
      </c>
      <c r="G25" s="34" t="s">
        <v>69</v>
      </c>
      <c r="H25" s="45">
        <v>80</v>
      </c>
      <c r="I25" s="45" t="s">
        <v>50</v>
      </c>
      <c r="J25" s="39" t="s">
        <v>70</v>
      </c>
      <c r="K25" s="40">
        <v>80</v>
      </c>
      <c r="L25" s="40">
        <v>75</v>
      </c>
      <c r="M25" s="40">
        <v>70</v>
      </c>
      <c r="N25" s="40">
        <v>50</v>
      </c>
      <c r="O25" s="40" t="s">
        <v>71</v>
      </c>
      <c r="P25" s="41"/>
      <c r="Q25" s="42">
        <f t="shared" si="0"/>
        <v>0</v>
      </c>
      <c r="R25" s="43">
        <f t="shared" si="1"/>
        <v>0</v>
      </c>
    </row>
    <row r="26" spans="1:18" s="44" customFormat="1" ht="147" customHeight="1" x14ac:dyDescent="0.25">
      <c r="A26" s="267"/>
      <c r="B26" s="188"/>
      <c r="C26" s="269"/>
      <c r="D26" s="34" t="s">
        <v>72</v>
      </c>
      <c r="E26" s="35">
        <f>C25/10</f>
        <v>1.7179917665187077</v>
      </c>
      <c r="F26" s="35">
        <f t="shared" si="2"/>
        <v>6.0022900303328557</v>
      </c>
      <c r="G26" s="34" t="s">
        <v>73</v>
      </c>
      <c r="H26" s="45">
        <v>80</v>
      </c>
      <c r="I26" s="45" t="s">
        <v>50</v>
      </c>
      <c r="J26" s="39" t="s">
        <v>70</v>
      </c>
      <c r="K26" s="40">
        <v>80</v>
      </c>
      <c r="L26" s="40">
        <v>75</v>
      </c>
      <c r="M26" s="40">
        <v>70</v>
      </c>
      <c r="N26" s="40">
        <v>50</v>
      </c>
      <c r="O26" s="40" t="s">
        <v>71</v>
      </c>
      <c r="P26" s="41"/>
      <c r="Q26" s="42">
        <f t="shared" ref="Q26:Q49" si="3">IF(OR(TRIM(P26)="",P26=0),0,
IF(P26&lt;N26,50,
IF(P26&lt;M26,60,
IF(P26&lt;L26,70,
IF(P26&lt;K26,80,
IF(ISNUMBER(J26),
    IF(P26&lt;J26,IF(P26&gt;=K26,90,80),100),
    IF(P26=K26,90,100)
))))))</f>
        <v>0</v>
      </c>
      <c r="R26" s="43">
        <f t="shared" ref="R26:R49" si="4">F26*Q26/100</f>
        <v>0</v>
      </c>
    </row>
    <row r="27" spans="1:18" s="44" customFormat="1" ht="147" customHeight="1" x14ac:dyDescent="0.25">
      <c r="A27" s="267"/>
      <c r="B27" s="188"/>
      <c r="C27" s="269"/>
      <c r="D27" s="34" t="s">
        <v>74</v>
      </c>
      <c r="E27" s="35">
        <f>C25/10</f>
        <v>1.7179917665187077</v>
      </c>
      <c r="F27" s="35">
        <f t="shared" si="2"/>
        <v>6.0022900303328557</v>
      </c>
      <c r="G27" s="34" t="s">
        <v>75</v>
      </c>
      <c r="H27" s="46">
        <v>0.9</v>
      </c>
      <c r="I27" s="45" t="s">
        <v>50</v>
      </c>
      <c r="J27" s="39" t="s">
        <v>76</v>
      </c>
      <c r="K27" s="40">
        <v>90</v>
      </c>
      <c r="L27" s="40">
        <v>80</v>
      </c>
      <c r="M27" s="40">
        <v>70</v>
      </c>
      <c r="N27" s="40">
        <v>50</v>
      </c>
      <c r="O27" s="40" t="s">
        <v>71</v>
      </c>
      <c r="P27" s="41"/>
      <c r="Q27" s="42">
        <f t="shared" si="3"/>
        <v>0</v>
      </c>
      <c r="R27" s="43">
        <f t="shared" si="4"/>
        <v>0</v>
      </c>
    </row>
    <row r="28" spans="1:18" s="44" customFormat="1" ht="147" customHeight="1" x14ac:dyDescent="0.25">
      <c r="A28" s="267"/>
      <c r="B28" s="188"/>
      <c r="C28" s="269"/>
      <c r="D28" s="34" t="s">
        <v>77</v>
      </c>
      <c r="E28" s="35">
        <f>C25/10</f>
        <v>1.7179917665187077</v>
      </c>
      <c r="F28" s="35">
        <f t="shared" si="2"/>
        <v>6.0022900303328557</v>
      </c>
      <c r="G28" s="34" t="s">
        <v>78</v>
      </c>
      <c r="H28" s="45">
        <v>80</v>
      </c>
      <c r="I28" s="45" t="s">
        <v>50</v>
      </c>
      <c r="J28" s="39" t="s">
        <v>70</v>
      </c>
      <c r="K28" s="40">
        <v>80</v>
      </c>
      <c r="L28" s="40">
        <v>75</v>
      </c>
      <c r="M28" s="40">
        <v>70</v>
      </c>
      <c r="N28" s="40">
        <v>50</v>
      </c>
      <c r="O28" s="40" t="s">
        <v>71</v>
      </c>
      <c r="P28" s="41"/>
      <c r="Q28" s="42">
        <f t="shared" si="3"/>
        <v>0</v>
      </c>
      <c r="R28" s="43">
        <f t="shared" si="4"/>
        <v>0</v>
      </c>
    </row>
    <row r="29" spans="1:18" s="44" customFormat="1" ht="147" customHeight="1" x14ac:dyDescent="0.25">
      <c r="A29" s="267"/>
      <c r="B29" s="188"/>
      <c r="C29" s="269"/>
      <c r="D29" s="34" t="s">
        <v>79</v>
      </c>
      <c r="E29" s="35">
        <f>C25/10</f>
        <v>1.7179917665187077</v>
      </c>
      <c r="F29" s="35">
        <f t="shared" si="2"/>
        <v>6.0022900303328557</v>
      </c>
      <c r="G29" s="34" t="s">
        <v>80</v>
      </c>
      <c r="H29" s="46">
        <v>0.9</v>
      </c>
      <c r="I29" s="45" t="s">
        <v>50</v>
      </c>
      <c r="J29" s="39" t="s">
        <v>76</v>
      </c>
      <c r="K29" s="40">
        <v>90</v>
      </c>
      <c r="L29" s="40">
        <v>80</v>
      </c>
      <c r="M29" s="40">
        <v>70</v>
      </c>
      <c r="N29" s="40">
        <v>50</v>
      </c>
      <c r="O29" s="40" t="s">
        <v>71</v>
      </c>
      <c r="P29" s="41"/>
      <c r="Q29" s="42">
        <f t="shared" si="3"/>
        <v>0</v>
      </c>
      <c r="R29" s="43">
        <f t="shared" si="4"/>
        <v>0</v>
      </c>
    </row>
    <row r="30" spans="1:18" s="44" customFormat="1" ht="147" customHeight="1" x14ac:dyDescent="0.25">
      <c r="A30" s="267"/>
      <c r="B30" s="188"/>
      <c r="C30" s="269"/>
      <c r="D30" s="34" t="s">
        <v>81</v>
      </c>
      <c r="E30" s="35">
        <f>C25/10</f>
        <v>1.7179917665187077</v>
      </c>
      <c r="F30" s="35">
        <f t="shared" si="2"/>
        <v>6.0022900303328557</v>
      </c>
      <c r="G30" s="34" t="s">
        <v>82</v>
      </c>
      <c r="H30" s="46">
        <v>0.8</v>
      </c>
      <c r="I30" s="45" t="s">
        <v>50</v>
      </c>
      <c r="J30" s="39" t="s">
        <v>70</v>
      </c>
      <c r="K30" s="40">
        <v>80</v>
      </c>
      <c r="L30" s="40">
        <v>75</v>
      </c>
      <c r="M30" s="40">
        <v>70</v>
      </c>
      <c r="N30" s="40">
        <v>50</v>
      </c>
      <c r="O30" s="40" t="s">
        <v>71</v>
      </c>
      <c r="P30" s="41"/>
      <c r="Q30" s="42">
        <f t="shared" si="3"/>
        <v>0</v>
      </c>
      <c r="R30" s="43">
        <f t="shared" si="4"/>
        <v>0</v>
      </c>
    </row>
    <row r="31" spans="1:18" s="44" customFormat="1" ht="147" customHeight="1" x14ac:dyDescent="0.25">
      <c r="A31" s="267"/>
      <c r="B31" s="188"/>
      <c r="C31" s="269"/>
      <c r="D31" s="34" t="s">
        <v>83</v>
      </c>
      <c r="E31" s="35">
        <f>C25/10</f>
        <v>1.7179917665187077</v>
      </c>
      <c r="F31" s="35">
        <f t="shared" si="2"/>
        <v>6.0022900303328557</v>
      </c>
      <c r="G31" s="34" t="s">
        <v>84</v>
      </c>
      <c r="H31" s="46">
        <v>0.9</v>
      </c>
      <c r="I31" s="45" t="s">
        <v>50</v>
      </c>
      <c r="J31" s="39" t="s">
        <v>76</v>
      </c>
      <c r="K31" s="40">
        <v>90</v>
      </c>
      <c r="L31" s="40">
        <v>80</v>
      </c>
      <c r="M31" s="40">
        <v>70</v>
      </c>
      <c r="N31" s="40">
        <v>50</v>
      </c>
      <c r="O31" s="40" t="s">
        <v>71</v>
      </c>
      <c r="P31" s="41"/>
      <c r="Q31" s="42">
        <f t="shared" si="3"/>
        <v>0</v>
      </c>
      <c r="R31" s="43">
        <f t="shared" si="4"/>
        <v>0</v>
      </c>
    </row>
    <row r="32" spans="1:18" s="44" customFormat="1" ht="147" customHeight="1" x14ac:dyDescent="0.25">
      <c r="A32" s="267"/>
      <c r="B32" s="188"/>
      <c r="C32" s="269"/>
      <c r="D32" s="34" t="s">
        <v>85</v>
      </c>
      <c r="E32" s="35">
        <f>C25/10</f>
        <v>1.7179917665187077</v>
      </c>
      <c r="F32" s="35">
        <f t="shared" si="2"/>
        <v>6.0022900303328557</v>
      </c>
      <c r="G32" s="34" t="s">
        <v>86</v>
      </c>
      <c r="H32" s="46">
        <v>0.8</v>
      </c>
      <c r="I32" s="45" t="s">
        <v>50</v>
      </c>
      <c r="J32" s="39" t="s">
        <v>70</v>
      </c>
      <c r="K32" s="40">
        <v>80</v>
      </c>
      <c r="L32" s="40">
        <v>75</v>
      </c>
      <c r="M32" s="40">
        <v>70</v>
      </c>
      <c r="N32" s="40">
        <v>50</v>
      </c>
      <c r="O32" s="40" t="s">
        <v>71</v>
      </c>
      <c r="P32" s="41"/>
      <c r="Q32" s="42">
        <f t="shared" si="3"/>
        <v>0</v>
      </c>
      <c r="R32" s="43">
        <f t="shared" si="4"/>
        <v>0</v>
      </c>
    </row>
    <row r="33" spans="1:18" s="44" customFormat="1" ht="147" customHeight="1" x14ac:dyDescent="0.25">
      <c r="A33" s="267"/>
      <c r="B33" s="188"/>
      <c r="C33" s="269"/>
      <c r="D33" s="34" t="s">
        <v>87</v>
      </c>
      <c r="E33" s="35">
        <f>C25/10</f>
        <v>1.7179917665187077</v>
      </c>
      <c r="F33" s="35">
        <f t="shared" si="2"/>
        <v>6.0022900303328557</v>
      </c>
      <c r="G33" s="34" t="s">
        <v>88</v>
      </c>
      <c r="H33" s="46">
        <v>0.8</v>
      </c>
      <c r="I33" s="45" t="s">
        <v>50</v>
      </c>
      <c r="J33" s="39" t="s">
        <v>70</v>
      </c>
      <c r="K33" s="40">
        <v>80</v>
      </c>
      <c r="L33" s="40">
        <v>75</v>
      </c>
      <c r="M33" s="40">
        <v>70</v>
      </c>
      <c r="N33" s="40">
        <v>50</v>
      </c>
      <c r="O33" s="40" t="s">
        <v>71</v>
      </c>
      <c r="P33" s="41"/>
      <c r="Q33" s="42">
        <f t="shared" si="3"/>
        <v>0</v>
      </c>
      <c r="R33" s="43">
        <f t="shared" si="4"/>
        <v>0</v>
      </c>
    </row>
    <row r="34" spans="1:18" s="44" customFormat="1" ht="147" customHeight="1" x14ac:dyDescent="0.25">
      <c r="A34" s="191"/>
      <c r="B34" s="189"/>
      <c r="C34" s="270"/>
      <c r="D34" s="34" t="s">
        <v>89</v>
      </c>
      <c r="E34" s="35">
        <f>C25/10</f>
        <v>1.7179917665187077</v>
      </c>
      <c r="F34" s="35">
        <f t="shared" si="2"/>
        <v>6.0022900303328557</v>
      </c>
      <c r="G34" s="34" t="s">
        <v>90</v>
      </c>
      <c r="H34" s="46">
        <v>0.9</v>
      </c>
      <c r="I34" s="45" t="s">
        <v>50</v>
      </c>
      <c r="J34" s="39" t="s">
        <v>76</v>
      </c>
      <c r="K34" s="40">
        <v>90</v>
      </c>
      <c r="L34" s="40">
        <v>80</v>
      </c>
      <c r="M34" s="40">
        <v>70</v>
      </c>
      <c r="N34" s="40">
        <v>50</v>
      </c>
      <c r="O34" s="40" t="s">
        <v>71</v>
      </c>
      <c r="P34" s="41"/>
      <c r="Q34" s="42">
        <f t="shared" si="3"/>
        <v>0</v>
      </c>
      <c r="R34" s="43">
        <f t="shared" si="4"/>
        <v>0</v>
      </c>
    </row>
    <row r="35" spans="1:18" s="44" customFormat="1" ht="147" customHeight="1" x14ac:dyDescent="0.25">
      <c r="A35" s="190">
        <v>3</v>
      </c>
      <c r="B35" s="187" t="s">
        <v>91</v>
      </c>
      <c r="C35" s="268">
        <v>9.6593914583381224</v>
      </c>
      <c r="D35" s="187" t="s">
        <v>92</v>
      </c>
      <c r="E35" s="35">
        <f>C35/8</f>
        <v>1.2074239322922653</v>
      </c>
      <c r="F35" s="35">
        <f t="shared" si="2"/>
        <v>4.2184769289487969</v>
      </c>
      <c r="G35" s="34" t="s">
        <v>93</v>
      </c>
      <c r="H35" s="46">
        <v>1</v>
      </c>
      <c r="I35" s="38" t="s">
        <v>50</v>
      </c>
      <c r="J35" s="39">
        <v>100</v>
      </c>
      <c r="K35" s="40">
        <v>95</v>
      </c>
      <c r="L35" s="40">
        <v>90</v>
      </c>
      <c r="M35" s="40">
        <v>85</v>
      </c>
      <c r="N35" s="40">
        <v>80</v>
      </c>
      <c r="O35" s="40" t="s">
        <v>51</v>
      </c>
      <c r="P35" s="41"/>
      <c r="Q35" s="42">
        <f t="shared" si="3"/>
        <v>0</v>
      </c>
      <c r="R35" s="43">
        <f t="shared" si="4"/>
        <v>0</v>
      </c>
    </row>
    <row r="36" spans="1:18" s="44" customFormat="1" ht="147" customHeight="1" x14ac:dyDescent="0.25">
      <c r="A36" s="267"/>
      <c r="B36" s="188"/>
      <c r="C36" s="269"/>
      <c r="D36" s="188"/>
      <c r="E36" s="35">
        <f>C35/8</f>
        <v>1.2074239322922653</v>
      </c>
      <c r="F36" s="35">
        <f t="shared" si="2"/>
        <v>4.2184769289487969</v>
      </c>
      <c r="G36" s="34" t="s">
        <v>94</v>
      </c>
      <c r="H36" s="46">
        <v>1</v>
      </c>
      <c r="I36" s="38" t="s">
        <v>50</v>
      </c>
      <c r="J36" s="39">
        <v>100</v>
      </c>
      <c r="K36" s="40">
        <v>95</v>
      </c>
      <c r="L36" s="40">
        <v>90</v>
      </c>
      <c r="M36" s="40">
        <v>85</v>
      </c>
      <c r="N36" s="40">
        <v>80</v>
      </c>
      <c r="O36" s="40" t="s">
        <v>51</v>
      </c>
      <c r="P36" s="41"/>
      <c r="Q36" s="42">
        <f t="shared" si="3"/>
        <v>0</v>
      </c>
      <c r="R36" s="43">
        <f t="shared" si="4"/>
        <v>0</v>
      </c>
    </row>
    <row r="37" spans="1:18" s="44" customFormat="1" ht="147" customHeight="1" x14ac:dyDescent="0.25">
      <c r="A37" s="267"/>
      <c r="B37" s="188"/>
      <c r="C37" s="269"/>
      <c r="D37" s="188"/>
      <c r="E37" s="35">
        <f>C35/8</f>
        <v>1.2074239322922653</v>
      </c>
      <c r="F37" s="35">
        <f t="shared" si="2"/>
        <v>4.2184769289487969</v>
      </c>
      <c r="G37" s="34" t="s">
        <v>95</v>
      </c>
      <c r="H37" s="46">
        <v>0.9</v>
      </c>
      <c r="I37" s="45" t="s">
        <v>50</v>
      </c>
      <c r="J37" s="39" t="s">
        <v>76</v>
      </c>
      <c r="K37" s="40">
        <v>90</v>
      </c>
      <c r="L37" s="40">
        <v>80</v>
      </c>
      <c r="M37" s="40">
        <v>70</v>
      </c>
      <c r="N37" s="40">
        <v>50</v>
      </c>
      <c r="O37" s="40" t="s">
        <v>71</v>
      </c>
      <c r="P37" s="41"/>
      <c r="Q37" s="42">
        <f t="shared" si="3"/>
        <v>0</v>
      </c>
      <c r="R37" s="43">
        <f t="shared" si="4"/>
        <v>0</v>
      </c>
    </row>
    <row r="38" spans="1:18" s="44" customFormat="1" ht="147" customHeight="1" x14ac:dyDescent="0.25">
      <c r="A38" s="267"/>
      <c r="B38" s="188"/>
      <c r="C38" s="269"/>
      <c r="D38" s="188"/>
      <c r="E38" s="35">
        <f>C35/8</f>
        <v>1.2074239322922653</v>
      </c>
      <c r="F38" s="35">
        <f t="shared" si="2"/>
        <v>4.2184769289487969</v>
      </c>
      <c r="G38" s="34" t="s">
        <v>96</v>
      </c>
      <c r="H38" s="46">
        <v>0.9</v>
      </c>
      <c r="I38" s="45" t="s">
        <v>50</v>
      </c>
      <c r="J38" s="39" t="s">
        <v>76</v>
      </c>
      <c r="K38" s="40">
        <v>90</v>
      </c>
      <c r="L38" s="40">
        <v>80</v>
      </c>
      <c r="M38" s="40">
        <v>70</v>
      </c>
      <c r="N38" s="40">
        <v>50</v>
      </c>
      <c r="O38" s="40" t="s">
        <v>71</v>
      </c>
      <c r="P38" s="41"/>
      <c r="Q38" s="42">
        <f t="shared" si="3"/>
        <v>0</v>
      </c>
      <c r="R38" s="43">
        <f t="shared" si="4"/>
        <v>0</v>
      </c>
    </row>
    <row r="39" spans="1:18" s="44" customFormat="1" ht="147" customHeight="1" x14ac:dyDescent="0.25">
      <c r="A39" s="267"/>
      <c r="B39" s="188"/>
      <c r="C39" s="269"/>
      <c r="D39" s="188"/>
      <c r="E39" s="35">
        <f>C35/8</f>
        <v>1.2074239322922653</v>
      </c>
      <c r="F39" s="35">
        <f t="shared" si="2"/>
        <v>4.2184769289487969</v>
      </c>
      <c r="G39" s="34" t="s">
        <v>97</v>
      </c>
      <c r="H39" s="46">
        <v>0.8</v>
      </c>
      <c r="I39" s="45" t="s">
        <v>50</v>
      </c>
      <c r="J39" s="39" t="s">
        <v>70</v>
      </c>
      <c r="K39" s="40">
        <v>80</v>
      </c>
      <c r="L39" s="40">
        <v>75</v>
      </c>
      <c r="M39" s="40">
        <v>70</v>
      </c>
      <c r="N39" s="40">
        <v>50</v>
      </c>
      <c r="O39" s="40" t="s">
        <v>71</v>
      </c>
      <c r="P39" s="41"/>
      <c r="Q39" s="42">
        <f t="shared" si="3"/>
        <v>0</v>
      </c>
      <c r="R39" s="43">
        <f t="shared" si="4"/>
        <v>0</v>
      </c>
    </row>
    <row r="40" spans="1:18" s="44" customFormat="1" ht="147" customHeight="1" x14ac:dyDescent="0.25">
      <c r="A40" s="267"/>
      <c r="B40" s="188"/>
      <c r="C40" s="269"/>
      <c r="D40" s="188"/>
      <c r="E40" s="35">
        <f>C35/8</f>
        <v>1.2074239322922653</v>
      </c>
      <c r="F40" s="35">
        <f t="shared" si="2"/>
        <v>4.2184769289487969</v>
      </c>
      <c r="G40" s="34" t="s">
        <v>98</v>
      </c>
      <c r="H40" s="46">
        <v>1</v>
      </c>
      <c r="I40" s="38" t="s">
        <v>50</v>
      </c>
      <c r="J40" s="39">
        <v>100</v>
      </c>
      <c r="K40" s="40">
        <v>95</v>
      </c>
      <c r="L40" s="40">
        <v>90</v>
      </c>
      <c r="M40" s="40">
        <v>85</v>
      </c>
      <c r="N40" s="40">
        <v>80</v>
      </c>
      <c r="O40" s="40" t="s">
        <v>51</v>
      </c>
      <c r="P40" s="41"/>
      <c r="Q40" s="42">
        <f t="shared" si="3"/>
        <v>0</v>
      </c>
      <c r="R40" s="43">
        <f t="shared" si="4"/>
        <v>0</v>
      </c>
    </row>
    <row r="41" spans="1:18" s="44" customFormat="1" ht="147" customHeight="1" x14ac:dyDescent="0.25">
      <c r="A41" s="267"/>
      <c r="B41" s="188"/>
      <c r="C41" s="269"/>
      <c r="D41" s="188"/>
      <c r="E41" s="35">
        <f>C35/8</f>
        <v>1.2074239322922653</v>
      </c>
      <c r="F41" s="35">
        <f t="shared" si="2"/>
        <v>4.2184769289487969</v>
      </c>
      <c r="G41" s="34" t="s">
        <v>99</v>
      </c>
      <c r="H41" s="46">
        <v>1</v>
      </c>
      <c r="I41" s="38" t="s">
        <v>50</v>
      </c>
      <c r="J41" s="39">
        <v>100</v>
      </c>
      <c r="K41" s="40">
        <v>95</v>
      </c>
      <c r="L41" s="40">
        <v>90</v>
      </c>
      <c r="M41" s="40">
        <v>85</v>
      </c>
      <c r="N41" s="40">
        <v>80</v>
      </c>
      <c r="O41" s="40" t="s">
        <v>51</v>
      </c>
      <c r="P41" s="41"/>
      <c r="Q41" s="42">
        <f t="shared" si="3"/>
        <v>0</v>
      </c>
      <c r="R41" s="43">
        <f t="shared" si="4"/>
        <v>0</v>
      </c>
    </row>
    <row r="42" spans="1:18" s="44" customFormat="1" ht="147" customHeight="1" x14ac:dyDescent="0.25">
      <c r="A42" s="191"/>
      <c r="B42" s="189"/>
      <c r="C42" s="270"/>
      <c r="D42" s="189"/>
      <c r="E42" s="35">
        <f>C35/8</f>
        <v>1.2074239322922653</v>
      </c>
      <c r="F42" s="35">
        <f t="shared" si="2"/>
        <v>4.2184769289487969</v>
      </c>
      <c r="G42" s="34" t="s">
        <v>100</v>
      </c>
      <c r="H42" s="46">
        <v>1</v>
      </c>
      <c r="I42" s="38" t="s">
        <v>50</v>
      </c>
      <c r="J42" s="39">
        <v>100</v>
      </c>
      <c r="K42" s="40">
        <v>95</v>
      </c>
      <c r="L42" s="40">
        <v>90</v>
      </c>
      <c r="M42" s="40">
        <v>85</v>
      </c>
      <c r="N42" s="40">
        <v>80</v>
      </c>
      <c r="O42" s="40" t="s">
        <v>51</v>
      </c>
      <c r="P42" s="41"/>
      <c r="Q42" s="42">
        <f t="shared" si="3"/>
        <v>0</v>
      </c>
      <c r="R42" s="43">
        <f t="shared" si="4"/>
        <v>0</v>
      </c>
    </row>
    <row r="43" spans="1:18" s="44" customFormat="1" ht="147" customHeight="1" x14ac:dyDescent="0.25">
      <c r="A43" s="33">
        <v>5</v>
      </c>
      <c r="B43" s="34" t="s">
        <v>101</v>
      </c>
      <c r="C43" s="47">
        <f>0.25 *1.20742393229227</f>
        <v>0.30185598307306749</v>
      </c>
      <c r="D43" s="34" t="s">
        <v>102</v>
      </c>
      <c r="E43" s="35">
        <f>C43</f>
        <v>0.30185598307306749</v>
      </c>
      <c r="F43" s="35">
        <f t="shared" si="2"/>
        <v>1.0546192322372032</v>
      </c>
      <c r="G43" s="36" t="s">
        <v>103</v>
      </c>
      <c r="H43" s="45">
        <v>5</v>
      </c>
      <c r="I43" s="38" t="s">
        <v>58</v>
      </c>
      <c r="J43" s="39" t="s">
        <v>59</v>
      </c>
      <c r="K43" s="40">
        <v>5</v>
      </c>
      <c r="L43" s="40">
        <v>4</v>
      </c>
      <c r="M43" s="40">
        <v>3</v>
      </c>
      <c r="N43" s="40">
        <v>2</v>
      </c>
      <c r="O43" s="40">
        <v>1</v>
      </c>
      <c r="P43" s="41"/>
      <c r="Q43" s="42">
        <f t="shared" si="3"/>
        <v>0</v>
      </c>
      <c r="R43" s="43">
        <f t="shared" si="4"/>
        <v>0</v>
      </c>
    </row>
    <row r="44" spans="1:18" s="44" customFormat="1" ht="147" customHeight="1" x14ac:dyDescent="0.25">
      <c r="A44" s="190">
        <v>7</v>
      </c>
      <c r="B44" s="187" t="s">
        <v>104</v>
      </c>
      <c r="C44" s="192">
        <f>0.25 *2.41484786458453</f>
        <v>0.60371196614613254</v>
      </c>
      <c r="D44" s="34" t="s">
        <v>105</v>
      </c>
      <c r="E44" s="35">
        <f>C44/2</f>
        <v>0.30185598307306627</v>
      </c>
      <c r="F44" s="35">
        <f t="shared" si="2"/>
        <v>1.0546192322371992</v>
      </c>
      <c r="G44" s="36" t="s">
        <v>106</v>
      </c>
      <c r="H44" s="45">
        <v>5</v>
      </c>
      <c r="I44" s="45" t="s">
        <v>58</v>
      </c>
      <c r="J44" s="39" t="s">
        <v>59</v>
      </c>
      <c r="K44" s="40">
        <v>5</v>
      </c>
      <c r="L44" s="40">
        <v>4</v>
      </c>
      <c r="M44" s="40">
        <v>3</v>
      </c>
      <c r="N44" s="40">
        <v>2</v>
      </c>
      <c r="O44" s="40">
        <v>1</v>
      </c>
      <c r="P44" s="41"/>
      <c r="Q44" s="42">
        <f t="shared" si="3"/>
        <v>0</v>
      </c>
      <c r="R44" s="43">
        <f t="shared" si="4"/>
        <v>0</v>
      </c>
    </row>
    <row r="45" spans="1:18" s="44" customFormat="1" ht="147" customHeight="1" x14ac:dyDescent="0.25">
      <c r="A45" s="191"/>
      <c r="B45" s="189"/>
      <c r="C45" s="193"/>
      <c r="D45" s="34" t="s">
        <v>107</v>
      </c>
      <c r="E45" s="35">
        <f>C44/2</f>
        <v>0.30185598307306627</v>
      </c>
      <c r="F45" s="35">
        <f t="shared" si="2"/>
        <v>1.0546192322371992</v>
      </c>
      <c r="G45" s="36" t="s">
        <v>108</v>
      </c>
      <c r="H45" s="46">
        <v>0.8</v>
      </c>
      <c r="I45" s="45" t="s">
        <v>50</v>
      </c>
      <c r="J45" s="39" t="s">
        <v>70</v>
      </c>
      <c r="K45" s="40">
        <v>80</v>
      </c>
      <c r="L45" s="40">
        <v>75</v>
      </c>
      <c r="M45" s="40">
        <v>70</v>
      </c>
      <c r="N45" s="40">
        <v>50</v>
      </c>
      <c r="O45" s="40" t="s">
        <v>71</v>
      </c>
      <c r="P45" s="41"/>
      <c r="Q45" s="42">
        <f t="shared" si="3"/>
        <v>0</v>
      </c>
      <c r="R45" s="43">
        <f t="shared" si="4"/>
        <v>0</v>
      </c>
    </row>
    <row r="46" spans="1:18" s="44" customFormat="1" ht="147" customHeight="1" x14ac:dyDescent="0.25">
      <c r="A46" s="190">
        <v>8</v>
      </c>
      <c r="B46" s="187" t="s">
        <v>109</v>
      </c>
      <c r="C46" s="192">
        <f>0.25 *0.804949288194844</f>
        <v>0.201237322048711</v>
      </c>
      <c r="D46" s="34" t="s">
        <v>110</v>
      </c>
      <c r="E46" s="35">
        <f>C46/2</f>
        <v>0.1006186610243555</v>
      </c>
      <c r="F46" s="35">
        <f t="shared" si="2"/>
        <v>0.35153974407906663</v>
      </c>
      <c r="G46" s="36" t="s">
        <v>111</v>
      </c>
      <c r="H46" s="45">
        <v>5</v>
      </c>
      <c r="I46" s="45" t="s">
        <v>58</v>
      </c>
      <c r="J46" s="39" t="s">
        <v>59</v>
      </c>
      <c r="K46" s="40">
        <v>5</v>
      </c>
      <c r="L46" s="40">
        <v>4</v>
      </c>
      <c r="M46" s="40">
        <v>3</v>
      </c>
      <c r="N46" s="40">
        <v>2</v>
      </c>
      <c r="O46" s="40">
        <v>1</v>
      </c>
      <c r="P46" s="41"/>
      <c r="Q46" s="42">
        <f t="shared" si="3"/>
        <v>0</v>
      </c>
      <c r="R46" s="43">
        <f t="shared" si="4"/>
        <v>0</v>
      </c>
    </row>
    <row r="47" spans="1:18" s="44" customFormat="1" ht="147" customHeight="1" x14ac:dyDescent="0.25">
      <c r="A47" s="191"/>
      <c r="B47" s="189"/>
      <c r="C47" s="193"/>
      <c r="D47" s="34" t="s">
        <v>112</v>
      </c>
      <c r="E47" s="35">
        <f>C46/2</f>
        <v>0.1006186610243555</v>
      </c>
      <c r="F47" s="35">
        <f t="shared" si="2"/>
        <v>0.35153974407906663</v>
      </c>
      <c r="G47" s="36" t="s">
        <v>113</v>
      </c>
      <c r="H47" s="46">
        <v>0.8</v>
      </c>
      <c r="I47" s="45" t="s">
        <v>50</v>
      </c>
      <c r="J47" s="39" t="s">
        <v>70</v>
      </c>
      <c r="K47" s="40">
        <v>80</v>
      </c>
      <c r="L47" s="40">
        <v>75</v>
      </c>
      <c r="M47" s="40">
        <v>70</v>
      </c>
      <c r="N47" s="40">
        <v>50</v>
      </c>
      <c r="O47" s="40" t="s">
        <v>71</v>
      </c>
      <c r="P47" s="41"/>
      <c r="Q47" s="42">
        <f t="shared" si="3"/>
        <v>0</v>
      </c>
      <c r="R47" s="43">
        <f t="shared" si="4"/>
        <v>0</v>
      </c>
    </row>
    <row r="48" spans="1:18" s="44" customFormat="1" ht="147" customHeight="1" x14ac:dyDescent="0.25">
      <c r="A48" s="33">
        <v>10</v>
      </c>
      <c r="B48" s="34" t="s">
        <v>114</v>
      </c>
      <c r="C48" s="47">
        <f>0.25 *0.321979715277938</f>
        <v>8.0494928819484501E-2</v>
      </c>
      <c r="D48" s="115" t="s">
        <v>115</v>
      </c>
      <c r="E48" s="35">
        <f>C48</f>
        <v>8.0494928819484501E-2</v>
      </c>
      <c r="F48" s="35">
        <f t="shared" si="2"/>
        <v>0.28123179526325365</v>
      </c>
      <c r="G48" s="36" t="s">
        <v>116</v>
      </c>
      <c r="H48" s="37">
        <v>0.7</v>
      </c>
      <c r="I48" s="45" t="s">
        <v>50</v>
      </c>
      <c r="J48" s="39" t="s">
        <v>117</v>
      </c>
      <c r="K48" s="40">
        <v>70</v>
      </c>
      <c r="L48" s="40">
        <v>60</v>
      </c>
      <c r="M48" s="40">
        <v>50</v>
      </c>
      <c r="N48" s="40">
        <v>40</v>
      </c>
      <c r="O48" s="40" t="s">
        <v>118</v>
      </c>
      <c r="P48" s="41"/>
      <c r="Q48" s="42">
        <f t="shared" si="3"/>
        <v>0</v>
      </c>
      <c r="R48" s="43">
        <f t="shared" si="4"/>
        <v>0</v>
      </c>
    </row>
    <row r="49" spans="1:18" s="44" customFormat="1" ht="147" customHeight="1" x14ac:dyDescent="0.25">
      <c r="A49" s="33"/>
      <c r="B49" s="34" t="s">
        <v>119</v>
      </c>
      <c r="C49" s="47">
        <f>0.25 *0.321979715277938</f>
        <v>8.0494928819484501E-2</v>
      </c>
      <c r="D49" s="36" t="s">
        <v>120</v>
      </c>
      <c r="E49" s="35">
        <f>C49</f>
        <v>8.0494928819484501E-2</v>
      </c>
      <c r="F49" s="35">
        <f t="shared" si="2"/>
        <v>0.28123179526325365</v>
      </c>
      <c r="G49" s="36" t="s">
        <v>121</v>
      </c>
      <c r="H49" s="37">
        <v>0.5</v>
      </c>
      <c r="I49" s="38" t="s">
        <v>50</v>
      </c>
      <c r="J49" s="39" t="s">
        <v>65</v>
      </c>
      <c r="K49" s="40">
        <v>50</v>
      </c>
      <c r="L49" s="40">
        <v>45</v>
      </c>
      <c r="M49" s="40">
        <v>40</v>
      </c>
      <c r="N49" s="40">
        <v>25</v>
      </c>
      <c r="O49" s="40" t="s">
        <v>66</v>
      </c>
      <c r="P49" s="41"/>
      <c r="Q49" s="42">
        <f t="shared" si="3"/>
        <v>0</v>
      </c>
      <c r="R49" s="43">
        <f t="shared" si="4"/>
        <v>0</v>
      </c>
    </row>
    <row r="50" spans="1:18" s="58" customFormat="1" ht="44.25" x14ac:dyDescent="0.25">
      <c r="A50" s="48"/>
      <c r="B50" s="49" t="s">
        <v>122</v>
      </c>
      <c r="C50" s="50">
        <f>SUM(C19:C49)</f>
        <v>28.622271796876777</v>
      </c>
      <c r="D50" s="49"/>
      <c r="E50" s="50">
        <f>SUM(E19:E49)</f>
        <v>28.622271796876781</v>
      </c>
      <c r="F50" s="50">
        <f>SUM(F19:F49)</f>
        <v>100.00000000000004</v>
      </c>
      <c r="G50" s="51"/>
      <c r="H50" s="52"/>
      <c r="I50" s="53"/>
      <c r="J50" s="54"/>
      <c r="K50" s="54"/>
      <c r="L50" s="54"/>
      <c r="M50" s="54"/>
      <c r="N50" s="54"/>
      <c r="O50" s="54"/>
      <c r="P50" s="55"/>
      <c r="Q50" s="56"/>
      <c r="R50" s="57">
        <f>SUM(R19:R49)</f>
        <v>0</v>
      </c>
    </row>
    <row r="51" spans="1:18" s="60" customFormat="1" ht="66" customHeight="1" x14ac:dyDescent="0.7">
      <c r="A51" s="59"/>
      <c r="G51" s="61"/>
      <c r="H51" s="61"/>
      <c r="I51" s="177" t="s">
        <v>172</v>
      </c>
      <c r="J51" s="178"/>
      <c r="K51" s="178"/>
      <c r="L51" s="178"/>
      <c r="M51" s="178"/>
      <c r="N51" s="178"/>
      <c r="O51" s="178"/>
      <c r="P51" s="178"/>
      <c r="Q51" s="179"/>
      <c r="R51" s="62">
        <f>R50/100 * 70</f>
        <v>0</v>
      </c>
    </row>
    <row r="52" spans="1:18" s="67" customFormat="1" ht="36" x14ac:dyDescent="0.55000000000000004">
      <c r="A52" s="180" t="s">
        <v>123</v>
      </c>
      <c r="B52" s="181"/>
      <c r="C52" s="181"/>
      <c r="D52" s="181"/>
      <c r="E52" s="181"/>
      <c r="F52" s="181"/>
      <c r="G52" s="182"/>
      <c r="H52" s="183"/>
      <c r="I52" s="183"/>
      <c r="J52" s="183"/>
      <c r="K52" s="183"/>
      <c r="L52" s="184" t="s">
        <v>128</v>
      </c>
      <c r="M52" s="63" t="s">
        <v>124</v>
      </c>
      <c r="N52" s="63"/>
      <c r="O52" s="63"/>
      <c r="P52" s="64"/>
      <c r="Q52" s="65"/>
      <c r="R52" s="66"/>
    </row>
    <row r="53" spans="1:18" s="67" customFormat="1" ht="31.5" customHeight="1" x14ac:dyDescent="0.55000000000000004">
      <c r="A53" s="68"/>
      <c r="B53" s="69"/>
      <c r="C53" s="186" t="s">
        <v>125</v>
      </c>
      <c r="D53" s="186"/>
      <c r="E53" s="186"/>
      <c r="F53" s="186"/>
      <c r="G53" s="186"/>
      <c r="H53" s="70" t="s">
        <v>173</v>
      </c>
      <c r="I53" s="70" t="s">
        <v>174</v>
      </c>
      <c r="J53" s="70"/>
      <c r="K53" s="71"/>
      <c r="L53" s="185"/>
      <c r="M53" s="72"/>
      <c r="N53" s="72"/>
      <c r="O53" s="72"/>
      <c r="P53" s="73"/>
      <c r="Q53" s="65"/>
      <c r="R53" s="66"/>
    </row>
    <row r="54" spans="1:18" s="67" customFormat="1" ht="36" customHeight="1" x14ac:dyDescent="0.55000000000000004">
      <c r="A54" s="74">
        <v>1</v>
      </c>
      <c r="B54" s="75" t="s">
        <v>129</v>
      </c>
      <c r="C54" s="210"/>
      <c r="D54" s="211"/>
      <c r="E54" s="211"/>
      <c r="F54" s="211"/>
      <c r="G54" s="212"/>
      <c r="H54" s="76"/>
      <c r="I54" s="76"/>
      <c r="J54" s="76"/>
      <c r="K54" s="76"/>
      <c r="L54" s="77"/>
      <c r="M54" s="78" t="s">
        <v>41</v>
      </c>
      <c r="N54" s="202" t="s">
        <v>130</v>
      </c>
      <c r="O54" s="203"/>
      <c r="P54" s="73"/>
      <c r="Q54" s="65"/>
      <c r="R54" s="66"/>
    </row>
    <row r="55" spans="1:18" s="67" customFormat="1" ht="84.75" customHeight="1" x14ac:dyDescent="0.55000000000000004">
      <c r="A55" s="81" t="s">
        <v>131</v>
      </c>
      <c r="B55" s="82" t="s">
        <v>175</v>
      </c>
      <c r="C55" s="199"/>
      <c r="D55" s="200"/>
      <c r="E55" s="200"/>
      <c r="F55" s="200"/>
      <c r="G55" s="201"/>
      <c r="H55" s="83">
        <v>4</v>
      </c>
      <c r="I55" s="84"/>
      <c r="J55" s="83"/>
      <c r="K55" s="83"/>
      <c r="L55" s="77"/>
      <c r="M55" s="78" t="s">
        <v>42</v>
      </c>
      <c r="N55" s="202" t="s">
        <v>132</v>
      </c>
      <c r="O55" s="203"/>
      <c r="P55" s="73"/>
      <c r="Q55" s="65"/>
      <c r="R55" s="66"/>
    </row>
    <row r="56" spans="1:18" s="67" customFormat="1" ht="82.5" customHeight="1" x14ac:dyDescent="0.55000000000000004">
      <c r="A56" s="81" t="s">
        <v>133</v>
      </c>
      <c r="B56" s="82" t="s">
        <v>176</v>
      </c>
      <c r="C56" s="199"/>
      <c r="D56" s="200"/>
      <c r="E56" s="200"/>
      <c r="F56" s="200"/>
      <c r="G56" s="201"/>
      <c r="H56" s="83">
        <v>2</v>
      </c>
      <c r="I56" s="84"/>
      <c r="J56" s="83"/>
      <c r="K56" s="83"/>
      <c r="L56" s="77"/>
      <c r="M56" s="78" t="s">
        <v>43</v>
      </c>
      <c r="N56" s="202" t="s">
        <v>134</v>
      </c>
      <c r="O56" s="203"/>
      <c r="P56" s="73"/>
      <c r="Q56" s="65"/>
      <c r="R56" s="66"/>
    </row>
    <row r="57" spans="1:18" s="67" customFormat="1" ht="78.75" customHeight="1" x14ac:dyDescent="0.55000000000000004">
      <c r="A57" s="81" t="s">
        <v>135</v>
      </c>
      <c r="B57" s="82" t="s">
        <v>136</v>
      </c>
      <c r="C57" s="199"/>
      <c r="D57" s="200"/>
      <c r="E57" s="200"/>
      <c r="F57" s="200"/>
      <c r="G57" s="201"/>
      <c r="H57" s="83">
        <v>2</v>
      </c>
      <c r="I57" s="84"/>
      <c r="J57" s="83"/>
      <c r="K57" s="83"/>
      <c r="L57" s="77"/>
      <c r="M57" s="78" t="s">
        <v>44</v>
      </c>
      <c r="N57" s="202" t="s">
        <v>137</v>
      </c>
      <c r="O57" s="203"/>
      <c r="P57" s="73"/>
      <c r="Q57" s="65"/>
      <c r="R57" s="66"/>
    </row>
    <row r="58" spans="1:18" s="67" customFormat="1" ht="36" x14ac:dyDescent="0.55000000000000004">
      <c r="A58" s="85">
        <v>2</v>
      </c>
      <c r="B58" s="86" t="s">
        <v>138</v>
      </c>
      <c r="C58" s="204"/>
      <c r="D58" s="205"/>
      <c r="E58" s="205"/>
      <c r="F58" s="205"/>
      <c r="G58" s="206"/>
      <c r="H58" s="83"/>
      <c r="I58" s="84"/>
      <c r="J58" s="83"/>
      <c r="K58" s="83"/>
      <c r="L58" s="77"/>
      <c r="M58" s="78" t="s">
        <v>45</v>
      </c>
      <c r="N58" s="202" t="s">
        <v>139</v>
      </c>
      <c r="O58" s="203"/>
      <c r="P58" s="73"/>
      <c r="Q58" s="65"/>
      <c r="R58" s="66"/>
    </row>
    <row r="59" spans="1:18" s="67" customFormat="1" ht="82.5" customHeight="1" x14ac:dyDescent="0.55000000000000004">
      <c r="A59" s="81" t="s">
        <v>131</v>
      </c>
      <c r="B59" s="87" t="s">
        <v>177</v>
      </c>
      <c r="C59" s="207"/>
      <c r="D59" s="208"/>
      <c r="E59" s="208"/>
      <c r="F59" s="208"/>
      <c r="G59" s="209"/>
      <c r="H59" s="83">
        <v>2</v>
      </c>
      <c r="I59" s="84"/>
      <c r="J59" s="83"/>
      <c r="K59" s="83"/>
      <c r="L59" s="77"/>
      <c r="M59" s="78" t="s">
        <v>46</v>
      </c>
      <c r="N59" s="202" t="s">
        <v>140</v>
      </c>
      <c r="O59" s="203"/>
      <c r="P59" s="88"/>
      <c r="Q59" s="65"/>
      <c r="R59" s="66"/>
    </row>
    <row r="60" spans="1:18" s="67" customFormat="1" ht="114.75" customHeight="1" x14ac:dyDescent="0.55000000000000004">
      <c r="A60" s="81" t="s">
        <v>133</v>
      </c>
      <c r="B60" s="87" t="s">
        <v>178</v>
      </c>
      <c r="C60" s="207"/>
      <c r="D60" s="208"/>
      <c r="E60" s="208"/>
      <c r="F60" s="208"/>
      <c r="G60" s="209"/>
      <c r="H60" s="83">
        <v>2</v>
      </c>
      <c r="I60" s="84"/>
      <c r="J60" s="83"/>
      <c r="K60" s="83"/>
      <c r="L60" s="77"/>
      <c r="M60" s="73" t="s">
        <v>128</v>
      </c>
      <c r="N60" s="79" t="s">
        <v>141</v>
      </c>
      <c r="O60" s="80"/>
      <c r="P60" s="88"/>
      <c r="Q60" s="65"/>
      <c r="R60" s="66"/>
    </row>
    <row r="61" spans="1:18" s="67" customFormat="1" ht="72" customHeight="1" x14ac:dyDescent="0.55000000000000004">
      <c r="A61" s="81" t="s">
        <v>135</v>
      </c>
      <c r="B61" s="87" t="s">
        <v>179</v>
      </c>
      <c r="C61" s="207"/>
      <c r="D61" s="208"/>
      <c r="E61" s="208"/>
      <c r="F61" s="208"/>
      <c r="G61" s="209"/>
      <c r="H61" s="83">
        <v>2</v>
      </c>
      <c r="I61" s="84"/>
      <c r="J61" s="83"/>
      <c r="K61" s="83"/>
      <c r="L61" s="77"/>
      <c r="M61" s="73" t="s">
        <v>142</v>
      </c>
      <c r="N61" s="79" t="s">
        <v>143</v>
      </c>
      <c r="O61" s="80"/>
      <c r="P61" s="88"/>
      <c r="Q61" s="65"/>
      <c r="R61" s="66"/>
    </row>
    <row r="62" spans="1:18" s="67" customFormat="1" ht="66" customHeight="1" x14ac:dyDescent="0.55000000000000004">
      <c r="A62" s="85">
        <v>3</v>
      </c>
      <c r="B62" s="86" t="s">
        <v>144</v>
      </c>
      <c r="C62" s="204"/>
      <c r="D62" s="205"/>
      <c r="E62" s="205"/>
      <c r="F62" s="205"/>
      <c r="G62" s="206"/>
      <c r="H62" s="83"/>
      <c r="I62" s="84"/>
      <c r="J62" s="83"/>
      <c r="K62" s="83"/>
      <c r="L62" s="77"/>
      <c r="M62" s="73" t="s">
        <v>126</v>
      </c>
      <c r="N62" s="79" t="s">
        <v>145</v>
      </c>
      <c r="O62" s="80"/>
      <c r="P62" s="88"/>
      <c r="Q62" s="65"/>
      <c r="R62" s="66"/>
    </row>
    <row r="63" spans="1:18" s="67" customFormat="1" ht="72" customHeight="1" x14ac:dyDescent="0.55000000000000004">
      <c r="A63" s="81" t="s">
        <v>131</v>
      </c>
      <c r="B63" s="87" t="s">
        <v>146</v>
      </c>
      <c r="C63" s="220"/>
      <c r="D63" s="221"/>
      <c r="E63" s="221"/>
      <c r="F63" s="221"/>
      <c r="G63" s="222"/>
      <c r="H63" s="83">
        <v>2</v>
      </c>
      <c r="I63" s="84"/>
      <c r="J63" s="83"/>
      <c r="K63" s="83"/>
      <c r="L63" s="77"/>
      <c r="M63" s="73" t="s">
        <v>127</v>
      </c>
      <c r="N63" s="79" t="s">
        <v>147</v>
      </c>
      <c r="O63" s="80"/>
      <c r="P63" s="88"/>
      <c r="Q63" s="65"/>
      <c r="R63" s="66"/>
    </row>
    <row r="64" spans="1:18" s="67" customFormat="1" ht="72" customHeight="1" x14ac:dyDescent="0.55000000000000004">
      <c r="A64" s="81" t="s">
        <v>133</v>
      </c>
      <c r="B64" s="87" t="s">
        <v>180</v>
      </c>
      <c r="C64" s="220"/>
      <c r="D64" s="221"/>
      <c r="E64" s="221"/>
      <c r="F64" s="221"/>
      <c r="G64" s="222"/>
      <c r="H64" s="83">
        <v>2</v>
      </c>
      <c r="I64" s="84"/>
      <c r="J64" s="83"/>
      <c r="K64" s="83"/>
      <c r="L64" s="77"/>
      <c r="M64" s="73" t="s">
        <v>148</v>
      </c>
      <c r="N64" s="79" t="s">
        <v>149</v>
      </c>
      <c r="O64" s="80"/>
      <c r="P64" s="88"/>
      <c r="Q64" s="65"/>
      <c r="R64" s="66"/>
    </row>
    <row r="65" spans="1:18" s="67" customFormat="1" ht="44.25" customHeight="1" x14ac:dyDescent="0.55000000000000004">
      <c r="A65" s="81" t="s">
        <v>135</v>
      </c>
      <c r="B65" s="87" t="s">
        <v>181</v>
      </c>
      <c r="C65" s="220"/>
      <c r="D65" s="221"/>
      <c r="E65" s="221"/>
      <c r="F65" s="221"/>
      <c r="G65" s="222"/>
      <c r="H65" s="83">
        <v>2</v>
      </c>
      <c r="I65" s="84"/>
      <c r="J65" s="83"/>
      <c r="K65" s="83"/>
      <c r="L65" s="77"/>
      <c r="M65" s="89"/>
      <c r="N65" s="89"/>
      <c r="O65" s="89"/>
      <c r="P65" s="90"/>
      <c r="Q65" s="65"/>
      <c r="R65" s="66"/>
    </row>
    <row r="66" spans="1:18" s="67" customFormat="1" ht="31.5" customHeight="1" x14ac:dyDescent="0.55000000000000004">
      <c r="A66" s="213" t="s">
        <v>150</v>
      </c>
      <c r="B66" s="214"/>
      <c r="C66" s="214"/>
      <c r="D66" s="214"/>
      <c r="E66" s="214"/>
      <c r="F66" s="214"/>
      <c r="G66" s="214"/>
      <c r="H66" s="91">
        <f>SUM(H55:H65)</f>
        <v>20</v>
      </c>
      <c r="I66" s="91">
        <f>SUM(I55:I65)</f>
        <v>0</v>
      </c>
      <c r="J66" s="91"/>
      <c r="K66" s="92"/>
      <c r="L66" s="77"/>
      <c r="M66" s="89"/>
      <c r="N66" s="89"/>
      <c r="O66" s="89"/>
      <c r="P66" s="90"/>
      <c r="Q66" s="65"/>
      <c r="R66" s="66"/>
    </row>
    <row r="67" spans="1:18" s="67" customFormat="1" ht="36" customHeight="1" x14ac:dyDescent="0.55000000000000004">
      <c r="A67" s="93" t="s">
        <v>131</v>
      </c>
      <c r="B67" s="94" t="s">
        <v>151</v>
      </c>
      <c r="C67" s="207" t="s">
        <v>152</v>
      </c>
      <c r="D67" s="208"/>
      <c r="E67" s="208"/>
      <c r="F67" s="208"/>
      <c r="G67" s="209"/>
      <c r="H67" s="95">
        <v>4</v>
      </c>
      <c r="I67" s="96"/>
      <c r="J67" s="95"/>
      <c r="K67" s="97"/>
      <c r="L67" s="77"/>
      <c r="M67" s="89"/>
      <c r="N67" s="89"/>
      <c r="O67" s="89"/>
      <c r="P67" s="90"/>
      <c r="Q67" s="65"/>
      <c r="R67" s="66"/>
    </row>
    <row r="68" spans="1:18" s="67" customFormat="1" ht="129" customHeight="1" x14ac:dyDescent="0.55000000000000004">
      <c r="A68" s="93" t="s">
        <v>133</v>
      </c>
      <c r="B68" s="94" t="s">
        <v>153</v>
      </c>
      <c r="C68" s="207" t="s">
        <v>154</v>
      </c>
      <c r="D68" s="208"/>
      <c r="E68" s="208"/>
      <c r="F68" s="208"/>
      <c r="G68" s="209"/>
      <c r="H68" s="95">
        <v>3</v>
      </c>
      <c r="I68" s="96"/>
      <c r="J68" s="95"/>
      <c r="K68" s="97"/>
      <c r="L68" s="77"/>
      <c r="M68" s="89"/>
      <c r="N68" s="89"/>
      <c r="O68" s="89"/>
      <c r="P68" s="90"/>
      <c r="Q68" s="65"/>
      <c r="R68" s="66"/>
    </row>
    <row r="69" spans="1:18" s="67" customFormat="1" ht="69" customHeight="1" x14ac:dyDescent="0.55000000000000004">
      <c r="A69" s="93" t="s">
        <v>133</v>
      </c>
      <c r="B69" s="94" t="s">
        <v>155</v>
      </c>
      <c r="C69" s="207" t="s">
        <v>156</v>
      </c>
      <c r="D69" s="208"/>
      <c r="E69" s="208"/>
      <c r="F69" s="208"/>
      <c r="G69" s="209"/>
      <c r="H69" s="95">
        <v>3</v>
      </c>
      <c r="I69" s="96"/>
      <c r="J69" s="95"/>
      <c r="K69" s="97"/>
      <c r="L69" s="77"/>
      <c r="M69" s="89"/>
      <c r="N69" s="89"/>
      <c r="O69" s="89"/>
      <c r="P69" s="90"/>
      <c r="Q69" s="65"/>
      <c r="R69" s="66"/>
    </row>
    <row r="70" spans="1:18" s="67" customFormat="1" ht="46.5" customHeight="1" x14ac:dyDescent="0.55000000000000004">
      <c r="A70" s="98"/>
      <c r="B70" s="215" t="s">
        <v>157</v>
      </c>
      <c r="C70" s="215"/>
      <c r="D70" s="215"/>
      <c r="E70" s="99"/>
      <c r="F70" s="99"/>
      <c r="G70" s="99"/>
      <c r="H70" s="91">
        <f>SUM(H67:H69)</f>
        <v>10</v>
      </c>
      <c r="I70" s="91">
        <f>SUM(I67:I69)</f>
        <v>0</v>
      </c>
      <c r="J70" s="99"/>
      <c r="K70" s="100"/>
      <c r="L70" s="89"/>
      <c r="M70" s="89"/>
      <c r="N70" s="89"/>
      <c r="O70" s="89"/>
      <c r="P70" s="90"/>
      <c r="Q70" s="65"/>
      <c r="R70" s="66"/>
    </row>
    <row r="71" spans="1:18" s="103" customFormat="1" ht="45" customHeight="1" x14ac:dyDescent="0.7">
      <c r="A71" s="101"/>
      <c r="B71" s="216"/>
      <c r="C71" s="102"/>
      <c r="D71" s="102"/>
      <c r="E71" s="102"/>
      <c r="F71" s="219"/>
      <c r="G71" s="219"/>
      <c r="H71" s="219"/>
      <c r="I71" s="219"/>
      <c r="J71" s="219"/>
      <c r="K71" s="102"/>
      <c r="L71" s="102"/>
      <c r="M71" s="102"/>
      <c r="N71" s="102"/>
      <c r="O71" s="232" t="s">
        <v>182</v>
      </c>
      <c r="P71" s="233"/>
      <c r="Q71" s="232" t="s">
        <v>183</v>
      </c>
      <c r="R71" s="234"/>
    </row>
    <row r="72" spans="1:18" s="103" customFormat="1" ht="45" customHeight="1" x14ac:dyDescent="0.7">
      <c r="A72" s="101"/>
      <c r="B72" s="217"/>
      <c r="C72" s="228" t="s">
        <v>184</v>
      </c>
      <c r="D72" s="229"/>
      <c r="E72" s="229"/>
      <c r="F72" s="229"/>
      <c r="G72" s="229"/>
      <c r="H72" s="229"/>
      <c r="I72" s="229"/>
      <c r="J72" s="229"/>
      <c r="K72" s="230"/>
      <c r="L72" s="223"/>
      <c r="M72" s="224"/>
      <c r="N72" s="225"/>
      <c r="O72" s="226">
        <f>R51</f>
        <v>0</v>
      </c>
      <c r="P72" s="227"/>
      <c r="Q72" s="235">
        <f>O75/100 * 20</f>
        <v>0</v>
      </c>
      <c r="R72" s="236"/>
    </row>
    <row r="73" spans="1:18" s="103" customFormat="1" ht="45" customHeight="1" x14ac:dyDescent="0.7">
      <c r="A73" s="101"/>
      <c r="B73" s="217"/>
      <c r="C73" s="229" t="s">
        <v>185</v>
      </c>
      <c r="D73" s="229"/>
      <c r="E73" s="229"/>
      <c r="F73" s="229"/>
      <c r="G73" s="229"/>
      <c r="H73" s="229"/>
      <c r="I73" s="229"/>
      <c r="J73" s="229"/>
      <c r="K73" s="229"/>
      <c r="L73" s="224"/>
      <c r="M73" s="224"/>
      <c r="N73" s="225"/>
      <c r="O73" s="226">
        <f>I66</f>
        <v>0</v>
      </c>
      <c r="P73" s="227"/>
      <c r="Q73" s="237"/>
      <c r="R73" s="238"/>
    </row>
    <row r="74" spans="1:18" s="103" customFormat="1" ht="45" customHeight="1" x14ac:dyDescent="0.7">
      <c r="A74" s="101"/>
      <c r="B74" s="217"/>
      <c r="C74" s="228" t="s">
        <v>186</v>
      </c>
      <c r="D74" s="229"/>
      <c r="E74" s="229"/>
      <c r="F74" s="229"/>
      <c r="G74" s="229"/>
      <c r="H74" s="229"/>
      <c r="I74" s="229"/>
      <c r="J74" s="229"/>
      <c r="K74" s="230"/>
      <c r="L74" s="223"/>
      <c r="M74" s="224"/>
      <c r="N74" s="225"/>
      <c r="O74" s="226">
        <f>I70</f>
        <v>0</v>
      </c>
      <c r="P74" s="227"/>
      <c r="Q74" s="237"/>
      <c r="R74" s="238"/>
    </row>
    <row r="75" spans="1:18" s="103" customFormat="1" ht="45" customHeight="1" x14ac:dyDescent="0.7">
      <c r="A75" s="101"/>
      <c r="B75" s="218"/>
      <c r="C75" s="228" t="s">
        <v>187</v>
      </c>
      <c r="D75" s="229"/>
      <c r="E75" s="229"/>
      <c r="F75" s="229"/>
      <c r="G75" s="229"/>
      <c r="H75" s="229"/>
      <c r="I75" s="229"/>
      <c r="J75" s="229"/>
      <c r="K75" s="230"/>
      <c r="L75" s="223"/>
      <c r="M75" s="224"/>
      <c r="N75" s="225"/>
      <c r="O75" s="226">
        <f>SUM(O72:P74)</f>
        <v>0</v>
      </c>
      <c r="P75" s="227"/>
      <c r="Q75" s="239"/>
      <c r="R75" s="240"/>
    </row>
    <row r="76" spans="1:18" s="103" customFormat="1" ht="64.900000000000006" customHeight="1" x14ac:dyDescent="0.7">
      <c r="A76" s="101"/>
      <c r="B76" s="231" t="s">
        <v>188</v>
      </c>
      <c r="C76" s="231"/>
      <c r="D76" s="231"/>
      <c r="E76" s="231"/>
      <c r="F76" s="231"/>
      <c r="G76" s="231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5"/>
    </row>
    <row r="77" spans="1:18" s="103" customFormat="1" ht="64.900000000000006" customHeight="1" x14ac:dyDescent="0.7">
      <c r="A77" s="101"/>
      <c r="B77" s="244" t="s">
        <v>189</v>
      </c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5"/>
    </row>
    <row r="78" spans="1:18" s="103" customFormat="1" ht="48.75" customHeight="1" x14ac:dyDescent="0.7">
      <c r="A78" s="101"/>
      <c r="B78" s="246" t="s">
        <v>190</v>
      </c>
      <c r="C78" s="246"/>
      <c r="D78" s="246"/>
      <c r="E78" s="246"/>
      <c r="F78" s="246"/>
      <c r="G78" s="24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7"/>
    </row>
    <row r="79" spans="1:18" s="103" customFormat="1" ht="45.75" x14ac:dyDescent="0.7">
      <c r="A79" s="101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5"/>
    </row>
    <row r="80" spans="1:18" s="67" customFormat="1" ht="31.5" customHeight="1" x14ac:dyDescent="0.55000000000000004">
      <c r="A80" s="247" t="s">
        <v>191</v>
      </c>
      <c r="B80" s="248"/>
      <c r="C80" s="241"/>
      <c r="D80" s="253"/>
      <c r="E80" s="256" t="s">
        <v>192</v>
      </c>
      <c r="F80" s="259"/>
      <c r="G80" s="248" t="s">
        <v>193</v>
      </c>
      <c r="H80" s="241"/>
      <c r="I80" s="241"/>
      <c r="J80" s="241"/>
      <c r="K80" s="108"/>
      <c r="L80" s="77"/>
      <c r="M80" s="262"/>
      <c r="N80" s="262"/>
      <c r="O80" s="262"/>
      <c r="P80" s="262"/>
      <c r="Q80" s="262"/>
      <c r="R80" s="66"/>
    </row>
    <row r="81" spans="1:18" s="67" customFormat="1" ht="31.5" customHeight="1" x14ac:dyDescent="0.55000000000000004">
      <c r="A81" s="249"/>
      <c r="B81" s="250"/>
      <c r="C81" s="242"/>
      <c r="D81" s="254"/>
      <c r="E81" s="257"/>
      <c r="F81" s="260"/>
      <c r="G81" s="250"/>
      <c r="H81" s="242"/>
      <c r="I81" s="242"/>
      <c r="J81" s="242"/>
      <c r="K81" s="108"/>
      <c r="L81" s="77"/>
      <c r="M81" s="263"/>
      <c r="N81" s="263"/>
      <c r="O81" s="263"/>
      <c r="P81" s="263"/>
      <c r="Q81" s="263"/>
      <c r="R81" s="66"/>
    </row>
    <row r="82" spans="1:18" s="67" customFormat="1" ht="31.5" customHeight="1" x14ac:dyDescent="0.55000000000000004">
      <c r="A82" s="249"/>
      <c r="B82" s="250"/>
      <c r="C82" s="242"/>
      <c r="D82" s="254"/>
      <c r="E82" s="257"/>
      <c r="F82" s="260"/>
      <c r="G82" s="250"/>
      <c r="H82" s="242"/>
      <c r="I82" s="242"/>
      <c r="J82" s="242"/>
      <c r="K82" s="108"/>
      <c r="L82" s="77"/>
      <c r="M82" s="263"/>
      <c r="N82" s="263"/>
      <c r="O82" s="263"/>
      <c r="P82" s="263"/>
      <c r="Q82" s="263"/>
      <c r="R82" s="66"/>
    </row>
    <row r="83" spans="1:18" s="67" customFormat="1" ht="31.5" customHeight="1" x14ac:dyDescent="0.55000000000000004">
      <c r="A83" s="251"/>
      <c r="B83" s="252"/>
      <c r="C83" s="243"/>
      <c r="D83" s="255"/>
      <c r="E83" s="258"/>
      <c r="F83" s="261"/>
      <c r="G83" s="252"/>
      <c r="H83" s="243"/>
      <c r="I83" s="243"/>
      <c r="J83" s="243"/>
      <c r="K83" s="108"/>
      <c r="L83" s="77"/>
      <c r="M83" s="263"/>
      <c r="N83" s="263"/>
      <c r="O83" s="263"/>
      <c r="P83" s="263"/>
      <c r="Q83" s="263"/>
      <c r="R83" s="66"/>
    </row>
    <row r="84" spans="1:18" s="67" customFormat="1" ht="31.5" customHeight="1" x14ac:dyDescent="0.55000000000000004">
      <c r="A84" s="271" t="s">
        <v>158</v>
      </c>
      <c r="B84" s="272"/>
      <c r="C84" s="241"/>
      <c r="D84" s="253"/>
      <c r="E84" s="275" t="s">
        <v>194</v>
      </c>
      <c r="F84" s="259"/>
      <c r="G84" s="272" t="s">
        <v>194</v>
      </c>
      <c r="H84" s="241"/>
      <c r="I84" s="241"/>
      <c r="J84" s="241"/>
      <c r="K84" s="108"/>
      <c r="L84" s="77"/>
      <c r="M84" s="263"/>
      <c r="N84" s="263"/>
      <c r="O84" s="263"/>
      <c r="P84" s="263"/>
      <c r="Q84" s="263"/>
      <c r="R84" s="66"/>
    </row>
    <row r="85" spans="1:18" s="67" customFormat="1" ht="31.5" customHeight="1" x14ac:dyDescent="0.55000000000000004">
      <c r="A85" s="273"/>
      <c r="B85" s="274"/>
      <c r="C85" s="242"/>
      <c r="D85" s="254"/>
      <c r="E85" s="276"/>
      <c r="F85" s="260"/>
      <c r="G85" s="274"/>
      <c r="H85" s="242"/>
      <c r="I85" s="242"/>
      <c r="J85" s="242"/>
      <c r="K85" s="108"/>
      <c r="L85" s="77"/>
      <c r="M85" s="263"/>
      <c r="N85" s="263"/>
      <c r="O85" s="263"/>
      <c r="P85" s="263"/>
      <c r="Q85" s="263"/>
      <c r="R85" s="66"/>
    </row>
    <row r="86" spans="1:18" s="67" customFormat="1" ht="31.5" customHeight="1" x14ac:dyDescent="0.55000000000000004">
      <c r="A86" s="273"/>
      <c r="B86" s="274"/>
      <c r="C86" s="243"/>
      <c r="D86" s="255"/>
      <c r="E86" s="277"/>
      <c r="F86" s="261"/>
      <c r="G86" s="278"/>
      <c r="H86" s="243"/>
      <c r="I86" s="243"/>
      <c r="J86" s="243"/>
      <c r="K86" s="108"/>
      <c r="L86" s="77"/>
      <c r="M86" s="263"/>
      <c r="N86" s="263"/>
      <c r="O86" s="263"/>
      <c r="P86" s="263"/>
      <c r="Q86" s="263"/>
      <c r="R86" s="66"/>
    </row>
    <row r="87" spans="1:18" s="67" customFormat="1" ht="31.5" customHeight="1" x14ac:dyDescent="0.55000000000000004">
      <c r="A87" s="249" t="s">
        <v>159</v>
      </c>
      <c r="B87" s="250"/>
      <c r="C87" s="241"/>
      <c r="D87" s="253"/>
      <c r="E87" s="256" t="s">
        <v>195</v>
      </c>
      <c r="F87" s="259"/>
      <c r="G87" s="248" t="s">
        <v>195</v>
      </c>
      <c r="H87" s="241"/>
      <c r="I87" s="241"/>
      <c r="J87" s="241"/>
      <c r="K87" s="108"/>
      <c r="L87" s="77"/>
      <c r="M87" s="263"/>
      <c r="N87" s="263"/>
      <c r="O87" s="263"/>
      <c r="P87" s="263"/>
      <c r="Q87" s="263"/>
      <c r="R87" s="66"/>
    </row>
    <row r="88" spans="1:18" s="67" customFormat="1" ht="31.5" customHeight="1" x14ac:dyDescent="0.55000000000000004">
      <c r="A88" s="249"/>
      <c r="B88" s="250"/>
      <c r="C88" s="243"/>
      <c r="D88" s="255"/>
      <c r="E88" s="258"/>
      <c r="F88" s="261"/>
      <c r="G88" s="252"/>
      <c r="H88" s="243"/>
      <c r="I88" s="243"/>
      <c r="J88" s="243"/>
      <c r="K88" s="108"/>
      <c r="L88" s="77"/>
      <c r="M88" s="263"/>
      <c r="N88" s="263"/>
      <c r="O88" s="263"/>
      <c r="P88" s="263"/>
      <c r="Q88" s="263"/>
      <c r="R88" s="66"/>
    </row>
    <row r="89" spans="1:18" s="67" customFormat="1" ht="31.5" customHeight="1" thickBot="1" x14ac:dyDescent="0.6">
      <c r="A89" s="265"/>
      <c r="B89" s="266"/>
      <c r="C89" s="266"/>
      <c r="D89" s="266"/>
      <c r="E89" s="266"/>
      <c r="F89" s="266"/>
      <c r="G89" s="266"/>
      <c r="H89" s="266"/>
      <c r="I89" s="266"/>
      <c r="J89" s="266"/>
      <c r="K89" s="109"/>
      <c r="L89" s="110"/>
      <c r="M89" s="264"/>
      <c r="N89" s="264"/>
      <c r="O89" s="264"/>
      <c r="P89" s="264"/>
      <c r="Q89" s="264"/>
      <c r="R89" s="111"/>
    </row>
  </sheetData>
  <mergeCells count="119">
    <mergeCell ref="H84:J86"/>
    <mergeCell ref="B77:R77"/>
    <mergeCell ref="B78:G78"/>
    <mergeCell ref="B79:R79"/>
    <mergeCell ref="A80:B83"/>
    <mergeCell ref="C80:D83"/>
    <mergeCell ref="E80:E83"/>
    <mergeCell ref="F80:F83"/>
    <mergeCell ref="G80:G83"/>
    <mergeCell ref="H80:J83"/>
    <mergeCell ref="M80:Q89"/>
    <mergeCell ref="A89:J89"/>
    <mergeCell ref="A87:B88"/>
    <mergeCell ref="C87:D88"/>
    <mergeCell ref="E87:E88"/>
    <mergeCell ref="F87:F88"/>
    <mergeCell ref="G87:G88"/>
    <mergeCell ref="H87:J88"/>
    <mergeCell ref="A84:B86"/>
    <mergeCell ref="C84:D86"/>
    <mergeCell ref="E84:E86"/>
    <mergeCell ref="F84:F86"/>
    <mergeCell ref="G84:G86"/>
    <mergeCell ref="L74:N74"/>
    <mergeCell ref="O74:P74"/>
    <mergeCell ref="C75:K75"/>
    <mergeCell ref="L75:N75"/>
    <mergeCell ref="O75:P75"/>
    <mergeCell ref="B76:G76"/>
    <mergeCell ref="O71:P71"/>
    <mergeCell ref="Q71:R71"/>
    <mergeCell ref="C72:K72"/>
    <mergeCell ref="L72:N72"/>
    <mergeCell ref="O72:P72"/>
    <mergeCell ref="Q72:R75"/>
    <mergeCell ref="C73:K73"/>
    <mergeCell ref="L73:N73"/>
    <mergeCell ref="O73:P73"/>
    <mergeCell ref="C74:K74"/>
    <mergeCell ref="A66:G66"/>
    <mergeCell ref="C67:G67"/>
    <mergeCell ref="C68:G68"/>
    <mergeCell ref="C69:G69"/>
    <mergeCell ref="B70:D70"/>
    <mergeCell ref="B71:B75"/>
    <mergeCell ref="F71:J71"/>
    <mergeCell ref="C60:G60"/>
    <mergeCell ref="C61:G61"/>
    <mergeCell ref="C62:G62"/>
    <mergeCell ref="C63:G63"/>
    <mergeCell ref="C64:G64"/>
    <mergeCell ref="C65:G65"/>
    <mergeCell ref="C57:G57"/>
    <mergeCell ref="N57:O57"/>
    <mergeCell ref="C58:G58"/>
    <mergeCell ref="N58:O58"/>
    <mergeCell ref="C59:G59"/>
    <mergeCell ref="N59:O59"/>
    <mergeCell ref="C54:G54"/>
    <mergeCell ref="N54:O54"/>
    <mergeCell ref="C55:G55"/>
    <mergeCell ref="N55:O55"/>
    <mergeCell ref="C56:G56"/>
    <mergeCell ref="N56:O56"/>
    <mergeCell ref="A52:G52"/>
    <mergeCell ref="H52:K52"/>
    <mergeCell ref="L52:L53"/>
    <mergeCell ref="C53:G53"/>
    <mergeCell ref="D35:D42"/>
    <mergeCell ref="A44:A45"/>
    <mergeCell ref="B44:B45"/>
    <mergeCell ref="C44:C45"/>
    <mergeCell ref="G17:G18"/>
    <mergeCell ref="H17:H18"/>
    <mergeCell ref="I17:I18"/>
    <mergeCell ref="J17:O17"/>
    <mergeCell ref="A46:A47"/>
    <mergeCell ref="B46:B47"/>
    <mergeCell ref="C46:C47"/>
    <mergeCell ref="A19:A23"/>
    <mergeCell ref="B19:B23"/>
    <mergeCell ref="C19:C23"/>
    <mergeCell ref="A25:A34"/>
    <mergeCell ref="B25:B34"/>
    <mergeCell ref="C25:C34"/>
    <mergeCell ref="A35:A42"/>
    <mergeCell ref="B35:B42"/>
    <mergeCell ref="C35:C42"/>
    <mergeCell ref="A16:I16"/>
    <mergeCell ref="A17:A18"/>
    <mergeCell ref="B17:B18"/>
    <mergeCell ref="C17:C18"/>
    <mergeCell ref="D17:D18"/>
    <mergeCell ref="E17:E18"/>
    <mergeCell ref="F17:F18"/>
    <mergeCell ref="R17:R18"/>
    <mergeCell ref="I51:Q51"/>
    <mergeCell ref="P17:P18"/>
    <mergeCell ref="Q17:Q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</mergeCells>
  <hyperlinks>
    <hyperlink ref="E11" r:id="rId1" xr:uid="{98B3BC1B-FBEF-4547-A7E8-1F30BAC1B315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1E7B-103D-4B14-9E30-2C010AFE8826}">
  <sheetPr>
    <pageSetUpPr fitToPage="1"/>
  </sheetPr>
  <dimension ref="A1:R89"/>
  <sheetViews>
    <sheetView topLeftCell="H5" zoomScale="30" zoomScaleNormal="30" workbookViewId="0">
      <selection activeCell="E50" sqref="E50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141" t="s">
        <v>160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3"/>
    </row>
    <row r="2" spans="1:18" ht="31.5" customHeight="1" x14ac:dyDescent="0.25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6"/>
    </row>
    <row r="3" spans="1:18" ht="31.5" customHeight="1" thickBot="1" x14ac:dyDescent="0.3">
      <c r="A3" s="14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6"/>
    </row>
    <row r="4" spans="1:18" s="2" customFormat="1" ht="45.75" x14ac:dyDescent="0.25">
      <c r="A4" s="147" t="s">
        <v>0</v>
      </c>
      <c r="B4" s="148"/>
      <c r="C4" s="148"/>
      <c r="D4" s="148"/>
      <c r="E4" s="148"/>
      <c r="F4" s="148"/>
      <c r="G4" s="148"/>
      <c r="H4" s="148"/>
      <c r="I4" s="148"/>
      <c r="J4" s="148"/>
      <c r="K4" s="149"/>
      <c r="L4" s="150"/>
      <c r="M4" s="150"/>
      <c r="N4" s="150"/>
      <c r="O4" s="150"/>
      <c r="P4" s="150"/>
      <c r="Q4" s="150"/>
      <c r="R4" s="151"/>
    </row>
    <row r="5" spans="1:18" s="9" customFormat="1" ht="32.25" x14ac:dyDescent="0.5">
      <c r="A5" s="3" t="s">
        <v>1</v>
      </c>
      <c r="B5" s="4" t="s">
        <v>196</v>
      </c>
      <c r="C5" s="5" t="s">
        <v>2</v>
      </c>
      <c r="D5" s="6" t="s">
        <v>197</v>
      </c>
      <c r="E5" s="158"/>
      <c r="F5" s="158"/>
      <c r="G5" s="158"/>
      <c r="H5" s="158"/>
      <c r="I5" s="7"/>
      <c r="J5" s="8"/>
      <c r="K5" s="152"/>
      <c r="L5" s="153"/>
      <c r="M5" s="153"/>
      <c r="N5" s="153"/>
      <c r="O5" s="153"/>
      <c r="P5" s="153"/>
      <c r="Q5" s="153"/>
      <c r="R5" s="154"/>
    </row>
    <row r="6" spans="1:18" s="12" customFormat="1" ht="38.25" customHeight="1" x14ac:dyDescent="0.55000000000000004">
      <c r="A6" s="159" t="s">
        <v>3</v>
      </c>
      <c r="B6" s="160"/>
      <c r="C6" s="160"/>
      <c r="D6" s="160"/>
      <c r="E6" s="160"/>
      <c r="F6" s="160"/>
      <c r="G6" s="160"/>
      <c r="H6" s="160"/>
      <c r="I6" s="10"/>
      <c r="J6" s="11"/>
      <c r="K6" s="152"/>
      <c r="L6" s="153"/>
      <c r="M6" s="153"/>
      <c r="N6" s="153"/>
      <c r="O6" s="153"/>
      <c r="P6" s="153"/>
      <c r="Q6" s="153"/>
      <c r="R6" s="154"/>
    </row>
    <row r="7" spans="1:18" s="120" customFormat="1" ht="39" x14ac:dyDescent="0.6">
      <c r="A7" s="128" t="s">
        <v>4</v>
      </c>
      <c r="B7" s="129"/>
      <c r="C7" s="117" t="s">
        <v>5</v>
      </c>
      <c r="D7" s="118" t="s">
        <v>6</v>
      </c>
      <c r="E7" s="117" t="s">
        <v>7</v>
      </c>
      <c r="F7" s="118" t="s">
        <v>8</v>
      </c>
      <c r="G7" s="119" t="s">
        <v>9</v>
      </c>
      <c r="H7" s="118" t="s">
        <v>10</v>
      </c>
      <c r="I7" s="130" t="s">
        <v>11</v>
      </c>
      <c r="J7" s="131"/>
      <c r="K7" s="152"/>
      <c r="L7" s="153"/>
      <c r="M7" s="153"/>
      <c r="N7" s="153"/>
      <c r="O7" s="153"/>
      <c r="P7" s="153"/>
      <c r="Q7" s="153"/>
      <c r="R7" s="154"/>
    </row>
    <row r="8" spans="1:18" s="120" customFormat="1" ht="39.75" x14ac:dyDescent="0.6">
      <c r="A8" s="132" t="s">
        <v>12</v>
      </c>
      <c r="B8" s="133"/>
      <c r="C8" s="121">
        <v>60737</v>
      </c>
      <c r="D8" s="122" t="s">
        <v>13</v>
      </c>
      <c r="E8" s="123" t="s">
        <v>14</v>
      </c>
      <c r="F8" s="122" t="s">
        <v>15</v>
      </c>
      <c r="G8" s="124"/>
      <c r="H8" s="122" t="s">
        <v>16</v>
      </c>
      <c r="I8" s="134" t="s">
        <v>17</v>
      </c>
      <c r="J8" s="135"/>
      <c r="K8" s="152"/>
      <c r="L8" s="153"/>
      <c r="M8" s="153"/>
      <c r="N8" s="153"/>
      <c r="O8" s="153"/>
      <c r="P8" s="153"/>
      <c r="Q8" s="153"/>
      <c r="R8" s="154"/>
    </row>
    <row r="9" spans="1:18" s="14" customFormat="1" ht="62.25" customHeight="1" x14ac:dyDescent="0.6">
      <c r="A9" s="136" t="s">
        <v>18</v>
      </c>
      <c r="B9" s="136"/>
      <c r="C9" s="136"/>
      <c r="D9" s="136"/>
      <c r="E9" s="136"/>
      <c r="F9" s="136"/>
      <c r="G9" s="136"/>
      <c r="H9" s="136"/>
      <c r="I9" s="136"/>
      <c r="J9" s="13"/>
      <c r="K9" s="152"/>
      <c r="L9" s="153"/>
      <c r="M9" s="153"/>
      <c r="N9" s="153"/>
      <c r="O9" s="153"/>
      <c r="P9" s="153"/>
      <c r="Q9" s="153"/>
      <c r="R9" s="154"/>
    </row>
    <row r="10" spans="1:18" s="120" customFormat="1" ht="39" x14ac:dyDescent="0.6">
      <c r="A10" s="128" t="s">
        <v>4</v>
      </c>
      <c r="B10" s="129"/>
      <c r="C10" s="117" t="s">
        <v>19</v>
      </c>
      <c r="D10" s="118" t="s">
        <v>6</v>
      </c>
      <c r="E10" s="117" t="s">
        <v>20</v>
      </c>
      <c r="F10" s="118" t="s">
        <v>8</v>
      </c>
      <c r="G10" s="119" t="s">
        <v>21</v>
      </c>
      <c r="H10" s="118" t="s">
        <v>10</v>
      </c>
      <c r="I10" s="130" t="s">
        <v>22</v>
      </c>
      <c r="J10" s="131"/>
      <c r="K10" s="152"/>
      <c r="L10" s="153"/>
      <c r="M10" s="153"/>
      <c r="N10" s="153"/>
      <c r="O10" s="153"/>
      <c r="P10" s="153"/>
      <c r="Q10" s="153"/>
      <c r="R10" s="154"/>
    </row>
    <row r="11" spans="1:18" s="120" customFormat="1" ht="39.75" x14ac:dyDescent="0.6">
      <c r="A11" s="132" t="s">
        <v>12</v>
      </c>
      <c r="B11" s="133"/>
      <c r="C11" s="121">
        <v>60694</v>
      </c>
      <c r="D11" s="122" t="s">
        <v>13</v>
      </c>
      <c r="E11" s="125" t="s">
        <v>23</v>
      </c>
      <c r="F11" s="122" t="s">
        <v>15</v>
      </c>
      <c r="G11" s="124"/>
      <c r="H11" s="122" t="s">
        <v>16</v>
      </c>
      <c r="I11" s="134" t="s">
        <v>17</v>
      </c>
      <c r="J11" s="135"/>
      <c r="K11" s="152"/>
      <c r="L11" s="153"/>
      <c r="M11" s="153"/>
      <c r="N11" s="153"/>
      <c r="O11" s="153"/>
      <c r="P11" s="153"/>
      <c r="Q11" s="153"/>
      <c r="R11" s="154"/>
    </row>
    <row r="12" spans="1:18" s="14" customFormat="1" ht="39" x14ac:dyDescent="0.6">
      <c r="A12" s="136" t="s">
        <v>24</v>
      </c>
      <c r="B12" s="136"/>
      <c r="C12" s="136"/>
      <c r="D12" s="136"/>
      <c r="E12" s="136"/>
      <c r="F12" s="136"/>
      <c r="G12" s="136"/>
      <c r="H12" s="136"/>
      <c r="I12" s="136"/>
      <c r="J12" s="13"/>
      <c r="K12" s="152"/>
      <c r="L12" s="153"/>
      <c r="M12" s="153"/>
      <c r="N12" s="153"/>
      <c r="O12" s="153"/>
      <c r="P12" s="153"/>
      <c r="Q12" s="153"/>
      <c r="R12" s="154"/>
    </row>
    <row r="13" spans="1:18" s="19" customFormat="1" ht="39" x14ac:dyDescent="0.6">
      <c r="A13" s="137" t="s">
        <v>4</v>
      </c>
      <c r="B13" s="138"/>
      <c r="C13" s="15" t="s">
        <v>25</v>
      </c>
      <c r="D13" s="16" t="s">
        <v>6</v>
      </c>
      <c r="E13" s="15" t="s">
        <v>26</v>
      </c>
      <c r="F13" s="17" t="s">
        <v>8</v>
      </c>
      <c r="G13" s="18" t="s">
        <v>27</v>
      </c>
      <c r="H13" s="16" t="s">
        <v>10</v>
      </c>
      <c r="I13" s="139" t="s">
        <v>28</v>
      </c>
      <c r="J13" s="140"/>
      <c r="K13" s="152"/>
      <c r="L13" s="153"/>
      <c r="M13" s="153"/>
      <c r="N13" s="153"/>
      <c r="O13" s="153"/>
      <c r="P13" s="153"/>
      <c r="Q13" s="153"/>
      <c r="R13" s="154"/>
    </row>
    <row r="14" spans="1:18" s="19" customFormat="1" ht="39.75" x14ac:dyDescent="0.6">
      <c r="A14" s="161" t="s">
        <v>12</v>
      </c>
      <c r="B14" s="162"/>
      <c r="C14" s="20">
        <v>60529</v>
      </c>
      <c r="D14" s="21" t="s">
        <v>13</v>
      </c>
      <c r="E14" s="126" t="s">
        <v>29</v>
      </c>
      <c r="F14" s="22" t="s">
        <v>15</v>
      </c>
      <c r="G14" s="127"/>
      <c r="H14" s="21" t="s">
        <v>16</v>
      </c>
      <c r="I14" s="163" t="s">
        <v>30</v>
      </c>
      <c r="J14" s="164"/>
      <c r="K14" s="152"/>
      <c r="L14" s="153"/>
      <c r="M14" s="153"/>
      <c r="N14" s="153"/>
      <c r="O14" s="153"/>
      <c r="P14" s="153"/>
      <c r="Q14" s="153"/>
      <c r="R14" s="154"/>
    </row>
    <row r="15" spans="1:18" s="24" customFormat="1" ht="20.25" customHeight="1" thickBot="1" x14ac:dyDescent="0.75">
      <c r="A15" s="165"/>
      <c r="B15" s="166"/>
      <c r="C15" s="166"/>
      <c r="D15" s="166"/>
      <c r="E15" s="166"/>
      <c r="F15" s="166"/>
      <c r="G15" s="166"/>
      <c r="H15" s="166"/>
      <c r="I15" s="166"/>
      <c r="J15" s="23"/>
      <c r="K15" s="155"/>
      <c r="L15" s="156"/>
      <c r="M15" s="156"/>
      <c r="N15" s="156"/>
      <c r="O15" s="156"/>
      <c r="P15" s="156"/>
      <c r="Q15" s="156"/>
      <c r="R15" s="157"/>
    </row>
    <row r="16" spans="1:18" s="24" customFormat="1" ht="47.25" x14ac:dyDescent="0.7">
      <c r="A16" s="167" t="s">
        <v>31</v>
      </c>
      <c r="B16" s="168"/>
      <c r="C16" s="168"/>
      <c r="D16" s="168"/>
      <c r="E16" s="168"/>
      <c r="F16" s="168"/>
      <c r="G16" s="168"/>
      <c r="H16" s="168"/>
      <c r="I16" s="168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169" t="s">
        <v>32</v>
      </c>
      <c r="B17" s="171" t="s">
        <v>33</v>
      </c>
      <c r="C17" s="172" t="s">
        <v>34</v>
      </c>
      <c r="D17" s="172" t="s">
        <v>35</v>
      </c>
      <c r="E17" s="172" t="s">
        <v>34</v>
      </c>
      <c r="F17" s="173" t="s">
        <v>36</v>
      </c>
      <c r="G17" s="173" t="s">
        <v>37</v>
      </c>
      <c r="H17" s="194" t="s">
        <v>38</v>
      </c>
      <c r="I17" s="173" t="s">
        <v>39</v>
      </c>
      <c r="J17" s="196" t="s">
        <v>40</v>
      </c>
      <c r="K17" s="197"/>
      <c r="L17" s="197"/>
      <c r="M17" s="197"/>
      <c r="N17" s="197"/>
      <c r="O17" s="198"/>
      <c r="P17" s="184" t="s">
        <v>163</v>
      </c>
      <c r="Q17" s="184" t="s">
        <v>164</v>
      </c>
      <c r="R17" s="175" t="s">
        <v>165</v>
      </c>
    </row>
    <row r="18" spans="1:18" s="31" customFormat="1" ht="36" x14ac:dyDescent="0.25">
      <c r="A18" s="170"/>
      <c r="B18" s="171"/>
      <c r="C18" s="171"/>
      <c r="D18" s="171"/>
      <c r="E18" s="171"/>
      <c r="F18" s="174"/>
      <c r="G18" s="174"/>
      <c r="H18" s="195"/>
      <c r="I18" s="174"/>
      <c r="J18" s="32" t="s">
        <v>166</v>
      </c>
      <c r="K18" s="30" t="s">
        <v>167</v>
      </c>
      <c r="L18" s="30" t="s">
        <v>168</v>
      </c>
      <c r="M18" s="32" t="s">
        <v>169</v>
      </c>
      <c r="N18" s="32" t="s">
        <v>170</v>
      </c>
      <c r="O18" s="32" t="s">
        <v>171</v>
      </c>
      <c r="P18" s="185"/>
      <c r="Q18" s="185"/>
      <c r="R18" s="176"/>
    </row>
    <row r="19" spans="1:18" s="44" customFormat="1" ht="147" customHeight="1" x14ac:dyDescent="0.25">
      <c r="A19" s="190">
        <v>1</v>
      </c>
      <c r="B19" s="187" t="s">
        <v>47</v>
      </c>
      <c r="C19" s="268">
        <f>0.25 *1.28791886111175</f>
        <v>0.32197971527793751</v>
      </c>
      <c r="D19" s="34" t="s">
        <v>48</v>
      </c>
      <c r="E19" s="35">
        <f>C19/5</f>
        <v>6.4395943055587504E-2</v>
      </c>
      <c r="F19" s="35">
        <f>E19/$E$50* 100</f>
        <v>0.22498543621060257</v>
      </c>
      <c r="G19" s="36" t="s">
        <v>49</v>
      </c>
      <c r="H19" s="37">
        <v>1</v>
      </c>
      <c r="I19" s="38" t="s">
        <v>50</v>
      </c>
      <c r="J19" s="39">
        <v>100</v>
      </c>
      <c r="K19" s="40">
        <v>95</v>
      </c>
      <c r="L19" s="40">
        <v>90</v>
      </c>
      <c r="M19" s="40">
        <v>85</v>
      </c>
      <c r="N19" s="40">
        <v>80</v>
      </c>
      <c r="O19" s="40" t="s">
        <v>51</v>
      </c>
      <c r="P19" s="41"/>
      <c r="Q19" s="42">
        <f t="shared" ref="Q19:Q25" si="0">IF(OR(TRIM(P19)="",P19=0),0,
IF(P19&lt;N19,50,
IF(P19&lt;M19,60,
IF(P19&lt;L19,70,
IF(P19&lt;K19,80,
IF(ISNUMBER(J19),
    IF(P19&lt;J19,IF(P19&gt;=K19,90,80),100),
    IF(P19=K19,90,100)
))))))</f>
        <v>0</v>
      </c>
      <c r="R19" s="43">
        <f t="shared" ref="R19:R25" si="1">F19*Q19/100</f>
        <v>0</v>
      </c>
    </row>
    <row r="20" spans="1:18" s="44" customFormat="1" ht="147" customHeight="1" x14ac:dyDescent="0.25">
      <c r="A20" s="267"/>
      <c r="B20" s="188"/>
      <c r="C20" s="269"/>
      <c r="D20" s="34" t="s">
        <v>52</v>
      </c>
      <c r="E20" s="35">
        <f>C19/5</f>
        <v>6.4395943055587504E-2</v>
      </c>
      <c r="F20" s="35">
        <f t="shared" ref="F20:F49" si="2">E20/$E$50* 100</f>
        <v>0.22498543621060257</v>
      </c>
      <c r="G20" s="36" t="s">
        <v>53</v>
      </c>
      <c r="H20" s="37">
        <v>1</v>
      </c>
      <c r="I20" s="38" t="s">
        <v>50</v>
      </c>
      <c r="J20" s="39">
        <v>100</v>
      </c>
      <c r="K20" s="40">
        <v>95</v>
      </c>
      <c r="L20" s="40">
        <v>90</v>
      </c>
      <c r="M20" s="40">
        <v>85</v>
      </c>
      <c r="N20" s="40">
        <v>80</v>
      </c>
      <c r="O20" s="40" t="s">
        <v>51</v>
      </c>
      <c r="P20" s="41"/>
      <c r="Q20" s="42">
        <f t="shared" si="0"/>
        <v>0</v>
      </c>
      <c r="R20" s="43">
        <f t="shared" si="1"/>
        <v>0</v>
      </c>
    </row>
    <row r="21" spans="1:18" s="44" customFormat="1" ht="147" customHeight="1" x14ac:dyDescent="0.25">
      <c r="A21" s="267"/>
      <c r="B21" s="188"/>
      <c r="C21" s="269"/>
      <c r="D21" s="34" t="s">
        <v>54</v>
      </c>
      <c r="E21" s="35">
        <f>C19/5</f>
        <v>6.4395943055587504E-2</v>
      </c>
      <c r="F21" s="35">
        <f t="shared" si="2"/>
        <v>0.22498543621060257</v>
      </c>
      <c r="G21" s="36" t="s">
        <v>55</v>
      </c>
      <c r="H21" s="37">
        <v>1</v>
      </c>
      <c r="I21" s="38" t="s">
        <v>50</v>
      </c>
      <c r="J21" s="39">
        <v>100</v>
      </c>
      <c r="K21" s="40">
        <v>95</v>
      </c>
      <c r="L21" s="40">
        <v>90</v>
      </c>
      <c r="M21" s="40">
        <v>85</v>
      </c>
      <c r="N21" s="40">
        <v>80</v>
      </c>
      <c r="O21" s="40" t="s">
        <v>51</v>
      </c>
      <c r="P21" s="41"/>
      <c r="Q21" s="42">
        <f t="shared" si="0"/>
        <v>0</v>
      </c>
      <c r="R21" s="43">
        <f t="shared" si="1"/>
        <v>0</v>
      </c>
    </row>
    <row r="22" spans="1:18" s="44" customFormat="1" ht="147" customHeight="1" x14ac:dyDescent="0.25">
      <c r="A22" s="267"/>
      <c r="B22" s="188"/>
      <c r="C22" s="269"/>
      <c r="D22" s="34" t="s">
        <v>56</v>
      </c>
      <c r="E22" s="35">
        <f>C19/5</f>
        <v>6.4395943055587504E-2</v>
      </c>
      <c r="F22" s="35">
        <f t="shared" si="2"/>
        <v>0.22498543621060257</v>
      </c>
      <c r="G22" s="36" t="s">
        <v>57</v>
      </c>
      <c r="H22" s="45">
        <v>5</v>
      </c>
      <c r="I22" s="38" t="s">
        <v>58</v>
      </c>
      <c r="J22" s="39" t="s">
        <v>59</v>
      </c>
      <c r="K22" s="40">
        <v>5</v>
      </c>
      <c r="L22" s="40">
        <v>4</v>
      </c>
      <c r="M22" s="40">
        <v>3</v>
      </c>
      <c r="N22" s="40">
        <v>2</v>
      </c>
      <c r="O22" s="40">
        <v>1</v>
      </c>
      <c r="P22" s="41"/>
      <c r="Q22" s="42">
        <f t="shared" si="0"/>
        <v>0</v>
      </c>
      <c r="R22" s="43">
        <f t="shared" si="1"/>
        <v>0</v>
      </c>
    </row>
    <row r="23" spans="1:18" s="44" customFormat="1" ht="147" customHeight="1" x14ac:dyDescent="0.25">
      <c r="A23" s="191"/>
      <c r="B23" s="189"/>
      <c r="C23" s="270"/>
      <c r="D23" s="34" t="s">
        <v>60</v>
      </c>
      <c r="E23" s="35">
        <f>C19/5</f>
        <v>6.4395943055587504E-2</v>
      </c>
      <c r="F23" s="35">
        <f t="shared" si="2"/>
        <v>0.22498543621060257</v>
      </c>
      <c r="G23" s="36" t="s">
        <v>61</v>
      </c>
      <c r="H23" s="37">
        <v>1</v>
      </c>
      <c r="I23" s="38" t="s">
        <v>50</v>
      </c>
      <c r="J23" s="39">
        <v>100</v>
      </c>
      <c r="K23" s="40">
        <v>95</v>
      </c>
      <c r="L23" s="40">
        <v>90</v>
      </c>
      <c r="M23" s="40">
        <v>85</v>
      </c>
      <c r="N23" s="40">
        <v>80</v>
      </c>
      <c r="O23" s="40" t="s">
        <v>51</v>
      </c>
      <c r="P23" s="41"/>
      <c r="Q23" s="42">
        <f t="shared" si="0"/>
        <v>0</v>
      </c>
      <c r="R23" s="43">
        <f t="shared" si="1"/>
        <v>0</v>
      </c>
    </row>
    <row r="24" spans="1:18" s="44" customFormat="1" ht="147" customHeight="1" x14ac:dyDescent="0.25">
      <c r="A24" s="33">
        <v>2</v>
      </c>
      <c r="B24" s="34" t="s">
        <v>62</v>
      </c>
      <c r="C24" s="116">
        <f>0.25 *0.77275131666705</f>
        <v>0.1931878291667625</v>
      </c>
      <c r="D24" s="34" t="s">
        <v>63</v>
      </c>
      <c r="E24" s="35">
        <f>C24</f>
        <v>0.1931878291667625</v>
      </c>
      <c r="F24" s="35">
        <f t="shared" si="2"/>
        <v>0.67495630863180767</v>
      </c>
      <c r="G24" s="36" t="s">
        <v>64</v>
      </c>
      <c r="H24" s="37">
        <v>0.5</v>
      </c>
      <c r="I24" s="38" t="s">
        <v>50</v>
      </c>
      <c r="J24" s="39" t="s">
        <v>65</v>
      </c>
      <c r="K24" s="40">
        <v>50</v>
      </c>
      <c r="L24" s="40">
        <v>45</v>
      </c>
      <c r="M24" s="40">
        <v>40</v>
      </c>
      <c r="N24" s="40">
        <v>25</v>
      </c>
      <c r="O24" s="40" t="s">
        <v>66</v>
      </c>
      <c r="P24" s="41"/>
      <c r="Q24" s="42">
        <f t="shared" si="0"/>
        <v>0</v>
      </c>
      <c r="R24" s="43">
        <f t="shared" si="1"/>
        <v>0</v>
      </c>
    </row>
    <row r="25" spans="1:18" s="44" customFormat="1" ht="147" customHeight="1" x14ac:dyDescent="0.25">
      <c r="A25" s="190">
        <v>2</v>
      </c>
      <c r="B25" s="187" t="s">
        <v>67</v>
      </c>
      <c r="C25" s="268">
        <f>0.25 *68.7196706607483</f>
        <v>17.179917665187077</v>
      </c>
      <c r="D25" s="34" t="s">
        <v>68</v>
      </c>
      <c r="E25" s="35">
        <f>C25/10</f>
        <v>1.7179917665187077</v>
      </c>
      <c r="F25" s="35">
        <f t="shared" si="2"/>
        <v>6.0022900303328557</v>
      </c>
      <c r="G25" s="34" t="s">
        <v>69</v>
      </c>
      <c r="H25" s="45">
        <v>80</v>
      </c>
      <c r="I25" s="45" t="s">
        <v>50</v>
      </c>
      <c r="J25" s="39" t="s">
        <v>70</v>
      </c>
      <c r="K25" s="40">
        <v>80</v>
      </c>
      <c r="L25" s="40">
        <v>75</v>
      </c>
      <c r="M25" s="40">
        <v>70</v>
      </c>
      <c r="N25" s="40">
        <v>50</v>
      </c>
      <c r="O25" s="40" t="s">
        <v>71</v>
      </c>
      <c r="P25" s="41"/>
      <c r="Q25" s="42">
        <f t="shared" si="0"/>
        <v>0</v>
      </c>
      <c r="R25" s="43">
        <f t="shared" si="1"/>
        <v>0</v>
      </c>
    </row>
    <row r="26" spans="1:18" s="44" customFormat="1" ht="147" customHeight="1" x14ac:dyDescent="0.25">
      <c r="A26" s="267"/>
      <c r="B26" s="188"/>
      <c r="C26" s="269"/>
      <c r="D26" s="34" t="s">
        <v>72</v>
      </c>
      <c r="E26" s="35">
        <f>C25/10</f>
        <v>1.7179917665187077</v>
      </c>
      <c r="F26" s="35">
        <f t="shared" si="2"/>
        <v>6.0022900303328557</v>
      </c>
      <c r="G26" s="34" t="s">
        <v>73</v>
      </c>
      <c r="H26" s="45">
        <v>80</v>
      </c>
      <c r="I26" s="45" t="s">
        <v>50</v>
      </c>
      <c r="J26" s="39" t="s">
        <v>70</v>
      </c>
      <c r="K26" s="40">
        <v>80</v>
      </c>
      <c r="L26" s="40">
        <v>75</v>
      </c>
      <c r="M26" s="40">
        <v>70</v>
      </c>
      <c r="N26" s="40">
        <v>50</v>
      </c>
      <c r="O26" s="40" t="s">
        <v>71</v>
      </c>
      <c r="P26" s="41"/>
      <c r="Q26" s="42">
        <f t="shared" ref="Q26:Q49" si="3">IF(OR(TRIM(P26)="",P26=0),0,
IF(P26&lt;N26,50,
IF(P26&lt;M26,60,
IF(P26&lt;L26,70,
IF(P26&lt;K26,80,
IF(ISNUMBER(J26),
    IF(P26&lt;J26,IF(P26&gt;=K26,90,80),100),
    IF(P26=K26,90,100)
))))))</f>
        <v>0</v>
      </c>
      <c r="R26" s="43">
        <f t="shared" ref="R26:R49" si="4">F26*Q26/100</f>
        <v>0</v>
      </c>
    </row>
    <row r="27" spans="1:18" s="44" customFormat="1" ht="147" customHeight="1" x14ac:dyDescent="0.25">
      <c r="A27" s="267"/>
      <c r="B27" s="188"/>
      <c r="C27" s="269"/>
      <c r="D27" s="34" t="s">
        <v>74</v>
      </c>
      <c r="E27" s="35">
        <f>C25/10</f>
        <v>1.7179917665187077</v>
      </c>
      <c r="F27" s="35">
        <f t="shared" si="2"/>
        <v>6.0022900303328557</v>
      </c>
      <c r="G27" s="34" t="s">
        <v>75</v>
      </c>
      <c r="H27" s="46">
        <v>0.9</v>
      </c>
      <c r="I27" s="45" t="s">
        <v>50</v>
      </c>
      <c r="J27" s="39" t="s">
        <v>76</v>
      </c>
      <c r="K27" s="40">
        <v>90</v>
      </c>
      <c r="L27" s="40">
        <v>80</v>
      </c>
      <c r="M27" s="40">
        <v>70</v>
      </c>
      <c r="N27" s="40">
        <v>50</v>
      </c>
      <c r="O27" s="40" t="s">
        <v>71</v>
      </c>
      <c r="P27" s="41"/>
      <c r="Q27" s="42">
        <f t="shared" si="3"/>
        <v>0</v>
      </c>
      <c r="R27" s="43">
        <f t="shared" si="4"/>
        <v>0</v>
      </c>
    </row>
    <row r="28" spans="1:18" s="44" customFormat="1" ht="147" customHeight="1" x14ac:dyDescent="0.25">
      <c r="A28" s="267"/>
      <c r="B28" s="188"/>
      <c r="C28" s="269"/>
      <c r="D28" s="34" t="s">
        <v>77</v>
      </c>
      <c r="E28" s="35">
        <f>C25/10</f>
        <v>1.7179917665187077</v>
      </c>
      <c r="F28" s="35">
        <f t="shared" si="2"/>
        <v>6.0022900303328557</v>
      </c>
      <c r="G28" s="34" t="s">
        <v>78</v>
      </c>
      <c r="H28" s="45">
        <v>80</v>
      </c>
      <c r="I28" s="45" t="s">
        <v>50</v>
      </c>
      <c r="J28" s="39" t="s">
        <v>70</v>
      </c>
      <c r="K28" s="40">
        <v>80</v>
      </c>
      <c r="L28" s="40">
        <v>75</v>
      </c>
      <c r="M28" s="40">
        <v>70</v>
      </c>
      <c r="N28" s="40">
        <v>50</v>
      </c>
      <c r="O28" s="40" t="s">
        <v>71</v>
      </c>
      <c r="P28" s="41"/>
      <c r="Q28" s="42">
        <f t="shared" si="3"/>
        <v>0</v>
      </c>
      <c r="R28" s="43">
        <f t="shared" si="4"/>
        <v>0</v>
      </c>
    </row>
    <row r="29" spans="1:18" s="44" customFormat="1" ht="147" customHeight="1" x14ac:dyDescent="0.25">
      <c r="A29" s="267"/>
      <c r="B29" s="188"/>
      <c r="C29" s="269"/>
      <c r="D29" s="34" t="s">
        <v>79</v>
      </c>
      <c r="E29" s="35">
        <f>C25/10</f>
        <v>1.7179917665187077</v>
      </c>
      <c r="F29" s="35">
        <f t="shared" si="2"/>
        <v>6.0022900303328557</v>
      </c>
      <c r="G29" s="34" t="s">
        <v>80</v>
      </c>
      <c r="H29" s="46">
        <v>0.9</v>
      </c>
      <c r="I29" s="45" t="s">
        <v>50</v>
      </c>
      <c r="J29" s="39" t="s">
        <v>76</v>
      </c>
      <c r="K29" s="40">
        <v>90</v>
      </c>
      <c r="L29" s="40">
        <v>80</v>
      </c>
      <c r="M29" s="40">
        <v>70</v>
      </c>
      <c r="N29" s="40">
        <v>50</v>
      </c>
      <c r="O29" s="40" t="s">
        <v>71</v>
      </c>
      <c r="P29" s="41"/>
      <c r="Q29" s="42">
        <f t="shared" si="3"/>
        <v>0</v>
      </c>
      <c r="R29" s="43">
        <f t="shared" si="4"/>
        <v>0</v>
      </c>
    </row>
    <row r="30" spans="1:18" s="44" customFormat="1" ht="147" customHeight="1" x14ac:dyDescent="0.25">
      <c r="A30" s="267"/>
      <c r="B30" s="188"/>
      <c r="C30" s="269"/>
      <c r="D30" s="34" t="s">
        <v>81</v>
      </c>
      <c r="E30" s="35">
        <f>C25/10</f>
        <v>1.7179917665187077</v>
      </c>
      <c r="F30" s="35">
        <f t="shared" si="2"/>
        <v>6.0022900303328557</v>
      </c>
      <c r="G30" s="34" t="s">
        <v>82</v>
      </c>
      <c r="H30" s="46">
        <v>0.8</v>
      </c>
      <c r="I30" s="45" t="s">
        <v>50</v>
      </c>
      <c r="J30" s="39" t="s">
        <v>70</v>
      </c>
      <c r="K30" s="40">
        <v>80</v>
      </c>
      <c r="L30" s="40">
        <v>75</v>
      </c>
      <c r="M30" s="40">
        <v>70</v>
      </c>
      <c r="N30" s="40">
        <v>50</v>
      </c>
      <c r="O30" s="40" t="s">
        <v>71</v>
      </c>
      <c r="P30" s="41"/>
      <c r="Q30" s="42">
        <f t="shared" si="3"/>
        <v>0</v>
      </c>
      <c r="R30" s="43">
        <f t="shared" si="4"/>
        <v>0</v>
      </c>
    </row>
    <row r="31" spans="1:18" s="44" customFormat="1" ht="147" customHeight="1" x14ac:dyDescent="0.25">
      <c r="A31" s="267"/>
      <c r="B31" s="188"/>
      <c r="C31" s="269"/>
      <c r="D31" s="34" t="s">
        <v>83</v>
      </c>
      <c r="E31" s="35">
        <f>C25/10</f>
        <v>1.7179917665187077</v>
      </c>
      <c r="F31" s="35">
        <f t="shared" si="2"/>
        <v>6.0022900303328557</v>
      </c>
      <c r="G31" s="34" t="s">
        <v>84</v>
      </c>
      <c r="H31" s="46">
        <v>0.9</v>
      </c>
      <c r="I31" s="45" t="s">
        <v>50</v>
      </c>
      <c r="J31" s="39" t="s">
        <v>76</v>
      </c>
      <c r="K31" s="40">
        <v>90</v>
      </c>
      <c r="L31" s="40">
        <v>80</v>
      </c>
      <c r="M31" s="40">
        <v>70</v>
      </c>
      <c r="N31" s="40">
        <v>50</v>
      </c>
      <c r="O31" s="40" t="s">
        <v>71</v>
      </c>
      <c r="P31" s="41"/>
      <c r="Q31" s="42">
        <f t="shared" si="3"/>
        <v>0</v>
      </c>
      <c r="R31" s="43">
        <f t="shared" si="4"/>
        <v>0</v>
      </c>
    </row>
    <row r="32" spans="1:18" s="44" customFormat="1" ht="147" customHeight="1" x14ac:dyDescent="0.25">
      <c r="A32" s="267"/>
      <c r="B32" s="188"/>
      <c r="C32" s="269"/>
      <c r="D32" s="34" t="s">
        <v>85</v>
      </c>
      <c r="E32" s="35">
        <f>C25/10</f>
        <v>1.7179917665187077</v>
      </c>
      <c r="F32" s="35">
        <f t="shared" si="2"/>
        <v>6.0022900303328557</v>
      </c>
      <c r="G32" s="34" t="s">
        <v>86</v>
      </c>
      <c r="H32" s="46">
        <v>0.8</v>
      </c>
      <c r="I32" s="45" t="s">
        <v>50</v>
      </c>
      <c r="J32" s="39" t="s">
        <v>70</v>
      </c>
      <c r="K32" s="40">
        <v>80</v>
      </c>
      <c r="L32" s="40">
        <v>75</v>
      </c>
      <c r="M32" s="40">
        <v>70</v>
      </c>
      <c r="N32" s="40">
        <v>50</v>
      </c>
      <c r="O32" s="40" t="s">
        <v>71</v>
      </c>
      <c r="P32" s="41"/>
      <c r="Q32" s="42">
        <f t="shared" si="3"/>
        <v>0</v>
      </c>
      <c r="R32" s="43">
        <f t="shared" si="4"/>
        <v>0</v>
      </c>
    </row>
    <row r="33" spans="1:18" s="44" customFormat="1" ht="147" customHeight="1" x14ac:dyDescent="0.25">
      <c r="A33" s="267"/>
      <c r="B33" s="188"/>
      <c r="C33" s="269"/>
      <c r="D33" s="34" t="s">
        <v>87</v>
      </c>
      <c r="E33" s="35">
        <f>C25/10</f>
        <v>1.7179917665187077</v>
      </c>
      <c r="F33" s="35">
        <f t="shared" si="2"/>
        <v>6.0022900303328557</v>
      </c>
      <c r="G33" s="34" t="s">
        <v>88</v>
      </c>
      <c r="H33" s="46">
        <v>0.8</v>
      </c>
      <c r="I33" s="45" t="s">
        <v>50</v>
      </c>
      <c r="J33" s="39" t="s">
        <v>70</v>
      </c>
      <c r="K33" s="40">
        <v>80</v>
      </c>
      <c r="L33" s="40">
        <v>75</v>
      </c>
      <c r="M33" s="40">
        <v>70</v>
      </c>
      <c r="N33" s="40">
        <v>50</v>
      </c>
      <c r="O33" s="40" t="s">
        <v>71</v>
      </c>
      <c r="P33" s="41"/>
      <c r="Q33" s="42">
        <f t="shared" si="3"/>
        <v>0</v>
      </c>
      <c r="R33" s="43">
        <f t="shared" si="4"/>
        <v>0</v>
      </c>
    </row>
    <row r="34" spans="1:18" s="44" customFormat="1" ht="147" customHeight="1" x14ac:dyDescent="0.25">
      <c r="A34" s="191"/>
      <c r="B34" s="189"/>
      <c r="C34" s="270"/>
      <c r="D34" s="34" t="s">
        <v>89</v>
      </c>
      <c r="E34" s="35">
        <f>C25/10</f>
        <v>1.7179917665187077</v>
      </c>
      <c r="F34" s="35">
        <f t="shared" si="2"/>
        <v>6.0022900303328557</v>
      </c>
      <c r="G34" s="34" t="s">
        <v>90</v>
      </c>
      <c r="H34" s="46">
        <v>0.9</v>
      </c>
      <c r="I34" s="45" t="s">
        <v>50</v>
      </c>
      <c r="J34" s="39" t="s">
        <v>76</v>
      </c>
      <c r="K34" s="40">
        <v>90</v>
      </c>
      <c r="L34" s="40">
        <v>80</v>
      </c>
      <c r="M34" s="40">
        <v>70</v>
      </c>
      <c r="N34" s="40">
        <v>50</v>
      </c>
      <c r="O34" s="40" t="s">
        <v>71</v>
      </c>
      <c r="P34" s="41"/>
      <c r="Q34" s="42">
        <f t="shared" si="3"/>
        <v>0</v>
      </c>
      <c r="R34" s="43">
        <f t="shared" si="4"/>
        <v>0</v>
      </c>
    </row>
    <row r="35" spans="1:18" s="44" customFormat="1" ht="147" customHeight="1" x14ac:dyDescent="0.25">
      <c r="A35" s="190">
        <v>3</v>
      </c>
      <c r="B35" s="187" t="s">
        <v>91</v>
      </c>
      <c r="C35" s="268">
        <v>9.6593914583381224</v>
      </c>
      <c r="D35" s="187" t="s">
        <v>92</v>
      </c>
      <c r="E35" s="35">
        <f>C35/8</f>
        <v>1.2074239322922653</v>
      </c>
      <c r="F35" s="35">
        <f t="shared" si="2"/>
        <v>4.2184769289487969</v>
      </c>
      <c r="G35" s="34" t="s">
        <v>93</v>
      </c>
      <c r="H35" s="46">
        <v>1</v>
      </c>
      <c r="I35" s="38" t="s">
        <v>50</v>
      </c>
      <c r="J35" s="39">
        <v>100</v>
      </c>
      <c r="K35" s="40">
        <v>95</v>
      </c>
      <c r="L35" s="40">
        <v>90</v>
      </c>
      <c r="M35" s="40">
        <v>85</v>
      </c>
      <c r="N35" s="40">
        <v>80</v>
      </c>
      <c r="O35" s="40" t="s">
        <v>51</v>
      </c>
      <c r="P35" s="41"/>
      <c r="Q35" s="42">
        <f t="shared" si="3"/>
        <v>0</v>
      </c>
      <c r="R35" s="43">
        <f t="shared" si="4"/>
        <v>0</v>
      </c>
    </row>
    <row r="36" spans="1:18" s="44" customFormat="1" ht="147" customHeight="1" x14ac:dyDescent="0.25">
      <c r="A36" s="267"/>
      <c r="B36" s="188"/>
      <c r="C36" s="269"/>
      <c r="D36" s="188"/>
      <c r="E36" s="35">
        <f>C35/8</f>
        <v>1.2074239322922653</v>
      </c>
      <c r="F36" s="35">
        <f t="shared" si="2"/>
        <v>4.2184769289487969</v>
      </c>
      <c r="G36" s="34" t="s">
        <v>94</v>
      </c>
      <c r="H36" s="46">
        <v>1</v>
      </c>
      <c r="I36" s="38" t="s">
        <v>50</v>
      </c>
      <c r="J36" s="39">
        <v>100</v>
      </c>
      <c r="K36" s="40">
        <v>95</v>
      </c>
      <c r="L36" s="40">
        <v>90</v>
      </c>
      <c r="M36" s="40">
        <v>85</v>
      </c>
      <c r="N36" s="40">
        <v>80</v>
      </c>
      <c r="O36" s="40" t="s">
        <v>51</v>
      </c>
      <c r="P36" s="41"/>
      <c r="Q36" s="42">
        <f t="shared" si="3"/>
        <v>0</v>
      </c>
      <c r="R36" s="43">
        <f t="shared" si="4"/>
        <v>0</v>
      </c>
    </row>
    <row r="37" spans="1:18" s="44" customFormat="1" ht="147" customHeight="1" x14ac:dyDescent="0.25">
      <c r="A37" s="267"/>
      <c r="B37" s="188"/>
      <c r="C37" s="269"/>
      <c r="D37" s="188"/>
      <c r="E37" s="35">
        <f>C35/8</f>
        <v>1.2074239322922653</v>
      </c>
      <c r="F37" s="35">
        <f t="shared" si="2"/>
        <v>4.2184769289487969</v>
      </c>
      <c r="G37" s="34" t="s">
        <v>95</v>
      </c>
      <c r="H37" s="46">
        <v>0.9</v>
      </c>
      <c r="I37" s="45" t="s">
        <v>50</v>
      </c>
      <c r="J37" s="39" t="s">
        <v>76</v>
      </c>
      <c r="K37" s="40">
        <v>90</v>
      </c>
      <c r="L37" s="40">
        <v>80</v>
      </c>
      <c r="M37" s="40">
        <v>70</v>
      </c>
      <c r="N37" s="40">
        <v>50</v>
      </c>
      <c r="O37" s="40" t="s">
        <v>71</v>
      </c>
      <c r="P37" s="41"/>
      <c r="Q37" s="42">
        <f t="shared" si="3"/>
        <v>0</v>
      </c>
      <c r="R37" s="43">
        <f t="shared" si="4"/>
        <v>0</v>
      </c>
    </row>
    <row r="38" spans="1:18" s="44" customFormat="1" ht="147" customHeight="1" x14ac:dyDescent="0.25">
      <c r="A38" s="267"/>
      <c r="B38" s="188"/>
      <c r="C38" s="269"/>
      <c r="D38" s="188"/>
      <c r="E38" s="35">
        <f>C35/8</f>
        <v>1.2074239322922653</v>
      </c>
      <c r="F38" s="35">
        <f t="shared" si="2"/>
        <v>4.2184769289487969</v>
      </c>
      <c r="G38" s="34" t="s">
        <v>96</v>
      </c>
      <c r="H38" s="46">
        <v>0.9</v>
      </c>
      <c r="I38" s="45" t="s">
        <v>50</v>
      </c>
      <c r="J38" s="39" t="s">
        <v>76</v>
      </c>
      <c r="K38" s="40">
        <v>90</v>
      </c>
      <c r="L38" s="40">
        <v>80</v>
      </c>
      <c r="M38" s="40">
        <v>70</v>
      </c>
      <c r="N38" s="40">
        <v>50</v>
      </c>
      <c r="O38" s="40" t="s">
        <v>71</v>
      </c>
      <c r="P38" s="41"/>
      <c r="Q38" s="42">
        <f t="shared" si="3"/>
        <v>0</v>
      </c>
      <c r="R38" s="43">
        <f t="shared" si="4"/>
        <v>0</v>
      </c>
    </row>
    <row r="39" spans="1:18" s="44" customFormat="1" ht="147" customHeight="1" x14ac:dyDescent="0.25">
      <c r="A39" s="267"/>
      <c r="B39" s="188"/>
      <c r="C39" s="269"/>
      <c r="D39" s="188"/>
      <c r="E39" s="35">
        <f>C35/8</f>
        <v>1.2074239322922653</v>
      </c>
      <c r="F39" s="35">
        <f t="shared" si="2"/>
        <v>4.2184769289487969</v>
      </c>
      <c r="G39" s="34" t="s">
        <v>97</v>
      </c>
      <c r="H39" s="46">
        <v>0.8</v>
      </c>
      <c r="I39" s="45" t="s">
        <v>50</v>
      </c>
      <c r="J39" s="39" t="s">
        <v>70</v>
      </c>
      <c r="K39" s="40">
        <v>80</v>
      </c>
      <c r="L39" s="40">
        <v>75</v>
      </c>
      <c r="M39" s="40">
        <v>70</v>
      </c>
      <c r="N39" s="40">
        <v>50</v>
      </c>
      <c r="O39" s="40" t="s">
        <v>71</v>
      </c>
      <c r="P39" s="41"/>
      <c r="Q39" s="42">
        <f t="shared" si="3"/>
        <v>0</v>
      </c>
      <c r="R39" s="43">
        <f t="shared" si="4"/>
        <v>0</v>
      </c>
    </row>
    <row r="40" spans="1:18" s="44" customFormat="1" ht="147" customHeight="1" x14ac:dyDescent="0.25">
      <c r="A40" s="267"/>
      <c r="B40" s="188"/>
      <c r="C40" s="269"/>
      <c r="D40" s="188"/>
      <c r="E40" s="35">
        <f>C35/8</f>
        <v>1.2074239322922653</v>
      </c>
      <c r="F40" s="35">
        <f t="shared" si="2"/>
        <v>4.2184769289487969</v>
      </c>
      <c r="G40" s="34" t="s">
        <v>98</v>
      </c>
      <c r="H40" s="46">
        <v>1</v>
      </c>
      <c r="I40" s="38" t="s">
        <v>50</v>
      </c>
      <c r="J40" s="39">
        <v>100</v>
      </c>
      <c r="K40" s="40">
        <v>95</v>
      </c>
      <c r="L40" s="40">
        <v>90</v>
      </c>
      <c r="M40" s="40">
        <v>85</v>
      </c>
      <c r="N40" s="40">
        <v>80</v>
      </c>
      <c r="O40" s="40" t="s">
        <v>51</v>
      </c>
      <c r="P40" s="41"/>
      <c r="Q40" s="42">
        <f t="shared" si="3"/>
        <v>0</v>
      </c>
      <c r="R40" s="43">
        <f t="shared" si="4"/>
        <v>0</v>
      </c>
    </row>
    <row r="41" spans="1:18" s="44" customFormat="1" ht="147" customHeight="1" x14ac:dyDescent="0.25">
      <c r="A41" s="267"/>
      <c r="B41" s="188"/>
      <c r="C41" s="269"/>
      <c r="D41" s="188"/>
      <c r="E41" s="35">
        <f>C35/8</f>
        <v>1.2074239322922653</v>
      </c>
      <c r="F41" s="35">
        <f t="shared" si="2"/>
        <v>4.2184769289487969</v>
      </c>
      <c r="G41" s="34" t="s">
        <v>99</v>
      </c>
      <c r="H41" s="46">
        <v>1</v>
      </c>
      <c r="I41" s="38" t="s">
        <v>50</v>
      </c>
      <c r="J41" s="39">
        <v>100</v>
      </c>
      <c r="K41" s="40">
        <v>95</v>
      </c>
      <c r="L41" s="40">
        <v>90</v>
      </c>
      <c r="M41" s="40">
        <v>85</v>
      </c>
      <c r="N41" s="40">
        <v>80</v>
      </c>
      <c r="O41" s="40" t="s">
        <v>51</v>
      </c>
      <c r="P41" s="41"/>
      <c r="Q41" s="42">
        <f t="shared" si="3"/>
        <v>0</v>
      </c>
      <c r="R41" s="43">
        <f t="shared" si="4"/>
        <v>0</v>
      </c>
    </row>
    <row r="42" spans="1:18" s="44" customFormat="1" ht="147" customHeight="1" x14ac:dyDescent="0.25">
      <c r="A42" s="191"/>
      <c r="B42" s="189"/>
      <c r="C42" s="270"/>
      <c r="D42" s="189"/>
      <c r="E42" s="35">
        <f>C35/8</f>
        <v>1.2074239322922653</v>
      </c>
      <c r="F42" s="35">
        <f t="shared" si="2"/>
        <v>4.2184769289487969</v>
      </c>
      <c r="G42" s="34" t="s">
        <v>100</v>
      </c>
      <c r="H42" s="46">
        <v>1</v>
      </c>
      <c r="I42" s="38" t="s">
        <v>50</v>
      </c>
      <c r="J42" s="39">
        <v>100</v>
      </c>
      <c r="K42" s="40">
        <v>95</v>
      </c>
      <c r="L42" s="40">
        <v>90</v>
      </c>
      <c r="M42" s="40">
        <v>85</v>
      </c>
      <c r="N42" s="40">
        <v>80</v>
      </c>
      <c r="O42" s="40" t="s">
        <v>51</v>
      </c>
      <c r="P42" s="41"/>
      <c r="Q42" s="42">
        <f t="shared" si="3"/>
        <v>0</v>
      </c>
      <c r="R42" s="43">
        <f t="shared" si="4"/>
        <v>0</v>
      </c>
    </row>
    <row r="43" spans="1:18" s="44" customFormat="1" ht="147" customHeight="1" x14ac:dyDescent="0.25">
      <c r="A43" s="33">
        <v>5</v>
      </c>
      <c r="B43" s="34" t="s">
        <v>101</v>
      </c>
      <c r="C43" s="47">
        <f>0.25 *1.20742393229227</f>
        <v>0.30185598307306749</v>
      </c>
      <c r="D43" s="34" t="s">
        <v>102</v>
      </c>
      <c r="E43" s="35">
        <f>C43</f>
        <v>0.30185598307306749</v>
      </c>
      <c r="F43" s="35">
        <f t="shared" si="2"/>
        <v>1.0546192322372032</v>
      </c>
      <c r="G43" s="36" t="s">
        <v>103</v>
      </c>
      <c r="H43" s="45">
        <v>5</v>
      </c>
      <c r="I43" s="38" t="s">
        <v>58</v>
      </c>
      <c r="J43" s="39" t="s">
        <v>59</v>
      </c>
      <c r="K43" s="40">
        <v>5</v>
      </c>
      <c r="L43" s="40">
        <v>4</v>
      </c>
      <c r="M43" s="40">
        <v>3</v>
      </c>
      <c r="N43" s="40">
        <v>2</v>
      </c>
      <c r="O43" s="40">
        <v>1</v>
      </c>
      <c r="P43" s="41"/>
      <c r="Q43" s="42">
        <f t="shared" si="3"/>
        <v>0</v>
      </c>
      <c r="R43" s="43">
        <f t="shared" si="4"/>
        <v>0</v>
      </c>
    </row>
    <row r="44" spans="1:18" s="44" customFormat="1" ht="147" customHeight="1" x14ac:dyDescent="0.25">
      <c r="A44" s="190">
        <v>7</v>
      </c>
      <c r="B44" s="187" t="s">
        <v>104</v>
      </c>
      <c r="C44" s="192">
        <f>0.25 *2.41484786458453</f>
        <v>0.60371196614613254</v>
      </c>
      <c r="D44" s="34" t="s">
        <v>105</v>
      </c>
      <c r="E44" s="35">
        <f>C44/2</f>
        <v>0.30185598307306627</v>
      </c>
      <c r="F44" s="35">
        <f t="shared" si="2"/>
        <v>1.0546192322371992</v>
      </c>
      <c r="G44" s="36" t="s">
        <v>106</v>
      </c>
      <c r="H44" s="45">
        <v>5</v>
      </c>
      <c r="I44" s="45" t="s">
        <v>58</v>
      </c>
      <c r="J44" s="39" t="s">
        <v>59</v>
      </c>
      <c r="K44" s="40">
        <v>5</v>
      </c>
      <c r="L44" s="40">
        <v>4</v>
      </c>
      <c r="M44" s="40">
        <v>3</v>
      </c>
      <c r="N44" s="40">
        <v>2</v>
      </c>
      <c r="O44" s="40">
        <v>1</v>
      </c>
      <c r="P44" s="41"/>
      <c r="Q44" s="42">
        <f t="shared" si="3"/>
        <v>0</v>
      </c>
      <c r="R44" s="43">
        <f t="shared" si="4"/>
        <v>0</v>
      </c>
    </row>
    <row r="45" spans="1:18" s="44" customFormat="1" ht="147" customHeight="1" x14ac:dyDescent="0.25">
      <c r="A45" s="191"/>
      <c r="B45" s="189"/>
      <c r="C45" s="193"/>
      <c r="D45" s="34" t="s">
        <v>107</v>
      </c>
      <c r="E45" s="35">
        <f>C44/2</f>
        <v>0.30185598307306627</v>
      </c>
      <c r="F45" s="35">
        <f t="shared" si="2"/>
        <v>1.0546192322371992</v>
      </c>
      <c r="G45" s="36" t="s">
        <v>108</v>
      </c>
      <c r="H45" s="46">
        <v>0.8</v>
      </c>
      <c r="I45" s="45" t="s">
        <v>50</v>
      </c>
      <c r="J45" s="39" t="s">
        <v>70</v>
      </c>
      <c r="K45" s="40">
        <v>80</v>
      </c>
      <c r="L45" s="40">
        <v>75</v>
      </c>
      <c r="M45" s="40">
        <v>70</v>
      </c>
      <c r="N45" s="40">
        <v>50</v>
      </c>
      <c r="O45" s="40" t="s">
        <v>71</v>
      </c>
      <c r="P45" s="41"/>
      <c r="Q45" s="42">
        <f t="shared" si="3"/>
        <v>0</v>
      </c>
      <c r="R45" s="43">
        <f t="shared" si="4"/>
        <v>0</v>
      </c>
    </row>
    <row r="46" spans="1:18" s="44" customFormat="1" ht="147" customHeight="1" x14ac:dyDescent="0.25">
      <c r="A46" s="190">
        <v>8</v>
      </c>
      <c r="B46" s="187" t="s">
        <v>109</v>
      </c>
      <c r="C46" s="192">
        <f>0.25 *0.804949288194844</f>
        <v>0.201237322048711</v>
      </c>
      <c r="D46" s="34" t="s">
        <v>110</v>
      </c>
      <c r="E46" s="35">
        <f>C46/2</f>
        <v>0.1006186610243555</v>
      </c>
      <c r="F46" s="35">
        <f t="shared" si="2"/>
        <v>0.35153974407906663</v>
      </c>
      <c r="G46" s="36" t="s">
        <v>111</v>
      </c>
      <c r="H46" s="45">
        <v>5</v>
      </c>
      <c r="I46" s="45" t="s">
        <v>58</v>
      </c>
      <c r="J46" s="39" t="s">
        <v>59</v>
      </c>
      <c r="K46" s="40">
        <v>5</v>
      </c>
      <c r="L46" s="40">
        <v>4</v>
      </c>
      <c r="M46" s="40">
        <v>3</v>
      </c>
      <c r="N46" s="40">
        <v>2</v>
      </c>
      <c r="O46" s="40">
        <v>1</v>
      </c>
      <c r="P46" s="41"/>
      <c r="Q46" s="42">
        <f t="shared" si="3"/>
        <v>0</v>
      </c>
      <c r="R46" s="43">
        <f t="shared" si="4"/>
        <v>0</v>
      </c>
    </row>
    <row r="47" spans="1:18" s="44" customFormat="1" ht="147" customHeight="1" x14ac:dyDescent="0.25">
      <c r="A47" s="191"/>
      <c r="B47" s="189"/>
      <c r="C47" s="193"/>
      <c r="D47" s="34" t="s">
        <v>112</v>
      </c>
      <c r="E47" s="35">
        <f>C46/2</f>
        <v>0.1006186610243555</v>
      </c>
      <c r="F47" s="35">
        <f t="shared" si="2"/>
        <v>0.35153974407906663</v>
      </c>
      <c r="G47" s="36" t="s">
        <v>113</v>
      </c>
      <c r="H47" s="46">
        <v>0.8</v>
      </c>
      <c r="I47" s="45" t="s">
        <v>50</v>
      </c>
      <c r="J47" s="39" t="s">
        <v>70</v>
      </c>
      <c r="K47" s="40">
        <v>80</v>
      </c>
      <c r="L47" s="40">
        <v>75</v>
      </c>
      <c r="M47" s="40">
        <v>70</v>
      </c>
      <c r="N47" s="40">
        <v>50</v>
      </c>
      <c r="O47" s="40" t="s">
        <v>71</v>
      </c>
      <c r="P47" s="41"/>
      <c r="Q47" s="42">
        <f t="shared" si="3"/>
        <v>0</v>
      </c>
      <c r="R47" s="43">
        <f t="shared" si="4"/>
        <v>0</v>
      </c>
    </row>
    <row r="48" spans="1:18" s="44" customFormat="1" ht="147" customHeight="1" x14ac:dyDescent="0.25">
      <c r="A48" s="33">
        <v>10</v>
      </c>
      <c r="B48" s="34" t="s">
        <v>114</v>
      </c>
      <c r="C48" s="47">
        <f>0.25 *0.321979715277938</f>
        <v>8.0494928819484501E-2</v>
      </c>
      <c r="D48" s="115" t="s">
        <v>115</v>
      </c>
      <c r="E48" s="35">
        <f>C48</f>
        <v>8.0494928819484501E-2</v>
      </c>
      <c r="F48" s="35">
        <f t="shared" si="2"/>
        <v>0.28123179526325365</v>
      </c>
      <c r="G48" s="36" t="s">
        <v>116</v>
      </c>
      <c r="H48" s="37">
        <v>0.7</v>
      </c>
      <c r="I48" s="45" t="s">
        <v>50</v>
      </c>
      <c r="J48" s="39" t="s">
        <v>117</v>
      </c>
      <c r="K48" s="40">
        <v>70</v>
      </c>
      <c r="L48" s="40">
        <v>60</v>
      </c>
      <c r="M48" s="40">
        <v>50</v>
      </c>
      <c r="N48" s="40">
        <v>40</v>
      </c>
      <c r="O48" s="40" t="s">
        <v>118</v>
      </c>
      <c r="P48" s="41"/>
      <c r="Q48" s="42">
        <f t="shared" si="3"/>
        <v>0</v>
      </c>
      <c r="R48" s="43">
        <f t="shared" si="4"/>
        <v>0</v>
      </c>
    </row>
    <row r="49" spans="1:18" s="44" customFormat="1" ht="147" customHeight="1" x14ac:dyDescent="0.25">
      <c r="A49" s="33"/>
      <c r="B49" s="34" t="s">
        <v>119</v>
      </c>
      <c r="C49" s="47">
        <f>0.25 *0.321979715277938</f>
        <v>8.0494928819484501E-2</v>
      </c>
      <c r="D49" s="36" t="s">
        <v>120</v>
      </c>
      <c r="E49" s="35">
        <f>C49</f>
        <v>8.0494928819484501E-2</v>
      </c>
      <c r="F49" s="35">
        <f t="shared" si="2"/>
        <v>0.28123179526325365</v>
      </c>
      <c r="G49" s="36" t="s">
        <v>121</v>
      </c>
      <c r="H49" s="37">
        <v>0.5</v>
      </c>
      <c r="I49" s="38" t="s">
        <v>50</v>
      </c>
      <c r="J49" s="39" t="s">
        <v>65</v>
      </c>
      <c r="K49" s="40">
        <v>50</v>
      </c>
      <c r="L49" s="40">
        <v>45</v>
      </c>
      <c r="M49" s="40">
        <v>40</v>
      </c>
      <c r="N49" s="40">
        <v>25</v>
      </c>
      <c r="O49" s="40" t="s">
        <v>66</v>
      </c>
      <c r="P49" s="41"/>
      <c r="Q49" s="42">
        <f t="shared" si="3"/>
        <v>0</v>
      </c>
      <c r="R49" s="43">
        <f t="shared" si="4"/>
        <v>0</v>
      </c>
    </row>
    <row r="50" spans="1:18" s="58" customFormat="1" ht="44.25" x14ac:dyDescent="0.25">
      <c r="A50" s="48"/>
      <c r="B50" s="49" t="s">
        <v>122</v>
      </c>
      <c r="C50" s="50">
        <f>SUM(C19:C49)</f>
        <v>28.622271796876777</v>
      </c>
      <c r="D50" s="49"/>
      <c r="E50" s="50">
        <f>SUM(E19:E49)</f>
        <v>28.622271796876781</v>
      </c>
      <c r="F50" s="50">
        <f>SUM(F19:F49)</f>
        <v>100.00000000000004</v>
      </c>
      <c r="G50" s="51"/>
      <c r="H50" s="52"/>
      <c r="I50" s="53"/>
      <c r="J50" s="54"/>
      <c r="K50" s="54"/>
      <c r="L50" s="54"/>
      <c r="M50" s="54"/>
      <c r="N50" s="54"/>
      <c r="O50" s="54"/>
      <c r="P50" s="55"/>
      <c r="Q50" s="56"/>
      <c r="R50" s="57">
        <f>SUM(R19:R49)</f>
        <v>0</v>
      </c>
    </row>
    <row r="51" spans="1:18" s="60" customFormat="1" ht="66" customHeight="1" x14ac:dyDescent="0.7">
      <c r="A51" s="59"/>
      <c r="G51" s="61"/>
      <c r="H51" s="61"/>
      <c r="I51" s="177" t="s">
        <v>172</v>
      </c>
      <c r="J51" s="178"/>
      <c r="K51" s="178"/>
      <c r="L51" s="178"/>
      <c r="M51" s="178"/>
      <c r="N51" s="178"/>
      <c r="O51" s="178"/>
      <c r="P51" s="178"/>
      <c r="Q51" s="179"/>
      <c r="R51" s="62">
        <f>R50/100 * 70</f>
        <v>0</v>
      </c>
    </row>
    <row r="52" spans="1:18" s="67" customFormat="1" ht="36" x14ac:dyDescent="0.55000000000000004">
      <c r="A52" s="180" t="s">
        <v>123</v>
      </c>
      <c r="B52" s="181"/>
      <c r="C52" s="181"/>
      <c r="D52" s="181"/>
      <c r="E52" s="181"/>
      <c r="F52" s="181"/>
      <c r="G52" s="182"/>
      <c r="H52" s="183"/>
      <c r="I52" s="183"/>
      <c r="J52" s="183"/>
      <c r="K52" s="183"/>
      <c r="L52" s="184" t="s">
        <v>128</v>
      </c>
      <c r="M52" s="63" t="s">
        <v>124</v>
      </c>
      <c r="N52" s="63"/>
      <c r="O52" s="63"/>
      <c r="P52" s="64"/>
      <c r="Q52" s="65"/>
      <c r="R52" s="66"/>
    </row>
    <row r="53" spans="1:18" s="67" customFormat="1" ht="31.5" customHeight="1" x14ac:dyDescent="0.55000000000000004">
      <c r="A53" s="68"/>
      <c r="B53" s="69"/>
      <c r="C53" s="186" t="s">
        <v>125</v>
      </c>
      <c r="D53" s="186"/>
      <c r="E53" s="186"/>
      <c r="F53" s="186"/>
      <c r="G53" s="186"/>
      <c r="H53" s="70" t="s">
        <v>173</v>
      </c>
      <c r="I53" s="70" t="s">
        <v>174</v>
      </c>
      <c r="J53" s="70"/>
      <c r="K53" s="71"/>
      <c r="L53" s="185"/>
      <c r="M53" s="72"/>
      <c r="N53" s="72"/>
      <c r="O53" s="72"/>
      <c r="P53" s="73"/>
      <c r="Q53" s="65"/>
      <c r="R53" s="66"/>
    </row>
    <row r="54" spans="1:18" s="67" customFormat="1" ht="36" customHeight="1" x14ac:dyDescent="0.55000000000000004">
      <c r="A54" s="74">
        <v>1</v>
      </c>
      <c r="B54" s="75" t="s">
        <v>129</v>
      </c>
      <c r="C54" s="210"/>
      <c r="D54" s="211"/>
      <c r="E54" s="211"/>
      <c r="F54" s="211"/>
      <c r="G54" s="212"/>
      <c r="H54" s="76"/>
      <c r="I54" s="76"/>
      <c r="J54" s="76"/>
      <c r="K54" s="76"/>
      <c r="L54" s="77"/>
      <c r="M54" s="78" t="s">
        <v>41</v>
      </c>
      <c r="N54" s="202" t="s">
        <v>130</v>
      </c>
      <c r="O54" s="203"/>
      <c r="P54" s="73"/>
      <c r="Q54" s="65"/>
      <c r="R54" s="66"/>
    </row>
    <row r="55" spans="1:18" s="67" customFormat="1" ht="84.75" customHeight="1" x14ac:dyDescent="0.55000000000000004">
      <c r="A55" s="81" t="s">
        <v>131</v>
      </c>
      <c r="B55" s="82" t="s">
        <v>175</v>
      </c>
      <c r="C55" s="199"/>
      <c r="D55" s="200"/>
      <c r="E55" s="200"/>
      <c r="F55" s="200"/>
      <c r="G55" s="201"/>
      <c r="H55" s="83">
        <v>4</v>
      </c>
      <c r="I55" s="84"/>
      <c r="J55" s="83"/>
      <c r="K55" s="83"/>
      <c r="L55" s="77"/>
      <c r="M55" s="78" t="s">
        <v>42</v>
      </c>
      <c r="N55" s="202" t="s">
        <v>132</v>
      </c>
      <c r="O55" s="203"/>
      <c r="P55" s="73"/>
      <c r="Q55" s="65"/>
      <c r="R55" s="66"/>
    </row>
    <row r="56" spans="1:18" s="67" customFormat="1" ht="82.5" customHeight="1" x14ac:dyDescent="0.55000000000000004">
      <c r="A56" s="81" t="s">
        <v>133</v>
      </c>
      <c r="B56" s="82" t="s">
        <v>176</v>
      </c>
      <c r="C56" s="199"/>
      <c r="D56" s="200"/>
      <c r="E56" s="200"/>
      <c r="F56" s="200"/>
      <c r="G56" s="201"/>
      <c r="H56" s="83">
        <v>2</v>
      </c>
      <c r="I56" s="84"/>
      <c r="J56" s="83"/>
      <c r="K56" s="83"/>
      <c r="L56" s="77"/>
      <c r="M56" s="78" t="s">
        <v>43</v>
      </c>
      <c r="N56" s="202" t="s">
        <v>134</v>
      </c>
      <c r="O56" s="203"/>
      <c r="P56" s="73"/>
      <c r="Q56" s="65"/>
      <c r="R56" s="66"/>
    </row>
    <row r="57" spans="1:18" s="67" customFormat="1" ht="78.75" customHeight="1" x14ac:dyDescent="0.55000000000000004">
      <c r="A57" s="81" t="s">
        <v>135</v>
      </c>
      <c r="B57" s="82" t="s">
        <v>136</v>
      </c>
      <c r="C57" s="199"/>
      <c r="D57" s="200"/>
      <c r="E57" s="200"/>
      <c r="F57" s="200"/>
      <c r="G57" s="201"/>
      <c r="H57" s="83">
        <v>2</v>
      </c>
      <c r="I57" s="84"/>
      <c r="J57" s="83"/>
      <c r="K57" s="83"/>
      <c r="L57" s="77"/>
      <c r="M57" s="78" t="s">
        <v>44</v>
      </c>
      <c r="N57" s="202" t="s">
        <v>137</v>
      </c>
      <c r="O57" s="203"/>
      <c r="P57" s="73"/>
      <c r="Q57" s="65"/>
      <c r="R57" s="66"/>
    </row>
    <row r="58" spans="1:18" s="67" customFormat="1" ht="36" x14ac:dyDescent="0.55000000000000004">
      <c r="A58" s="85">
        <v>2</v>
      </c>
      <c r="B58" s="86" t="s">
        <v>138</v>
      </c>
      <c r="C58" s="204"/>
      <c r="D58" s="205"/>
      <c r="E58" s="205"/>
      <c r="F58" s="205"/>
      <c r="G58" s="206"/>
      <c r="H58" s="83"/>
      <c r="I58" s="84"/>
      <c r="J58" s="83"/>
      <c r="K58" s="83"/>
      <c r="L58" s="77"/>
      <c r="M58" s="78" t="s">
        <v>45</v>
      </c>
      <c r="N58" s="202" t="s">
        <v>139</v>
      </c>
      <c r="O58" s="203"/>
      <c r="P58" s="73"/>
      <c r="Q58" s="65"/>
      <c r="R58" s="66"/>
    </row>
    <row r="59" spans="1:18" s="67" customFormat="1" ht="82.5" customHeight="1" x14ac:dyDescent="0.55000000000000004">
      <c r="A59" s="81" t="s">
        <v>131</v>
      </c>
      <c r="B59" s="87" t="s">
        <v>177</v>
      </c>
      <c r="C59" s="207"/>
      <c r="D59" s="208"/>
      <c r="E59" s="208"/>
      <c r="F59" s="208"/>
      <c r="G59" s="209"/>
      <c r="H59" s="83">
        <v>2</v>
      </c>
      <c r="I59" s="84"/>
      <c r="J59" s="83"/>
      <c r="K59" s="83"/>
      <c r="L59" s="77"/>
      <c r="M59" s="78" t="s">
        <v>46</v>
      </c>
      <c r="N59" s="202" t="s">
        <v>140</v>
      </c>
      <c r="O59" s="203"/>
      <c r="P59" s="88"/>
      <c r="Q59" s="65"/>
      <c r="R59" s="66"/>
    </row>
    <row r="60" spans="1:18" s="67" customFormat="1" ht="114.75" customHeight="1" x14ac:dyDescent="0.55000000000000004">
      <c r="A60" s="81" t="s">
        <v>133</v>
      </c>
      <c r="B60" s="87" t="s">
        <v>178</v>
      </c>
      <c r="C60" s="207"/>
      <c r="D60" s="208"/>
      <c r="E60" s="208"/>
      <c r="F60" s="208"/>
      <c r="G60" s="209"/>
      <c r="H60" s="83">
        <v>2</v>
      </c>
      <c r="I60" s="84"/>
      <c r="J60" s="83"/>
      <c r="K60" s="83"/>
      <c r="L60" s="77"/>
      <c r="M60" s="73" t="s">
        <v>128</v>
      </c>
      <c r="N60" s="79" t="s">
        <v>141</v>
      </c>
      <c r="O60" s="80"/>
      <c r="P60" s="88"/>
      <c r="Q60" s="65"/>
      <c r="R60" s="66"/>
    </row>
    <row r="61" spans="1:18" s="67" customFormat="1" ht="72" customHeight="1" x14ac:dyDescent="0.55000000000000004">
      <c r="A61" s="81" t="s">
        <v>135</v>
      </c>
      <c r="B61" s="87" t="s">
        <v>179</v>
      </c>
      <c r="C61" s="207"/>
      <c r="D61" s="208"/>
      <c r="E61" s="208"/>
      <c r="F61" s="208"/>
      <c r="G61" s="209"/>
      <c r="H61" s="83">
        <v>2</v>
      </c>
      <c r="I61" s="84"/>
      <c r="J61" s="83"/>
      <c r="K61" s="83"/>
      <c r="L61" s="77"/>
      <c r="M61" s="73" t="s">
        <v>142</v>
      </c>
      <c r="N61" s="79" t="s">
        <v>143</v>
      </c>
      <c r="O61" s="80"/>
      <c r="P61" s="88"/>
      <c r="Q61" s="65"/>
      <c r="R61" s="66"/>
    </row>
    <row r="62" spans="1:18" s="67" customFormat="1" ht="66" customHeight="1" x14ac:dyDescent="0.55000000000000004">
      <c r="A62" s="85">
        <v>3</v>
      </c>
      <c r="B62" s="86" t="s">
        <v>144</v>
      </c>
      <c r="C62" s="204"/>
      <c r="D62" s="205"/>
      <c r="E62" s="205"/>
      <c r="F62" s="205"/>
      <c r="G62" s="206"/>
      <c r="H62" s="83"/>
      <c r="I62" s="84"/>
      <c r="J62" s="83"/>
      <c r="K62" s="83"/>
      <c r="L62" s="77"/>
      <c r="M62" s="73" t="s">
        <v>126</v>
      </c>
      <c r="N62" s="79" t="s">
        <v>145</v>
      </c>
      <c r="O62" s="80"/>
      <c r="P62" s="88"/>
      <c r="Q62" s="65"/>
      <c r="R62" s="66"/>
    </row>
    <row r="63" spans="1:18" s="67" customFormat="1" ht="72" customHeight="1" x14ac:dyDescent="0.55000000000000004">
      <c r="A63" s="81" t="s">
        <v>131</v>
      </c>
      <c r="B63" s="87" t="s">
        <v>146</v>
      </c>
      <c r="C63" s="220"/>
      <c r="D63" s="221"/>
      <c r="E63" s="221"/>
      <c r="F63" s="221"/>
      <c r="G63" s="222"/>
      <c r="H63" s="83">
        <v>2</v>
      </c>
      <c r="I63" s="84"/>
      <c r="J63" s="83"/>
      <c r="K63" s="83"/>
      <c r="L63" s="77"/>
      <c r="M63" s="73" t="s">
        <v>127</v>
      </c>
      <c r="N63" s="79" t="s">
        <v>147</v>
      </c>
      <c r="O63" s="80"/>
      <c r="P63" s="88"/>
      <c r="Q63" s="65"/>
      <c r="R63" s="66"/>
    </row>
    <row r="64" spans="1:18" s="67" customFormat="1" ht="72" customHeight="1" x14ac:dyDescent="0.55000000000000004">
      <c r="A64" s="81" t="s">
        <v>133</v>
      </c>
      <c r="B64" s="87" t="s">
        <v>180</v>
      </c>
      <c r="C64" s="220"/>
      <c r="D64" s="221"/>
      <c r="E64" s="221"/>
      <c r="F64" s="221"/>
      <c r="G64" s="222"/>
      <c r="H64" s="83">
        <v>2</v>
      </c>
      <c r="I64" s="84"/>
      <c r="J64" s="83"/>
      <c r="K64" s="83"/>
      <c r="L64" s="77"/>
      <c r="M64" s="73" t="s">
        <v>148</v>
      </c>
      <c r="N64" s="79" t="s">
        <v>149</v>
      </c>
      <c r="O64" s="80"/>
      <c r="P64" s="88"/>
      <c r="Q64" s="65"/>
      <c r="R64" s="66"/>
    </row>
    <row r="65" spans="1:18" s="67" customFormat="1" ht="44.25" customHeight="1" x14ac:dyDescent="0.55000000000000004">
      <c r="A65" s="81" t="s">
        <v>135</v>
      </c>
      <c r="B65" s="87" t="s">
        <v>181</v>
      </c>
      <c r="C65" s="220"/>
      <c r="D65" s="221"/>
      <c r="E65" s="221"/>
      <c r="F65" s="221"/>
      <c r="G65" s="222"/>
      <c r="H65" s="83">
        <v>2</v>
      </c>
      <c r="I65" s="84"/>
      <c r="J65" s="83"/>
      <c r="K65" s="83"/>
      <c r="L65" s="77"/>
      <c r="M65" s="89"/>
      <c r="N65" s="89"/>
      <c r="O65" s="89"/>
      <c r="P65" s="90"/>
      <c r="Q65" s="65"/>
      <c r="R65" s="66"/>
    </row>
    <row r="66" spans="1:18" s="67" customFormat="1" ht="31.5" customHeight="1" x14ac:dyDescent="0.55000000000000004">
      <c r="A66" s="213" t="s">
        <v>150</v>
      </c>
      <c r="B66" s="214"/>
      <c r="C66" s="214"/>
      <c r="D66" s="214"/>
      <c r="E66" s="214"/>
      <c r="F66" s="214"/>
      <c r="G66" s="214"/>
      <c r="H66" s="91">
        <f>SUM(H55:H65)</f>
        <v>20</v>
      </c>
      <c r="I66" s="91">
        <f>SUM(I55:I65)</f>
        <v>0</v>
      </c>
      <c r="J66" s="91"/>
      <c r="K66" s="92"/>
      <c r="L66" s="77"/>
      <c r="M66" s="89"/>
      <c r="N66" s="89"/>
      <c r="O66" s="89"/>
      <c r="P66" s="90"/>
      <c r="Q66" s="65"/>
      <c r="R66" s="66"/>
    </row>
    <row r="67" spans="1:18" s="67" customFormat="1" ht="36" customHeight="1" x14ac:dyDescent="0.55000000000000004">
      <c r="A67" s="93" t="s">
        <v>131</v>
      </c>
      <c r="B67" s="94" t="s">
        <v>151</v>
      </c>
      <c r="C67" s="207" t="s">
        <v>152</v>
      </c>
      <c r="D67" s="208"/>
      <c r="E67" s="208"/>
      <c r="F67" s="208"/>
      <c r="G67" s="209"/>
      <c r="H67" s="95">
        <v>4</v>
      </c>
      <c r="I67" s="96"/>
      <c r="J67" s="95"/>
      <c r="K67" s="97"/>
      <c r="L67" s="77"/>
      <c r="M67" s="89"/>
      <c r="N67" s="89"/>
      <c r="O67" s="89"/>
      <c r="P67" s="90"/>
      <c r="Q67" s="65"/>
      <c r="R67" s="66"/>
    </row>
    <row r="68" spans="1:18" s="67" customFormat="1" ht="129" customHeight="1" x14ac:dyDescent="0.55000000000000004">
      <c r="A68" s="93" t="s">
        <v>133</v>
      </c>
      <c r="B68" s="94" t="s">
        <v>153</v>
      </c>
      <c r="C68" s="207" t="s">
        <v>154</v>
      </c>
      <c r="D68" s="208"/>
      <c r="E68" s="208"/>
      <c r="F68" s="208"/>
      <c r="G68" s="209"/>
      <c r="H68" s="95">
        <v>3</v>
      </c>
      <c r="I68" s="96"/>
      <c r="J68" s="95"/>
      <c r="K68" s="97"/>
      <c r="L68" s="77"/>
      <c r="M68" s="89"/>
      <c r="N68" s="89"/>
      <c r="O68" s="89"/>
      <c r="P68" s="90"/>
      <c r="Q68" s="65"/>
      <c r="R68" s="66"/>
    </row>
    <row r="69" spans="1:18" s="67" customFormat="1" ht="69" customHeight="1" x14ac:dyDescent="0.55000000000000004">
      <c r="A69" s="93" t="s">
        <v>133</v>
      </c>
      <c r="B69" s="94" t="s">
        <v>155</v>
      </c>
      <c r="C69" s="207" t="s">
        <v>156</v>
      </c>
      <c r="D69" s="208"/>
      <c r="E69" s="208"/>
      <c r="F69" s="208"/>
      <c r="G69" s="209"/>
      <c r="H69" s="95">
        <v>3</v>
      </c>
      <c r="I69" s="96"/>
      <c r="J69" s="95"/>
      <c r="K69" s="97"/>
      <c r="L69" s="77"/>
      <c r="M69" s="89"/>
      <c r="N69" s="89"/>
      <c r="O69" s="89"/>
      <c r="P69" s="90"/>
      <c r="Q69" s="65"/>
      <c r="R69" s="66"/>
    </row>
    <row r="70" spans="1:18" s="67" customFormat="1" ht="46.5" customHeight="1" x14ac:dyDescent="0.55000000000000004">
      <c r="A70" s="98"/>
      <c r="B70" s="215" t="s">
        <v>157</v>
      </c>
      <c r="C70" s="215"/>
      <c r="D70" s="215"/>
      <c r="E70" s="99"/>
      <c r="F70" s="99"/>
      <c r="G70" s="99"/>
      <c r="H70" s="91">
        <f>SUM(H67:H69)</f>
        <v>10</v>
      </c>
      <c r="I70" s="91">
        <f>SUM(I67:I69)</f>
        <v>0</v>
      </c>
      <c r="J70" s="99"/>
      <c r="K70" s="100"/>
      <c r="L70" s="89"/>
      <c r="M70" s="89"/>
      <c r="N70" s="89"/>
      <c r="O70" s="89"/>
      <c r="P70" s="90"/>
      <c r="Q70" s="65"/>
      <c r="R70" s="66"/>
    </row>
    <row r="71" spans="1:18" s="103" customFormat="1" ht="45" customHeight="1" x14ac:dyDescent="0.7">
      <c r="A71" s="101"/>
      <c r="B71" s="216"/>
      <c r="C71" s="102"/>
      <c r="D71" s="102"/>
      <c r="E71" s="102"/>
      <c r="F71" s="219"/>
      <c r="G71" s="219"/>
      <c r="H71" s="219"/>
      <c r="I71" s="219"/>
      <c r="J71" s="219"/>
      <c r="K71" s="102"/>
      <c r="L71" s="102"/>
      <c r="M71" s="102"/>
      <c r="N71" s="102"/>
      <c r="O71" s="232" t="s">
        <v>182</v>
      </c>
      <c r="P71" s="233"/>
      <c r="Q71" s="232" t="s">
        <v>183</v>
      </c>
      <c r="R71" s="234"/>
    </row>
    <row r="72" spans="1:18" s="103" customFormat="1" ht="45" customHeight="1" x14ac:dyDescent="0.7">
      <c r="A72" s="101"/>
      <c r="B72" s="217"/>
      <c r="C72" s="228" t="s">
        <v>184</v>
      </c>
      <c r="D72" s="229"/>
      <c r="E72" s="229"/>
      <c r="F72" s="229"/>
      <c r="G72" s="229"/>
      <c r="H72" s="229"/>
      <c r="I72" s="229"/>
      <c r="J72" s="229"/>
      <c r="K72" s="230"/>
      <c r="L72" s="223"/>
      <c r="M72" s="224"/>
      <c r="N72" s="225"/>
      <c r="O72" s="226">
        <f>R51</f>
        <v>0</v>
      </c>
      <c r="P72" s="227"/>
      <c r="Q72" s="235">
        <f>O75/100 * 20</f>
        <v>0</v>
      </c>
      <c r="R72" s="236"/>
    </row>
    <row r="73" spans="1:18" s="103" customFormat="1" ht="45" customHeight="1" x14ac:dyDescent="0.7">
      <c r="A73" s="101"/>
      <c r="B73" s="217"/>
      <c r="C73" s="229" t="s">
        <v>185</v>
      </c>
      <c r="D73" s="229"/>
      <c r="E73" s="229"/>
      <c r="F73" s="229"/>
      <c r="G73" s="229"/>
      <c r="H73" s="229"/>
      <c r="I73" s="229"/>
      <c r="J73" s="229"/>
      <c r="K73" s="229"/>
      <c r="L73" s="224"/>
      <c r="M73" s="224"/>
      <c r="N73" s="225"/>
      <c r="O73" s="226">
        <f>I66</f>
        <v>0</v>
      </c>
      <c r="P73" s="227"/>
      <c r="Q73" s="237"/>
      <c r="R73" s="238"/>
    </row>
    <row r="74" spans="1:18" s="103" customFormat="1" ht="45" customHeight="1" x14ac:dyDescent="0.7">
      <c r="A74" s="101"/>
      <c r="B74" s="217"/>
      <c r="C74" s="228" t="s">
        <v>186</v>
      </c>
      <c r="D74" s="229"/>
      <c r="E74" s="229"/>
      <c r="F74" s="229"/>
      <c r="G74" s="229"/>
      <c r="H74" s="229"/>
      <c r="I74" s="229"/>
      <c r="J74" s="229"/>
      <c r="K74" s="230"/>
      <c r="L74" s="223"/>
      <c r="M74" s="224"/>
      <c r="N74" s="225"/>
      <c r="O74" s="226">
        <f>I70</f>
        <v>0</v>
      </c>
      <c r="P74" s="227"/>
      <c r="Q74" s="237"/>
      <c r="R74" s="238"/>
    </row>
    <row r="75" spans="1:18" s="103" customFormat="1" ht="45" customHeight="1" x14ac:dyDescent="0.7">
      <c r="A75" s="101"/>
      <c r="B75" s="218"/>
      <c r="C75" s="228" t="s">
        <v>187</v>
      </c>
      <c r="D75" s="229"/>
      <c r="E75" s="229"/>
      <c r="F75" s="229"/>
      <c r="G75" s="229"/>
      <c r="H75" s="229"/>
      <c r="I75" s="229"/>
      <c r="J75" s="229"/>
      <c r="K75" s="230"/>
      <c r="L75" s="223"/>
      <c r="M75" s="224"/>
      <c r="N75" s="225"/>
      <c r="O75" s="226">
        <f>SUM(O72:P74)</f>
        <v>0</v>
      </c>
      <c r="P75" s="227"/>
      <c r="Q75" s="239"/>
      <c r="R75" s="240"/>
    </row>
    <row r="76" spans="1:18" s="103" customFormat="1" ht="64.900000000000006" customHeight="1" x14ac:dyDescent="0.7">
      <c r="A76" s="101"/>
      <c r="B76" s="231" t="s">
        <v>188</v>
      </c>
      <c r="C76" s="231"/>
      <c r="D76" s="231"/>
      <c r="E76" s="231"/>
      <c r="F76" s="231"/>
      <c r="G76" s="231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5"/>
    </row>
    <row r="77" spans="1:18" s="103" customFormat="1" ht="64.900000000000006" customHeight="1" x14ac:dyDescent="0.7">
      <c r="A77" s="101"/>
      <c r="B77" s="244" t="s">
        <v>189</v>
      </c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5"/>
    </row>
    <row r="78" spans="1:18" s="103" customFormat="1" ht="48.75" customHeight="1" x14ac:dyDescent="0.7">
      <c r="A78" s="101"/>
      <c r="B78" s="246" t="s">
        <v>190</v>
      </c>
      <c r="C78" s="246"/>
      <c r="D78" s="246"/>
      <c r="E78" s="246"/>
      <c r="F78" s="246"/>
      <c r="G78" s="24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7"/>
    </row>
    <row r="79" spans="1:18" s="103" customFormat="1" ht="45.75" x14ac:dyDescent="0.7">
      <c r="A79" s="101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5"/>
    </row>
    <row r="80" spans="1:18" s="67" customFormat="1" ht="31.5" customHeight="1" x14ac:dyDescent="0.55000000000000004">
      <c r="A80" s="247" t="s">
        <v>191</v>
      </c>
      <c r="B80" s="248"/>
      <c r="C80" s="241"/>
      <c r="D80" s="253"/>
      <c r="E80" s="256" t="s">
        <v>192</v>
      </c>
      <c r="F80" s="259"/>
      <c r="G80" s="248" t="s">
        <v>193</v>
      </c>
      <c r="H80" s="241"/>
      <c r="I80" s="241"/>
      <c r="J80" s="241"/>
      <c r="K80" s="108"/>
      <c r="L80" s="77"/>
      <c r="M80" s="262"/>
      <c r="N80" s="262"/>
      <c r="O80" s="262"/>
      <c r="P80" s="262"/>
      <c r="Q80" s="262"/>
      <c r="R80" s="66"/>
    </row>
    <row r="81" spans="1:18" s="67" customFormat="1" ht="31.5" customHeight="1" x14ac:dyDescent="0.55000000000000004">
      <c r="A81" s="249"/>
      <c r="B81" s="250"/>
      <c r="C81" s="242"/>
      <c r="D81" s="254"/>
      <c r="E81" s="257"/>
      <c r="F81" s="260"/>
      <c r="G81" s="250"/>
      <c r="H81" s="242"/>
      <c r="I81" s="242"/>
      <c r="J81" s="242"/>
      <c r="K81" s="108"/>
      <c r="L81" s="77"/>
      <c r="M81" s="263"/>
      <c r="N81" s="263"/>
      <c r="O81" s="263"/>
      <c r="P81" s="263"/>
      <c r="Q81" s="263"/>
      <c r="R81" s="66"/>
    </row>
    <row r="82" spans="1:18" s="67" customFormat="1" ht="31.5" customHeight="1" x14ac:dyDescent="0.55000000000000004">
      <c r="A82" s="249"/>
      <c r="B82" s="250"/>
      <c r="C82" s="242"/>
      <c r="D82" s="254"/>
      <c r="E82" s="257"/>
      <c r="F82" s="260"/>
      <c r="G82" s="250"/>
      <c r="H82" s="242"/>
      <c r="I82" s="242"/>
      <c r="J82" s="242"/>
      <c r="K82" s="108"/>
      <c r="L82" s="77"/>
      <c r="M82" s="263"/>
      <c r="N82" s="263"/>
      <c r="O82" s="263"/>
      <c r="P82" s="263"/>
      <c r="Q82" s="263"/>
      <c r="R82" s="66"/>
    </row>
    <row r="83" spans="1:18" s="67" customFormat="1" ht="31.5" customHeight="1" x14ac:dyDescent="0.55000000000000004">
      <c r="A83" s="251"/>
      <c r="B83" s="252"/>
      <c r="C83" s="243"/>
      <c r="D83" s="255"/>
      <c r="E83" s="258"/>
      <c r="F83" s="261"/>
      <c r="G83" s="252"/>
      <c r="H83" s="243"/>
      <c r="I83" s="243"/>
      <c r="J83" s="243"/>
      <c r="K83" s="108"/>
      <c r="L83" s="77"/>
      <c r="M83" s="263"/>
      <c r="N83" s="263"/>
      <c r="O83" s="263"/>
      <c r="P83" s="263"/>
      <c r="Q83" s="263"/>
      <c r="R83" s="66"/>
    </row>
    <row r="84" spans="1:18" s="67" customFormat="1" ht="31.5" customHeight="1" x14ac:dyDescent="0.55000000000000004">
      <c r="A84" s="271" t="s">
        <v>158</v>
      </c>
      <c r="B84" s="272"/>
      <c r="C84" s="241"/>
      <c r="D84" s="253"/>
      <c r="E84" s="275" t="s">
        <v>194</v>
      </c>
      <c r="F84" s="259"/>
      <c r="G84" s="272" t="s">
        <v>194</v>
      </c>
      <c r="H84" s="241"/>
      <c r="I84" s="241"/>
      <c r="J84" s="241"/>
      <c r="K84" s="108"/>
      <c r="L84" s="77"/>
      <c r="M84" s="263"/>
      <c r="N84" s="263"/>
      <c r="O84" s="263"/>
      <c r="P84" s="263"/>
      <c r="Q84" s="263"/>
      <c r="R84" s="66"/>
    </row>
    <row r="85" spans="1:18" s="67" customFormat="1" ht="31.5" customHeight="1" x14ac:dyDescent="0.55000000000000004">
      <c r="A85" s="273"/>
      <c r="B85" s="274"/>
      <c r="C85" s="242"/>
      <c r="D85" s="254"/>
      <c r="E85" s="276"/>
      <c r="F85" s="260"/>
      <c r="G85" s="274"/>
      <c r="H85" s="242"/>
      <c r="I85" s="242"/>
      <c r="J85" s="242"/>
      <c r="K85" s="108"/>
      <c r="L85" s="77"/>
      <c r="M85" s="263"/>
      <c r="N85" s="263"/>
      <c r="O85" s="263"/>
      <c r="P85" s="263"/>
      <c r="Q85" s="263"/>
      <c r="R85" s="66"/>
    </row>
    <row r="86" spans="1:18" s="67" customFormat="1" ht="31.5" customHeight="1" x14ac:dyDescent="0.55000000000000004">
      <c r="A86" s="273"/>
      <c r="B86" s="274"/>
      <c r="C86" s="243"/>
      <c r="D86" s="255"/>
      <c r="E86" s="277"/>
      <c r="F86" s="261"/>
      <c r="G86" s="278"/>
      <c r="H86" s="243"/>
      <c r="I86" s="243"/>
      <c r="J86" s="243"/>
      <c r="K86" s="108"/>
      <c r="L86" s="77"/>
      <c r="M86" s="263"/>
      <c r="N86" s="263"/>
      <c r="O86" s="263"/>
      <c r="P86" s="263"/>
      <c r="Q86" s="263"/>
      <c r="R86" s="66"/>
    </row>
    <row r="87" spans="1:18" s="67" customFormat="1" ht="31.5" customHeight="1" x14ac:dyDescent="0.55000000000000004">
      <c r="A87" s="249" t="s">
        <v>159</v>
      </c>
      <c r="B87" s="250"/>
      <c r="C87" s="241"/>
      <c r="D87" s="253"/>
      <c r="E87" s="256" t="s">
        <v>195</v>
      </c>
      <c r="F87" s="259"/>
      <c r="G87" s="248" t="s">
        <v>195</v>
      </c>
      <c r="H87" s="241"/>
      <c r="I87" s="241"/>
      <c r="J87" s="241"/>
      <c r="K87" s="108"/>
      <c r="L87" s="77"/>
      <c r="M87" s="263"/>
      <c r="N87" s="263"/>
      <c r="O87" s="263"/>
      <c r="P87" s="263"/>
      <c r="Q87" s="263"/>
      <c r="R87" s="66"/>
    </row>
    <row r="88" spans="1:18" s="67" customFormat="1" ht="31.5" customHeight="1" x14ac:dyDescent="0.55000000000000004">
      <c r="A88" s="249"/>
      <c r="B88" s="250"/>
      <c r="C88" s="243"/>
      <c r="D88" s="255"/>
      <c r="E88" s="258"/>
      <c r="F88" s="261"/>
      <c r="G88" s="252"/>
      <c r="H88" s="243"/>
      <c r="I88" s="243"/>
      <c r="J88" s="243"/>
      <c r="K88" s="108"/>
      <c r="L88" s="77"/>
      <c r="M88" s="263"/>
      <c r="N88" s="263"/>
      <c r="O88" s="263"/>
      <c r="P88" s="263"/>
      <c r="Q88" s="263"/>
      <c r="R88" s="66"/>
    </row>
    <row r="89" spans="1:18" s="67" customFormat="1" ht="31.5" customHeight="1" thickBot="1" x14ac:dyDescent="0.6">
      <c r="A89" s="265"/>
      <c r="B89" s="266"/>
      <c r="C89" s="266"/>
      <c r="D89" s="266"/>
      <c r="E89" s="266"/>
      <c r="F89" s="266"/>
      <c r="G89" s="266"/>
      <c r="H89" s="266"/>
      <c r="I89" s="266"/>
      <c r="J89" s="266"/>
      <c r="K89" s="109"/>
      <c r="L89" s="110"/>
      <c r="M89" s="264"/>
      <c r="N89" s="264"/>
      <c r="O89" s="264"/>
      <c r="P89" s="264"/>
      <c r="Q89" s="264"/>
      <c r="R89" s="111"/>
    </row>
  </sheetData>
  <mergeCells count="119">
    <mergeCell ref="H84:J86"/>
    <mergeCell ref="B77:R77"/>
    <mergeCell ref="B78:G78"/>
    <mergeCell ref="B79:R79"/>
    <mergeCell ref="A80:B83"/>
    <mergeCell ref="C80:D83"/>
    <mergeCell ref="E80:E83"/>
    <mergeCell ref="F80:F83"/>
    <mergeCell ref="G80:G83"/>
    <mergeCell ref="H80:J83"/>
    <mergeCell ref="M80:Q89"/>
    <mergeCell ref="A89:J89"/>
    <mergeCell ref="A87:B88"/>
    <mergeCell ref="C87:D88"/>
    <mergeCell ref="E87:E88"/>
    <mergeCell ref="F87:F88"/>
    <mergeCell ref="G87:G88"/>
    <mergeCell ref="H87:J88"/>
    <mergeCell ref="A84:B86"/>
    <mergeCell ref="C84:D86"/>
    <mergeCell ref="E84:E86"/>
    <mergeCell ref="F84:F86"/>
    <mergeCell ref="G84:G86"/>
    <mergeCell ref="L74:N74"/>
    <mergeCell ref="O74:P74"/>
    <mergeCell ref="C75:K75"/>
    <mergeCell ref="L75:N75"/>
    <mergeCell ref="O75:P75"/>
    <mergeCell ref="B76:G76"/>
    <mergeCell ref="O71:P71"/>
    <mergeCell ref="Q71:R71"/>
    <mergeCell ref="C72:K72"/>
    <mergeCell ref="L72:N72"/>
    <mergeCell ref="O72:P72"/>
    <mergeCell ref="Q72:R75"/>
    <mergeCell ref="C73:K73"/>
    <mergeCell ref="L73:N73"/>
    <mergeCell ref="O73:P73"/>
    <mergeCell ref="C74:K74"/>
    <mergeCell ref="A66:G66"/>
    <mergeCell ref="C67:G67"/>
    <mergeCell ref="C68:G68"/>
    <mergeCell ref="C69:G69"/>
    <mergeCell ref="B70:D70"/>
    <mergeCell ref="B71:B75"/>
    <mergeCell ref="F71:J71"/>
    <mergeCell ref="C60:G60"/>
    <mergeCell ref="C61:G61"/>
    <mergeCell ref="C62:G62"/>
    <mergeCell ref="C63:G63"/>
    <mergeCell ref="C64:G64"/>
    <mergeCell ref="C65:G65"/>
    <mergeCell ref="C57:G57"/>
    <mergeCell ref="N57:O57"/>
    <mergeCell ref="C58:G58"/>
    <mergeCell ref="N58:O58"/>
    <mergeCell ref="C59:G59"/>
    <mergeCell ref="N59:O59"/>
    <mergeCell ref="C54:G54"/>
    <mergeCell ref="N54:O54"/>
    <mergeCell ref="C55:G55"/>
    <mergeCell ref="N55:O55"/>
    <mergeCell ref="C56:G56"/>
    <mergeCell ref="N56:O56"/>
    <mergeCell ref="A52:G52"/>
    <mergeCell ref="H52:K52"/>
    <mergeCell ref="L52:L53"/>
    <mergeCell ref="C53:G53"/>
    <mergeCell ref="D35:D42"/>
    <mergeCell ref="A44:A45"/>
    <mergeCell ref="B44:B45"/>
    <mergeCell ref="C44:C45"/>
    <mergeCell ref="G17:G18"/>
    <mergeCell ref="H17:H18"/>
    <mergeCell ref="I17:I18"/>
    <mergeCell ref="J17:O17"/>
    <mergeCell ref="A46:A47"/>
    <mergeCell ref="B46:B47"/>
    <mergeCell ref="C46:C47"/>
    <mergeCell ref="A19:A23"/>
    <mergeCell ref="B19:B23"/>
    <mergeCell ref="C19:C23"/>
    <mergeCell ref="A25:A34"/>
    <mergeCell ref="B25:B34"/>
    <mergeCell ref="C25:C34"/>
    <mergeCell ref="A35:A42"/>
    <mergeCell ref="B35:B42"/>
    <mergeCell ref="C35:C42"/>
    <mergeCell ref="A16:I16"/>
    <mergeCell ref="A17:A18"/>
    <mergeCell ref="B17:B18"/>
    <mergeCell ref="C17:C18"/>
    <mergeCell ref="D17:D18"/>
    <mergeCell ref="E17:E18"/>
    <mergeCell ref="F17:F18"/>
    <mergeCell ref="R17:R18"/>
    <mergeCell ref="I51:Q51"/>
    <mergeCell ref="P17:P18"/>
    <mergeCell ref="Q17:Q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</mergeCells>
  <hyperlinks>
    <hyperlink ref="E11" r:id="rId1" xr:uid="{680368EA-E577-49A5-BF54-B22A19F33846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3F64-4FDA-4B36-AF92-494DDEC0526A}">
  <sheetPr>
    <pageSetUpPr fitToPage="1"/>
  </sheetPr>
  <dimension ref="A1:R89"/>
  <sheetViews>
    <sheetView topLeftCell="A48" zoomScale="30" zoomScaleNormal="30" workbookViewId="0">
      <selection activeCell="E50" sqref="E50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141" t="s">
        <v>160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3"/>
    </row>
    <row r="2" spans="1:18" ht="31.5" customHeight="1" x14ac:dyDescent="0.25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6"/>
    </row>
    <row r="3" spans="1:18" ht="31.5" customHeight="1" thickBot="1" x14ac:dyDescent="0.3">
      <c r="A3" s="14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6"/>
    </row>
    <row r="4" spans="1:18" s="2" customFormat="1" ht="45.75" x14ac:dyDescent="0.25">
      <c r="A4" s="147" t="s">
        <v>0</v>
      </c>
      <c r="B4" s="148"/>
      <c r="C4" s="148"/>
      <c r="D4" s="148"/>
      <c r="E4" s="148"/>
      <c r="F4" s="148"/>
      <c r="G4" s="148"/>
      <c r="H4" s="148"/>
      <c r="I4" s="148"/>
      <c r="J4" s="148"/>
      <c r="K4" s="149"/>
      <c r="L4" s="150"/>
      <c r="M4" s="150"/>
      <c r="N4" s="150"/>
      <c r="O4" s="150"/>
      <c r="P4" s="150"/>
      <c r="Q4" s="150"/>
      <c r="R4" s="151"/>
    </row>
    <row r="5" spans="1:18" s="9" customFormat="1" ht="32.25" x14ac:dyDescent="0.5">
      <c r="A5" s="3" t="s">
        <v>1</v>
      </c>
      <c r="B5" s="4" t="s">
        <v>198</v>
      </c>
      <c r="C5" s="5" t="s">
        <v>2</v>
      </c>
      <c r="D5" s="6" t="s">
        <v>199</v>
      </c>
      <c r="E5" s="158"/>
      <c r="F5" s="158"/>
      <c r="G5" s="158"/>
      <c r="H5" s="158"/>
      <c r="I5" s="7"/>
      <c r="J5" s="8"/>
      <c r="K5" s="152"/>
      <c r="L5" s="153"/>
      <c r="M5" s="153"/>
      <c r="N5" s="153"/>
      <c r="O5" s="153"/>
      <c r="P5" s="153"/>
      <c r="Q5" s="153"/>
      <c r="R5" s="154"/>
    </row>
    <row r="6" spans="1:18" s="12" customFormat="1" ht="38.25" customHeight="1" x14ac:dyDescent="0.55000000000000004">
      <c r="A6" s="159" t="s">
        <v>3</v>
      </c>
      <c r="B6" s="160"/>
      <c r="C6" s="160"/>
      <c r="D6" s="160"/>
      <c r="E6" s="160"/>
      <c r="F6" s="160"/>
      <c r="G6" s="160"/>
      <c r="H6" s="160"/>
      <c r="I6" s="10"/>
      <c r="J6" s="11"/>
      <c r="K6" s="152"/>
      <c r="L6" s="153"/>
      <c r="M6" s="153"/>
      <c r="N6" s="153"/>
      <c r="O6" s="153"/>
      <c r="P6" s="153"/>
      <c r="Q6" s="153"/>
      <c r="R6" s="154"/>
    </row>
    <row r="7" spans="1:18" s="120" customFormat="1" ht="39" x14ac:dyDescent="0.6">
      <c r="A7" s="128" t="s">
        <v>4</v>
      </c>
      <c r="B7" s="129"/>
      <c r="C7" s="117" t="s">
        <v>5</v>
      </c>
      <c r="D7" s="118" t="s">
        <v>6</v>
      </c>
      <c r="E7" s="117" t="s">
        <v>7</v>
      </c>
      <c r="F7" s="118" t="s">
        <v>8</v>
      </c>
      <c r="G7" s="119" t="s">
        <v>9</v>
      </c>
      <c r="H7" s="118" t="s">
        <v>10</v>
      </c>
      <c r="I7" s="130" t="s">
        <v>11</v>
      </c>
      <c r="J7" s="131"/>
      <c r="K7" s="152"/>
      <c r="L7" s="153"/>
      <c r="M7" s="153"/>
      <c r="N7" s="153"/>
      <c r="O7" s="153"/>
      <c r="P7" s="153"/>
      <c r="Q7" s="153"/>
      <c r="R7" s="154"/>
    </row>
    <row r="8" spans="1:18" s="120" customFormat="1" ht="39.75" x14ac:dyDescent="0.6">
      <c r="A8" s="132" t="s">
        <v>12</v>
      </c>
      <c r="B8" s="133"/>
      <c r="C8" s="121">
        <v>60737</v>
      </c>
      <c r="D8" s="122" t="s">
        <v>13</v>
      </c>
      <c r="E8" s="123" t="s">
        <v>14</v>
      </c>
      <c r="F8" s="122" t="s">
        <v>15</v>
      </c>
      <c r="G8" s="124"/>
      <c r="H8" s="122" t="s">
        <v>16</v>
      </c>
      <c r="I8" s="134" t="s">
        <v>17</v>
      </c>
      <c r="J8" s="135"/>
      <c r="K8" s="152"/>
      <c r="L8" s="153"/>
      <c r="M8" s="153"/>
      <c r="N8" s="153"/>
      <c r="O8" s="153"/>
      <c r="P8" s="153"/>
      <c r="Q8" s="153"/>
      <c r="R8" s="154"/>
    </row>
    <row r="9" spans="1:18" s="14" customFormat="1" ht="62.25" customHeight="1" x14ac:dyDescent="0.6">
      <c r="A9" s="136" t="s">
        <v>18</v>
      </c>
      <c r="B9" s="136"/>
      <c r="C9" s="136"/>
      <c r="D9" s="136"/>
      <c r="E9" s="136"/>
      <c r="F9" s="136"/>
      <c r="G9" s="136"/>
      <c r="H9" s="136"/>
      <c r="I9" s="136"/>
      <c r="J9" s="13"/>
      <c r="K9" s="152"/>
      <c r="L9" s="153"/>
      <c r="M9" s="153"/>
      <c r="N9" s="153"/>
      <c r="O9" s="153"/>
      <c r="P9" s="153"/>
      <c r="Q9" s="153"/>
      <c r="R9" s="154"/>
    </row>
    <row r="10" spans="1:18" s="120" customFormat="1" ht="39" x14ac:dyDescent="0.6">
      <c r="A10" s="128" t="s">
        <v>4</v>
      </c>
      <c r="B10" s="129"/>
      <c r="C10" s="117" t="s">
        <v>19</v>
      </c>
      <c r="D10" s="118" t="s">
        <v>6</v>
      </c>
      <c r="E10" s="117" t="s">
        <v>20</v>
      </c>
      <c r="F10" s="118" t="s">
        <v>8</v>
      </c>
      <c r="G10" s="119" t="s">
        <v>21</v>
      </c>
      <c r="H10" s="118" t="s">
        <v>10</v>
      </c>
      <c r="I10" s="130" t="s">
        <v>22</v>
      </c>
      <c r="J10" s="131"/>
      <c r="K10" s="152"/>
      <c r="L10" s="153"/>
      <c r="M10" s="153"/>
      <c r="N10" s="153"/>
      <c r="O10" s="153"/>
      <c r="P10" s="153"/>
      <c r="Q10" s="153"/>
      <c r="R10" s="154"/>
    </row>
    <row r="11" spans="1:18" s="120" customFormat="1" ht="39.75" x14ac:dyDescent="0.6">
      <c r="A11" s="132" t="s">
        <v>12</v>
      </c>
      <c r="B11" s="133"/>
      <c r="C11" s="121">
        <v>60694</v>
      </c>
      <c r="D11" s="122" t="s">
        <v>13</v>
      </c>
      <c r="E11" s="125" t="s">
        <v>23</v>
      </c>
      <c r="F11" s="122" t="s">
        <v>15</v>
      </c>
      <c r="G11" s="124"/>
      <c r="H11" s="122" t="s">
        <v>16</v>
      </c>
      <c r="I11" s="134" t="s">
        <v>17</v>
      </c>
      <c r="J11" s="135"/>
      <c r="K11" s="152"/>
      <c r="L11" s="153"/>
      <c r="M11" s="153"/>
      <c r="N11" s="153"/>
      <c r="O11" s="153"/>
      <c r="P11" s="153"/>
      <c r="Q11" s="153"/>
      <c r="R11" s="154"/>
    </row>
    <row r="12" spans="1:18" s="14" customFormat="1" ht="39" x14ac:dyDescent="0.6">
      <c r="A12" s="136" t="s">
        <v>24</v>
      </c>
      <c r="B12" s="136"/>
      <c r="C12" s="136"/>
      <c r="D12" s="136"/>
      <c r="E12" s="136"/>
      <c r="F12" s="136"/>
      <c r="G12" s="136"/>
      <c r="H12" s="136"/>
      <c r="I12" s="136"/>
      <c r="J12" s="13"/>
      <c r="K12" s="152"/>
      <c r="L12" s="153"/>
      <c r="M12" s="153"/>
      <c r="N12" s="153"/>
      <c r="O12" s="153"/>
      <c r="P12" s="153"/>
      <c r="Q12" s="153"/>
      <c r="R12" s="154"/>
    </row>
    <row r="13" spans="1:18" s="19" customFormat="1" ht="39" x14ac:dyDescent="0.6">
      <c r="A13" s="137" t="s">
        <v>4</v>
      </c>
      <c r="B13" s="138"/>
      <c r="C13" s="15" t="s">
        <v>25</v>
      </c>
      <c r="D13" s="16" t="s">
        <v>6</v>
      </c>
      <c r="E13" s="15" t="s">
        <v>26</v>
      </c>
      <c r="F13" s="17" t="s">
        <v>8</v>
      </c>
      <c r="G13" s="18" t="s">
        <v>27</v>
      </c>
      <c r="H13" s="16" t="s">
        <v>10</v>
      </c>
      <c r="I13" s="139" t="s">
        <v>28</v>
      </c>
      <c r="J13" s="140"/>
      <c r="K13" s="152"/>
      <c r="L13" s="153"/>
      <c r="M13" s="153"/>
      <c r="N13" s="153"/>
      <c r="O13" s="153"/>
      <c r="P13" s="153"/>
      <c r="Q13" s="153"/>
      <c r="R13" s="154"/>
    </row>
    <row r="14" spans="1:18" s="19" customFormat="1" ht="39.75" x14ac:dyDescent="0.6">
      <c r="A14" s="161" t="s">
        <v>12</v>
      </c>
      <c r="B14" s="162"/>
      <c r="C14" s="20">
        <v>60529</v>
      </c>
      <c r="D14" s="21" t="s">
        <v>13</v>
      </c>
      <c r="E14" s="126" t="s">
        <v>29</v>
      </c>
      <c r="F14" s="22" t="s">
        <v>15</v>
      </c>
      <c r="G14" s="127"/>
      <c r="H14" s="21" t="s">
        <v>16</v>
      </c>
      <c r="I14" s="163" t="s">
        <v>30</v>
      </c>
      <c r="J14" s="164"/>
      <c r="K14" s="152"/>
      <c r="L14" s="153"/>
      <c r="M14" s="153"/>
      <c r="N14" s="153"/>
      <c r="O14" s="153"/>
      <c r="P14" s="153"/>
      <c r="Q14" s="153"/>
      <c r="R14" s="154"/>
    </row>
    <row r="15" spans="1:18" s="24" customFormat="1" ht="20.25" customHeight="1" thickBot="1" x14ac:dyDescent="0.75">
      <c r="A15" s="165"/>
      <c r="B15" s="166"/>
      <c r="C15" s="166"/>
      <c r="D15" s="166"/>
      <c r="E15" s="166"/>
      <c r="F15" s="166"/>
      <c r="G15" s="166"/>
      <c r="H15" s="166"/>
      <c r="I15" s="166"/>
      <c r="J15" s="23"/>
      <c r="K15" s="155"/>
      <c r="L15" s="156"/>
      <c r="M15" s="156"/>
      <c r="N15" s="156"/>
      <c r="O15" s="156"/>
      <c r="P15" s="156"/>
      <c r="Q15" s="156"/>
      <c r="R15" s="157"/>
    </row>
    <row r="16" spans="1:18" s="24" customFormat="1" ht="47.25" x14ac:dyDescent="0.7">
      <c r="A16" s="167" t="s">
        <v>31</v>
      </c>
      <c r="B16" s="168"/>
      <c r="C16" s="168"/>
      <c r="D16" s="168"/>
      <c r="E16" s="168"/>
      <c r="F16" s="168"/>
      <c r="G16" s="168"/>
      <c r="H16" s="168"/>
      <c r="I16" s="168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169" t="s">
        <v>32</v>
      </c>
      <c r="B17" s="171" t="s">
        <v>33</v>
      </c>
      <c r="C17" s="172" t="s">
        <v>34</v>
      </c>
      <c r="D17" s="172" t="s">
        <v>35</v>
      </c>
      <c r="E17" s="172" t="s">
        <v>34</v>
      </c>
      <c r="F17" s="173" t="s">
        <v>36</v>
      </c>
      <c r="G17" s="173" t="s">
        <v>37</v>
      </c>
      <c r="H17" s="194" t="s">
        <v>38</v>
      </c>
      <c r="I17" s="173" t="s">
        <v>39</v>
      </c>
      <c r="J17" s="196" t="s">
        <v>40</v>
      </c>
      <c r="K17" s="197"/>
      <c r="L17" s="197"/>
      <c r="M17" s="197"/>
      <c r="N17" s="197"/>
      <c r="O17" s="198"/>
      <c r="P17" s="184" t="s">
        <v>163</v>
      </c>
      <c r="Q17" s="184" t="s">
        <v>164</v>
      </c>
      <c r="R17" s="175" t="s">
        <v>165</v>
      </c>
    </row>
    <row r="18" spans="1:18" s="31" customFormat="1" ht="36" x14ac:dyDescent="0.25">
      <c r="A18" s="170"/>
      <c r="B18" s="171"/>
      <c r="C18" s="171"/>
      <c r="D18" s="171"/>
      <c r="E18" s="171"/>
      <c r="F18" s="174"/>
      <c r="G18" s="174"/>
      <c r="H18" s="195"/>
      <c r="I18" s="174"/>
      <c r="J18" s="32" t="s">
        <v>166</v>
      </c>
      <c r="K18" s="30" t="s">
        <v>167</v>
      </c>
      <c r="L18" s="30" t="s">
        <v>168</v>
      </c>
      <c r="M18" s="32" t="s">
        <v>169</v>
      </c>
      <c r="N18" s="32" t="s">
        <v>170</v>
      </c>
      <c r="O18" s="32" t="s">
        <v>171</v>
      </c>
      <c r="P18" s="185"/>
      <c r="Q18" s="185"/>
      <c r="R18" s="176"/>
    </row>
    <row r="19" spans="1:18" s="44" customFormat="1" ht="147" customHeight="1" x14ac:dyDescent="0.25">
      <c r="A19" s="190">
        <v>1</v>
      </c>
      <c r="B19" s="187" t="s">
        <v>47</v>
      </c>
      <c r="C19" s="268">
        <f>0.25 *1.28791886111175</f>
        <v>0.32197971527793751</v>
      </c>
      <c r="D19" s="34" t="s">
        <v>48</v>
      </c>
      <c r="E19" s="35">
        <f>C19/5</f>
        <v>6.4395943055587504E-2</v>
      </c>
      <c r="F19" s="35">
        <f>E19/$E$50* 100</f>
        <v>0.22498543621060257</v>
      </c>
      <c r="G19" s="36" t="s">
        <v>49</v>
      </c>
      <c r="H19" s="37">
        <v>1</v>
      </c>
      <c r="I19" s="38" t="s">
        <v>50</v>
      </c>
      <c r="J19" s="39">
        <v>100</v>
      </c>
      <c r="K19" s="40">
        <v>95</v>
      </c>
      <c r="L19" s="40">
        <v>90</v>
      </c>
      <c r="M19" s="40">
        <v>85</v>
      </c>
      <c r="N19" s="40">
        <v>80</v>
      </c>
      <c r="O19" s="40" t="s">
        <v>51</v>
      </c>
      <c r="P19" s="41"/>
      <c r="Q19" s="42">
        <f t="shared" ref="Q19:Q25" si="0">IF(OR(TRIM(P19)="",P19=0),0,
IF(P19&lt;N19,50,
IF(P19&lt;M19,60,
IF(P19&lt;L19,70,
IF(P19&lt;K19,80,
IF(ISNUMBER(J19),
    IF(P19&lt;J19,IF(P19&gt;=K19,90,80),100),
    IF(P19=K19,90,100)
))))))</f>
        <v>0</v>
      </c>
      <c r="R19" s="43">
        <f t="shared" ref="R19:R25" si="1">F19*Q19/100</f>
        <v>0</v>
      </c>
    </row>
    <row r="20" spans="1:18" s="44" customFormat="1" ht="147" customHeight="1" x14ac:dyDescent="0.25">
      <c r="A20" s="267"/>
      <c r="B20" s="188"/>
      <c r="C20" s="269"/>
      <c r="D20" s="34" t="s">
        <v>52</v>
      </c>
      <c r="E20" s="35">
        <f>C19/5</f>
        <v>6.4395943055587504E-2</v>
      </c>
      <c r="F20" s="35">
        <f t="shared" ref="F20:F49" si="2">E20/$E$50* 100</f>
        <v>0.22498543621060257</v>
      </c>
      <c r="G20" s="36" t="s">
        <v>53</v>
      </c>
      <c r="H20" s="37">
        <v>1</v>
      </c>
      <c r="I20" s="38" t="s">
        <v>50</v>
      </c>
      <c r="J20" s="39">
        <v>100</v>
      </c>
      <c r="K20" s="40">
        <v>95</v>
      </c>
      <c r="L20" s="40">
        <v>90</v>
      </c>
      <c r="M20" s="40">
        <v>85</v>
      </c>
      <c r="N20" s="40">
        <v>80</v>
      </c>
      <c r="O20" s="40" t="s">
        <v>51</v>
      </c>
      <c r="P20" s="41"/>
      <c r="Q20" s="42">
        <f t="shared" si="0"/>
        <v>0</v>
      </c>
      <c r="R20" s="43">
        <f t="shared" si="1"/>
        <v>0</v>
      </c>
    </row>
    <row r="21" spans="1:18" s="44" customFormat="1" ht="147" customHeight="1" x14ac:dyDescent="0.25">
      <c r="A21" s="267"/>
      <c r="B21" s="188"/>
      <c r="C21" s="269"/>
      <c r="D21" s="34" t="s">
        <v>54</v>
      </c>
      <c r="E21" s="35">
        <f>C19/5</f>
        <v>6.4395943055587504E-2</v>
      </c>
      <c r="F21" s="35">
        <f t="shared" si="2"/>
        <v>0.22498543621060257</v>
      </c>
      <c r="G21" s="36" t="s">
        <v>55</v>
      </c>
      <c r="H21" s="37">
        <v>1</v>
      </c>
      <c r="I21" s="38" t="s">
        <v>50</v>
      </c>
      <c r="J21" s="39">
        <v>100</v>
      </c>
      <c r="K21" s="40">
        <v>95</v>
      </c>
      <c r="L21" s="40">
        <v>90</v>
      </c>
      <c r="M21" s="40">
        <v>85</v>
      </c>
      <c r="N21" s="40">
        <v>80</v>
      </c>
      <c r="O21" s="40" t="s">
        <v>51</v>
      </c>
      <c r="P21" s="41"/>
      <c r="Q21" s="42">
        <f t="shared" si="0"/>
        <v>0</v>
      </c>
      <c r="R21" s="43">
        <f t="shared" si="1"/>
        <v>0</v>
      </c>
    </row>
    <row r="22" spans="1:18" s="44" customFormat="1" ht="147" customHeight="1" x14ac:dyDescent="0.25">
      <c r="A22" s="267"/>
      <c r="B22" s="188"/>
      <c r="C22" s="269"/>
      <c r="D22" s="34" t="s">
        <v>56</v>
      </c>
      <c r="E22" s="35">
        <f>C19/5</f>
        <v>6.4395943055587504E-2</v>
      </c>
      <c r="F22" s="35">
        <f t="shared" si="2"/>
        <v>0.22498543621060257</v>
      </c>
      <c r="G22" s="36" t="s">
        <v>57</v>
      </c>
      <c r="H22" s="45">
        <v>5</v>
      </c>
      <c r="I22" s="38" t="s">
        <v>58</v>
      </c>
      <c r="J22" s="39" t="s">
        <v>59</v>
      </c>
      <c r="K22" s="40">
        <v>5</v>
      </c>
      <c r="L22" s="40">
        <v>4</v>
      </c>
      <c r="M22" s="40">
        <v>3</v>
      </c>
      <c r="N22" s="40">
        <v>2</v>
      </c>
      <c r="O22" s="40">
        <v>1</v>
      </c>
      <c r="P22" s="41"/>
      <c r="Q22" s="42">
        <f t="shared" si="0"/>
        <v>0</v>
      </c>
      <c r="R22" s="43">
        <f t="shared" si="1"/>
        <v>0</v>
      </c>
    </row>
    <row r="23" spans="1:18" s="44" customFormat="1" ht="147" customHeight="1" x14ac:dyDescent="0.25">
      <c r="A23" s="191"/>
      <c r="B23" s="189"/>
      <c r="C23" s="270"/>
      <c r="D23" s="34" t="s">
        <v>60</v>
      </c>
      <c r="E23" s="35">
        <f>C19/5</f>
        <v>6.4395943055587504E-2</v>
      </c>
      <c r="F23" s="35">
        <f t="shared" si="2"/>
        <v>0.22498543621060257</v>
      </c>
      <c r="G23" s="36" t="s">
        <v>61</v>
      </c>
      <c r="H23" s="37">
        <v>1</v>
      </c>
      <c r="I23" s="38" t="s">
        <v>50</v>
      </c>
      <c r="J23" s="39">
        <v>100</v>
      </c>
      <c r="K23" s="40">
        <v>95</v>
      </c>
      <c r="L23" s="40">
        <v>90</v>
      </c>
      <c r="M23" s="40">
        <v>85</v>
      </c>
      <c r="N23" s="40">
        <v>80</v>
      </c>
      <c r="O23" s="40" t="s">
        <v>51</v>
      </c>
      <c r="P23" s="41"/>
      <c r="Q23" s="42">
        <f t="shared" si="0"/>
        <v>0</v>
      </c>
      <c r="R23" s="43">
        <f t="shared" si="1"/>
        <v>0</v>
      </c>
    </row>
    <row r="24" spans="1:18" s="44" customFormat="1" ht="147" customHeight="1" x14ac:dyDescent="0.25">
      <c r="A24" s="33">
        <v>2</v>
      </c>
      <c r="B24" s="34" t="s">
        <v>62</v>
      </c>
      <c r="C24" s="116">
        <f>0.25 *0.77275131666705</f>
        <v>0.1931878291667625</v>
      </c>
      <c r="D24" s="34" t="s">
        <v>63</v>
      </c>
      <c r="E24" s="35">
        <f>C24</f>
        <v>0.1931878291667625</v>
      </c>
      <c r="F24" s="35">
        <f t="shared" si="2"/>
        <v>0.67495630863180767</v>
      </c>
      <c r="G24" s="36" t="s">
        <v>64</v>
      </c>
      <c r="H24" s="37">
        <v>0.5</v>
      </c>
      <c r="I24" s="38" t="s">
        <v>50</v>
      </c>
      <c r="J24" s="39" t="s">
        <v>65</v>
      </c>
      <c r="K24" s="40">
        <v>50</v>
      </c>
      <c r="L24" s="40">
        <v>45</v>
      </c>
      <c r="M24" s="40">
        <v>40</v>
      </c>
      <c r="N24" s="40">
        <v>25</v>
      </c>
      <c r="O24" s="40" t="s">
        <v>66</v>
      </c>
      <c r="P24" s="41"/>
      <c r="Q24" s="42">
        <f t="shared" si="0"/>
        <v>0</v>
      </c>
      <c r="R24" s="43">
        <f t="shared" si="1"/>
        <v>0</v>
      </c>
    </row>
    <row r="25" spans="1:18" s="44" customFormat="1" ht="147" customHeight="1" x14ac:dyDescent="0.25">
      <c r="A25" s="190">
        <v>2</v>
      </c>
      <c r="B25" s="187" t="s">
        <v>67</v>
      </c>
      <c r="C25" s="268">
        <f>0.25 *68.7196706607483</f>
        <v>17.179917665187077</v>
      </c>
      <c r="D25" s="34" t="s">
        <v>68</v>
      </c>
      <c r="E25" s="35">
        <f>C25/10</f>
        <v>1.7179917665187077</v>
      </c>
      <c r="F25" s="35">
        <f t="shared" si="2"/>
        <v>6.0022900303328557</v>
      </c>
      <c r="G25" s="34" t="s">
        <v>69</v>
      </c>
      <c r="H25" s="45">
        <v>80</v>
      </c>
      <c r="I25" s="45" t="s">
        <v>50</v>
      </c>
      <c r="J25" s="39" t="s">
        <v>70</v>
      </c>
      <c r="K25" s="40">
        <v>80</v>
      </c>
      <c r="L25" s="40">
        <v>75</v>
      </c>
      <c r="M25" s="40">
        <v>70</v>
      </c>
      <c r="N25" s="40">
        <v>50</v>
      </c>
      <c r="O25" s="40" t="s">
        <v>71</v>
      </c>
      <c r="P25" s="41"/>
      <c r="Q25" s="42">
        <f t="shared" si="0"/>
        <v>0</v>
      </c>
      <c r="R25" s="43">
        <f t="shared" si="1"/>
        <v>0</v>
      </c>
    </row>
    <row r="26" spans="1:18" s="44" customFormat="1" ht="147" customHeight="1" x14ac:dyDescent="0.25">
      <c r="A26" s="267"/>
      <c r="B26" s="188"/>
      <c r="C26" s="269"/>
      <c r="D26" s="34" t="s">
        <v>72</v>
      </c>
      <c r="E26" s="35">
        <f>C25/10</f>
        <v>1.7179917665187077</v>
      </c>
      <c r="F26" s="35">
        <f t="shared" si="2"/>
        <v>6.0022900303328557</v>
      </c>
      <c r="G26" s="34" t="s">
        <v>73</v>
      </c>
      <c r="H26" s="45">
        <v>80</v>
      </c>
      <c r="I26" s="45" t="s">
        <v>50</v>
      </c>
      <c r="J26" s="39" t="s">
        <v>70</v>
      </c>
      <c r="K26" s="40">
        <v>80</v>
      </c>
      <c r="L26" s="40">
        <v>75</v>
      </c>
      <c r="M26" s="40">
        <v>70</v>
      </c>
      <c r="N26" s="40">
        <v>50</v>
      </c>
      <c r="O26" s="40" t="s">
        <v>71</v>
      </c>
      <c r="P26" s="41"/>
      <c r="Q26" s="42">
        <f t="shared" ref="Q26:Q49" si="3">IF(OR(TRIM(P26)="",P26=0),0,
IF(P26&lt;N26,50,
IF(P26&lt;M26,60,
IF(P26&lt;L26,70,
IF(P26&lt;K26,80,
IF(ISNUMBER(J26),
    IF(P26&lt;J26,IF(P26&gt;=K26,90,80),100),
    IF(P26=K26,90,100)
))))))</f>
        <v>0</v>
      </c>
      <c r="R26" s="43">
        <f t="shared" ref="R26:R49" si="4">F26*Q26/100</f>
        <v>0</v>
      </c>
    </row>
    <row r="27" spans="1:18" s="44" customFormat="1" ht="147" customHeight="1" x14ac:dyDescent="0.25">
      <c r="A27" s="267"/>
      <c r="B27" s="188"/>
      <c r="C27" s="269"/>
      <c r="D27" s="34" t="s">
        <v>74</v>
      </c>
      <c r="E27" s="35">
        <f>C25/10</f>
        <v>1.7179917665187077</v>
      </c>
      <c r="F27" s="35">
        <f t="shared" si="2"/>
        <v>6.0022900303328557</v>
      </c>
      <c r="G27" s="34" t="s">
        <v>75</v>
      </c>
      <c r="H27" s="46">
        <v>0.9</v>
      </c>
      <c r="I27" s="45" t="s">
        <v>50</v>
      </c>
      <c r="J27" s="39" t="s">
        <v>76</v>
      </c>
      <c r="K27" s="40">
        <v>90</v>
      </c>
      <c r="L27" s="40">
        <v>80</v>
      </c>
      <c r="M27" s="40">
        <v>70</v>
      </c>
      <c r="N27" s="40">
        <v>50</v>
      </c>
      <c r="O27" s="40" t="s">
        <v>71</v>
      </c>
      <c r="P27" s="41"/>
      <c r="Q27" s="42">
        <f t="shared" si="3"/>
        <v>0</v>
      </c>
      <c r="R27" s="43">
        <f t="shared" si="4"/>
        <v>0</v>
      </c>
    </row>
    <row r="28" spans="1:18" s="44" customFormat="1" ht="147" customHeight="1" x14ac:dyDescent="0.25">
      <c r="A28" s="267"/>
      <c r="B28" s="188"/>
      <c r="C28" s="269"/>
      <c r="D28" s="34" t="s">
        <v>77</v>
      </c>
      <c r="E28" s="35">
        <f>C25/10</f>
        <v>1.7179917665187077</v>
      </c>
      <c r="F28" s="35">
        <f t="shared" si="2"/>
        <v>6.0022900303328557</v>
      </c>
      <c r="G28" s="34" t="s">
        <v>78</v>
      </c>
      <c r="H28" s="45">
        <v>80</v>
      </c>
      <c r="I28" s="45" t="s">
        <v>50</v>
      </c>
      <c r="J28" s="39" t="s">
        <v>70</v>
      </c>
      <c r="K28" s="40">
        <v>80</v>
      </c>
      <c r="L28" s="40">
        <v>75</v>
      </c>
      <c r="M28" s="40">
        <v>70</v>
      </c>
      <c r="N28" s="40">
        <v>50</v>
      </c>
      <c r="O28" s="40" t="s">
        <v>71</v>
      </c>
      <c r="P28" s="41"/>
      <c r="Q28" s="42">
        <f t="shared" si="3"/>
        <v>0</v>
      </c>
      <c r="R28" s="43">
        <f t="shared" si="4"/>
        <v>0</v>
      </c>
    </row>
    <row r="29" spans="1:18" s="44" customFormat="1" ht="147" customHeight="1" x14ac:dyDescent="0.25">
      <c r="A29" s="267"/>
      <c r="B29" s="188"/>
      <c r="C29" s="269"/>
      <c r="D29" s="34" t="s">
        <v>79</v>
      </c>
      <c r="E29" s="35">
        <f>C25/10</f>
        <v>1.7179917665187077</v>
      </c>
      <c r="F29" s="35">
        <f t="shared" si="2"/>
        <v>6.0022900303328557</v>
      </c>
      <c r="G29" s="34" t="s">
        <v>80</v>
      </c>
      <c r="H29" s="46">
        <v>0.9</v>
      </c>
      <c r="I29" s="45" t="s">
        <v>50</v>
      </c>
      <c r="J29" s="39" t="s">
        <v>76</v>
      </c>
      <c r="K29" s="40">
        <v>90</v>
      </c>
      <c r="L29" s="40">
        <v>80</v>
      </c>
      <c r="M29" s="40">
        <v>70</v>
      </c>
      <c r="N29" s="40">
        <v>50</v>
      </c>
      <c r="O29" s="40" t="s">
        <v>71</v>
      </c>
      <c r="P29" s="41"/>
      <c r="Q29" s="42">
        <f t="shared" si="3"/>
        <v>0</v>
      </c>
      <c r="R29" s="43">
        <f t="shared" si="4"/>
        <v>0</v>
      </c>
    </row>
    <row r="30" spans="1:18" s="44" customFormat="1" ht="147" customHeight="1" x14ac:dyDescent="0.25">
      <c r="A30" s="267"/>
      <c r="B30" s="188"/>
      <c r="C30" s="269"/>
      <c r="D30" s="34" t="s">
        <v>81</v>
      </c>
      <c r="E30" s="35">
        <f>C25/10</f>
        <v>1.7179917665187077</v>
      </c>
      <c r="F30" s="35">
        <f t="shared" si="2"/>
        <v>6.0022900303328557</v>
      </c>
      <c r="G30" s="34" t="s">
        <v>82</v>
      </c>
      <c r="H30" s="46">
        <v>0.8</v>
      </c>
      <c r="I30" s="45" t="s">
        <v>50</v>
      </c>
      <c r="J30" s="39" t="s">
        <v>70</v>
      </c>
      <c r="K30" s="40">
        <v>80</v>
      </c>
      <c r="L30" s="40">
        <v>75</v>
      </c>
      <c r="M30" s="40">
        <v>70</v>
      </c>
      <c r="N30" s="40">
        <v>50</v>
      </c>
      <c r="O30" s="40" t="s">
        <v>71</v>
      </c>
      <c r="P30" s="41"/>
      <c r="Q30" s="42">
        <f t="shared" si="3"/>
        <v>0</v>
      </c>
      <c r="R30" s="43">
        <f t="shared" si="4"/>
        <v>0</v>
      </c>
    </row>
    <row r="31" spans="1:18" s="44" customFormat="1" ht="147" customHeight="1" x14ac:dyDescent="0.25">
      <c r="A31" s="267"/>
      <c r="B31" s="188"/>
      <c r="C31" s="269"/>
      <c r="D31" s="34" t="s">
        <v>83</v>
      </c>
      <c r="E31" s="35">
        <f>C25/10</f>
        <v>1.7179917665187077</v>
      </c>
      <c r="F31" s="35">
        <f t="shared" si="2"/>
        <v>6.0022900303328557</v>
      </c>
      <c r="G31" s="34" t="s">
        <v>84</v>
      </c>
      <c r="H31" s="46">
        <v>0.9</v>
      </c>
      <c r="I31" s="45" t="s">
        <v>50</v>
      </c>
      <c r="J31" s="39" t="s">
        <v>76</v>
      </c>
      <c r="K31" s="40">
        <v>90</v>
      </c>
      <c r="L31" s="40">
        <v>80</v>
      </c>
      <c r="M31" s="40">
        <v>70</v>
      </c>
      <c r="N31" s="40">
        <v>50</v>
      </c>
      <c r="O31" s="40" t="s">
        <v>71</v>
      </c>
      <c r="P31" s="41"/>
      <c r="Q31" s="42">
        <f t="shared" si="3"/>
        <v>0</v>
      </c>
      <c r="R31" s="43">
        <f t="shared" si="4"/>
        <v>0</v>
      </c>
    </row>
    <row r="32" spans="1:18" s="44" customFormat="1" ht="147" customHeight="1" x14ac:dyDescent="0.25">
      <c r="A32" s="267"/>
      <c r="B32" s="188"/>
      <c r="C32" s="269"/>
      <c r="D32" s="34" t="s">
        <v>85</v>
      </c>
      <c r="E32" s="35">
        <f>C25/10</f>
        <v>1.7179917665187077</v>
      </c>
      <c r="F32" s="35">
        <f t="shared" si="2"/>
        <v>6.0022900303328557</v>
      </c>
      <c r="G32" s="34" t="s">
        <v>86</v>
      </c>
      <c r="H32" s="46">
        <v>0.8</v>
      </c>
      <c r="I32" s="45" t="s">
        <v>50</v>
      </c>
      <c r="J32" s="39" t="s">
        <v>70</v>
      </c>
      <c r="K32" s="40">
        <v>80</v>
      </c>
      <c r="L32" s="40">
        <v>75</v>
      </c>
      <c r="M32" s="40">
        <v>70</v>
      </c>
      <c r="N32" s="40">
        <v>50</v>
      </c>
      <c r="O32" s="40" t="s">
        <v>71</v>
      </c>
      <c r="P32" s="41"/>
      <c r="Q32" s="42">
        <f t="shared" si="3"/>
        <v>0</v>
      </c>
      <c r="R32" s="43">
        <f t="shared" si="4"/>
        <v>0</v>
      </c>
    </row>
    <row r="33" spans="1:18" s="44" customFormat="1" ht="147" customHeight="1" x14ac:dyDescent="0.25">
      <c r="A33" s="267"/>
      <c r="B33" s="188"/>
      <c r="C33" s="269"/>
      <c r="D33" s="34" t="s">
        <v>87</v>
      </c>
      <c r="E33" s="35">
        <f>C25/10</f>
        <v>1.7179917665187077</v>
      </c>
      <c r="F33" s="35">
        <f t="shared" si="2"/>
        <v>6.0022900303328557</v>
      </c>
      <c r="G33" s="34" t="s">
        <v>88</v>
      </c>
      <c r="H33" s="46">
        <v>0.8</v>
      </c>
      <c r="I33" s="45" t="s">
        <v>50</v>
      </c>
      <c r="J33" s="39" t="s">
        <v>70</v>
      </c>
      <c r="K33" s="40">
        <v>80</v>
      </c>
      <c r="L33" s="40">
        <v>75</v>
      </c>
      <c r="M33" s="40">
        <v>70</v>
      </c>
      <c r="N33" s="40">
        <v>50</v>
      </c>
      <c r="O33" s="40" t="s">
        <v>71</v>
      </c>
      <c r="P33" s="41"/>
      <c r="Q33" s="42">
        <f t="shared" si="3"/>
        <v>0</v>
      </c>
      <c r="R33" s="43">
        <f t="shared" si="4"/>
        <v>0</v>
      </c>
    </row>
    <row r="34" spans="1:18" s="44" customFormat="1" ht="147" customHeight="1" x14ac:dyDescent="0.25">
      <c r="A34" s="191"/>
      <c r="B34" s="189"/>
      <c r="C34" s="270"/>
      <c r="D34" s="34" t="s">
        <v>89</v>
      </c>
      <c r="E34" s="35">
        <f>C25/10</f>
        <v>1.7179917665187077</v>
      </c>
      <c r="F34" s="35">
        <f t="shared" si="2"/>
        <v>6.0022900303328557</v>
      </c>
      <c r="G34" s="34" t="s">
        <v>90</v>
      </c>
      <c r="H34" s="46">
        <v>0.9</v>
      </c>
      <c r="I34" s="45" t="s">
        <v>50</v>
      </c>
      <c r="J34" s="39" t="s">
        <v>76</v>
      </c>
      <c r="K34" s="40">
        <v>90</v>
      </c>
      <c r="L34" s="40">
        <v>80</v>
      </c>
      <c r="M34" s="40">
        <v>70</v>
      </c>
      <c r="N34" s="40">
        <v>50</v>
      </c>
      <c r="O34" s="40" t="s">
        <v>71</v>
      </c>
      <c r="P34" s="41"/>
      <c r="Q34" s="42">
        <f t="shared" si="3"/>
        <v>0</v>
      </c>
      <c r="R34" s="43">
        <f t="shared" si="4"/>
        <v>0</v>
      </c>
    </row>
    <row r="35" spans="1:18" s="44" customFormat="1" ht="147" customHeight="1" x14ac:dyDescent="0.25">
      <c r="A35" s="190">
        <v>3</v>
      </c>
      <c r="B35" s="187" t="s">
        <v>91</v>
      </c>
      <c r="C35" s="268">
        <v>9.6593914583381224</v>
      </c>
      <c r="D35" s="187" t="s">
        <v>92</v>
      </c>
      <c r="E35" s="35">
        <f>C35/8</f>
        <v>1.2074239322922653</v>
      </c>
      <c r="F35" s="35">
        <f t="shared" si="2"/>
        <v>4.2184769289487969</v>
      </c>
      <c r="G35" s="34" t="s">
        <v>93</v>
      </c>
      <c r="H35" s="46">
        <v>1</v>
      </c>
      <c r="I35" s="38" t="s">
        <v>50</v>
      </c>
      <c r="J35" s="39">
        <v>100</v>
      </c>
      <c r="K35" s="40">
        <v>95</v>
      </c>
      <c r="L35" s="40">
        <v>90</v>
      </c>
      <c r="M35" s="40">
        <v>85</v>
      </c>
      <c r="N35" s="40">
        <v>80</v>
      </c>
      <c r="O35" s="40" t="s">
        <v>51</v>
      </c>
      <c r="P35" s="41"/>
      <c r="Q35" s="42">
        <f t="shared" si="3"/>
        <v>0</v>
      </c>
      <c r="R35" s="43">
        <f t="shared" si="4"/>
        <v>0</v>
      </c>
    </row>
    <row r="36" spans="1:18" s="44" customFormat="1" ht="147" customHeight="1" x14ac:dyDescent="0.25">
      <c r="A36" s="267"/>
      <c r="B36" s="188"/>
      <c r="C36" s="269"/>
      <c r="D36" s="188"/>
      <c r="E36" s="35">
        <f>C35/8</f>
        <v>1.2074239322922653</v>
      </c>
      <c r="F36" s="35">
        <f t="shared" si="2"/>
        <v>4.2184769289487969</v>
      </c>
      <c r="G36" s="34" t="s">
        <v>94</v>
      </c>
      <c r="H36" s="46">
        <v>1</v>
      </c>
      <c r="I36" s="38" t="s">
        <v>50</v>
      </c>
      <c r="J36" s="39">
        <v>100</v>
      </c>
      <c r="K36" s="40">
        <v>95</v>
      </c>
      <c r="L36" s="40">
        <v>90</v>
      </c>
      <c r="M36" s="40">
        <v>85</v>
      </c>
      <c r="N36" s="40">
        <v>80</v>
      </c>
      <c r="O36" s="40" t="s">
        <v>51</v>
      </c>
      <c r="P36" s="41"/>
      <c r="Q36" s="42">
        <f t="shared" si="3"/>
        <v>0</v>
      </c>
      <c r="R36" s="43">
        <f t="shared" si="4"/>
        <v>0</v>
      </c>
    </row>
    <row r="37" spans="1:18" s="44" customFormat="1" ht="147" customHeight="1" x14ac:dyDescent="0.25">
      <c r="A37" s="267"/>
      <c r="B37" s="188"/>
      <c r="C37" s="269"/>
      <c r="D37" s="188"/>
      <c r="E37" s="35">
        <f>C35/8</f>
        <v>1.2074239322922653</v>
      </c>
      <c r="F37" s="35">
        <f t="shared" si="2"/>
        <v>4.2184769289487969</v>
      </c>
      <c r="G37" s="34" t="s">
        <v>95</v>
      </c>
      <c r="H37" s="46">
        <v>0.9</v>
      </c>
      <c r="I37" s="45" t="s">
        <v>50</v>
      </c>
      <c r="J37" s="39" t="s">
        <v>76</v>
      </c>
      <c r="K37" s="40">
        <v>90</v>
      </c>
      <c r="L37" s="40">
        <v>80</v>
      </c>
      <c r="M37" s="40">
        <v>70</v>
      </c>
      <c r="N37" s="40">
        <v>50</v>
      </c>
      <c r="O37" s="40" t="s">
        <v>71</v>
      </c>
      <c r="P37" s="41"/>
      <c r="Q37" s="42">
        <f t="shared" si="3"/>
        <v>0</v>
      </c>
      <c r="R37" s="43">
        <f t="shared" si="4"/>
        <v>0</v>
      </c>
    </row>
    <row r="38" spans="1:18" s="44" customFormat="1" ht="147" customHeight="1" x14ac:dyDescent="0.25">
      <c r="A38" s="267"/>
      <c r="B38" s="188"/>
      <c r="C38" s="269"/>
      <c r="D38" s="188"/>
      <c r="E38" s="35">
        <f>C35/8</f>
        <v>1.2074239322922653</v>
      </c>
      <c r="F38" s="35">
        <f t="shared" si="2"/>
        <v>4.2184769289487969</v>
      </c>
      <c r="G38" s="34" t="s">
        <v>96</v>
      </c>
      <c r="H38" s="46">
        <v>0.9</v>
      </c>
      <c r="I38" s="45" t="s">
        <v>50</v>
      </c>
      <c r="J38" s="39" t="s">
        <v>76</v>
      </c>
      <c r="K38" s="40">
        <v>90</v>
      </c>
      <c r="L38" s="40">
        <v>80</v>
      </c>
      <c r="M38" s="40">
        <v>70</v>
      </c>
      <c r="N38" s="40">
        <v>50</v>
      </c>
      <c r="O38" s="40" t="s">
        <v>71</v>
      </c>
      <c r="P38" s="41"/>
      <c r="Q38" s="42">
        <f t="shared" si="3"/>
        <v>0</v>
      </c>
      <c r="R38" s="43">
        <f t="shared" si="4"/>
        <v>0</v>
      </c>
    </row>
    <row r="39" spans="1:18" s="44" customFormat="1" ht="147" customHeight="1" x14ac:dyDescent="0.25">
      <c r="A39" s="267"/>
      <c r="B39" s="188"/>
      <c r="C39" s="269"/>
      <c r="D39" s="188"/>
      <c r="E39" s="35">
        <f>C35/8</f>
        <v>1.2074239322922653</v>
      </c>
      <c r="F39" s="35">
        <f t="shared" si="2"/>
        <v>4.2184769289487969</v>
      </c>
      <c r="G39" s="34" t="s">
        <v>97</v>
      </c>
      <c r="H39" s="46">
        <v>0.8</v>
      </c>
      <c r="I39" s="45" t="s">
        <v>50</v>
      </c>
      <c r="J39" s="39" t="s">
        <v>70</v>
      </c>
      <c r="K39" s="40">
        <v>80</v>
      </c>
      <c r="L39" s="40">
        <v>75</v>
      </c>
      <c r="M39" s="40">
        <v>70</v>
      </c>
      <c r="N39" s="40">
        <v>50</v>
      </c>
      <c r="O39" s="40" t="s">
        <v>71</v>
      </c>
      <c r="P39" s="41"/>
      <c r="Q39" s="42">
        <f t="shared" si="3"/>
        <v>0</v>
      </c>
      <c r="R39" s="43">
        <f t="shared" si="4"/>
        <v>0</v>
      </c>
    </row>
    <row r="40" spans="1:18" s="44" customFormat="1" ht="147" customHeight="1" x14ac:dyDescent="0.25">
      <c r="A40" s="267"/>
      <c r="B40" s="188"/>
      <c r="C40" s="269"/>
      <c r="D40" s="188"/>
      <c r="E40" s="35">
        <f>C35/8</f>
        <v>1.2074239322922653</v>
      </c>
      <c r="F40" s="35">
        <f t="shared" si="2"/>
        <v>4.2184769289487969</v>
      </c>
      <c r="G40" s="34" t="s">
        <v>98</v>
      </c>
      <c r="H40" s="46">
        <v>1</v>
      </c>
      <c r="I40" s="38" t="s">
        <v>50</v>
      </c>
      <c r="J40" s="39">
        <v>100</v>
      </c>
      <c r="K40" s="40">
        <v>95</v>
      </c>
      <c r="L40" s="40">
        <v>90</v>
      </c>
      <c r="M40" s="40">
        <v>85</v>
      </c>
      <c r="N40" s="40">
        <v>80</v>
      </c>
      <c r="O40" s="40" t="s">
        <v>51</v>
      </c>
      <c r="P40" s="41"/>
      <c r="Q40" s="42">
        <f t="shared" si="3"/>
        <v>0</v>
      </c>
      <c r="R40" s="43">
        <f t="shared" si="4"/>
        <v>0</v>
      </c>
    </row>
    <row r="41" spans="1:18" s="44" customFormat="1" ht="147" customHeight="1" x14ac:dyDescent="0.25">
      <c r="A41" s="267"/>
      <c r="B41" s="188"/>
      <c r="C41" s="269"/>
      <c r="D41" s="188"/>
      <c r="E41" s="35">
        <f>C35/8</f>
        <v>1.2074239322922653</v>
      </c>
      <c r="F41" s="35">
        <f t="shared" si="2"/>
        <v>4.2184769289487969</v>
      </c>
      <c r="G41" s="34" t="s">
        <v>99</v>
      </c>
      <c r="H41" s="46">
        <v>1</v>
      </c>
      <c r="I41" s="38" t="s">
        <v>50</v>
      </c>
      <c r="J41" s="39">
        <v>100</v>
      </c>
      <c r="K41" s="40">
        <v>95</v>
      </c>
      <c r="L41" s="40">
        <v>90</v>
      </c>
      <c r="M41" s="40">
        <v>85</v>
      </c>
      <c r="N41" s="40">
        <v>80</v>
      </c>
      <c r="O41" s="40" t="s">
        <v>51</v>
      </c>
      <c r="P41" s="41"/>
      <c r="Q41" s="42">
        <f t="shared" si="3"/>
        <v>0</v>
      </c>
      <c r="R41" s="43">
        <f t="shared" si="4"/>
        <v>0</v>
      </c>
    </row>
    <row r="42" spans="1:18" s="44" customFormat="1" ht="147" customHeight="1" x14ac:dyDescent="0.25">
      <c r="A42" s="191"/>
      <c r="B42" s="189"/>
      <c r="C42" s="270"/>
      <c r="D42" s="189"/>
      <c r="E42" s="35">
        <f>C35/8</f>
        <v>1.2074239322922653</v>
      </c>
      <c r="F42" s="35">
        <f t="shared" si="2"/>
        <v>4.2184769289487969</v>
      </c>
      <c r="G42" s="34" t="s">
        <v>100</v>
      </c>
      <c r="H42" s="46">
        <v>1</v>
      </c>
      <c r="I42" s="38" t="s">
        <v>50</v>
      </c>
      <c r="J42" s="39">
        <v>100</v>
      </c>
      <c r="K42" s="40">
        <v>95</v>
      </c>
      <c r="L42" s="40">
        <v>90</v>
      </c>
      <c r="M42" s="40">
        <v>85</v>
      </c>
      <c r="N42" s="40">
        <v>80</v>
      </c>
      <c r="O42" s="40" t="s">
        <v>51</v>
      </c>
      <c r="P42" s="41"/>
      <c r="Q42" s="42">
        <f t="shared" si="3"/>
        <v>0</v>
      </c>
      <c r="R42" s="43">
        <f t="shared" si="4"/>
        <v>0</v>
      </c>
    </row>
    <row r="43" spans="1:18" s="44" customFormat="1" ht="147" customHeight="1" x14ac:dyDescent="0.25">
      <c r="A43" s="33">
        <v>5</v>
      </c>
      <c r="B43" s="34" t="s">
        <v>101</v>
      </c>
      <c r="C43" s="47">
        <f>0.25 *1.20742393229227</f>
        <v>0.30185598307306749</v>
      </c>
      <c r="D43" s="34" t="s">
        <v>102</v>
      </c>
      <c r="E43" s="35">
        <f>C43</f>
        <v>0.30185598307306749</v>
      </c>
      <c r="F43" s="35">
        <f t="shared" si="2"/>
        <v>1.0546192322372032</v>
      </c>
      <c r="G43" s="36" t="s">
        <v>103</v>
      </c>
      <c r="H43" s="45">
        <v>5</v>
      </c>
      <c r="I43" s="38" t="s">
        <v>58</v>
      </c>
      <c r="J43" s="39" t="s">
        <v>59</v>
      </c>
      <c r="K43" s="40">
        <v>5</v>
      </c>
      <c r="L43" s="40">
        <v>4</v>
      </c>
      <c r="M43" s="40">
        <v>3</v>
      </c>
      <c r="N43" s="40">
        <v>2</v>
      </c>
      <c r="O43" s="40">
        <v>1</v>
      </c>
      <c r="P43" s="41"/>
      <c r="Q43" s="42">
        <f t="shared" si="3"/>
        <v>0</v>
      </c>
      <c r="R43" s="43">
        <f t="shared" si="4"/>
        <v>0</v>
      </c>
    </row>
    <row r="44" spans="1:18" s="44" customFormat="1" ht="147" customHeight="1" x14ac:dyDescent="0.25">
      <c r="A44" s="190">
        <v>7</v>
      </c>
      <c r="B44" s="187" t="s">
        <v>104</v>
      </c>
      <c r="C44" s="192">
        <f>0.25 *2.41484786458453</f>
        <v>0.60371196614613254</v>
      </c>
      <c r="D44" s="34" t="s">
        <v>105</v>
      </c>
      <c r="E44" s="35">
        <f>C44/2</f>
        <v>0.30185598307306627</v>
      </c>
      <c r="F44" s="35">
        <f t="shared" si="2"/>
        <v>1.0546192322371992</v>
      </c>
      <c r="G44" s="36" t="s">
        <v>106</v>
      </c>
      <c r="H44" s="45">
        <v>5</v>
      </c>
      <c r="I44" s="45" t="s">
        <v>58</v>
      </c>
      <c r="J44" s="39" t="s">
        <v>59</v>
      </c>
      <c r="K44" s="40">
        <v>5</v>
      </c>
      <c r="L44" s="40">
        <v>4</v>
      </c>
      <c r="M44" s="40">
        <v>3</v>
      </c>
      <c r="N44" s="40">
        <v>2</v>
      </c>
      <c r="O44" s="40">
        <v>1</v>
      </c>
      <c r="P44" s="41"/>
      <c r="Q44" s="42">
        <f t="shared" si="3"/>
        <v>0</v>
      </c>
      <c r="R44" s="43">
        <f t="shared" si="4"/>
        <v>0</v>
      </c>
    </row>
    <row r="45" spans="1:18" s="44" customFormat="1" ht="147" customHeight="1" x14ac:dyDescent="0.25">
      <c r="A45" s="191"/>
      <c r="B45" s="189"/>
      <c r="C45" s="193"/>
      <c r="D45" s="34" t="s">
        <v>107</v>
      </c>
      <c r="E45" s="35">
        <f>C44/2</f>
        <v>0.30185598307306627</v>
      </c>
      <c r="F45" s="35">
        <f t="shared" si="2"/>
        <v>1.0546192322371992</v>
      </c>
      <c r="G45" s="36" t="s">
        <v>108</v>
      </c>
      <c r="H45" s="46">
        <v>0.8</v>
      </c>
      <c r="I45" s="45" t="s">
        <v>50</v>
      </c>
      <c r="J45" s="39" t="s">
        <v>70</v>
      </c>
      <c r="K45" s="40">
        <v>80</v>
      </c>
      <c r="L45" s="40">
        <v>75</v>
      </c>
      <c r="M45" s="40">
        <v>70</v>
      </c>
      <c r="N45" s="40">
        <v>50</v>
      </c>
      <c r="O45" s="40" t="s">
        <v>71</v>
      </c>
      <c r="P45" s="41"/>
      <c r="Q45" s="42">
        <f t="shared" si="3"/>
        <v>0</v>
      </c>
      <c r="R45" s="43">
        <f t="shared" si="4"/>
        <v>0</v>
      </c>
    </row>
    <row r="46" spans="1:18" s="44" customFormat="1" ht="147" customHeight="1" x14ac:dyDescent="0.25">
      <c r="A46" s="190">
        <v>8</v>
      </c>
      <c r="B46" s="187" t="s">
        <v>109</v>
      </c>
      <c r="C46" s="192">
        <f>0.25 *0.804949288194844</f>
        <v>0.201237322048711</v>
      </c>
      <c r="D46" s="34" t="s">
        <v>110</v>
      </c>
      <c r="E46" s="35">
        <f>C46/2</f>
        <v>0.1006186610243555</v>
      </c>
      <c r="F46" s="35">
        <f t="shared" si="2"/>
        <v>0.35153974407906663</v>
      </c>
      <c r="G46" s="36" t="s">
        <v>111</v>
      </c>
      <c r="H46" s="45">
        <v>5</v>
      </c>
      <c r="I46" s="45" t="s">
        <v>58</v>
      </c>
      <c r="J46" s="39" t="s">
        <v>59</v>
      </c>
      <c r="K46" s="40">
        <v>5</v>
      </c>
      <c r="L46" s="40">
        <v>4</v>
      </c>
      <c r="M46" s="40">
        <v>3</v>
      </c>
      <c r="N46" s="40">
        <v>2</v>
      </c>
      <c r="O46" s="40">
        <v>1</v>
      </c>
      <c r="P46" s="41"/>
      <c r="Q46" s="42">
        <f t="shared" si="3"/>
        <v>0</v>
      </c>
      <c r="R46" s="43">
        <f t="shared" si="4"/>
        <v>0</v>
      </c>
    </row>
    <row r="47" spans="1:18" s="44" customFormat="1" ht="147" customHeight="1" x14ac:dyDescent="0.25">
      <c r="A47" s="191"/>
      <c r="B47" s="189"/>
      <c r="C47" s="193"/>
      <c r="D47" s="34" t="s">
        <v>112</v>
      </c>
      <c r="E47" s="35">
        <f>C46/2</f>
        <v>0.1006186610243555</v>
      </c>
      <c r="F47" s="35">
        <f t="shared" si="2"/>
        <v>0.35153974407906663</v>
      </c>
      <c r="G47" s="36" t="s">
        <v>113</v>
      </c>
      <c r="H47" s="46">
        <v>0.8</v>
      </c>
      <c r="I47" s="45" t="s">
        <v>50</v>
      </c>
      <c r="J47" s="39" t="s">
        <v>70</v>
      </c>
      <c r="K47" s="40">
        <v>80</v>
      </c>
      <c r="L47" s="40">
        <v>75</v>
      </c>
      <c r="M47" s="40">
        <v>70</v>
      </c>
      <c r="N47" s="40">
        <v>50</v>
      </c>
      <c r="O47" s="40" t="s">
        <v>71</v>
      </c>
      <c r="P47" s="41"/>
      <c r="Q47" s="42">
        <f t="shared" si="3"/>
        <v>0</v>
      </c>
      <c r="R47" s="43">
        <f t="shared" si="4"/>
        <v>0</v>
      </c>
    </row>
    <row r="48" spans="1:18" s="44" customFormat="1" ht="147" customHeight="1" x14ac:dyDescent="0.25">
      <c r="A48" s="33">
        <v>10</v>
      </c>
      <c r="B48" s="34" t="s">
        <v>114</v>
      </c>
      <c r="C48" s="47">
        <f>0.25 *0.321979715277938</f>
        <v>8.0494928819484501E-2</v>
      </c>
      <c r="D48" s="115" t="s">
        <v>115</v>
      </c>
      <c r="E48" s="35">
        <f>C48</f>
        <v>8.0494928819484501E-2</v>
      </c>
      <c r="F48" s="35">
        <f t="shared" si="2"/>
        <v>0.28123179526325365</v>
      </c>
      <c r="G48" s="36" t="s">
        <v>116</v>
      </c>
      <c r="H48" s="37">
        <v>0.7</v>
      </c>
      <c r="I48" s="45" t="s">
        <v>50</v>
      </c>
      <c r="J48" s="39" t="s">
        <v>117</v>
      </c>
      <c r="K48" s="40">
        <v>70</v>
      </c>
      <c r="L48" s="40">
        <v>60</v>
      </c>
      <c r="M48" s="40">
        <v>50</v>
      </c>
      <c r="N48" s="40">
        <v>40</v>
      </c>
      <c r="O48" s="40" t="s">
        <v>118</v>
      </c>
      <c r="P48" s="41"/>
      <c r="Q48" s="42">
        <f t="shared" si="3"/>
        <v>0</v>
      </c>
      <c r="R48" s="43">
        <f t="shared" si="4"/>
        <v>0</v>
      </c>
    </row>
    <row r="49" spans="1:18" s="44" customFormat="1" ht="147" customHeight="1" x14ac:dyDescent="0.25">
      <c r="A49" s="33"/>
      <c r="B49" s="34" t="s">
        <v>119</v>
      </c>
      <c r="C49" s="47">
        <f>0.25 *0.321979715277938</f>
        <v>8.0494928819484501E-2</v>
      </c>
      <c r="D49" s="36" t="s">
        <v>120</v>
      </c>
      <c r="E49" s="35">
        <f>C49</f>
        <v>8.0494928819484501E-2</v>
      </c>
      <c r="F49" s="35">
        <f t="shared" si="2"/>
        <v>0.28123179526325365</v>
      </c>
      <c r="G49" s="36" t="s">
        <v>121</v>
      </c>
      <c r="H49" s="37">
        <v>0.5</v>
      </c>
      <c r="I49" s="38" t="s">
        <v>50</v>
      </c>
      <c r="J49" s="39" t="s">
        <v>65</v>
      </c>
      <c r="K49" s="40">
        <v>50</v>
      </c>
      <c r="L49" s="40">
        <v>45</v>
      </c>
      <c r="M49" s="40">
        <v>40</v>
      </c>
      <c r="N49" s="40">
        <v>25</v>
      </c>
      <c r="O49" s="40" t="s">
        <v>66</v>
      </c>
      <c r="P49" s="41"/>
      <c r="Q49" s="42">
        <f t="shared" si="3"/>
        <v>0</v>
      </c>
      <c r="R49" s="43">
        <f t="shared" si="4"/>
        <v>0</v>
      </c>
    </row>
    <row r="50" spans="1:18" s="58" customFormat="1" ht="44.25" x14ac:dyDescent="0.25">
      <c r="A50" s="48"/>
      <c r="B50" s="49" t="s">
        <v>122</v>
      </c>
      <c r="C50" s="50">
        <f>SUM(C19:C49)</f>
        <v>28.622271796876777</v>
      </c>
      <c r="D50" s="49"/>
      <c r="E50" s="50">
        <f>SUM(E19:E49)</f>
        <v>28.622271796876781</v>
      </c>
      <c r="F50" s="50">
        <f>SUM(F19:F49)</f>
        <v>100.00000000000004</v>
      </c>
      <c r="G50" s="51"/>
      <c r="H50" s="52"/>
      <c r="I50" s="53"/>
      <c r="J50" s="54"/>
      <c r="K50" s="54"/>
      <c r="L50" s="54"/>
      <c r="M50" s="54"/>
      <c r="N50" s="54"/>
      <c r="O50" s="54"/>
      <c r="P50" s="55"/>
      <c r="Q50" s="56"/>
      <c r="R50" s="57">
        <f>SUM(R19:R49)</f>
        <v>0</v>
      </c>
    </row>
    <row r="51" spans="1:18" s="60" customFormat="1" ht="66" customHeight="1" x14ac:dyDescent="0.7">
      <c r="A51" s="59"/>
      <c r="G51" s="61"/>
      <c r="H51" s="61"/>
      <c r="I51" s="177" t="s">
        <v>172</v>
      </c>
      <c r="J51" s="178"/>
      <c r="K51" s="178"/>
      <c r="L51" s="178"/>
      <c r="M51" s="178"/>
      <c r="N51" s="178"/>
      <c r="O51" s="178"/>
      <c r="P51" s="178"/>
      <c r="Q51" s="179"/>
      <c r="R51" s="62">
        <f>R50/100 * 70</f>
        <v>0</v>
      </c>
    </row>
    <row r="52" spans="1:18" s="67" customFormat="1" ht="36" x14ac:dyDescent="0.55000000000000004">
      <c r="A52" s="180" t="s">
        <v>123</v>
      </c>
      <c r="B52" s="181"/>
      <c r="C52" s="181"/>
      <c r="D52" s="181"/>
      <c r="E52" s="181"/>
      <c r="F52" s="181"/>
      <c r="G52" s="182"/>
      <c r="H52" s="183"/>
      <c r="I52" s="183"/>
      <c r="J52" s="183"/>
      <c r="K52" s="183"/>
      <c r="L52" s="184" t="s">
        <v>128</v>
      </c>
      <c r="M52" s="63" t="s">
        <v>124</v>
      </c>
      <c r="N52" s="63"/>
      <c r="O52" s="63"/>
      <c r="P52" s="64"/>
      <c r="Q52" s="65"/>
      <c r="R52" s="66"/>
    </row>
    <row r="53" spans="1:18" s="67" customFormat="1" ht="31.5" customHeight="1" x14ac:dyDescent="0.55000000000000004">
      <c r="A53" s="68"/>
      <c r="B53" s="69"/>
      <c r="C53" s="186" t="s">
        <v>125</v>
      </c>
      <c r="D53" s="186"/>
      <c r="E53" s="186"/>
      <c r="F53" s="186"/>
      <c r="G53" s="186"/>
      <c r="H53" s="70" t="s">
        <v>173</v>
      </c>
      <c r="I53" s="70" t="s">
        <v>174</v>
      </c>
      <c r="J53" s="70"/>
      <c r="K53" s="71"/>
      <c r="L53" s="185"/>
      <c r="M53" s="72"/>
      <c r="N53" s="72"/>
      <c r="O53" s="72"/>
      <c r="P53" s="73"/>
      <c r="Q53" s="65"/>
      <c r="R53" s="66"/>
    </row>
    <row r="54" spans="1:18" s="67" customFormat="1" ht="36" customHeight="1" x14ac:dyDescent="0.55000000000000004">
      <c r="A54" s="74">
        <v>1</v>
      </c>
      <c r="B54" s="75" t="s">
        <v>129</v>
      </c>
      <c r="C54" s="210"/>
      <c r="D54" s="211"/>
      <c r="E54" s="211"/>
      <c r="F54" s="211"/>
      <c r="G54" s="212"/>
      <c r="H54" s="76"/>
      <c r="I54" s="76"/>
      <c r="J54" s="76"/>
      <c r="K54" s="76"/>
      <c r="L54" s="77"/>
      <c r="M54" s="78" t="s">
        <v>41</v>
      </c>
      <c r="N54" s="202" t="s">
        <v>130</v>
      </c>
      <c r="O54" s="203"/>
      <c r="P54" s="73"/>
      <c r="Q54" s="65"/>
      <c r="R54" s="66"/>
    </row>
    <row r="55" spans="1:18" s="67" customFormat="1" ht="84.75" customHeight="1" x14ac:dyDescent="0.55000000000000004">
      <c r="A55" s="81" t="s">
        <v>131</v>
      </c>
      <c r="B55" s="82" t="s">
        <v>175</v>
      </c>
      <c r="C55" s="199"/>
      <c r="D55" s="200"/>
      <c r="E55" s="200"/>
      <c r="F55" s="200"/>
      <c r="G55" s="201"/>
      <c r="H55" s="83">
        <v>4</v>
      </c>
      <c r="I55" s="84"/>
      <c r="J55" s="83"/>
      <c r="K55" s="83"/>
      <c r="L55" s="77"/>
      <c r="M55" s="78" t="s">
        <v>42</v>
      </c>
      <c r="N55" s="202" t="s">
        <v>132</v>
      </c>
      <c r="O55" s="203"/>
      <c r="P55" s="73"/>
      <c r="Q55" s="65"/>
      <c r="R55" s="66"/>
    </row>
    <row r="56" spans="1:18" s="67" customFormat="1" ht="82.5" customHeight="1" x14ac:dyDescent="0.55000000000000004">
      <c r="A56" s="81" t="s">
        <v>133</v>
      </c>
      <c r="B56" s="82" t="s">
        <v>176</v>
      </c>
      <c r="C56" s="199"/>
      <c r="D56" s="200"/>
      <c r="E56" s="200"/>
      <c r="F56" s="200"/>
      <c r="G56" s="201"/>
      <c r="H56" s="83">
        <v>2</v>
      </c>
      <c r="I56" s="84"/>
      <c r="J56" s="83"/>
      <c r="K56" s="83"/>
      <c r="L56" s="77"/>
      <c r="M56" s="78" t="s">
        <v>43</v>
      </c>
      <c r="N56" s="202" t="s">
        <v>134</v>
      </c>
      <c r="O56" s="203"/>
      <c r="P56" s="73"/>
      <c r="Q56" s="65"/>
      <c r="R56" s="66"/>
    </row>
    <row r="57" spans="1:18" s="67" customFormat="1" ht="78.75" customHeight="1" x14ac:dyDescent="0.55000000000000004">
      <c r="A57" s="81" t="s">
        <v>135</v>
      </c>
      <c r="B57" s="82" t="s">
        <v>136</v>
      </c>
      <c r="C57" s="199"/>
      <c r="D57" s="200"/>
      <c r="E57" s="200"/>
      <c r="F57" s="200"/>
      <c r="G57" s="201"/>
      <c r="H57" s="83">
        <v>2</v>
      </c>
      <c r="I57" s="84"/>
      <c r="J57" s="83"/>
      <c r="K57" s="83"/>
      <c r="L57" s="77"/>
      <c r="M57" s="78" t="s">
        <v>44</v>
      </c>
      <c r="N57" s="202" t="s">
        <v>137</v>
      </c>
      <c r="O57" s="203"/>
      <c r="P57" s="73"/>
      <c r="Q57" s="65"/>
      <c r="R57" s="66"/>
    </row>
    <row r="58" spans="1:18" s="67" customFormat="1" ht="36" x14ac:dyDescent="0.55000000000000004">
      <c r="A58" s="85">
        <v>2</v>
      </c>
      <c r="B58" s="86" t="s">
        <v>138</v>
      </c>
      <c r="C58" s="204"/>
      <c r="D58" s="205"/>
      <c r="E58" s="205"/>
      <c r="F58" s="205"/>
      <c r="G58" s="206"/>
      <c r="H58" s="83"/>
      <c r="I58" s="84"/>
      <c r="J58" s="83"/>
      <c r="K58" s="83"/>
      <c r="L58" s="77"/>
      <c r="M58" s="78" t="s">
        <v>45</v>
      </c>
      <c r="N58" s="202" t="s">
        <v>139</v>
      </c>
      <c r="O58" s="203"/>
      <c r="P58" s="73"/>
      <c r="Q58" s="65"/>
      <c r="R58" s="66"/>
    </row>
    <row r="59" spans="1:18" s="67" customFormat="1" ht="82.5" customHeight="1" x14ac:dyDescent="0.55000000000000004">
      <c r="A59" s="81" t="s">
        <v>131</v>
      </c>
      <c r="B59" s="87" t="s">
        <v>177</v>
      </c>
      <c r="C59" s="207"/>
      <c r="D59" s="208"/>
      <c r="E59" s="208"/>
      <c r="F59" s="208"/>
      <c r="G59" s="209"/>
      <c r="H59" s="83">
        <v>2</v>
      </c>
      <c r="I59" s="84"/>
      <c r="J59" s="83"/>
      <c r="K59" s="83"/>
      <c r="L59" s="77"/>
      <c r="M59" s="78" t="s">
        <v>46</v>
      </c>
      <c r="N59" s="202" t="s">
        <v>140</v>
      </c>
      <c r="O59" s="203"/>
      <c r="P59" s="88"/>
      <c r="Q59" s="65"/>
      <c r="R59" s="66"/>
    </row>
    <row r="60" spans="1:18" s="67" customFormat="1" ht="114.75" customHeight="1" x14ac:dyDescent="0.55000000000000004">
      <c r="A60" s="81" t="s">
        <v>133</v>
      </c>
      <c r="B60" s="87" t="s">
        <v>178</v>
      </c>
      <c r="C60" s="207"/>
      <c r="D60" s="208"/>
      <c r="E60" s="208"/>
      <c r="F60" s="208"/>
      <c r="G60" s="209"/>
      <c r="H60" s="83">
        <v>2</v>
      </c>
      <c r="I60" s="84"/>
      <c r="J60" s="83"/>
      <c r="K60" s="83"/>
      <c r="L60" s="77"/>
      <c r="M60" s="73" t="s">
        <v>128</v>
      </c>
      <c r="N60" s="79" t="s">
        <v>141</v>
      </c>
      <c r="O60" s="80"/>
      <c r="P60" s="88"/>
      <c r="Q60" s="65"/>
      <c r="R60" s="66"/>
    </row>
    <row r="61" spans="1:18" s="67" customFormat="1" ht="72" customHeight="1" x14ac:dyDescent="0.55000000000000004">
      <c r="A61" s="81" t="s">
        <v>135</v>
      </c>
      <c r="B61" s="87" t="s">
        <v>179</v>
      </c>
      <c r="C61" s="207"/>
      <c r="D61" s="208"/>
      <c r="E61" s="208"/>
      <c r="F61" s="208"/>
      <c r="G61" s="209"/>
      <c r="H61" s="83">
        <v>2</v>
      </c>
      <c r="I61" s="84"/>
      <c r="J61" s="83"/>
      <c r="K61" s="83"/>
      <c r="L61" s="77"/>
      <c r="M61" s="73" t="s">
        <v>142</v>
      </c>
      <c r="N61" s="79" t="s">
        <v>143</v>
      </c>
      <c r="O61" s="80"/>
      <c r="P61" s="88"/>
      <c r="Q61" s="65"/>
      <c r="R61" s="66"/>
    </row>
    <row r="62" spans="1:18" s="67" customFormat="1" ht="66" customHeight="1" x14ac:dyDescent="0.55000000000000004">
      <c r="A62" s="85">
        <v>3</v>
      </c>
      <c r="B62" s="86" t="s">
        <v>144</v>
      </c>
      <c r="C62" s="204"/>
      <c r="D62" s="205"/>
      <c r="E62" s="205"/>
      <c r="F62" s="205"/>
      <c r="G62" s="206"/>
      <c r="H62" s="83"/>
      <c r="I62" s="84"/>
      <c r="J62" s="83"/>
      <c r="K62" s="83"/>
      <c r="L62" s="77"/>
      <c r="M62" s="73" t="s">
        <v>126</v>
      </c>
      <c r="N62" s="79" t="s">
        <v>145</v>
      </c>
      <c r="O62" s="80"/>
      <c r="P62" s="88"/>
      <c r="Q62" s="65"/>
      <c r="R62" s="66"/>
    </row>
    <row r="63" spans="1:18" s="67" customFormat="1" ht="72" customHeight="1" x14ac:dyDescent="0.55000000000000004">
      <c r="A63" s="81" t="s">
        <v>131</v>
      </c>
      <c r="B63" s="87" t="s">
        <v>146</v>
      </c>
      <c r="C63" s="220"/>
      <c r="D63" s="221"/>
      <c r="E63" s="221"/>
      <c r="F63" s="221"/>
      <c r="G63" s="222"/>
      <c r="H63" s="83">
        <v>2</v>
      </c>
      <c r="I63" s="84"/>
      <c r="J63" s="83"/>
      <c r="K63" s="83"/>
      <c r="L63" s="77"/>
      <c r="M63" s="73" t="s">
        <v>127</v>
      </c>
      <c r="N63" s="79" t="s">
        <v>147</v>
      </c>
      <c r="O63" s="80"/>
      <c r="P63" s="88"/>
      <c r="Q63" s="65"/>
      <c r="R63" s="66"/>
    </row>
    <row r="64" spans="1:18" s="67" customFormat="1" ht="72" customHeight="1" x14ac:dyDescent="0.55000000000000004">
      <c r="A64" s="81" t="s">
        <v>133</v>
      </c>
      <c r="B64" s="87" t="s">
        <v>180</v>
      </c>
      <c r="C64" s="220"/>
      <c r="D64" s="221"/>
      <c r="E64" s="221"/>
      <c r="F64" s="221"/>
      <c r="G64" s="222"/>
      <c r="H64" s="83">
        <v>2</v>
      </c>
      <c r="I64" s="84"/>
      <c r="J64" s="83"/>
      <c r="K64" s="83"/>
      <c r="L64" s="77"/>
      <c r="M64" s="73" t="s">
        <v>148</v>
      </c>
      <c r="N64" s="79" t="s">
        <v>149</v>
      </c>
      <c r="O64" s="80"/>
      <c r="P64" s="88"/>
      <c r="Q64" s="65"/>
      <c r="R64" s="66"/>
    </row>
    <row r="65" spans="1:18" s="67" customFormat="1" ht="44.25" customHeight="1" x14ac:dyDescent="0.55000000000000004">
      <c r="A65" s="81" t="s">
        <v>135</v>
      </c>
      <c r="B65" s="87" t="s">
        <v>181</v>
      </c>
      <c r="C65" s="220"/>
      <c r="D65" s="221"/>
      <c r="E65" s="221"/>
      <c r="F65" s="221"/>
      <c r="G65" s="222"/>
      <c r="H65" s="83">
        <v>2</v>
      </c>
      <c r="I65" s="84"/>
      <c r="J65" s="83"/>
      <c r="K65" s="83"/>
      <c r="L65" s="77"/>
      <c r="M65" s="89"/>
      <c r="N65" s="89"/>
      <c r="O65" s="89"/>
      <c r="P65" s="90"/>
      <c r="Q65" s="65"/>
      <c r="R65" s="66"/>
    </row>
    <row r="66" spans="1:18" s="67" customFormat="1" ht="31.5" customHeight="1" x14ac:dyDescent="0.55000000000000004">
      <c r="A66" s="213" t="s">
        <v>150</v>
      </c>
      <c r="B66" s="214"/>
      <c r="C66" s="214"/>
      <c r="D66" s="214"/>
      <c r="E66" s="214"/>
      <c r="F66" s="214"/>
      <c r="G66" s="214"/>
      <c r="H66" s="91">
        <f>SUM(H55:H65)</f>
        <v>20</v>
      </c>
      <c r="I66" s="91">
        <f>SUM(I55:I65)</f>
        <v>0</v>
      </c>
      <c r="J66" s="91"/>
      <c r="K66" s="92"/>
      <c r="L66" s="77"/>
      <c r="M66" s="89"/>
      <c r="N66" s="89"/>
      <c r="O66" s="89"/>
      <c r="P66" s="90"/>
      <c r="Q66" s="65"/>
      <c r="R66" s="66"/>
    </row>
    <row r="67" spans="1:18" s="67" customFormat="1" ht="36" customHeight="1" x14ac:dyDescent="0.55000000000000004">
      <c r="A67" s="93" t="s">
        <v>131</v>
      </c>
      <c r="B67" s="94" t="s">
        <v>151</v>
      </c>
      <c r="C67" s="207" t="s">
        <v>152</v>
      </c>
      <c r="D67" s="208"/>
      <c r="E67" s="208"/>
      <c r="F67" s="208"/>
      <c r="G67" s="209"/>
      <c r="H67" s="95">
        <v>4</v>
      </c>
      <c r="I67" s="96"/>
      <c r="J67" s="95"/>
      <c r="K67" s="97"/>
      <c r="L67" s="77"/>
      <c r="M67" s="89"/>
      <c r="N67" s="89"/>
      <c r="O67" s="89"/>
      <c r="P67" s="90"/>
      <c r="Q67" s="65"/>
      <c r="R67" s="66"/>
    </row>
    <row r="68" spans="1:18" s="67" customFormat="1" ht="129" customHeight="1" x14ac:dyDescent="0.55000000000000004">
      <c r="A68" s="93" t="s">
        <v>133</v>
      </c>
      <c r="B68" s="94" t="s">
        <v>153</v>
      </c>
      <c r="C68" s="207" t="s">
        <v>154</v>
      </c>
      <c r="D68" s="208"/>
      <c r="E68" s="208"/>
      <c r="F68" s="208"/>
      <c r="G68" s="209"/>
      <c r="H68" s="95">
        <v>3</v>
      </c>
      <c r="I68" s="96"/>
      <c r="J68" s="95"/>
      <c r="K68" s="97"/>
      <c r="L68" s="77"/>
      <c r="M68" s="89"/>
      <c r="N68" s="89"/>
      <c r="O68" s="89"/>
      <c r="P68" s="90"/>
      <c r="Q68" s="65"/>
      <c r="R68" s="66"/>
    </row>
    <row r="69" spans="1:18" s="67" customFormat="1" ht="69" customHeight="1" x14ac:dyDescent="0.55000000000000004">
      <c r="A69" s="93" t="s">
        <v>133</v>
      </c>
      <c r="B69" s="94" t="s">
        <v>155</v>
      </c>
      <c r="C69" s="207" t="s">
        <v>156</v>
      </c>
      <c r="D69" s="208"/>
      <c r="E69" s="208"/>
      <c r="F69" s="208"/>
      <c r="G69" s="209"/>
      <c r="H69" s="95">
        <v>3</v>
      </c>
      <c r="I69" s="96"/>
      <c r="J69" s="95"/>
      <c r="K69" s="97"/>
      <c r="L69" s="77"/>
      <c r="M69" s="89"/>
      <c r="N69" s="89"/>
      <c r="O69" s="89"/>
      <c r="P69" s="90"/>
      <c r="Q69" s="65"/>
      <c r="R69" s="66"/>
    </row>
    <row r="70" spans="1:18" s="67" customFormat="1" ht="46.5" customHeight="1" x14ac:dyDescent="0.55000000000000004">
      <c r="A70" s="98"/>
      <c r="B70" s="215" t="s">
        <v>157</v>
      </c>
      <c r="C70" s="215"/>
      <c r="D70" s="215"/>
      <c r="E70" s="99"/>
      <c r="F70" s="99"/>
      <c r="G70" s="99"/>
      <c r="H70" s="91">
        <f>SUM(H67:H69)</f>
        <v>10</v>
      </c>
      <c r="I70" s="91">
        <f>SUM(I67:I69)</f>
        <v>0</v>
      </c>
      <c r="J70" s="99"/>
      <c r="K70" s="100"/>
      <c r="L70" s="89"/>
      <c r="M70" s="89"/>
      <c r="N70" s="89"/>
      <c r="O70" s="89"/>
      <c r="P70" s="90"/>
      <c r="Q70" s="65"/>
      <c r="R70" s="66"/>
    </row>
    <row r="71" spans="1:18" s="103" customFormat="1" ht="45" customHeight="1" x14ac:dyDescent="0.7">
      <c r="A71" s="101"/>
      <c r="B71" s="216"/>
      <c r="C71" s="102"/>
      <c r="D71" s="102"/>
      <c r="E71" s="102"/>
      <c r="F71" s="219"/>
      <c r="G71" s="219"/>
      <c r="H71" s="219"/>
      <c r="I71" s="219"/>
      <c r="J71" s="219"/>
      <c r="K71" s="102"/>
      <c r="L71" s="102"/>
      <c r="M71" s="102"/>
      <c r="N71" s="102"/>
      <c r="O71" s="232" t="s">
        <v>182</v>
      </c>
      <c r="P71" s="233"/>
      <c r="Q71" s="232" t="s">
        <v>183</v>
      </c>
      <c r="R71" s="234"/>
    </row>
    <row r="72" spans="1:18" s="103" customFormat="1" ht="45" customHeight="1" x14ac:dyDescent="0.7">
      <c r="A72" s="101"/>
      <c r="B72" s="217"/>
      <c r="C72" s="228" t="s">
        <v>184</v>
      </c>
      <c r="D72" s="229"/>
      <c r="E72" s="229"/>
      <c r="F72" s="229"/>
      <c r="G72" s="229"/>
      <c r="H72" s="229"/>
      <c r="I72" s="229"/>
      <c r="J72" s="229"/>
      <c r="K72" s="230"/>
      <c r="L72" s="223"/>
      <c r="M72" s="224"/>
      <c r="N72" s="225"/>
      <c r="O72" s="226">
        <f>R51</f>
        <v>0</v>
      </c>
      <c r="P72" s="227"/>
      <c r="Q72" s="235">
        <f>O75/100 * 20</f>
        <v>0</v>
      </c>
      <c r="R72" s="236"/>
    </row>
    <row r="73" spans="1:18" s="103" customFormat="1" ht="45" customHeight="1" x14ac:dyDescent="0.7">
      <c r="A73" s="101"/>
      <c r="B73" s="217"/>
      <c r="C73" s="229" t="s">
        <v>185</v>
      </c>
      <c r="D73" s="229"/>
      <c r="E73" s="229"/>
      <c r="F73" s="229"/>
      <c r="G73" s="229"/>
      <c r="H73" s="229"/>
      <c r="I73" s="229"/>
      <c r="J73" s="229"/>
      <c r="K73" s="229"/>
      <c r="L73" s="224"/>
      <c r="M73" s="224"/>
      <c r="N73" s="225"/>
      <c r="O73" s="226">
        <f>I66</f>
        <v>0</v>
      </c>
      <c r="P73" s="227"/>
      <c r="Q73" s="237"/>
      <c r="R73" s="238"/>
    </row>
    <row r="74" spans="1:18" s="103" customFormat="1" ht="45" customHeight="1" x14ac:dyDescent="0.7">
      <c r="A74" s="101"/>
      <c r="B74" s="217"/>
      <c r="C74" s="228" t="s">
        <v>186</v>
      </c>
      <c r="D74" s="229"/>
      <c r="E74" s="229"/>
      <c r="F74" s="229"/>
      <c r="G74" s="229"/>
      <c r="H74" s="229"/>
      <c r="I74" s="229"/>
      <c r="J74" s="229"/>
      <c r="K74" s="230"/>
      <c r="L74" s="223"/>
      <c r="M74" s="224"/>
      <c r="N74" s="225"/>
      <c r="O74" s="226">
        <f>I70</f>
        <v>0</v>
      </c>
      <c r="P74" s="227"/>
      <c r="Q74" s="237"/>
      <c r="R74" s="238"/>
    </row>
    <row r="75" spans="1:18" s="103" customFormat="1" ht="45" customHeight="1" x14ac:dyDescent="0.7">
      <c r="A75" s="101"/>
      <c r="B75" s="218"/>
      <c r="C75" s="228" t="s">
        <v>187</v>
      </c>
      <c r="D75" s="229"/>
      <c r="E75" s="229"/>
      <c r="F75" s="229"/>
      <c r="G75" s="229"/>
      <c r="H75" s="229"/>
      <c r="I75" s="229"/>
      <c r="J75" s="229"/>
      <c r="K75" s="230"/>
      <c r="L75" s="223"/>
      <c r="M75" s="224"/>
      <c r="N75" s="225"/>
      <c r="O75" s="226">
        <f>SUM(O72:P74)</f>
        <v>0</v>
      </c>
      <c r="P75" s="227"/>
      <c r="Q75" s="239"/>
      <c r="R75" s="240"/>
    </row>
    <row r="76" spans="1:18" s="103" customFormat="1" ht="64.900000000000006" customHeight="1" x14ac:dyDescent="0.7">
      <c r="A76" s="101"/>
      <c r="B76" s="231" t="s">
        <v>188</v>
      </c>
      <c r="C76" s="231"/>
      <c r="D76" s="231"/>
      <c r="E76" s="231"/>
      <c r="F76" s="231"/>
      <c r="G76" s="231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5"/>
    </row>
    <row r="77" spans="1:18" s="103" customFormat="1" ht="64.900000000000006" customHeight="1" x14ac:dyDescent="0.7">
      <c r="A77" s="101"/>
      <c r="B77" s="244" t="s">
        <v>189</v>
      </c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5"/>
    </row>
    <row r="78" spans="1:18" s="103" customFormat="1" ht="48.75" customHeight="1" x14ac:dyDescent="0.7">
      <c r="A78" s="101"/>
      <c r="B78" s="246" t="s">
        <v>190</v>
      </c>
      <c r="C78" s="246"/>
      <c r="D78" s="246"/>
      <c r="E78" s="246"/>
      <c r="F78" s="246"/>
      <c r="G78" s="24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7"/>
    </row>
    <row r="79" spans="1:18" s="103" customFormat="1" ht="45.75" x14ac:dyDescent="0.7">
      <c r="A79" s="101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5"/>
    </row>
    <row r="80" spans="1:18" s="67" customFormat="1" ht="31.5" customHeight="1" x14ac:dyDescent="0.55000000000000004">
      <c r="A80" s="247" t="s">
        <v>191</v>
      </c>
      <c r="B80" s="248"/>
      <c r="C80" s="241"/>
      <c r="D80" s="253"/>
      <c r="E80" s="256" t="s">
        <v>192</v>
      </c>
      <c r="F80" s="259"/>
      <c r="G80" s="248" t="s">
        <v>193</v>
      </c>
      <c r="H80" s="241"/>
      <c r="I80" s="241"/>
      <c r="J80" s="241"/>
      <c r="K80" s="108"/>
      <c r="L80" s="77"/>
      <c r="M80" s="262"/>
      <c r="N80" s="262"/>
      <c r="O80" s="262"/>
      <c r="P80" s="262"/>
      <c r="Q80" s="262"/>
      <c r="R80" s="66"/>
    </row>
    <row r="81" spans="1:18" s="67" customFormat="1" ht="31.5" customHeight="1" x14ac:dyDescent="0.55000000000000004">
      <c r="A81" s="249"/>
      <c r="B81" s="250"/>
      <c r="C81" s="242"/>
      <c r="D81" s="254"/>
      <c r="E81" s="257"/>
      <c r="F81" s="260"/>
      <c r="G81" s="250"/>
      <c r="H81" s="242"/>
      <c r="I81" s="242"/>
      <c r="J81" s="242"/>
      <c r="K81" s="108"/>
      <c r="L81" s="77"/>
      <c r="M81" s="263"/>
      <c r="N81" s="263"/>
      <c r="O81" s="263"/>
      <c r="P81" s="263"/>
      <c r="Q81" s="263"/>
      <c r="R81" s="66"/>
    </row>
    <row r="82" spans="1:18" s="67" customFormat="1" ht="31.5" customHeight="1" x14ac:dyDescent="0.55000000000000004">
      <c r="A82" s="249"/>
      <c r="B82" s="250"/>
      <c r="C82" s="242"/>
      <c r="D82" s="254"/>
      <c r="E82" s="257"/>
      <c r="F82" s="260"/>
      <c r="G82" s="250"/>
      <c r="H82" s="242"/>
      <c r="I82" s="242"/>
      <c r="J82" s="242"/>
      <c r="K82" s="108"/>
      <c r="L82" s="77"/>
      <c r="M82" s="263"/>
      <c r="N82" s="263"/>
      <c r="O82" s="263"/>
      <c r="P82" s="263"/>
      <c r="Q82" s="263"/>
      <c r="R82" s="66"/>
    </row>
    <row r="83" spans="1:18" s="67" customFormat="1" ht="31.5" customHeight="1" x14ac:dyDescent="0.55000000000000004">
      <c r="A83" s="251"/>
      <c r="B83" s="252"/>
      <c r="C83" s="243"/>
      <c r="D83" s="255"/>
      <c r="E83" s="258"/>
      <c r="F83" s="261"/>
      <c r="G83" s="252"/>
      <c r="H83" s="243"/>
      <c r="I83" s="243"/>
      <c r="J83" s="243"/>
      <c r="K83" s="108"/>
      <c r="L83" s="77"/>
      <c r="M83" s="263"/>
      <c r="N83" s="263"/>
      <c r="O83" s="263"/>
      <c r="P83" s="263"/>
      <c r="Q83" s="263"/>
      <c r="R83" s="66"/>
    </row>
    <row r="84" spans="1:18" s="67" customFormat="1" ht="31.5" customHeight="1" x14ac:dyDescent="0.55000000000000004">
      <c r="A84" s="271" t="s">
        <v>158</v>
      </c>
      <c r="B84" s="272"/>
      <c r="C84" s="241"/>
      <c r="D84" s="253"/>
      <c r="E84" s="275" t="s">
        <v>194</v>
      </c>
      <c r="F84" s="259"/>
      <c r="G84" s="272" t="s">
        <v>194</v>
      </c>
      <c r="H84" s="241"/>
      <c r="I84" s="241"/>
      <c r="J84" s="241"/>
      <c r="K84" s="108"/>
      <c r="L84" s="77"/>
      <c r="M84" s="263"/>
      <c r="N84" s="263"/>
      <c r="O84" s="263"/>
      <c r="P84" s="263"/>
      <c r="Q84" s="263"/>
      <c r="R84" s="66"/>
    </row>
    <row r="85" spans="1:18" s="67" customFormat="1" ht="31.5" customHeight="1" x14ac:dyDescent="0.55000000000000004">
      <c r="A85" s="273"/>
      <c r="B85" s="274"/>
      <c r="C85" s="242"/>
      <c r="D85" s="254"/>
      <c r="E85" s="276"/>
      <c r="F85" s="260"/>
      <c r="G85" s="274"/>
      <c r="H85" s="242"/>
      <c r="I85" s="242"/>
      <c r="J85" s="242"/>
      <c r="K85" s="108"/>
      <c r="L85" s="77"/>
      <c r="M85" s="263"/>
      <c r="N85" s="263"/>
      <c r="O85" s="263"/>
      <c r="P85" s="263"/>
      <c r="Q85" s="263"/>
      <c r="R85" s="66"/>
    </row>
    <row r="86" spans="1:18" s="67" customFormat="1" ht="31.5" customHeight="1" x14ac:dyDescent="0.55000000000000004">
      <c r="A86" s="273"/>
      <c r="B86" s="274"/>
      <c r="C86" s="243"/>
      <c r="D86" s="255"/>
      <c r="E86" s="277"/>
      <c r="F86" s="261"/>
      <c r="G86" s="278"/>
      <c r="H86" s="243"/>
      <c r="I86" s="243"/>
      <c r="J86" s="243"/>
      <c r="K86" s="108"/>
      <c r="L86" s="77"/>
      <c r="M86" s="263"/>
      <c r="N86" s="263"/>
      <c r="O86" s="263"/>
      <c r="P86" s="263"/>
      <c r="Q86" s="263"/>
      <c r="R86" s="66"/>
    </row>
    <row r="87" spans="1:18" s="67" customFormat="1" ht="31.5" customHeight="1" x14ac:dyDescent="0.55000000000000004">
      <c r="A87" s="249" t="s">
        <v>159</v>
      </c>
      <c r="B87" s="250"/>
      <c r="C87" s="241"/>
      <c r="D87" s="253"/>
      <c r="E87" s="256" t="s">
        <v>195</v>
      </c>
      <c r="F87" s="259"/>
      <c r="G87" s="248" t="s">
        <v>195</v>
      </c>
      <c r="H87" s="241"/>
      <c r="I87" s="241"/>
      <c r="J87" s="241"/>
      <c r="K87" s="108"/>
      <c r="L87" s="77"/>
      <c r="M87" s="263"/>
      <c r="N87" s="263"/>
      <c r="O87" s="263"/>
      <c r="P87" s="263"/>
      <c r="Q87" s="263"/>
      <c r="R87" s="66"/>
    </row>
    <row r="88" spans="1:18" s="67" customFormat="1" ht="31.5" customHeight="1" x14ac:dyDescent="0.55000000000000004">
      <c r="A88" s="249"/>
      <c r="B88" s="250"/>
      <c r="C88" s="243"/>
      <c r="D88" s="255"/>
      <c r="E88" s="258"/>
      <c r="F88" s="261"/>
      <c r="G88" s="252"/>
      <c r="H88" s="243"/>
      <c r="I88" s="243"/>
      <c r="J88" s="243"/>
      <c r="K88" s="108"/>
      <c r="L88" s="77"/>
      <c r="M88" s="263"/>
      <c r="N88" s="263"/>
      <c r="O88" s="263"/>
      <c r="P88" s="263"/>
      <c r="Q88" s="263"/>
      <c r="R88" s="66"/>
    </row>
    <row r="89" spans="1:18" s="67" customFormat="1" ht="31.5" customHeight="1" thickBot="1" x14ac:dyDescent="0.6">
      <c r="A89" s="265"/>
      <c r="B89" s="266"/>
      <c r="C89" s="266"/>
      <c r="D89" s="266"/>
      <c r="E89" s="266"/>
      <c r="F89" s="266"/>
      <c r="G89" s="266"/>
      <c r="H89" s="266"/>
      <c r="I89" s="266"/>
      <c r="J89" s="266"/>
      <c r="K89" s="109"/>
      <c r="L89" s="110"/>
      <c r="M89" s="264"/>
      <c r="N89" s="264"/>
      <c r="O89" s="264"/>
      <c r="P89" s="264"/>
      <c r="Q89" s="264"/>
      <c r="R89" s="111"/>
    </row>
  </sheetData>
  <mergeCells count="119">
    <mergeCell ref="H84:J86"/>
    <mergeCell ref="B77:R77"/>
    <mergeCell ref="B78:G78"/>
    <mergeCell ref="B79:R79"/>
    <mergeCell ref="A80:B83"/>
    <mergeCell ref="C80:D83"/>
    <mergeCell ref="E80:E83"/>
    <mergeCell ref="F80:F83"/>
    <mergeCell ref="G80:G83"/>
    <mergeCell ref="H80:J83"/>
    <mergeCell ref="M80:Q89"/>
    <mergeCell ref="A89:J89"/>
    <mergeCell ref="A87:B88"/>
    <mergeCell ref="C87:D88"/>
    <mergeCell ref="E87:E88"/>
    <mergeCell ref="F87:F88"/>
    <mergeCell ref="G87:G88"/>
    <mergeCell ref="H87:J88"/>
    <mergeCell ref="A84:B86"/>
    <mergeCell ref="C84:D86"/>
    <mergeCell ref="E84:E86"/>
    <mergeCell ref="F84:F86"/>
    <mergeCell ref="G84:G86"/>
    <mergeCell ref="L74:N74"/>
    <mergeCell ref="O74:P74"/>
    <mergeCell ref="C75:K75"/>
    <mergeCell ref="L75:N75"/>
    <mergeCell ref="O75:P75"/>
    <mergeCell ref="B76:G76"/>
    <mergeCell ref="O71:P71"/>
    <mergeCell ref="Q71:R71"/>
    <mergeCell ref="C72:K72"/>
    <mergeCell ref="L72:N72"/>
    <mergeCell ref="O72:P72"/>
    <mergeCell ref="Q72:R75"/>
    <mergeCell ref="C73:K73"/>
    <mergeCell ref="L73:N73"/>
    <mergeCell ref="O73:P73"/>
    <mergeCell ref="C74:K74"/>
    <mergeCell ref="A66:G66"/>
    <mergeCell ref="C67:G67"/>
    <mergeCell ref="C68:G68"/>
    <mergeCell ref="C69:G69"/>
    <mergeCell ref="B70:D70"/>
    <mergeCell ref="B71:B75"/>
    <mergeCell ref="F71:J71"/>
    <mergeCell ref="C60:G60"/>
    <mergeCell ref="C61:G61"/>
    <mergeCell ref="C62:G62"/>
    <mergeCell ref="C63:G63"/>
    <mergeCell ref="C64:G64"/>
    <mergeCell ref="C65:G65"/>
    <mergeCell ref="C57:G57"/>
    <mergeCell ref="N57:O57"/>
    <mergeCell ref="C58:G58"/>
    <mergeCell ref="N58:O58"/>
    <mergeCell ref="C59:G59"/>
    <mergeCell ref="N59:O59"/>
    <mergeCell ref="C54:G54"/>
    <mergeCell ref="N54:O54"/>
    <mergeCell ref="C55:G55"/>
    <mergeCell ref="N55:O55"/>
    <mergeCell ref="C56:G56"/>
    <mergeCell ref="N56:O56"/>
    <mergeCell ref="A52:G52"/>
    <mergeCell ref="H52:K52"/>
    <mergeCell ref="L52:L53"/>
    <mergeCell ref="C53:G53"/>
    <mergeCell ref="D35:D42"/>
    <mergeCell ref="A44:A45"/>
    <mergeCell ref="B44:B45"/>
    <mergeCell ref="C44:C45"/>
    <mergeCell ref="G17:G18"/>
    <mergeCell ref="H17:H18"/>
    <mergeCell ref="I17:I18"/>
    <mergeCell ref="J17:O17"/>
    <mergeCell ref="A46:A47"/>
    <mergeCell ref="B46:B47"/>
    <mergeCell ref="C46:C47"/>
    <mergeCell ref="A19:A23"/>
    <mergeCell ref="B19:B23"/>
    <mergeCell ref="C19:C23"/>
    <mergeCell ref="A25:A34"/>
    <mergeCell ref="B25:B34"/>
    <mergeCell ref="C25:C34"/>
    <mergeCell ref="A35:A42"/>
    <mergeCell ref="B35:B42"/>
    <mergeCell ref="C35:C42"/>
    <mergeCell ref="A16:I16"/>
    <mergeCell ref="A17:A18"/>
    <mergeCell ref="B17:B18"/>
    <mergeCell ref="C17:C18"/>
    <mergeCell ref="D17:D18"/>
    <mergeCell ref="E17:E18"/>
    <mergeCell ref="F17:F18"/>
    <mergeCell ref="R17:R18"/>
    <mergeCell ref="I51:Q51"/>
    <mergeCell ref="P17:P18"/>
    <mergeCell ref="Q17:Q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</mergeCells>
  <hyperlinks>
    <hyperlink ref="E11" r:id="rId1" xr:uid="{6A1FF4EA-F571-47F1-BD8D-C60B8A876D6B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F33A-0687-48B4-B39B-46103B3934F8}">
  <sheetPr>
    <pageSetUpPr fitToPage="1"/>
  </sheetPr>
  <dimension ref="A1:R89"/>
  <sheetViews>
    <sheetView tabSelected="1" topLeftCell="A32" zoomScale="30" zoomScaleNormal="30" workbookViewId="0">
      <selection activeCell="B35" sqref="B35:B42"/>
    </sheetView>
  </sheetViews>
  <sheetFormatPr defaultRowHeight="31.5" customHeight="1" x14ac:dyDescent="0.55000000000000004"/>
  <cols>
    <col min="1" max="1" width="15.5703125" style="112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12" bestFit="1" customWidth="1"/>
    <col min="6" max="6" width="42" style="112" customWidth="1"/>
    <col min="7" max="7" width="255.7109375" style="1" bestFit="1" customWidth="1"/>
    <col min="8" max="8" width="33" style="112" customWidth="1"/>
    <col min="9" max="9" width="62.42578125" style="112" customWidth="1"/>
    <col min="10" max="10" width="45.140625" style="112" customWidth="1"/>
    <col min="11" max="13" width="35.28515625" style="112" bestFit="1" customWidth="1"/>
    <col min="14" max="14" width="40.7109375" style="112" bestFit="1" customWidth="1"/>
    <col min="15" max="15" width="36.85546875" style="112" bestFit="1" customWidth="1"/>
    <col min="16" max="17" width="36.85546875" style="113" customWidth="1"/>
    <col min="18" max="18" width="36.85546875" style="114" customWidth="1"/>
    <col min="19" max="16384" width="9.140625" style="1"/>
  </cols>
  <sheetData>
    <row r="1" spans="1:18" ht="31.5" customHeight="1" x14ac:dyDescent="0.25">
      <c r="A1" s="141" t="s">
        <v>160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3"/>
    </row>
    <row r="2" spans="1:18" ht="31.5" customHeight="1" x14ac:dyDescent="0.25">
      <c r="A2" s="14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6"/>
    </row>
    <row r="3" spans="1:18" ht="31.5" customHeight="1" thickBot="1" x14ac:dyDescent="0.3">
      <c r="A3" s="14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6"/>
    </row>
    <row r="4" spans="1:18" s="2" customFormat="1" ht="45.75" x14ac:dyDescent="0.25">
      <c r="A4" s="147" t="s">
        <v>0</v>
      </c>
      <c r="B4" s="148"/>
      <c r="C4" s="148"/>
      <c r="D4" s="148"/>
      <c r="E4" s="148"/>
      <c r="F4" s="148"/>
      <c r="G4" s="148"/>
      <c r="H4" s="148"/>
      <c r="I4" s="148"/>
      <c r="J4" s="148"/>
      <c r="K4" s="149"/>
      <c r="L4" s="150"/>
      <c r="M4" s="150"/>
      <c r="N4" s="150"/>
      <c r="O4" s="150"/>
      <c r="P4" s="150"/>
      <c r="Q4" s="150"/>
      <c r="R4" s="151"/>
    </row>
    <row r="5" spans="1:18" s="9" customFormat="1" ht="32.25" x14ac:dyDescent="0.5">
      <c r="A5" s="3" t="s">
        <v>1</v>
      </c>
      <c r="B5" s="4" t="s">
        <v>200</v>
      </c>
      <c r="C5" s="5" t="s">
        <v>2</v>
      </c>
      <c r="D5" s="6" t="s">
        <v>201</v>
      </c>
      <c r="E5" s="158"/>
      <c r="F5" s="158"/>
      <c r="G5" s="158"/>
      <c r="H5" s="158"/>
      <c r="I5" s="7"/>
      <c r="J5" s="8"/>
      <c r="K5" s="152"/>
      <c r="L5" s="153"/>
      <c r="M5" s="153"/>
      <c r="N5" s="153"/>
      <c r="O5" s="153"/>
      <c r="P5" s="153"/>
      <c r="Q5" s="153"/>
      <c r="R5" s="154"/>
    </row>
    <row r="6" spans="1:18" s="12" customFormat="1" ht="38.25" customHeight="1" x14ac:dyDescent="0.55000000000000004">
      <c r="A6" s="159" t="s">
        <v>3</v>
      </c>
      <c r="B6" s="160"/>
      <c r="C6" s="160"/>
      <c r="D6" s="160"/>
      <c r="E6" s="160"/>
      <c r="F6" s="160"/>
      <c r="G6" s="160"/>
      <c r="H6" s="160"/>
      <c r="I6" s="10"/>
      <c r="J6" s="11"/>
      <c r="K6" s="152"/>
      <c r="L6" s="153"/>
      <c r="M6" s="153"/>
      <c r="N6" s="153"/>
      <c r="O6" s="153"/>
      <c r="P6" s="153"/>
      <c r="Q6" s="153"/>
      <c r="R6" s="154"/>
    </row>
    <row r="7" spans="1:18" s="120" customFormat="1" ht="39" x14ac:dyDescent="0.6">
      <c r="A7" s="128" t="s">
        <v>4</v>
      </c>
      <c r="B7" s="129"/>
      <c r="C7" s="117" t="s">
        <v>5</v>
      </c>
      <c r="D7" s="118" t="s">
        <v>6</v>
      </c>
      <c r="E7" s="117" t="s">
        <v>7</v>
      </c>
      <c r="F7" s="118" t="s">
        <v>8</v>
      </c>
      <c r="G7" s="119" t="s">
        <v>9</v>
      </c>
      <c r="H7" s="118" t="s">
        <v>10</v>
      </c>
      <c r="I7" s="130" t="s">
        <v>11</v>
      </c>
      <c r="J7" s="131"/>
      <c r="K7" s="152"/>
      <c r="L7" s="153"/>
      <c r="M7" s="153"/>
      <c r="N7" s="153"/>
      <c r="O7" s="153"/>
      <c r="P7" s="153"/>
      <c r="Q7" s="153"/>
      <c r="R7" s="154"/>
    </row>
    <row r="8" spans="1:18" s="120" customFormat="1" ht="39.75" x14ac:dyDescent="0.6">
      <c r="A8" s="132" t="s">
        <v>12</v>
      </c>
      <c r="B8" s="133"/>
      <c r="C8" s="121">
        <v>60737</v>
      </c>
      <c r="D8" s="122" t="s">
        <v>13</v>
      </c>
      <c r="E8" s="123" t="s">
        <v>14</v>
      </c>
      <c r="F8" s="122" t="s">
        <v>15</v>
      </c>
      <c r="G8" s="124"/>
      <c r="H8" s="122" t="s">
        <v>16</v>
      </c>
      <c r="I8" s="134" t="s">
        <v>17</v>
      </c>
      <c r="J8" s="135"/>
      <c r="K8" s="152"/>
      <c r="L8" s="153"/>
      <c r="M8" s="153"/>
      <c r="N8" s="153"/>
      <c r="O8" s="153"/>
      <c r="P8" s="153"/>
      <c r="Q8" s="153"/>
      <c r="R8" s="154"/>
    </row>
    <row r="9" spans="1:18" s="14" customFormat="1" ht="62.25" customHeight="1" x14ac:dyDescent="0.6">
      <c r="A9" s="136" t="s">
        <v>18</v>
      </c>
      <c r="B9" s="136"/>
      <c r="C9" s="136"/>
      <c r="D9" s="136"/>
      <c r="E9" s="136"/>
      <c r="F9" s="136"/>
      <c r="G9" s="136"/>
      <c r="H9" s="136"/>
      <c r="I9" s="136"/>
      <c r="J9" s="13"/>
      <c r="K9" s="152"/>
      <c r="L9" s="153"/>
      <c r="M9" s="153"/>
      <c r="N9" s="153"/>
      <c r="O9" s="153"/>
      <c r="P9" s="153"/>
      <c r="Q9" s="153"/>
      <c r="R9" s="154"/>
    </row>
    <row r="10" spans="1:18" s="120" customFormat="1" ht="39" x14ac:dyDescent="0.6">
      <c r="A10" s="128" t="s">
        <v>4</v>
      </c>
      <c r="B10" s="129"/>
      <c r="C10" s="117" t="s">
        <v>19</v>
      </c>
      <c r="D10" s="118" t="s">
        <v>6</v>
      </c>
      <c r="E10" s="117" t="s">
        <v>20</v>
      </c>
      <c r="F10" s="118" t="s">
        <v>8</v>
      </c>
      <c r="G10" s="119" t="s">
        <v>21</v>
      </c>
      <c r="H10" s="118" t="s">
        <v>10</v>
      </c>
      <c r="I10" s="130" t="s">
        <v>22</v>
      </c>
      <c r="J10" s="131"/>
      <c r="K10" s="152"/>
      <c r="L10" s="153"/>
      <c r="M10" s="153"/>
      <c r="N10" s="153"/>
      <c r="O10" s="153"/>
      <c r="P10" s="153"/>
      <c r="Q10" s="153"/>
      <c r="R10" s="154"/>
    </row>
    <row r="11" spans="1:18" s="120" customFormat="1" ht="39.75" x14ac:dyDescent="0.6">
      <c r="A11" s="132" t="s">
        <v>12</v>
      </c>
      <c r="B11" s="133"/>
      <c r="C11" s="121">
        <v>60694</v>
      </c>
      <c r="D11" s="122" t="s">
        <v>13</v>
      </c>
      <c r="E11" s="125" t="s">
        <v>23</v>
      </c>
      <c r="F11" s="122" t="s">
        <v>15</v>
      </c>
      <c r="G11" s="124"/>
      <c r="H11" s="122" t="s">
        <v>16</v>
      </c>
      <c r="I11" s="134" t="s">
        <v>17</v>
      </c>
      <c r="J11" s="135"/>
      <c r="K11" s="152"/>
      <c r="L11" s="153"/>
      <c r="M11" s="153"/>
      <c r="N11" s="153"/>
      <c r="O11" s="153"/>
      <c r="P11" s="153"/>
      <c r="Q11" s="153"/>
      <c r="R11" s="154"/>
    </row>
    <row r="12" spans="1:18" s="14" customFormat="1" ht="39" x14ac:dyDescent="0.6">
      <c r="A12" s="136" t="s">
        <v>24</v>
      </c>
      <c r="B12" s="136"/>
      <c r="C12" s="136"/>
      <c r="D12" s="136"/>
      <c r="E12" s="136"/>
      <c r="F12" s="136"/>
      <c r="G12" s="136"/>
      <c r="H12" s="136"/>
      <c r="I12" s="136"/>
      <c r="J12" s="13"/>
      <c r="K12" s="152"/>
      <c r="L12" s="153"/>
      <c r="M12" s="153"/>
      <c r="N12" s="153"/>
      <c r="O12" s="153"/>
      <c r="P12" s="153"/>
      <c r="Q12" s="153"/>
      <c r="R12" s="154"/>
    </row>
    <row r="13" spans="1:18" s="19" customFormat="1" ht="39" x14ac:dyDescent="0.6">
      <c r="A13" s="137" t="s">
        <v>4</v>
      </c>
      <c r="B13" s="138"/>
      <c r="C13" s="15" t="s">
        <v>25</v>
      </c>
      <c r="D13" s="16" t="s">
        <v>6</v>
      </c>
      <c r="E13" s="15" t="s">
        <v>26</v>
      </c>
      <c r="F13" s="17" t="s">
        <v>8</v>
      </c>
      <c r="G13" s="18" t="s">
        <v>27</v>
      </c>
      <c r="H13" s="16" t="s">
        <v>10</v>
      </c>
      <c r="I13" s="139" t="s">
        <v>28</v>
      </c>
      <c r="J13" s="140"/>
      <c r="K13" s="152"/>
      <c r="L13" s="153"/>
      <c r="M13" s="153"/>
      <c r="N13" s="153"/>
      <c r="O13" s="153"/>
      <c r="P13" s="153"/>
      <c r="Q13" s="153"/>
      <c r="R13" s="154"/>
    </row>
    <row r="14" spans="1:18" s="19" customFormat="1" ht="39.75" x14ac:dyDescent="0.6">
      <c r="A14" s="161" t="s">
        <v>12</v>
      </c>
      <c r="B14" s="162"/>
      <c r="C14" s="20">
        <v>60529</v>
      </c>
      <c r="D14" s="21" t="s">
        <v>13</v>
      </c>
      <c r="E14" s="126" t="s">
        <v>29</v>
      </c>
      <c r="F14" s="22" t="s">
        <v>15</v>
      </c>
      <c r="G14" s="127"/>
      <c r="H14" s="21" t="s">
        <v>16</v>
      </c>
      <c r="I14" s="163" t="s">
        <v>30</v>
      </c>
      <c r="J14" s="164"/>
      <c r="K14" s="152"/>
      <c r="L14" s="153"/>
      <c r="M14" s="153"/>
      <c r="N14" s="153"/>
      <c r="O14" s="153"/>
      <c r="P14" s="153"/>
      <c r="Q14" s="153"/>
      <c r="R14" s="154"/>
    </row>
    <row r="15" spans="1:18" s="24" customFormat="1" ht="20.25" customHeight="1" thickBot="1" x14ac:dyDescent="0.75">
      <c r="A15" s="165"/>
      <c r="B15" s="166"/>
      <c r="C15" s="166"/>
      <c r="D15" s="166"/>
      <c r="E15" s="166"/>
      <c r="F15" s="166"/>
      <c r="G15" s="166"/>
      <c r="H15" s="166"/>
      <c r="I15" s="166"/>
      <c r="J15" s="23"/>
      <c r="K15" s="155"/>
      <c r="L15" s="156"/>
      <c r="M15" s="156"/>
      <c r="N15" s="156"/>
      <c r="O15" s="156"/>
      <c r="P15" s="156"/>
      <c r="Q15" s="156"/>
      <c r="R15" s="157"/>
    </row>
    <row r="16" spans="1:18" s="24" customFormat="1" ht="47.25" x14ac:dyDescent="0.7">
      <c r="A16" s="167" t="s">
        <v>31</v>
      </c>
      <c r="B16" s="168"/>
      <c r="C16" s="168"/>
      <c r="D16" s="168"/>
      <c r="E16" s="168"/>
      <c r="F16" s="168"/>
      <c r="G16" s="168"/>
      <c r="H16" s="168"/>
      <c r="I16" s="168"/>
      <c r="J16" s="25"/>
      <c r="K16" s="26"/>
      <c r="L16" s="27"/>
      <c r="M16" s="27"/>
      <c r="N16" s="27"/>
      <c r="O16" s="27"/>
      <c r="P16" s="28"/>
      <c r="Q16" s="28"/>
      <c r="R16" s="29"/>
    </row>
    <row r="17" spans="1:18" s="31" customFormat="1" ht="31.5" customHeight="1" x14ac:dyDescent="0.25">
      <c r="A17" s="169" t="s">
        <v>32</v>
      </c>
      <c r="B17" s="171" t="s">
        <v>33</v>
      </c>
      <c r="C17" s="172" t="s">
        <v>34</v>
      </c>
      <c r="D17" s="172" t="s">
        <v>35</v>
      </c>
      <c r="E17" s="172" t="s">
        <v>34</v>
      </c>
      <c r="F17" s="173" t="s">
        <v>36</v>
      </c>
      <c r="G17" s="173" t="s">
        <v>37</v>
      </c>
      <c r="H17" s="194" t="s">
        <v>38</v>
      </c>
      <c r="I17" s="173" t="s">
        <v>39</v>
      </c>
      <c r="J17" s="196" t="s">
        <v>40</v>
      </c>
      <c r="K17" s="197"/>
      <c r="L17" s="197"/>
      <c r="M17" s="197"/>
      <c r="N17" s="197"/>
      <c r="O17" s="198"/>
      <c r="P17" s="184" t="s">
        <v>163</v>
      </c>
      <c r="Q17" s="184" t="s">
        <v>164</v>
      </c>
      <c r="R17" s="175" t="s">
        <v>165</v>
      </c>
    </row>
    <row r="18" spans="1:18" s="31" customFormat="1" ht="36" x14ac:dyDescent="0.25">
      <c r="A18" s="170"/>
      <c r="B18" s="171"/>
      <c r="C18" s="171"/>
      <c r="D18" s="171"/>
      <c r="E18" s="171"/>
      <c r="F18" s="174"/>
      <c r="G18" s="174"/>
      <c r="H18" s="195"/>
      <c r="I18" s="174"/>
      <c r="J18" s="32" t="s">
        <v>166</v>
      </c>
      <c r="K18" s="30" t="s">
        <v>167</v>
      </c>
      <c r="L18" s="30" t="s">
        <v>168</v>
      </c>
      <c r="M18" s="32" t="s">
        <v>169</v>
      </c>
      <c r="N18" s="32" t="s">
        <v>170</v>
      </c>
      <c r="O18" s="32" t="s">
        <v>171</v>
      </c>
      <c r="P18" s="185"/>
      <c r="Q18" s="185"/>
      <c r="R18" s="176"/>
    </row>
    <row r="19" spans="1:18" s="44" customFormat="1" ht="147" customHeight="1" x14ac:dyDescent="0.25">
      <c r="A19" s="190">
        <v>1</v>
      </c>
      <c r="B19" s="187" t="s">
        <v>47</v>
      </c>
      <c r="C19" s="268">
        <f>0.25 *1.28791886111175</f>
        <v>0.32197971527793751</v>
      </c>
      <c r="D19" s="34" t="s">
        <v>48</v>
      </c>
      <c r="E19" s="35">
        <f>C19/5</f>
        <v>6.4395943055587504E-2</v>
      </c>
      <c r="F19" s="35">
        <f>E19/$E$50 * 100</f>
        <v>0.22498543621060257</v>
      </c>
      <c r="G19" s="36" t="s">
        <v>49</v>
      </c>
      <c r="H19" s="37">
        <v>1</v>
      </c>
      <c r="I19" s="38" t="s">
        <v>50</v>
      </c>
      <c r="J19" s="39">
        <v>100</v>
      </c>
      <c r="K19" s="40">
        <v>95</v>
      </c>
      <c r="L19" s="40">
        <v>90</v>
      </c>
      <c r="M19" s="40">
        <v>85</v>
      </c>
      <c r="N19" s="40">
        <v>80</v>
      </c>
      <c r="O19" s="40" t="s">
        <v>51</v>
      </c>
      <c r="P19" s="41"/>
      <c r="Q19" s="42">
        <f t="shared" ref="Q19:Q25" si="0">IF(OR(TRIM(P19)="",P19=0),0,
IF(P19&lt;N19,50,
IF(P19&lt;M19,60,
IF(P19&lt;L19,70,
IF(P19&lt;K19,80,
IF(ISNUMBER(J19),
    IF(P19&lt;J19,IF(P19&gt;=K19,90,80),100),
    IF(P19=K19,90,100)
))))))</f>
        <v>0</v>
      </c>
      <c r="R19" s="43">
        <f t="shared" ref="R19:R25" si="1">F19*Q19/100</f>
        <v>0</v>
      </c>
    </row>
    <row r="20" spans="1:18" s="44" customFormat="1" ht="147" customHeight="1" x14ac:dyDescent="0.25">
      <c r="A20" s="267"/>
      <c r="B20" s="188"/>
      <c r="C20" s="269"/>
      <c r="D20" s="34" t="s">
        <v>52</v>
      </c>
      <c r="E20" s="35">
        <f>C19/5</f>
        <v>6.4395943055587504E-2</v>
      </c>
      <c r="F20" s="35">
        <f t="shared" ref="F20:F49" si="2">E20/$E$50 * 100</f>
        <v>0.22498543621060257</v>
      </c>
      <c r="G20" s="36" t="s">
        <v>53</v>
      </c>
      <c r="H20" s="37">
        <v>1</v>
      </c>
      <c r="I20" s="38" t="s">
        <v>50</v>
      </c>
      <c r="J20" s="39">
        <v>100</v>
      </c>
      <c r="K20" s="40">
        <v>95</v>
      </c>
      <c r="L20" s="40">
        <v>90</v>
      </c>
      <c r="M20" s="40">
        <v>85</v>
      </c>
      <c r="N20" s="40">
        <v>80</v>
      </c>
      <c r="O20" s="40" t="s">
        <v>51</v>
      </c>
      <c r="P20" s="41"/>
      <c r="Q20" s="42">
        <f t="shared" si="0"/>
        <v>0</v>
      </c>
      <c r="R20" s="43">
        <f t="shared" si="1"/>
        <v>0</v>
      </c>
    </row>
    <row r="21" spans="1:18" s="44" customFormat="1" ht="147" customHeight="1" x14ac:dyDescent="0.25">
      <c r="A21" s="267"/>
      <c r="B21" s="188"/>
      <c r="C21" s="269"/>
      <c r="D21" s="34" t="s">
        <v>54</v>
      </c>
      <c r="E21" s="35">
        <f>C19/5</f>
        <v>6.4395943055587504E-2</v>
      </c>
      <c r="F21" s="35">
        <f t="shared" si="2"/>
        <v>0.22498543621060257</v>
      </c>
      <c r="G21" s="36" t="s">
        <v>55</v>
      </c>
      <c r="H21" s="37">
        <v>1</v>
      </c>
      <c r="I21" s="38" t="s">
        <v>50</v>
      </c>
      <c r="J21" s="39">
        <v>100</v>
      </c>
      <c r="K21" s="40">
        <v>95</v>
      </c>
      <c r="L21" s="40">
        <v>90</v>
      </c>
      <c r="M21" s="40">
        <v>85</v>
      </c>
      <c r="N21" s="40">
        <v>80</v>
      </c>
      <c r="O21" s="40" t="s">
        <v>51</v>
      </c>
      <c r="P21" s="41"/>
      <c r="Q21" s="42">
        <f t="shared" si="0"/>
        <v>0</v>
      </c>
      <c r="R21" s="43">
        <f t="shared" si="1"/>
        <v>0</v>
      </c>
    </row>
    <row r="22" spans="1:18" s="44" customFormat="1" ht="147" customHeight="1" x14ac:dyDescent="0.25">
      <c r="A22" s="267"/>
      <c r="B22" s="188"/>
      <c r="C22" s="269"/>
      <c r="D22" s="34" t="s">
        <v>56</v>
      </c>
      <c r="E22" s="35">
        <f>C19/5</f>
        <v>6.4395943055587504E-2</v>
      </c>
      <c r="F22" s="35">
        <f t="shared" si="2"/>
        <v>0.22498543621060257</v>
      </c>
      <c r="G22" s="36" t="s">
        <v>57</v>
      </c>
      <c r="H22" s="45">
        <v>5</v>
      </c>
      <c r="I22" s="38" t="s">
        <v>58</v>
      </c>
      <c r="J22" s="39" t="s">
        <v>59</v>
      </c>
      <c r="K22" s="40">
        <v>5</v>
      </c>
      <c r="L22" s="40">
        <v>4</v>
      </c>
      <c r="M22" s="40">
        <v>3</v>
      </c>
      <c r="N22" s="40">
        <v>2</v>
      </c>
      <c r="O22" s="40">
        <v>1</v>
      </c>
      <c r="P22" s="41"/>
      <c r="Q22" s="42">
        <f t="shared" si="0"/>
        <v>0</v>
      </c>
      <c r="R22" s="43">
        <f t="shared" si="1"/>
        <v>0</v>
      </c>
    </row>
    <row r="23" spans="1:18" s="44" customFormat="1" ht="147" customHeight="1" x14ac:dyDescent="0.25">
      <c r="A23" s="191"/>
      <c r="B23" s="189"/>
      <c r="C23" s="270"/>
      <c r="D23" s="34" t="s">
        <v>60</v>
      </c>
      <c r="E23" s="35">
        <f>C19/5</f>
        <v>6.4395943055587504E-2</v>
      </c>
      <c r="F23" s="35">
        <f t="shared" si="2"/>
        <v>0.22498543621060257</v>
      </c>
      <c r="G23" s="36" t="s">
        <v>61</v>
      </c>
      <c r="H23" s="37">
        <v>1</v>
      </c>
      <c r="I23" s="38" t="s">
        <v>50</v>
      </c>
      <c r="J23" s="39">
        <v>100</v>
      </c>
      <c r="K23" s="40">
        <v>95</v>
      </c>
      <c r="L23" s="40">
        <v>90</v>
      </c>
      <c r="M23" s="40">
        <v>85</v>
      </c>
      <c r="N23" s="40">
        <v>80</v>
      </c>
      <c r="O23" s="40" t="s">
        <v>51</v>
      </c>
      <c r="P23" s="41"/>
      <c r="Q23" s="42">
        <f t="shared" si="0"/>
        <v>0</v>
      </c>
      <c r="R23" s="43">
        <f t="shared" si="1"/>
        <v>0</v>
      </c>
    </row>
    <row r="24" spans="1:18" s="44" customFormat="1" ht="147" customHeight="1" x14ac:dyDescent="0.25">
      <c r="A24" s="33">
        <v>2</v>
      </c>
      <c r="B24" s="34" t="s">
        <v>62</v>
      </c>
      <c r="C24" s="116">
        <f>0.25 *0.77275131666705</f>
        <v>0.1931878291667625</v>
      </c>
      <c r="D24" s="34" t="s">
        <v>63</v>
      </c>
      <c r="E24" s="35">
        <f>C24</f>
        <v>0.1931878291667625</v>
      </c>
      <c r="F24" s="35">
        <f t="shared" si="2"/>
        <v>0.67495630863180767</v>
      </c>
      <c r="G24" s="36" t="s">
        <v>64</v>
      </c>
      <c r="H24" s="37">
        <v>0.5</v>
      </c>
      <c r="I24" s="38" t="s">
        <v>50</v>
      </c>
      <c r="J24" s="39" t="s">
        <v>65</v>
      </c>
      <c r="K24" s="40">
        <v>50</v>
      </c>
      <c r="L24" s="40">
        <v>45</v>
      </c>
      <c r="M24" s="40">
        <v>40</v>
      </c>
      <c r="N24" s="40">
        <v>25</v>
      </c>
      <c r="O24" s="40" t="s">
        <v>66</v>
      </c>
      <c r="P24" s="41"/>
      <c r="Q24" s="42">
        <f t="shared" si="0"/>
        <v>0</v>
      </c>
      <c r="R24" s="43">
        <f t="shared" si="1"/>
        <v>0</v>
      </c>
    </row>
    <row r="25" spans="1:18" s="44" customFormat="1" ht="147" customHeight="1" x14ac:dyDescent="0.25">
      <c r="A25" s="190">
        <v>2</v>
      </c>
      <c r="B25" s="187" t="s">
        <v>67</v>
      </c>
      <c r="C25" s="268">
        <f>0.25 *68.7196706607483</f>
        <v>17.179917665187077</v>
      </c>
      <c r="D25" s="34" t="s">
        <v>68</v>
      </c>
      <c r="E25" s="35">
        <f>C25/10</f>
        <v>1.7179917665187077</v>
      </c>
      <c r="F25" s="35">
        <f t="shared" si="2"/>
        <v>6.0022900303328557</v>
      </c>
      <c r="G25" s="34" t="s">
        <v>69</v>
      </c>
      <c r="H25" s="45">
        <v>80</v>
      </c>
      <c r="I25" s="45" t="s">
        <v>50</v>
      </c>
      <c r="J25" s="39" t="s">
        <v>70</v>
      </c>
      <c r="K25" s="40">
        <v>80</v>
      </c>
      <c r="L25" s="40">
        <v>75</v>
      </c>
      <c r="M25" s="40">
        <v>70</v>
      </c>
      <c r="N25" s="40">
        <v>50</v>
      </c>
      <c r="O25" s="40" t="s">
        <v>71</v>
      </c>
      <c r="P25" s="41"/>
      <c r="Q25" s="42">
        <f t="shared" si="0"/>
        <v>0</v>
      </c>
      <c r="R25" s="43">
        <f t="shared" si="1"/>
        <v>0</v>
      </c>
    </row>
    <row r="26" spans="1:18" s="44" customFormat="1" ht="147" customHeight="1" x14ac:dyDescent="0.25">
      <c r="A26" s="267"/>
      <c r="B26" s="188"/>
      <c r="C26" s="269"/>
      <c r="D26" s="34" t="s">
        <v>72</v>
      </c>
      <c r="E26" s="35">
        <f>C25/10</f>
        <v>1.7179917665187077</v>
      </c>
      <c r="F26" s="35">
        <f t="shared" si="2"/>
        <v>6.0022900303328557</v>
      </c>
      <c r="G26" s="34" t="s">
        <v>73</v>
      </c>
      <c r="H26" s="45">
        <v>80</v>
      </c>
      <c r="I26" s="45" t="s">
        <v>50</v>
      </c>
      <c r="J26" s="39" t="s">
        <v>70</v>
      </c>
      <c r="K26" s="40">
        <v>80</v>
      </c>
      <c r="L26" s="40">
        <v>75</v>
      </c>
      <c r="M26" s="40">
        <v>70</v>
      </c>
      <c r="N26" s="40">
        <v>50</v>
      </c>
      <c r="O26" s="40" t="s">
        <v>71</v>
      </c>
      <c r="P26" s="41"/>
      <c r="Q26" s="42">
        <f t="shared" ref="Q26:Q49" si="3">IF(OR(TRIM(P26)="",P26=0),0,
IF(P26&lt;N26,50,
IF(P26&lt;M26,60,
IF(P26&lt;L26,70,
IF(P26&lt;K26,80,
IF(ISNUMBER(J26),
    IF(P26&lt;J26,IF(P26&gt;=K26,90,80),100),
    IF(P26=K26,90,100)
))))))</f>
        <v>0</v>
      </c>
      <c r="R26" s="43">
        <f t="shared" ref="R26:R49" si="4">F26*Q26/100</f>
        <v>0</v>
      </c>
    </row>
    <row r="27" spans="1:18" s="44" customFormat="1" ht="147" customHeight="1" x14ac:dyDescent="0.25">
      <c r="A27" s="267"/>
      <c r="B27" s="188"/>
      <c r="C27" s="269"/>
      <c r="D27" s="34" t="s">
        <v>74</v>
      </c>
      <c r="E27" s="35">
        <f>C25/10</f>
        <v>1.7179917665187077</v>
      </c>
      <c r="F27" s="35">
        <f t="shared" si="2"/>
        <v>6.0022900303328557</v>
      </c>
      <c r="G27" s="34" t="s">
        <v>75</v>
      </c>
      <c r="H27" s="46">
        <v>0.9</v>
      </c>
      <c r="I27" s="45" t="s">
        <v>50</v>
      </c>
      <c r="J27" s="39" t="s">
        <v>76</v>
      </c>
      <c r="K27" s="40">
        <v>90</v>
      </c>
      <c r="L27" s="40">
        <v>80</v>
      </c>
      <c r="M27" s="40">
        <v>70</v>
      </c>
      <c r="N27" s="40">
        <v>50</v>
      </c>
      <c r="O27" s="40" t="s">
        <v>71</v>
      </c>
      <c r="P27" s="41"/>
      <c r="Q27" s="42">
        <f t="shared" si="3"/>
        <v>0</v>
      </c>
      <c r="R27" s="43">
        <f t="shared" si="4"/>
        <v>0</v>
      </c>
    </row>
    <row r="28" spans="1:18" s="44" customFormat="1" ht="147" customHeight="1" x14ac:dyDescent="0.25">
      <c r="A28" s="267"/>
      <c r="B28" s="188"/>
      <c r="C28" s="269"/>
      <c r="D28" s="34" t="s">
        <v>77</v>
      </c>
      <c r="E28" s="35">
        <f>C25/10</f>
        <v>1.7179917665187077</v>
      </c>
      <c r="F28" s="35">
        <f t="shared" si="2"/>
        <v>6.0022900303328557</v>
      </c>
      <c r="G28" s="34" t="s">
        <v>78</v>
      </c>
      <c r="H28" s="45">
        <v>80</v>
      </c>
      <c r="I28" s="45" t="s">
        <v>50</v>
      </c>
      <c r="J28" s="39" t="s">
        <v>70</v>
      </c>
      <c r="K28" s="40">
        <v>80</v>
      </c>
      <c r="L28" s="40">
        <v>75</v>
      </c>
      <c r="M28" s="40">
        <v>70</v>
      </c>
      <c r="N28" s="40">
        <v>50</v>
      </c>
      <c r="O28" s="40" t="s">
        <v>71</v>
      </c>
      <c r="P28" s="41"/>
      <c r="Q28" s="42">
        <f t="shared" si="3"/>
        <v>0</v>
      </c>
      <c r="R28" s="43">
        <f t="shared" si="4"/>
        <v>0</v>
      </c>
    </row>
    <row r="29" spans="1:18" s="44" customFormat="1" ht="147" customHeight="1" x14ac:dyDescent="0.25">
      <c r="A29" s="267"/>
      <c r="B29" s="188"/>
      <c r="C29" s="269"/>
      <c r="D29" s="34" t="s">
        <v>79</v>
      </c>
      <c r="E29" s="35">
        <f>C25/10</f>
        <v>1.7179917665187077</v>
      </c>
      <c r="F29" s="35">
        <f t="shared" si="2"/>
        <v>6.0022900303328557</v>
      </c>
      <c r="G29" s="34" t="s">
        <v>80</v>
      </c>
      <c r="H29" s="46">
        <v>0.9</v>
      </c>
      <c r="I29" s="45" t="s">
        <v>50</v>
      </c>
      <c r="J29" s="39" t="s">
        <v>76</v>
      </c>
      <c r="K29" s="40">
        <v>90</v>
      </c>
      <c r="L29" s="40">
        <v>80</v>
      </c>
      <c r="M29" s="40">
        <v>70</v>
      </c>
      <c r="N29" s="40">
        <v>50</v>
      </c>
      <c r="O29" s="40" t="s">
        <v>71</v>
      </c>
      <c r="P29" s="41"/>
      <c r="Q29" s="42">
        <f t="shared" si="3"/>
        <v>0</v>
      </c>
      <c r="R29" s="43">
        <f t="shared" si="4"/>
        <v>0</v>
      </c>
    </row>
    <row r="30" spans="1:18" s="44" customFormat="1" ht="147" customHeight="1" x14ac:dyDescent="0.25">
      <c r="A30" s="267"/>
      <c r="B30" s="188"/>
      <c r="C30" s="269"/>
      <c r="D30" s="34" t="s">
        <v>81</v>
      </c>
      <c r="E30" s="35">
        <f>C25/10</f>
        <v>1.7179917665187077</v>
      </c>
      <c r="F30" s="35">
        <f t="shared" si="2"/>
        <v>6.0022900303328557</v>
      </c>
      <c r="G30" s="34" t="s">
        <v>82</v>
      </c>
      <c r="H30" s="46">
        <v>0.8</v>
      </c>
      <c r="I30" s="45" t="s">
        <v>50</v>
      </c>
      <c r="J30" s="39" t="s">
        <v>70</v>
      </c>
      <c r="K30" s="40">
        <v>80</v>
      </c>
      <c r="L30" s="40">
        <v>75</v>
      </c>
      <c r="M30" s="40">
        <v>70</v>
      </c>
      <c r="N30" s="40">
        <v>50</v>
      </c>
      <c r="O30" s="40" t="s">
        <v>71</v>
      </c>
      <c r="P30" s="41"/>
      <c r="Q30" s="42">
        <f t="shared" si="3"/>
        <v>0</v>
      </c>
      <c r="R30" s="43">
        <f t="shared" si="4"/>
        <v>0</v>
      </c>
    </row>
    <row r="31" spans="1:18" s="44" customFormat="1" ht="147" customHeight="1" x14ac:dyDescent="0.25">
      <c r="A31" s="267"/>
      <c r="B31" s="188"/>
      <c r="C31" s="269"/>
      <c r="D31" s="34" t="s">
        <v>83</v>
      </c>
      <c r="E31" s="35">
        <f>C25/10</f>
        <v>1.7179917665187077</v>
      </c>
      <c r="F31" s="35">
        <f t="shared" si="2"/>
        <v>6.0022900303328557</v>
      </c>
      <c r="G31" s="34" t="s">
        <v>84</v>
      </c>
      <c r="H31" s="46">
        <v>0.9</v>
      </c>
      <c r="I31" s="45" t="s">
        <v>50</v>
      </c>
      <c r="J31" s="39" t="s">
        <v>76</v>
      </c>
      <c r="K31" s="40">
        <v>90</v>
      </c>
      <c r="L31" s="40">
        <v>80</v>
      </c>
      <c r="M31" s="40">
        <v>70</v>
      </c>
      <c r="N31" s="40">
        <v>50</v>
      </c>
      <c r="O31" s="40" t="s">
        <v>71</v>
      </c>
      <c r="P31" s="41"/>
      <c r="Q31" s="42">
        <f t="shared" si="3"/>
        <v>0</v>
      </c>
      <c r="R31" s="43">
        <f t="shared" si="4"/>
        <v>0</v>
      </c>
    </row>
    <row r="32" spans="1:18" s="44" customFormat="1" ht="147" customHeight="1" x14ac:dyDescent="0.25">
      <c r="A32" s="267"/>
      <c r="B32" s="188"/>
      <c r="C32" s="269"/>
      <c r="D32" s="34" t="s">
        <v>85</v>
      </c>
      <c r="E32" s="35">
        <f>C25/10</f>
        <v>1.7179917665187077</v>
      </c>
      <c r="F32" s="35">
        <f t="shared" si="2"/>
        <v>6.0022900303328557</v>
      </c>
      <c r="G32" s="34" t="s">
        <v>86</v>
      </c>
      <c r="H32" s="46">
        <v>0.8</v>
      </c>
      <c r="I32" s="45" t="s">
        <v>50</v>
      </c>
      <c r="J32" s="39" t="s">
        <v>70</v>
      </c>
      <c r="K32" s="40">
        <v>80</v>
      </c>
      <c r="L32" s="40">
        <v>75</v>
      </c>
      <c r="M32" s="40">
        <v>70</v>
      </c>
      <c r="N32" s="40">
        <v>50</v>
      </c>
      <c r="O32" s="40" t="s">
        <v>71</v>
      </c>
      <c r="P32" s="41"/>
      <c r="Q32" s="42">
        <f t="shared" si="3"/>
        <v>0</v>
      </c>
      <c r="R32" s="43">
        <f t="shared" si="4"/>
        <v>0</v>
      </c>
    </row>
    <row r="33" spans="1:18" s="44" customFormat="1" ht="147" customHeight="1" x14ac:dyDescent="0.25">
      <c r="A33" s="267"/>
      <c r="B33" s="188"/>
      <c r="C33" s="269"/>
      <c r="D33" s="34" t="s">
        <v>87</v>
      </c>
      <c r="E33" s="35">
        <f>C25/10</f>
        <v>1.7179917665187077</v>
      </c>
      <c r="F33" s="35">
        <f t="shared" si="2"/>
        <v>6.0022900303328557</v>
      </c>
      <c r="G33" s="34" t="s">
        <v>88</v>
      </c>
      <c r="H33" s="46">
        <v>0.8</v>
      </c>
      <c r="I33" s="45" t="s">
        <v>50</v>
      </c>
      <c r="J33" s="39" t="s">
        <v>70</v>
      </c>
      <c r="K33" s="40">
        <v>80</v>
      </c>
      <c r="L33" s="40">
        <v>75</v>
      </c>
      <c r="M33" s="40">
        <v>70</v>
      </c>
      <c r="N33" s="40">
        <v>50</v>
      </c>
      <c r="O33" s="40" t="s">
        <v>71</v>
      </c>
      <c r="P33" s="41"/>
      <c r="Q33" s="42">
        <f t="shared" si="3"/>
        <v>0</v>
      </c>
      <c r="R33" s="43">
        <f t="shared" si="4"/>
        <v>0</v>
      </c>
    </row>
    <row r="34" spans="1:18" s="44" customFormat="1" ht="147" customHeight="1" x14ac:dyDescent="0.25">
      <c r="A34" s="191"/>
      <c r="B34" s="189"/>
      <c r="C34" s="270"/>
      <c r="D34" s="34" t="s">
        <v>89</v>
      </c>
      <c r="E34" s="35">
        <f>C25/10</f>
        <v>1.7179917665187077</v>
      </c>
      <c r="F34" s="35">
        <f t="shared" si="2"/>
        <v>6.0022900303328557</v>
      </c>
      <c r="G34" s="34" t="s">
        <v>90</v>
      </c>
      <c r="H34" s="46">
        <v>0.9</v>
      </c>
      <c r="I34" s="45" t="s">
        <v>50</v>
      </c>
      <c r="J34" s="39" t="s">
        <v>76</v>
      </c>
      <c r="K34" s="40">
        <v>90</v>
      </c>
      <c r="L34" s="40">
        <v>80</v>
      </c>
      <c r="M34" s="40">
        <v>70</v>
      </c>
      <c r="N34" s="40">
        <v>50</v>
      </c>
      <c r="O34" s="40" t="s">
        <v>71</v>
      </c>
      <c r="P34" s="41"/>
      <c r="Q34" s="42">
        <f t="shared" si="3"/>
        <v>0</v>
      </c>
      <c r="R34" s="43">
        <f t="shared" si="4"/>
        <v>0</v>
      </c>
    </row>
    <row r="35" spans="1:18" s="44" customFormat="1" ht="147" customHeight="1" x14ac:dyDescent="0.25">
      <c r="A35" s="190">
        <v>3</v>
      </c>
      <c r="B35" s="187" t="s">
        <v>91</v>
      </c>
      <c r="C35" s="268">
        <v>9.6593914583381224</v>
      </c>
      <c r="D35" s="187" t="s">
        <v>92</v>
      </c>
      <c r="E35" s="35">
        <f>C35/8</f>
        <v>1.2074239322922653</v>
      </c>
      <c r="F35" s="35">
        <f t="shared" si="2"/>
        <v>4.2184769289487969</v>
      </c>
      <c r="G35" s="34" t="s">
        <v>93</v>
      </c>
      <c r="H35" s="46">
        <v>1</v>
      </c>
      <c r="I35" s="38" t="s">
        <v>50</v>
      </c>
      <c r="J35" s="39">
        <v>100</v>
      </c>
      <c r="K35" s="40">
        <v>95</v>
      </c>
      <c r="L35" s="40">
        <v>90</v>
      </c>
      <c r="M35" s="40">
        <v>85</v>
      </c>
      <c r="N35" s="40">
        <v>80</v>
      </c>
      <c r="O35" s="40" t="s">
        <v>51</v>
      </c>
      <c r="P35" s="41"/>
      <c r="Q35" s="42">
        <f t="shared" si="3"/>
        <v>0</v>
      </c>
      <c r="R35" s="43">
        <f t="shared" si="4"/>
        <v>0</v>
      </c>
    </row>
    <row r="36" spans="1:18" s="44" customFormat="1" ht="147" customHeight="1" x14ac:dyDescent="0.25">
      <c r="A36" s="267"/>
      <c r="B36" s="188"/>
      <c r="C36" s="269"/>
      <c r="D36" s="188"/>
      <c r="E36" s="35">
        <f>C35/8</f>
        <v>1.2074239322922653</v>
      </c>
      <c r="F36" s="35">
        <f t="shared" si="2"/>
        <v>4.2184769289487969</v>
      </c>
      <c r="G36" s="34" t="s">
        <v>94</v>
      </c>
      <c r="H36" s="46">
        <v>1</v>
      </c>
      <c r="I36" s="38" t="s">
        <v>50</v>
      </c>
      <c r="J36" s="39">
        <v>100</v>
      </c>
      <c r="K36" s="40">
        <v>95</v>
      </c>
      <c r="L36" s="40">
        <v>90</v>
      </c>
      <c r="M36" s="40">
        <v>85</v>
      </c>
      <c r="N36" s="40">
        <v>80</v>
      </c>
      <c r="O36" s="40" t="s">
        <v>51</v>
      </c>
      <c r="P36" s="41"/>
      <c r="Q36" s="42">
        <f t="shared" si="3"/>
        <v>0</v>
      </c>
      <c r="R36" s="43">
        <f t="shared" si="4"/>
        <v>0</v>
      </c>
    </row>
    <row r="37" spans="1:18" s="44" customFormat="1" ht="147" customHeight="1" x14ac:dyDescent="0.25">
      <c r="A37" s="267"/>
      <c r="B37" s="188"/>
      <c r="C37" s="269"/>
      <c r="D37" s="188"/>
      <c r="E37" s="35">
        <f>C35/8</f>
        <v>1.2074239322922653</v>
      </c>
      <c r="F37" s="35">
        <f t="shared" si="2"/>
        <v>4.2184769289487969</v>
      </c>
      <c r="G37" s="34" t="s">
        <v>95</v>
      </c>
      <c r="H37" s="46">
        <v>0.9</v>
      </c>
      <c r="I37" s="45" t="s">
        <v>50</v>
      </c>
      <c r="J37" s="39" t="s">
        <v>76</v>
      </c>
      <c r="K37" s="40">
        <v>90</v>
      </c>
      <c r="L37" s="40">
        <v>80</v>
      </c>
      <c r="M37" s="40">
        <v>70</v>
      </c>
      <c r="N37" s="40">
        <v>50</v>
      </c>
      <c r="O37" s="40" t="s">
        <v>71</v>
      </c>
      <c r="P37" s="41"/>
      <c r="Q37" s="42">
        <f t="shared" si="3"/>
        <v>0</v>
      </c>
      <c r="R37" s="43">
        <f t="shared" si="4"/>
        <v>0</v>
      </c>
    </row>
    <row r="38" spans="1:18" s="44" customFormat="1" ht="147" customHeight="1" x14ac:dyDescent="0.25">
      <c r="A38" s="267"/>
      <c r="B38" s="188"/>
      <c r="C38" s="269"/>
      <c r="D38" s="188"/>
      <c r="E38" s="35">
        <f>C35/8</f>
        <v>1.2074239322922653</v>
      </c>
      <c r="F38" s="35">
        <f t="shared" si="2"/>
        <v>4.2184769289487969</v>
      </c>
      <c r="G38" s="34" t="s">
        <v>96</v>
      </c>
      <c r="H38" s="46">
        <v>0.9</v>
      </c>
      <c r="I38" s="45" t="s">
        <v>50</v>
      </c>
      <c r="J38" s="39" t="s">
        <v>76</v>
      </c>
      <c r="K38" s="40">
        <v>90</v>
      </c>
      <c r="L38" s="40">
        <v>80</v>
      </c>
      <c r="M38" s="40">
        <v>70</v>
      </c>
      <c r="N38" s="40">
        <v>50</v>
      </c>
      <c r="O38" s="40" t="s">
        <v>71</v>
      </c>
      <c r="P38" s="41"/>
      <c r="Q38" s="42">
        <f t="shared" si="3"/>
        <v>0</v>
      </c>
      <c r="R38" s="43">
        <f t="shared" si="4"/>
        <v>0</v>
      </c>
    </row>
    <row r="39" spans="1:18" s="44" customFormat="1" ht="147" customHeight="1" x14ac:dyDescent="0.25">
      <c r="A39" s="267"/>
      <c r="B39" s="188"/>
      <c r="C39" s="269"/>
      <c r="D39" s="188"/>
      <c r="E39" s="35">
        <f>C35/8</f>
        <v>1.2074239322922653</v>
      </c>
      <c r="F39" s="35">
        <f t="shared" si="2"/>
        <v>4.2184769289487969</v>
      </c>
      <c r="G39" s="34" t="s">
        <v>97</v>
      </c>
      <c r="H39" s="46">
        <v>0.8</v>
      </c>
      <c r="I39" s="45" t="s">
        <v>50</v>
      </c>
      <c r="J39" s="39" t="s">
        <v>70</v>
      </c>
      <c r="K39" s="40">
        <v>80</v>
      </c>
      <c r="L39" s="40">
        <v>75</v>
      </c>
      <c r="M39" s="40">
        <v>70</v>
      </c>
      <c r="N39" s="40">
        <v>50</v>
      </c>
      <c r="O39" s="40" t="s">
        <v>71</v>
      </c>
      <c r="P39" s="41"/>
      <c r="Q39" s="42">
        <f t="shared" si="3"/>
        <v>0</v>
      </c>
      <c r="R39" s="43">
        <f t="shared" si="4"/>
        <v>0</v>
      </c>
    </row>
    <row r="40" spans="1:18" s="44" customFormat="1" ht="147" customHeight="1" x14ac:dyDescent="0.25">
      <c r="A40" s="267"/>
      <c r="B40" s="188"/>
      <c r="C40" s="269"/>
      <c r="D40" s="188"/>
      <c r="E40" s="35">
        <f>C35/8</f>
        <v>1.2074239322922653</v>
      </c>
      <c r="F40" s="35">
        <f t="shared" si="2"/>
        <v>4.2184769289487969</v>
      </c>
      <c r="G40" s="34" t="s">
        <v>98</v>
      </c>
      <c r="H40" s="46">
        <v>1</v>
      </c>
      <c r="I40" s="38" t="s">
        <v>50</v>
      </c>
      <c r="J40" s="39">
        <v>100</v>
      </c>
      <c r="K40" s="40">
        <v>95</v>
      </c>
      <c r="L40" s="40">
        <v>90</v>
      </c>
      <c r="M40" s="40">
        <v>85</v>
      </c>
      <c r="N40" s="40">
        <v>80</v>
      </c>
      <c r="O40" s="40" t="s">
        <v>51</v>
      </c>
      <c r="P40" s="41"/>
      <c r="Q40" s="42">
        <f t="shared" si="3"/>
        <v>0</v>
      </c>
      <c r="R40" s="43">
        <f t="shared" si="4"/>
        <v>0</v>
      </c>
    </row>
    <row r="41" spans="1:18" s="44" customFormat="1" ht="147" customHeight="1" x14ac:dyDescent="0.25">
      <c r="A41" s="267"/>
      <c r="B41" s="188"/>
      <c r="C41" s="269"/>
      <c r="D41" s="188"/>
      <c r="E41" s="35">
        <f>C35/8</f>
        <v>1.2074239322922653</v>
      </c>
      <c r="F41" s="35">
        <f t="shared" si="2"/>
        <v>4.2184769289487969</v>
      </c>
      <c r="G41" s="34" t="s">
        <v>99</v>
      </c>
      <c r="H41" s="46">
        <v>1</v>
      </c>
      <c r="I41" s="38" t="s">
        <v>50</v>
      </c>
      <c r="J41" s="39">
        <v>100</v>
      </c>
      <c r="K41" s="40">
        <v>95</v>
      </c>
      <c r="L41" s="40">
        <v>90</v>
      </c>
      <c r="M41" s="40">
        <v>85</v>
      </c>
      <c r="N41" s="40">
        <v>80</v>
      </c>
      <c r="O41" s="40" t="s">
        <v>51</v>
      </c>
      <c r="P41" s="41"/>
      <c r="Q41" s="42">
        <f t="shared" si="3"/>
        <v>0</v>
      </c>
      <c r="R41" s="43">
        <f t="shared" si="4"/>
        <v>0</v>
      </c>
    </row>
    <row r="42" spans="1:18" s="44" customFormat="1" ht="147" customHeight="1" x14ac:dyDescent="0.25">
      <c r="A42" s="191"/>
      <c r="B42" s="189"/>
      <c r="C42" s="270"/>
      <c r="D42" s="189"/>
      <c r="E42" s="35">
        <f>C35/8</f>
        <v>1.2074239322922653</v>
      </c>
      <c r="F42" s="35">
        <f t="shared" si="2"/>
        <v>4.2184769289487969</v>
      </c>
      <c r="G42" s="34" t="s">
        <v>100</v>
      </c>
      <c r="H42" s="46">
        <v>1</v>
      </c>
      <c r="I42" s="38" t="s">
        <v>50</v>
      </c>
      <c r="J42" s="39">
        <v>100</v>
      </c>
      <c r="K42" s="40">
        <v>95</v>
      </c>
      <c r="L42" s="40">
        <v>90</v>
      </c>
      <c r="M42" s="40">
        <v>85</v>
      </c>
      <c r="N42" s="40">
        <v>80</v>
      </c>
      <c r="O42" s="40" t="s">
        <v>51</v>
      </c>
      <c r="P42" s="41"/>
      <c r="Q42" s="42">
        <f t="shared" si="3"/>
        <v>0</v>
      </c>
      <c r="R42" s="43">
        <f t="shared" si="4"/>
        <v>0</v>
      </c>
    </row>
    <row r="43" spans="1:18" s="44" customFormat="1" ht="147" customHeight="1" x14ac:dyDescent="0.25">
      <c r="A43" s="33">
        <v>5</v>
      </c>
      <c r="B43" s="34" t="s">
        <v>101</v>
      </c>
      <c r="C43" s="47">
        <f>0.25 *1.20742393229227</f>
        <v>0.30185598307306749</v>
      </c>
      <c r="D43" s="34" t="s">
        <v>102</v>
      </c>
      <c r="E43" s="35">
        <f>C43</f>
        <v>0.30185598307306749</v>
      </c>
      <c r="F43" s="35">
        <f t="shared" si="2"/>
        <v>1.0546192322372032</v>
      </c>
      <c r="G43" s="36" t="s">
        <v>103</v>
      </c>
      <c r="H43" s="45">
        <v>5</v>
      </c>
      <c r="I43" s="38" t="s">
        <v>58</v>
      </c>
      <c r="J43" s="39" t="s">
        <v>59</v>
      </c>
      <c r="K43" s="40">
        <v>5</v>
      </c>
      <c r="L43" s="40">
        <v>4</v>
      </c>
      <c r="M43" s="40">
        <v>3</v>
      </c>
      <c r="N43" s="40">
        <v>2</v>
      </c>
      <c r="O43" s="40">
        <v>1</v>
      </c>
      <c r="P43" s="41"/>
      <c r="Q43" s="42">
        <f t="shared" si="3"/>
        <v>0</v>
      </c>
      <c r="R43" s="43">
        <f t="shared" si="4"/>
        <v>0</v>
      </c>
    </row>
    <row r="44" spans="1:18" s="44" customFormat="1" ht="147" customHeight="1" x14ac:dyDescent="0.25">
      <c r="A44" s="190">
        <v>7</v>
      </c>
      <c r="B44" s="187" t="s">
        <v>104</v>
      </c>
      <c r="C44" s="192">
        <f>0.25 *2.41484786458453</f>
        <v>0.60371196614613254</v>
      </c>
      <c r="D44" s="34" t="s">
        <v>105</v>
      </c>
      <c r="E44" s="35">
        <f>C44/2</f>
        <v>0.30185598307306627</v>
      </c>
      <c r="F44" s="35">
        <f t="shared" si="2"/>
        <v>1.0546192322371992</v>
      </c>
      <c r="G44" s="36" t="s">
        <v>106</v>
      </c>
      <c r="H44" s="45">
        <v>5</v>
      </c>
      <c r="I44" s="45" t="s">
        <v>58</v>
      </c>
      <c r="J44" s="39" t="s">
        <v>59</v>
      </c>
      <c r="K44" s="40">
        <v>5</v>
      </c>
      <c r="L44" s="40">
        <v>4</v>
      </c>
      <c r="M44" s="40">
        <v>3</v>
      </c>
      <c r="N44" s="40">
        <v>2</v>
      </c>
      <c r="O44" s="40">
        <v>1</v>
      </c>
      <c r="P44" s="41"/>
      <c r="Q44" s="42">
        <f t="shared" si="3"/>
        <v>0</v>
      </c>
      <c r="R44" s="43">
        <f t="shared" si="4"/>
        <v>0</v>
      </c>
    </row>
    <row r="45" spans="1:18" s="44" customFormat="1" ht="147" customHeight="1" x14ac:dyDescent="0.25">
      <c r="A45" s="191"/>
      <c r="B45" s="189"/>
      <c r="C45" s="193"/>
      <c r="D45" s="34" t="s">
        <v>107</v>
      </c>
      <c r="E45" s="35">
        <f>C44/2</f>
        <v>0.30185598307306627</v>
      </c>
      <c r="F45" s="35">
        <f t="shared" si="2"/>
        <v>1.0546192322371992</v>
      </c>
      <c r="G45" s="36" t="s">
        <v>108</v>
      </c>
      <c r="H45" s="46">
        <v>0.8</v>
      </c>
      <c r="I45" s="45" t="s">
        <v>50</v>
      </c>
      <c r="J45" s="39" t="s">
        <v>70</v>
      </c>
      <c r="K45" s="40">
        <v>80</v>
      </c>
      <c r="L45" s="40">
        <v>75</v>
      </c>
      <c r="M45" s="40">
        <v>70</v>
      </c>
      <c r="N45" s="40">
        <v>50</v>
      </c>
      <c r="O45" s="40" t="s">
        <v>71</v>
      </c>
      <c r="P45" s="41"/>
      <c r="Q45" s="42">
        <f t="shared" si="3"/>
        <v>0</v>
      </c>
      <c r="R45" s="43">
        <f t="shared" si="4"/>
        <v>0</v>
      </c>
    </row>
    <row r="46" spans="1:18" s="44" customFormat="1" ht="147" customHeight="1" x14ac:dyDescent="0.25">
      <c r="A46" s="190">
        <v>8</v>
      </c>
      <c r="B46" s="187" t="s">
        <v>109</v>
      </c>
      <c r="C46" s="192">
        <f>0.25 *0.804949288194844</f>
        <v>0.201237322048711</v>
      </c>
      <c r="D46" s="34" t="s">
        <v>110</v>
      </c>
      <c r="E46" s="35">
        <f>C46/2</f>
        <v>0.1006186610243555</v>
      </c>
      <c r="F46" s="35">
        <f t="shared" si="2"/>
        <v>0.35153974407906663</v>
      </c>
      <c r="G46" s="36" t="s">
        <v>111</v>
      </c>
      <c r="H46" s="45">
        <v>5</v>
      </c>
      <c r="I46" s="45" t="s">
        <v>58</v>
      </c>
      <c r="J46" s="39" t="s">
        <v>59</v>
      </c>
      <c r="K46" s="40">
        <v>5</v>
      </c>
      <c r="L46" s="40">
        <v>4</v>
      </c>
      <c r="M46" s="40">
        <v>3</v>
      </c>
      <c r="N46" s="40">
        <v>2</v>
      </c>
      <c r="O46" s="40">
        <v>1</v>
      </c>
      <c r="P46" s="41"/>
      <c r="Q46" s="42">
        <f t="shared" si="3"/>
        <v>0</v>
      </c>
      <c r="R46" s="43">
        <f t="shared" si="4"/>
        <v>0</v>
      </c>
    </row>
    <row r="47" spans="1:18" s="44" customFormat="1" ht="147" customHeight="1" x14ac:dyDescent="0.25">
      <c r="A47" s="191"/>
      <c r="B47" s="189"/>
      <c r="C47" s="193"/>
      <c r="D47" s="34" t="s">
        <v>112</v>
      </c>
      <c r="E47" s="35">
        <f>C46/2</f>
        <v>0.1006186610243555</v>
      </c>
      <c r="F47" s="35">
        <f t="shared" si="2"/>
        <v>0.35153974407906663</v>
      </c>
      <c r="G47" s="36" t="s">
        <v>113</v>
      </c>
      <c r="H47" s="46">
        <v>0.8</v>
      </c>
      <c r="I47" s="45" t="s">
        <v>50</v>
      </c>
      <c r="J47" s="39" t="s">
        <v>70</v>
      </c>
      <c r="K47" s="40">
        <v>80</v>
      </c>
      <c r="L47" s="40">
        <v>75</v>
      </c>
      <c r="M47" s="40">
        <v>70</v>
      </c>
      <c r="N47" s="40">
        <v>50</v>
      </c>
      <c r="O47" s="40" t="s">
        <v>71</v>
      </c>
      <c r="P47" s="41"/>
      <c r="Q47" s="42">
        <f t="shared" si="3"/>
        <v>0</v>
      </c>
      <c r="R47" s="43">
        <f t="shared" si="4"/>
        <v>0</v>
      </c>
    </row>
    <row r="48" spans="1:18" s="44" customFormat="1" ht="147" customHeight="1" x14ac:dyDescent="0.25">
      <c r="A48" s="33">
        <v>10</v>
      </c>
      <c r="B48" s="34" t="s">
        <v>114</v>
      </c>
      <c r="C48" s="47">
        <f>0.25 *0.321979715277938</f>
        <v>8.0494928819484501E-2</v>
      </c>
      <c r="D48" s="115" t="s">
        <v>115</v>
      </c>
      <c r="E48" s="35">
        <f>C48</f>
        <v>8.0494928819484501E-2</v>
      </c>
      <c r="F48" s="35">
        <f t="shared" si="2"/>
        <v>0.28123179526325365</v>
      </c>
      <c r="G48" s="36" t="s">
        <v>116</v>
      </c>
      <c r="H48" s="37">
        <v>0.7</v>
      </c>
      <c r="I48" s="45" t="s">
        <v>50</v>
      </c>
      <c r="J48" s="39" t="s">
        <v>117</v>
      </c>
      <c r="K48" s="40">
        <v>70</v>
      </c>
      <c r="L48" s="40">
        <v>60</v>
      </c>
      <c r="M48" s="40">
        <v>50</v>
      </c>
      <c r="N48" s="40">
        <v>40</v>
      </c>
      <c r="O48" s="40" t="s">
        <v>118</v>
      </c>
      <c r="P48" s="41"/>
      <c r="Q48" s="42">
        <f t="shared" si="3"/>
        <v>0</v>
      </c>
      <c r="R48" s="43">
        <f t="shared" si="4"/>
        <v>0</v>
      </c>
    </row>
    <row r="49" spans="1:18" s="44" customFormat="1" ht="147" customHeight="1" x14ac:dyDescent="0.25">
      <c r="A49" s="33"/>
      <c r="B49" s="34" t="s">
        <v>119</v>
      </c>
      <c r="C49" s="47">
        <f>0.25 *0.321979715277938</f>
        <v>8.0494928819484501E-2</v>
      </c>
      <c r="D49" s="36" t="s">
        <v>120</v>
      </c>
      <c r="E49" s="35">
        <f>C49</f>
        <v>8.0494928819484501E-2</v>
      </c>
      <c r="F49" s="35">
        <f t="shared" si="2"/>
        <v>0.28123179526325365</v>
      </c>
      <c r="G49" s="36" t="s">
        <v>121</v>
      </c>
      <c r="H49" s="37">
        <v>0.5</v>
      </c>
      <c r="I49" s="38" t="s">
        <v>50</v>
      </c>
      <c r="J49" s="39" t="s">
        <v>65</v>
      </c>
      <c r="K49" s="40">
        <v>50</v>
      </c>
      <c r="L49" s="40">
        <v>45</v>
      </c>
      <c r="M49" s="40">
        <v>40</v>
      </c>
      <c r="N49" s="40">
        <v>25</v>
      </c>
      <c r="O49" s="40" t="s">
        <v>66</v>
      </c>
      <c r="P49" s="41"/>
      <c r="Q49" s="42">
        <f t="shared" si="3"/>
        <v>0</v>
      </c>
      <c r="R49" s="43">
        <f t="shared" si="4"/>
        <v>0</v>
      </c>
    </row>
    <row r="50" spans="1:18" s="58" customFormat="1" ht="44.25" x14ac:dyDescent="0.25">
      <c r="A50" s="48"/>
      <c r="B50" s="49" t="s">
        <v>122</v>
      </c>
      <c r="C50" s="50">
        <f>SUM(C19:C49)</f>
        <v>28.622271796876777</v>
      </c>
      <c r="D50" s="49"/>
      <c r="E50" s="50">
        <f>SUM(E19:E49)</f>
        <v>28.622271796876781</v>
      </c>
      <c r="F50" s="50">
        <f>SUM(F19:F49)</f>
        <v>100.00000000000004</v>
      </c>
      <c r="G50" s="51"/>
      <c r="H50" s="52"/>
      <c r="I50" s="53"/>
      <c r="J50" s="54"/>
      <c r="K50" s="54"/>
      <c r="L50" s="54"/>
      <c r="M50" s="54"/>
      <c r="N50" s="54"/>
      <c r="O50" s="54"/>
      <c r="P50" s="55"/>
      <c r="Q50" s="56"/>
      <c r="R50" s="57">
        <f>SUM(R19:R49)</f>
        <v>0</v>
      </c>
    </row>
    <row r="51" spans="1:18" s="60" customFormat="1" ht="66" customHeight="1" x14ac:dyDescent="0.7">
      <c r="A51" s="59"/>
      <c r="G51" s="61"/>
      <c r="H51" s="61"/>
      <c r="I51" s="177" t="s">
        <v>172</v>
      </c>
      <c r="J51" s="178"/>
      <c r="K51" s="178"/>
      <c r="L51" s="178"/>
      <c r="M51" s="178"/>
      <c r="N51" s="178"/>
      <c r="O51" s="178"/>
      <c r="P51" s="178"/>
      <c r="Q51" s="179"/>
      <c r="R51" s="62">
        <f>R50/100 * 70</f>
        <v>0</v>
      </c>
    </row>
    <row r="52" spans="1:18" s="67" customFormat="1" ht="36" x14ac:dyDescent="0.55000000000000004">
      <c r="A52" s="180" t="s">
        <v>123</v>
      </c>
      <c r="B52" s="181"/>
      <c r="C52" s="181"/>
      <c r="D52" s="181"/>
      <c r="E52" s="181"/>
      <c r="F52" s="181"/>
      <c r="G52" s="182"/>
      <c r="H52" s="183"/>
      <c r="I52" s="183"/>
      <c r="J52" s="183"/>
      <c r="K52" s="183"/>
      <c r="L52" s="184" t="s">
        <v>128</v>
      </c>
      <c r="M52" s="63" t="s">
        <v>124</v>
      </c>
      <c r="N52" s="63"/>
      <c r="O52" s="63"/>
      <c r="P52" s="64"/>
      <c r="Q52" s="65"/>
      <c r="R52" s="66"/>
    </row>
    <row r="53" spans="1:18" s="67" customFormat="1" ht="31.5" customHeight="1" x14ac:dyDescent="0.55000000000000004">
      <c r="A53" s="68"/>
      <c r="B53" s="69"/>
      <c r="C53" s="186" t="s">
        <v>125</v>
      </c>
      <c r="D53" s="186"/>
      <c r="E53" s="186"/>
      <c r="F53" s="186"/>
      <c r="G53" s="186"/>
      <c r="H53" s="70" t="s">
        <v>173</v>
      </c>
      <c r="I53" s="70" t="s">
        <v>174</v>
      </c>
      <c r="J53" s="70"/>
      <c r="K53" s="71"/>
      <c r="L53" s="185"/>
      <c r="M53" s="72"/>
      <c r="N53" s="72"/>
      <c r="O53" s="72"/>
      <c r="P53" s="73"/>
      <c r="Q53" s="65"/>
      <c r="R53" s="66"/>
    </row>
    <row r="54" spans="1:18" s="67" customFormat="1" ht="36" customHeight="1" x14ac:dyDescent="0.55000000000000004">
      <c r="A54" s="74">
        <v>1</v>
      </c>
      <c r="B54" s="75" t="s">
        <v>129</v>
      </c>
      <c r="C54" s="210"/>
      <c r="D54" s="211"/>
      <c r="E54" s="211"/>
      <c r="F54" s="211"/>
      <c r="G54" s="212"/>
      <c r="H54" s="76"/>
      <c r="I54" s="76"/>
      <c r="J54" s="76"/>
      <c r="K54" s="76"/>
      <c r="L54" s="77"/>
      <c r="M54" s="78" t="s">
        <v>41</v>
      </c>
      <c r="N54" s="202" t="s">
        <v>130</v>
      </c>
      <c r="O54" s="203"/>
      <c r="P54" s="73"/>
      <c r="Q54" s="65"/>
      <c r="R54" s="66"/>
    </row>
    <row r="55" spans="1:18" s="67" customFormat="1" ht="84.75" customHeight="1" x14ac:dyDescent="0.55000000000000004">
      <c r="A55" s="81" t="s">
        <v>131</v>
      </c>
      <c r="B55" s="82" t="s">
        <v>175</v>
      </c>
      <c r="C55" s="199"/>
      <c r="D55" s="200"/>
      <c r="E55" s="200"/>
      <c r="F55" s="200"/>
      <c r="G55" s="201"/>
      <c r="H55" s="83">
        <v>4</v>
      </c>
      <c r="I55" s="84"/>
      <c r="J55" s="83"/>
      <c r="K55" s="83"/>
      <c r="L55" s="77"/>
      <c r="M55" s="78" t="s">
        <v>42</v>
      </c>
      <c r="N55" s="202" t="s">
        <v>132</v>
      </c>
      <c r="O55" s="203"/>
      <c r="P55" s="73"/>
      <c r="Q55" s="65"/>
      <c r="R55" s="66"/>
    </row>
    <row r="56" spans="1:18" s="67" customFormat="1" ht="82.5" customHeight="1" x14ac:dyDescent="0.55000000000000004">
      <c r="A56" s="81" t="s">
        <v>133</v>
      </c>
      <c r="B56" s="82" t="s">
        <v>176</v>
      </c>
      <c r="C56" s="199"/>
      <c r="D56" s="200"/>
      <c r="E56" s="200"/>
      <c r="F56" s="200"/>
      <c r="G56" s="201"/>
      <c r="H56" s="83">
        <v>2</v>
      </c>
      <c r="I56" s="84"/>
      <c r="J56" s="83"/>
      <c r="K56" s="83"/>
      <c r="L56" s="77"/>
      <c r="M56" s="78" t="s">
        <v>43</v>
      </c>
      <c r="N56" s="202" t="s">
        <v>134</v>
      </c>
      <c r="O56" s="203"/>
      <c r="P56" s="73"/>
      <c r="Q56" s="65"/>
      <c r="R56" s="66"/>
    </row>
    <row r="57" spans="1:18" s="67" customFormat="1" ht="78.75" customHeight="1" x14ac:dyDescent="0.55000000000000004">
      <c r="A57" s="81" t="s">
        <v>135</v>
      </c>
      <c r="B57" s="82" t="s">
        <v>136</v>
      </c>
      <c r="C57" s="199"/>
      <c r="D57" s="200"/>
      <c r="E57" s="200"/>
      <c r="F57" s="200"/>
      <c r="G57" s="201"/>
      <c r="H57" s="83">
        <v>2</v>
      </c>
      <c r="I57" s="84"/>
      <c r="J57" s="83"/>
      <c r="K57" s="83"/>
      <c r="L57" s="77"/>
      <c r="M57" s="78" t="s">
        <v>44</v>
      </c>
      <c r="N57" s="202" t="s">
        <v>137</v>
      </c>
      <c r="O57" s="203"/>
      <c r="P57" s="73"/>
      <c r="Q57" s="65"/>
      <c r="R57" s="66"/>
    </row>
    <row r="58" spans="1:18" s="67" customFormat="1" ht="36" x14ac:dyDescent="0.55000000000000004">
      <c r="A58" s="85">
        <v>2</v>
      </c>
      <c r="B58" s="86" t="s">
        <v>138</v>
      </c>
      <c r="C58" s="204"/>
      <c r="D58" s="205"/>
      <c r="E58" s="205"/>
      <c r="F58" s="205"/>
      <c r="G58" s="206"/>
      <c r="H58" s="83"/>
      <c r="I58" s="84"/>
      <c r="J58" s="83"/>
      <c r="K58" s="83"/>
      <c r="L58" s="77"/>
      <c r="M58" s="78" t="s">
        <v>45</v>
      </c>
      <c r="N58" s="202" t="s">
        <v>139</v>
      </c>
      <c r="O58" s="203"/>
      <c r="P58" s="73"/>
      <c r="Q58" s="65"/>
      <c r="R58" s="66"/>
    </row>
    <row r="59" spans="1:18" s="67" customFormat="1" ht="82.5" customHeight="1" x14ac:dyDescent="0.55000000000000004">
      <c r="A59" s="81" t="s">
        <v>131</v>
      </c>
      <c r="B59" s="87" t="s">
        <v>177</v>
      </c>
      <c r="C59" s="207"/>
      <c r="D59" s="208"/>
      <c r="E59" s="208"/>
      <c r="F59" s="208"/>
      <c r="G59" s="209"/>
      <c r="H59" s="83">
        <v>2</v>
      </c>
      <c r="I59" s="84"/>
      <c r="J59" s="83"/>
      <c r="K59" s="83"/>
      <c r="L59" s="77"/>
      <c r="M59" s="78" t="s">
        <v>46</v>
      </c>
      <c r="N59" s="202" t="s">
        <v>140</v>
      </c>
      <c r="O59" s="203"/>
      <c r="P59" s="88"/>
      <c r="Q59" s="65"/>
      <c r="R59" s="66"/>
    </row>
    <row r="60" spans="1:18" s="67" customFormat="1" ht="114.75" customHeight="1" x14ac:dyDescent="0.55000000000000004">
      <c r="A60" s="81" t="s">
        <v>133</v>
      </c>
      <c r="B60" s="87" t="s">
        <v>178</v>
      </c>
      <c r="C60" s="207"/>
      <c r="D60" s="208"/>
      <c r="E60" s="208"/>
      <c r="F60" s="208"/>
      <c r="G60" s="209"/>
      <c r="H60" s="83">
        <v>2</v>
      </c>
      <c r="I60" s="84"/>
      <c r="J60" s="83"/>
      <c r="K60" s="83"/>
      <c r="L60" s="77"/>
      <c r="M60" s="73" t="s">
        <v>128</v>
      </c>
      <c r="N60" s="79" t="s">
        <v>141</v>
      </c>
      <c r="O60" s="80"/>
      <c r="P60" s="88"/>
      <c r="Q60" s="65"/>
      <c r="R60" s="66"/>
    </row>
    <row r="61" spans="1:18" s="67" customFormat="1" ht="72" customHeight="1" x14ac:dyDescent="0.55000000000000004">
      <c r="A61" s="81" t="s">
        <v>135</v>
      </c>
      <c r="B61" s="87" t="s">
        <v>179</v>
      </c>
      <c r="C61" s="207"/>
      <c r="D61" s="208"/>
      <c r="E61" s="208"/>
      <c r="F61" s="208"/>
      <c r="G61" s="209"/>
      <c r="H61" s="83">
        <v>2</v>
      </c>
      <c r="I61" s="84"/>
      <c r="J61" s="83"/>
      <c r="K61" s="83"/>
      <c r="L61" s="77"/>
      <c r="M61" s="73" t="s">
        <v>142</v>
      </c>
      <c r="N61" s="79" t="s">
        <v>143</v>
      </c>
      <c r="O61" s="80"/>
      <c r="P61" s="88"/>
      <c r="Q61" s="65"/>
      <c r="R61" s="66"/>
    </row>
    <row r="62" spans="1:18" s="67" customFormat="1" ht="66" customHeight="1" x14ac:dyDescent="0.55000000000000004">
      <c r="A62" s="85">
        <v>3</v>
      </c>
      <c r="B62" s="86" t="s">
        <v>144</v>
      </c>
      <c r="C62" s="204"/>
      <c r="D62" s="205"/>
      <c r="E62" s="205"/>
      <c r="F62" s="205"/>
      <c r="G62" s="206"/>
      <c r="H62" s="83"/>
      <c r="I62" s="84"/>
      <c r="J62" s="83"/>
      <c r="K62" s="83"/>
      <c r="L62" s="77"/>
      <c r="M62" s="73" t="s">
        <v>126</v>
      </c>
      <c r="N62" s="79" t="s">
        <v>145</v>
      </c>
      <c r="O62" s="80"/>
      <c r="P62" s="88"/>
      <c r="Q62" s="65"/>
      <c r="R62" s="66"/>
    </row>
    <row r="63" spans="1:18" s="67" customFormat="1" ht="72" customHeight="1" x14ac:dyDescent="0.55000000000000004">
      <c r="A63" s="81" t="s">
        <v>131</v>
      </c>
      <c r="B63" s="87" t="s">
        <v>146</v>
      </c>
      <c r="C63" s="220"/>
      <c r="D63" s="221"/>
      <c r="E63" s="221"/>
      <c r="F63" s="221"/>
      <c r="G63" s="222"/>
      <c r="H63" s="83">
        <v>2</v>
      </c>
      <c r="I63" s="84"/>
      <c r="J63" s="83"/>
      <c r="K63" s="83"/>
      <c r="L63" s="77"/>
      <c r="M63" s="73" t="s">
        <v>127</v>
      </c>
      <c r="N63" s="79" t="s">
        <v>147</v>
      </c>
      <c r="O63" s="80"/>
      <c r="P63" s="88"/>
      <c r="Q63" s="65"/>
      <c r="R63" s="66"/>
    </row>
    <row r="64" spans="1:18" s="67" customFormat="1" ht="72" customHeight="1" x14ac:dyDescent="0.55000000000000004">
      <c r="A64" s="81" t="s">
        <v>133</v>
      </c>
      <c r="B64" s="87" t="s">
        <v>180</v>
      </c>
      <c r="C64" s="220"/>
      <c r="D64" s="221"/>
      <c r="E64" s="221"/>
      <c r="F64" s="221"/>
      <c r="G64" s="222"/>
      <c r="H64" s="83">
        <v>2</v>
      </c>
      <c r="I64" s="84"/>
      <c r="J64" s="83"/>
      <c r="K64" s="83"/>
      <c r="L64" s="77"/>
      <c r="M64" s="73" t="s">
        <v>148</v>
      </c>
      <c r="N64" s="79" t="s">
        <v>149</v>
      </c>
      <c r="O64" s="80"/>
      <c r="P64" s="88"/>
      <c r="Q64" s="65"/>
      <c r="R64" s="66"/>
    </row>
    <row r="65" spans="1:18" s="67" customFormat="1" ht="44.25" customHeight="1" x14ac:dyDescent="0.55000000000000004">
      <c r="A65" s="81" t="s">
        <v>135</v>
      </c>
      <c r="B65" s="87" t="s">
        <v>181</v>
      </c>
      <c r="C65" s="220"/>
      <c r="D65" s="221"/>
      <c r="E65" s="221"/>
      <c r="F65" s="221"/>
      <c r="G65" s="222"/>
      <c r="H65" s="83">
        <v>2</v>
      </c>
      <c r="I65" s="84"/>
      <c r="J65" s="83"/>
      <c r="K65" s="83"/>
      <c r="L65" s="77"/>
      <c r="M65" s="89"/>
      <c r="N65" s="89"/>
      <c r="O65" s="89"/>
      <c r="P65" s="90"/>
      <c r="Q65" s="65"/>
      <c r="R65" s="66"/>
    </row>
    <row r="66" spans="1:18" s="67" customFormat="1" ht="31.5" customHeight="1" x14ac:dyDescent="0.55000000000000004">
      <c r="A66" s="213" t="s">
        <v>150</v>
      </c>
      <c r="B66" s="214"/>
      <c r="C66" s="214"/>
      <c r="D66" s="214"/>
      <c r="E66" s="214"/>
      <c r="F66" s="214"/>
      <c r="G66" s="214"/>
      <c r="H66" s="91">
        <f>SUM(H55:H65)</f>
        <v>20</v>
      </c>
      <c r="I66" s="91">
        <f>SUM(I55:I65)</f>
        <v>0</v>
      </c>
      <c r="J66" s="91"/>
      <c r="K66" s="92"/>
      <c r="L66" s="77"/>
      <c r="M66" s="89"/>
      <c r="N66" s="89"/>
      <c r="O66" s="89"/>
      <c r="P66" s="90"/>
      <c r="Q66" s="65"/>
      <c r="R66" s="66"/>
    </row>
    <row r="67" spans="1:18" s="67" customFormat="1" ht="36" customHeight="1" x14ac:dyDescent="0.55000000000000004">
      <c r="A67" s="93" t="s">
        <v>131</v>
      </c>
      <c r="B67" s="94" t="s">
        <v>151</v>
      </c>
      <c r="C67" s="207" t="s">
        <v>152</v>
      </c>
      <c r="D67" s="208"/>
      <c r="E67" s="208"/>
      <c r="F67" s="208"/>
      <c r="G67" s="209"/>
      <c r="H67" s="95">
        <v>4</v>
      </c>
      <c r="I67" s="96"/>
      <c r="J67" s="95"/>
      <c r="K67" s="97"/>
      <c r="L67" s="77"/>
      <c r="M67" s="89"/>
      <c r="N67" s="89"/>
      <c r="O67" s="89"/>
      <c r="P67" s="90"/>
      <c r="Q67" s="65"/>
      <c r="R67" s="66"/>
    </row>
    <row r="68" spans="1:18" s="67" customFormat="1" ht="129" customHeight="1" x14ac:dyDescent="0.55000000000000004">
      <c r="A68" s="93" t="s">
        <v>133</v>
      </c>
      <c r="B68" s="94" t="s">
        <v>153</v>
      </c>
      <c r="C68" s="207" t="s">
        <v>154</v>
      </c>
      <c r="D68" s="208"/>
      <c r="E68" s="208"/>
      <c r="F68" s="208"/>
      <c r="G68" s="209"/>
      <c r="H68" s="95">
        <v>3</v>
      </c>
      <c r="I68" s="96"/>
      <c r="J68" s="95"/>
      <c r="K68" s="97"/>
      <c r="L68" s="77"/>
      <c r="M68" s="89"/>
      <c r="N68" s="89"/>
      <c r="O68" s="89"/>
      <c r="P68" s="90"/>
      <c r="Q68" s="65"/>
      <c r="R68" s="66"/>
    </row>
    <row r="69" spans="1:18" s="67" customFormat="1" ht="69" customHeight="1" x14ac:dyDescent="0.55000000000000004">
      <c r="A69" s="93" t="s">
        <v>133</v>
      </c>
      <c r="B69" s="94" t="s">
        <v>155</v>
      </c>
      <c r="C69" s="207" t="s">
        <v>156</v>
      </c>
      <c r="D69" s="208"/>
      <c r="E69" s="208"/>
      <c r="F69" s="208"/>
      <c r="G69" s="209"/>
      <c r="H69" s="95">
        <v>3</v>
      </c>
      <c r="I69" s="96"/>
      <c r="J69" s="95"/>
      <c r="K69" s="97"/>
      <c r="L69" s="77"/>
      <c r="M69" s="89"/>
      <c r="N69" s="89"/>
      <c r="O69" s="89"/>
      <c r="P69" s="90"/>
      <c r="Q69" s="65"/>
      <c r="R69" s="66"/>
    </row>
    <row r="70" spans="1:18" s="67" customFormat="1" ht="46.5" customHeight="1" x14ac:dyDescent="0.55000000000000004">
      <c r="A70" s="98"/>
      <c r="B70" s="215" t="s">
        <v>157</v>
      </c>
      <c r="C70" s="215"/>
      <c r="D70" s="215"/>
      <c r="E70" s="99"/>
      <c r="F70" s="99"/>
      <c r="G70" s="99"/>
      <c r="H70" s="91">
        <f>SUM(H67:H69)</f>
        <v>10</v>
      </c>
      <c r="I70" s="91">
        <f>SUM(I67:I69)</f>
        <v>0</v>
      </c>
      <c r="J70" s="99"/>
      <c r="K70" s="100"/>
      <c r="L70" s="89"/>
      <c r="M70" s="89"/>
      <c r="N70" s="89"/>
      <c r="O70" s="89"/>
      <c r="P70" s="90"/>
      <c r="Q70" s="65"/>
      <c r="R70" s="66"/>
    </row>
    <row r="71" spans="1:18" s="103" customFormat="1" ht="45" customHeight="1" x14ac:dyDescent="0.7">
      <c r="A71" s="101"/>
      <c r="B71" s="216"/>
      <c r="C71" s="102"/>
      <c r="D71" s="102"/>
      <c r="E71" s="102"/>
      <c r="F71" s="219"/>
      <c r="G71" s="219"/>
      <c r="H71" s="219"/>
      <c r="I71" s="219"/>
      <c r="J71" s="219"/>
      <c r="K71" s="102"/>
      <c r="L71" s="102"/>
      <c r="M71" s="102"/>
      <c r="N71" s="102"/>
      <c r="O71" s="232" t="s">
        <v>182</v>
      </c>
      <c r="P71" s="233"/>
      <c r="Q71" s="232" t="s">
        <v>183</v>
      </c>
      <c r="R71" s="234"/>
    </row>
    <row r="72" spans="1:18" s="103" customFormat="1" ht="45" customHeight="1" x14ac:dyDescent="0.7">
      <c r="A72" s="101"/>
      <c r="B72" s="217"/>
      <c r="C72" s="228" t="s">
        <v>184</v>
      </c>
      <c r="D72" s="229"/>
      <c r="E72" s="229"/>
      <c r="F72" s="229"/>
      <c r="G72" s="229"/>
      <c r="H72" s="229"/>
      <c r="I72" s="229"/>
      <c r="J72" s="229"/>
      <c r="K72" s="230"/>
      <c r="L72" s="223"/>
      <c r="M72" s="224"/>
      <c r="N72" s="225"/>
      <c r="O72" s="226">
        <f>R51</f>
        <v>0</v>
      </c>
      <c r="P72" s="227"/>
      <c r="Q72" s="235">
        <f>O75/100 * 20</f>
        <v>0</v>
      </c>
      <c r="R72" s="236"/>
    </row>
    <row r="73" spans="1:18" s="103" customFormat="1" ht="45" customHeight="1" x14ac:dyDescent="0.7">
      <c r="A73" s="101"/>
      <c r="B73" s="217"/>
      <c r="C73" s="229" t="s">
        <v>185</v>
      </c>
      <c r="D73" s="229"/>
      <c r="E73" s="229"/>
      <c r="F73" s="229"/>
      <c r="G73" s="229"/>
      <c r="H73" s="229"/>
      <c r="I73" s="229"/>
      <c r="J73" s="229"/>
      <c r="K73" s="229"/>
      <c r="L73" s="224"/>
      <c r="M73" s="224"/>
      <c r="N73" s="225"/>
      <c r="O73" s="226">
        <f>I66</f>
        <v>0</v>
      </c>
      <c r="P73" s="227"/>
      <c r="Q73" s="237"/>
      <c r="R73" s="238"/>
    </row>
    <row r="74" spans="1:18" s="103" customFormat="1" ht="45" customHeight="1" x14ac:dyDescent="0.7">
      <c r="A74" s="101"/>
      <c r="B74" s="217"/>
      <c r="C74" s="228" t="s">
        <v>186</v>
      </c>
      <c r="D74" s="229"/>
      <c r="E74" s="229"/>
      <c r="F74" s="229"/>
      <c r="G74" s="229"/>
      <c r="H74" s="229"/>
      <c r="I74" s="229"/>
      <c r="J74" s="229"/>
      <c r="K74" s="230"/>
      <c r="L74" s="223"/>
      <c r="M74" s="224"/>
      <c r="N74" s="225"/>
      <c r="O74" s="226">
        <f>I70</f>
        <v>0</v>
      </c>
      <c r="P74" s="227"/>
      <c r="Q74" s="237"/>
      <c r="R74" s="238"/>
    </row>
    <row r="75" spans="1:18" s="103" customFormat="1" ht="45" customHeight="1" x14ac:dyDescent="0.7">
      <c r="A75" s="101"/>
      <c r="B75" s="218"/>
      <c r="C75" s="228" t="s">
        <v>187</v>
      </c>
      <c r="D75" s="229"/>
      <c r="E75" s="229"/>
      <c r="F75" s="229"/>
      <c r="G75" s="229"/>
      <c r="H75" s="229"/>
      <c r="I75" s="229"/>
      <c r="J75" s="229"/>
      <c r="K75" s="230"/>
      <c r="L75" s="223"/>
      <c r="M75" s="224"/>
      <c r="N75" s="225"/>
      <c r="O75" s="226">
        <f>SUM(O72:P74)</f>
        <v>0</v>
      </c>
      <c r="P75" s="227"/>
      <c r="Q75" s="239"/>
      <c r="R75" s="240"/>
    </row>
    <row r="76" spans="1:18" s="103" customFormat="1" ht="64.900000000000006" customHeight="1" x14ac:dyDescent="0.7">
      <c r="A76" s="101"/>
      <c r="B76" s="231" t="s">
        <v>188</v>
      </c>
      <c r="C76" s="231"/>
      <c r="D76" s="231"/>
      <c r="E76" s="231"/>
      <c r="F76" s="231"/>
      <c r="G76" s="231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5"/>
    </row>
    <row r="77" spans="1:18" s="103" customFormat="1" ht="64.900000000000006" customHeight="1" x14ac:dyDescent="0.7">
      <c r="A77" s="101"/>
      <c r="B77" s="244" t="s">
        <v>189</v>
      </c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5"/>
    </row>
    <row r="78" spans="1:18" s="103" customFormat="1" ht="48.75" customHeight="1" x14ac:dyDescent="0.7">
      <c r="A78" s="101"/>
      <c r="B78" s="246" t="s">
        <v>190</v>
      </c>
      <c r="C78" s="246"/>
      <c r="D78" s="246"/>
      <c r="E78" s="246"/>
      <c r="F78" s="246"/>
      <c r="G78" s="24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7"/>
    </row>
    <row r="79" spans="1:18" s="103" customFormat="1" ht="45.75" x14ac:dyDescent="0.7">
      <c r="A79" s="101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5"/>
    </row>
    <row r="80" spans="1:18" s="67" customFormat="1" ht="31.5" customHeight="1" x14ac:dyDescent="0.55000000000000004">
      <c r="A80" s="247" t="s">
        <v>191</v>
      </c>
      <c r="B80" s="248"/>
      <c r="C80" s="241"/>
      <c r="D80" s="253"/>
      <c r="E80" s="256" t="s">
        <v>192</v>
      </c>
      <c r="F80" s="259"/>
      <c r="G80" s="248" t="s">
        <v>193</v>
      </c>
      <c r="H80" s="241"/>
      <c r="I80" s="241"/>
      <c r="J80" s="241"/>
      <c r="K80" s="108"/>
      <c r="L80" s="77"/>
      <c r="M80" s="262"/>
      <c r="N80" s="262"/>
      <c r="O80" s="262"/>
      <c r="P80" s="262"/>
      <c r="Q80" s="262"/>
      <c r="R80" s="66"/>
    </row>
    <row r="81" spans="1:18" s="67" customFormat="1" ht="31.5" customHeight="1" x14ac:dyDescent="0.55000000000000004">
      <c r="A81" s="249"/>
      <c r="B81" s="250"/>
      <c r="C81" s="242"/>
      <c r="D81" s="254"/>
      <c r="E81" s="257"/>
      <c r="F81" s="260"/>
      <c r="G81" s="250"/>
      <c r="H81" s="242"/>
      <c r="I81" s="242"/>
      <c r="J81" s="242"/>
      <c r="K81" s="108"/>
      <c r="L81" s="77"/>
      <c r="M81" s="263"/>
      <c r="N81" s="263"/>
      <c r="O81" s="263"/>
      <c r="P81" s="263"/>
      <c r="Q81" s="263"/>
      <c r="R81" s="66"/>
    </row>
    <row r="82" spans="1:18" s="67" customFormat="1" ht="31.5" customHeight="1" x14ac:dyDescent="0.55000000000000004">
      <c r="A82" s="249"/>
      <c r="B82" s="250"/>
      <c r="C82" s="242"/>
      <c r="D82" s="254"/>
      <c r="E82" s="257"/>
      <c r="F82" s="260"/>
      <c r="G82" s="250"/>
      <c r="H82" s="242"/>
      <c r="I82" s="242"/>
      <c r="J82" s="242"/>
      <c r="K82" s="108"/>
      <c r="L82" s="77"/>
      <c r="M82" s="263"/>
      <c r="N82" s="263"/>
      <c r="O82" s="263"/>
      <c r="P82" s="263"/>
      <c r="Q82" s="263"/>
      <c r="R82" s="66"/>
    </row>
    <row r="83" spans="1:18" s="67" customFormat="1" ht="31.5" customHeight="1" x14ac:dyDescent="0.55000000000000004">
      <c r="A83" s="251"/>
      <c r="B83" s="252"/>
      <c r="C83" s="243"/>
      <c r="D83" s="255"/>
      <c r="E83" s="258"/>
      <c r="F83" s="261"/>
      <c r="G83" s="252"/>
      <c r="H83" s="243"/>
      <c r="I83" s="243"/>
      <c r="J83" s="243"/>
      <c r="K83" s="108"/>
      <c r="L83" s="77"/>
      <c r="M83" s="263"/>
      <c r="N83" s="263"/>
      <c r="O83" s="263"/>
      <c r="P83" s="263"/>
      <c r="Q83" s="263"/>
      <c r="R83" s="66"/>
    </row>
    <row r="84" spans="1:18" s="67" customFormat="1" ht="31.5" customHeight="1" x14ac:dyDescent="0.55000000000000004">
      <c r="A84" s="271" t="s">
        <v>158</v>
      </c>
      <c r="B84" s="272"/>
      <c r="C84" s="241"/>
      <c r="D84" s="253"/>
      <c r="E84" s="275" t="s">
        <v>194</v>
      </c>
      <c r="F84" s="259"/>
      <c r="G84" s="272" t="s">
        <v>194</v>
      </c>
      <c r="H84" s="241"/>
      <c r="I84" s="241"/>
      <c r="J84" s="241"/>
      <c r="K84" s="108"/>
      <c r="L84" s="77"/>
      <c r="M84" s="263"/>
      <c r="N84" s="263"/>
      <c r="O84" s="263"/>
      <c r="P84" s="263"/>
      <c r="Q84" s="263"/>
      <c r="R84" s="66"/>
    </row>
    <row r="85" spans="1:18" s="67" customFormat="1" ht="31.5" customHeight="1" x14ac:dyDescent="0.55000000000000004">
      <c r="A85" s="273"/>
      <c r="B85" s="274"/>
      <c r="C85" s="242"/>
      <c r="D85" s="254"/>
      <c r="E85" s="276"/>
      <c r="F85" s="260"/>
      <c r="G85" s="274"/>
      <c r="H85" s="242"/>
      <c r="I85" s="242"/>
      <c r="J85" s="242"/>
      <c r="K85" s="108"/>
      <c r="L85" s="77"/>
      <c r="M85" s="263"/>
      <c r="N85" s="263"/>
      <c r="O85" s="263"/>
      <c r="P85" s="263"/>
      <c r="Q85" s="263"/>
      <c r="R85" s="66"/>
    </row>
    <row r="86" spans="1:18" s="67" customFormat="1" ht="31.5" customHeight="1" x14ac:dyDescent="0.55000000000000004">
      <c r="A86" s="273"/>
      <c r="B86" s="274"/>
      <c r="C86" s="243"/>
      <c r="D86" s="255"/>
      <c r="E86" s="277"/>
      <c r="F86" s="261"/>
      <c r="G86" s="278"/>
      <c r="H86" s="243"/>
      <c r="I86" s="243"/>
      <c r="J86" s="243"/>
      <c r="K86" s="108"/>
      <c r="L86" s="77"/>
      <c r="M86" s="263"/>
      <c r="N86" s="263"/>
      <c r="O86" s="263"/>
      <c r="P86" s="263"/>
      <c r="Q86" s="263"/>
      <c r="R86" s="66"/>
    </row>
    <row r="87" spans="1:18" s="67" customFormat="1" ht="31.5" customHeight="1" x14ac:dyDescent="0.55000000000000004">
      <c r="A87" s="249" t="s">
        <v>159</v>
      </c>
      <c r="B87" s="250"/>
      <c r="C87" s="241"/>
      <c r="D87" s="253"/>
      <c r="E87" s="256" t="s">
        <v>195</v>
      </c>
      <c r="F87" s="259"/>
      <c r="G87" s="248" t="s">
        <v>195</v>
      </c>
      <c r="H87" s="241"/>
      <c r="I87" s="241"/>
      <c r="J87" s="241"/>
      <c r="K87" s="108"/>
      <c r="L87" s="77"/>
      <c r="M87" s="263"/>
      <c r="N87" s="263"/>
      <c r="O87" s="263"/>
      <c r="P87" s="263"/>
      <c r="Q87" s="263"/>
      <c r="R87" s="66"/>
    </row>
    <row r="88" spans="1:18" s="67" customFormat="1" ht="31.5" customHeight="1" x14ac:dyDescent="0.55000000000000004">
      <c r="A88" s="249"/>
      <c r="B88" s="250"/>
      <c r="C88" s="243"/>
      <c r="D88" s="255"/>
      <c r="E88" s="258"/>
      <c r="F88" s="261"/>
      <c r="G88" s="252"/>
      <c r="H88" s="243"/>
      <c r="I88" s="243"/>
      <c r="J88" s="243"/>
      <c r="K88" s="108"/>
      <c r="L88" s="77"/>
      <c r="M88" s="263"/>
      <c r="N88" s="263"/>
      <c r="O88" s="263"/>
      <c r="P88" s="263"/>
      <c r="Q88" s="263"/>
      <c r="R88" s="66"/>
    </row>
    <row r="89" spans="1:18" s="67" customFormat="1" ht="31.5" customHeight="1" thickBot="1" x14ac:dyDescent="0.6">
      <c r="A89" s="265"/>
      <c r="B89" s="266"/>
      <c r="C89" s="266"/>
      <c r="D89" s="266"/>
      <c r="E89" s="266"/>
      <c r="F89" s="266"/>
      <c r="G89" s="266"/>
      <c r="H89" s="266"/>
      <c r="I89" s="266"/>
      <c r="J89" s="266"/>
      <c r="K89" s="109"/>
      <c r="L89" s="110"/>
      <c r="M89" s="264"/>
      <c r="N89" s="264"/>
      <c r="O89" s="264"/>
      <c r="P89" s="264"/>
      <c r="Q89" s="264"/>
      <c r="R89" s="111"/>
    </row>
  </sheetData>
  <mergeCells count="119">
    <mergeCell ref="H84:J86"/>
    <mergeCell ref="B77:R77"/>
    <mergeCell ref="B78:G78"/>
    <mergeCell ref="B79:R79"/>
    <mergeCell ref="A80:B83"/>
    <mergeCell ref="C80:D83"/>
    <mergeCell ref="E80:E83"/>
    <mergeCell ref="F80:F83"/>
    <mergeCell ref="G80:G83"/>
    <mergeCell ref="H80:J83"/>
    <mergeCell ref="M80:Q89"/>
    <mergeCell ref="A89:J89"/>
    <mergeCell ref="A87:B88"/>
    <mergeCell ref="C87:D88"/>
    <mergeCell ref="E87:E88"/>
    <mergeCell ref="F87:F88"/>
    <mergeCell ref="G87:G88"/>
    <mergeCell ref="H87:J88"/>
    <mergeCell ref="A84:B86"/>
    <mergeCell ref="C84:D86"/>
    <mergeCell ref="E84:E86"/>
    <mergeCell ref="F84:F86"/>
    <mergeCell ref="G84:G86"/>
    <mergeCell ref="L74:N74"/>
    <mergeCell ref="O74:P74"/>
    <mergeCell ref="C75:K75"/>
    <mergeCell ref="L75:N75"/>
    <mergeCell ref="O75:P75"/>
    <mergeCell ref="B76:G76"/>
    <mergeCell ref="O71:P71"/>
    <mergeCell ref="Q71:R71"/>
    <mergeCell ref="C72:K72"/>
    <mergeCell ref="L72:N72"/>
    <mergeCell ref="O72:P72"/>
    <mergeCell ref="Q72:R75"/>
    <mergeCell ref="C73:K73"/>
    <mergeCell ref="L73:N73"/>
    <mergeCell ref="O73:P73"/>
    <mergeCell ref="C74:K74"/>
    <mergeCell ref="A66:G66"/>
    <mergeCell ref="C67:G67"/>
    <mergeCell ref="C68:G68"/>
    <mergeCell ref="C69:G69"/>
    <mergeCell ref="B70:D70"/>
    <mergeCell ref="B71:B75"/>
    <mergeCell ref="F71:J71"/>
    <mergeCell ref="C60:G60"/>
    <mergeCell ref="C61:G61"/>
    <mergeCell ref="C62:G62"/>
    <mergeCell ref="C63:G63"/>
    <mergeCell ref="C64:G64"/>
    <mergeCell ref="C65:G65"/>
    <mergeCell ref="C57:G57"/>
    <mergeCell ref="N57:O57"/>
    <mergeCell ref="C58:G58"/>
    <mergeCell ref="N58:O58"/>
    <mergeCell ref="C59:G59"/>
    <mergeCell ref="N59:O59"/>
    <mergeCell ref="C54:G54"/>
    <mergeCell ref="N54:O54"/>
    <mergeCell ref="C55:G55"/>
    <mergeCell ref="N55:O55"/>
    <mergeCell ref="C56:G56"/>
    <mergeCell ref="N56:O56"/>
    <mergeCell ref="A52:G52"/>
    <mergeCell ref="H52:K52"/>
    <mergeCell ref="L52:L53"/>
    <mergeCell ref="C53:G53"/>
    <mergeCell ref="D35:D42"/>
    <mergeCell ref="A44:A45"/>
    <mergeCell ref="B44:B45"/>
    <mergeCell ref="C44:C45"/>
    <mergeCell ref="G17:G18"/>
    <mergeCell ref="H17:H18"/>
    <mergeCell ref="I17:I18"/>
    <mergeCell ref="J17:O17"/>
    <mergeCell ref="A46:A47"/>
    <mergeCell ref="B46:B47"/>
    <mergeCell ref="C46:C47"/>
    <mergeCell ref="A19:A23"/>
    <mergeCell ref="B19:B23"/>
    <mergeCell ref="C19:C23"/>
    <mergeCell ref="A25:A34"/>
    <mergeCell ref="B25:B34"/>
    <mergeCell ref="C25:C34"/>
    <mergeCell ref="A35:A42"/>
    <mergeCell ref="B35:B42"/>
    <mergeCell ref="C35:C42"/>
    <mergeCell ref="A16:I16"/>
    <mergeCell ref="A17:A18"/>
    <mergeCell ref="B17:B18"/>
    <mergeCell ref="C17:C18"/>
    <mergeCell ref="D17:D18"/>
    <mergeCell ref="E17:E18"/>
    <mergeCell ref="F17:F18"/>
    <mergeCell ref="R17:R18"/>
    <mergeCell ref="I51:Q51"/>
    <mergeCell ref="P17:P18"/>
    <mergeCell ref="Q17:Q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  <mergeCell ref="A14:B14"/>
    <mergeCell ref="I14:J14"/>
    <mergeCell ref="A15:I15"/>
  </mergeCells>
  <hyperlinks>
    <hyperlink ref="E11" r:id="rId1" xr:uid="{23117586-D99E-463A-B38A-8DFCF828271F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USER</cp:lastModifiedBy>
  <dcterms:created xsi:type="dcterms:W3CDTF">2026-04-09T13:40:29Z</dcterms:created>
  <dcterms:modified xsi:type="dcterms:W3CDTF">2026-04-10T12:55:58Z</dcterms:modified>
</cp:coreProperties>
</file>