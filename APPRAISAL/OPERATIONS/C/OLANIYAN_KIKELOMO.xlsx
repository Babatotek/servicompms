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C\"/>
    </mc:Choice>
  </mc:AlternateContent>
  <xr:revisionPtr revIDLastSave="0" documentId="13_ncr:1_{235BC3E5-3DAF-47FD-8D7B-E41C6721D758}" xr6:coauthVersionLast="47" xr6:coauthVersionMax="47" xr10:uidLastSave="{00000000-0000-0000-0000-000000000000}"/>
  <bookViews>
    <workbookView xWindow="-120" yWindow="-120" windowWidth="20730" windowHeight="11040" xr2:uid="{CA465AA0-3F30-4A3D-A426-F093FA19B16A}"/>
  </bookViews>
  <sheets>
    <sheet name="FIRST QUARTER" sheetId="6" r:id="rId1"/>
    <sheet name="SECOND QUARTER" sheetId="7" r:id="rId2"/>
    <sheet name="THIRD QUARTER" sheetId="8" r:id="rId3"/>
    <sheet name="FOURTH QUARTER" sheetId="9" r:id="rId4"/>
  </sheets>
  <definedNames>
    <definedName name="_xlnm.Print_Area" localSheetId="0">'FIRST QUARTER'!$A$1:$R$81</definedName>
    <definedName name="_xlnm.Print_Area" localSheetId="3">'FOURTH QUARTER'!$A$1:$R$81</definedName>
    <definedName name="_xlnm.Print_Area" localSheetId="1">'SECOND QUARTER'!$A$1:$R$81</definedName>
    <definedName name="_xlnm.Print_Area" localSheetId="2">'THIRD QUARTER'!$A$1:$R$81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7" l="1"/>
  <c r="C41" i="7"/>
  <c r="C40" i="7"/>
  <c r="E40" i="7" s="1"/>
  <c r="E39" i="7"/>
  <c r="E38" i="7"/>
  <c r="C38" i="7"/>
  <c r="C36" i="7"/>
  <c r="E37" i="7" s="1"/>
  <c r="E35" i="7"/>
  <c r="C35" i="7"/>
  <c r="C25" i="7"/>
  <c r="E34" i="7" s="1"/>
  <c r="E24" i="7"/>
  <c r="C24" i="7"/>
  <c r="C19" i="7"/>
  <c r="E23" i="7" s="1"/>
  <c r="E41" i="8"/>
  <c r="C41" i="8"/>
  <c r="C40" i="8"/>
  <c r="E40" i="8" s="1"/>
  <c r="E39" i="8"/>
  <c r="E38" i="8"/>
  <c r="C38" i="8"/>
  <c r="C36" i="8"/>
  <c r="E36" i="8" s="1"/>
  <c r="E35" i="8"/>
  <c r="C35" i="8"/>
  <c r="C25" i="8"/>
  <c r="E33" i="8" s="1"/>
  <c r="E24" i="8"/>
  <c r="C24" i="8"/>
  <c r="C19" i="8"/>
  <c r="E22" i="8" s="1"/>
  <c r="E41" i="9"/>
  <c r="C41" i="9"/>
  <c r="C40" i="9"/>
  <c r="E40" i="9" s="1"/>
  <c r="E39" i="9"/>
  <c r="E38" i="9"/>
  <c r="C38" i="9"/>
  <c r="C36" i="9"/>
  <c r="E37" i="9" s="1"/>
  <c r="E35" i="9"/>
  <c r="C35" i="9"/>
  <c r="C25" i="9"/>
  <c r="E34" i="9" s="1"/>
  <c r="E24" i="9"/>
  <c r="C24" i="9"/>
  <c r="C19" i="9"/>
  <c r="E23" i="9" s="1"/>
  <c r="E41" i="6"/>
  <c r="C41" i="6"/>
  <c r="C40" i="6"/>
  <c r="E40" i="6" s="1"/>
  <c r="E39" i="6"/>
  <c r="E38" i="6"/>
  <c r="C38" i="6"/>
  <c r="C36" i="6"/>
  <c r="E36" i="6" s="1"/>
  <c r="E35" i="6"/>
  <c r="C35" i="6"/>
  <c r="C25" i="6"/>
  <c r="E33" i="6" s="1"/>
  <c r="E24" i="6"/>
  <c r="C24" i="6"/>
  <c r="C19" i="6"/>
  <c r="E22" i="6" s="1"/>
  <c r="Q39" i="7"/>
  <c r="Q40" i="7"/>
  <c r="Q39" i="8"/>
  <c r="Q40" i="8"/>
  <c r="Q39" i="9"/>
  <c r="Q40" i="9"/>
  <c r="Q39" i="6"/>
  <c r="Q40" i="6"/>
  <c r="I62" i="9"/>
  <c r="O66" i="9" s="1"/>
  <c r="H62" i="9"/>
  <c r="I58" i="9"/>
  <c r="O65" i="9" s="1"/>
  <c r="H58" i="9"/>
  <c r="Q41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I62" i="8"/>
  <c r="O66" i="8" s="1"/>
  <c r="H62" i="8"/>
  <c r="I58" i="8"/>
  <c r="O65" i="8" s="1"/>
  <c r="H58" i="8"/>
  <c r="Q41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I62" i="7"/>
  <c r="O66" i="7" s="1"/>
  <c r="H62" i="7"/>
  <c r="I58" i="7"/>
  <c r="O65" i="7" s="1"/>
  <c r="H58" i="7"/>
  <c r="Q41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O66" i="6"/>
  <c r="I62" i="6"/>
  <c r="H62" i="6"/>
  <c r="I58" i="6"/>
  <c r="O65" i="6" s="1"/>
  <c r="H58" i="6"/>
  <c r="C42" i="6"/>
  <c r="Q41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C42" i="7" l="1"/>
  <c r="C42" i="8"/>
  <c r="C42" i="9"/>
  <c r="E19" i="6"/>
  <c r="E21" i="6"/>
  <c r="E23" i="6"/>
  <c r="E26" i="6"/>
  <c r="E28" i="6"/>
  <c r="E30" i="6"/>
  <c r="E32" i="6"/>
  <c r="E34" i="6"/>
  <c r="E37" i="6"/>
  <c r="E20" i="9"/>
  <c r="E22" i="9"/>
  <c r="E25" i="9"/>
  <c r="E27" i="9"/>
  <c r="E29" i="9"/>
  <c r="E31" i="9"/>
  <c r="E33" i="9"/>
  <c r="E36" i="9"/>
  <c r="E19" i="8"/>
  <c r="E21" i="8"/>
  <c r="E23" i="8"/>
  <c r="E26" i="8"/>
  <c r="E28" i="8"/>
  <c r="E30" i="8"/>
  <c r="E32" i="8"/>
  <c r="E34" i="8"/>
  <c r="E37" i="8"/>
  <c r="E20" i="7"/>
  <c r="E22" i="7"/>
  <c r="E25" i="7"/>
  <c r="E27" i="7"/>
  <c r="E29" i="7"/>
  <c r="E31" i="7"/>
  <c r="E33" i="7"/>
  <c r="E36" i="7"/>
  <c r="E20" i="6"/>
  <c r="E25" i="6"/>
  <c r="E27" i="6"/>
  <c r="E29" i="6"/>
  <c r="E31" i="6"/>
  <c r="E19" i="9"/>
  <c r="E21" i="9"/>
  <c r="E26" i="9"/>
  <c r="E28" i="9"/>
  <c r="E30" i="9"/>
  <c r="E32" i="9"/>
  <c r="E20" i="8"/>
  <c r="E25" i="8"/>
  <c r="E27" i="8"/>
  <c r="E29" i="8"/>
  <c r="E31" i="8"/>
  <c r="E19" i="7"/>
  <c r="E21" i="7"/>
  <c r="E26" i="7"/>
  <c r="E28" i="7"/>
  <c r="E30" i="7"/>
  <c r="E32" i="7"/>
  <c r="E42" i="7" l="1"/>
  <c r="F29" i="7" s="1"/>
  <c r="R29" i="7" s="1"/>
  <c r="F19" i="7"/>
  <c r="F33" i="7"/>
  <c r="R33" i="7" s="1"/>
  <c r="F25" i="7"/>
  <c r="R25" i="7" s="1"/>
  <c r="F36" i="9"/>
  <c r="R36" i="9" s="1"/>
  <c r="F28" i="6"/>
  <c r="R28" i="6" s="1"/>
  <c r="F19" i="6"/>
  <c r="E42" i="6"/>
  <c r="F37" i="6" s="1"/>
  <c r="R37" i="6" s="1"/>
  <c r="F31" i="6"/>
  <c r="R31" i="6" s="1"/>
  <c r="F30" i="8"/>
  <c r="R30" i="8" s="1"/>
  <c r="F23" i="6"/>
  <c r="R23" i="6" s="1"/>
  <c r="F27" i="7"/>
  <c r="R27" i="7" s="1"/>
  <c r="E42" i="8"/>
  <c r="F37" i="8" s="1"/>
  <c r="R37" i="8" s="1"/>
  <c r="F29" i="9"/>
  <c r="R29" i="9" s="1"/>
  <c r="F21" i="6"/>
  <c r="R21" i="6" s="1"/>
  <c r="F29" i="8"/>
  <c r="R29" i="8" s="1"/>
  <c r="F32" i="9"/>
  <c r="R32" i="9" s="1"/>
  <c r="F32" i="7"/>
  <c r="R32" i="7" s="1"/>
  <c r="F21" i="7"/>
  <c r="R21" i="7" s="1"/>
  <c r="F27" i="8"/>
  <c r="R27" i="8" s="1"/>
  <c r="E42" i="9"/>
  <c r="F25" i="6"/>
  <c r="R25" i="6" s="1"/>
  <c r="F31" i="7"/>
  <c r="R31" i="7" s="1"/>
  <c r="F22" i="7"/>
  <c r="R22" i="7" s="1"/>
  <c r="F32" i="8"/>
  <c r="R32" i="8" s="1"/>
  <c r="F23" i="8"/>
  <c r="R23" i="8" s="1"/>
  <c r="F25" i="9"/>
  <c r="R25" i="9" s="1"/>
  <c r="F34" i="6"/>
  <c r="R34" i="6" s="1"/>
  <c r="F26" i="6"/>
  <c r="R26" i="6" s="1"/>
  <c r="F20" i="6"/>
  <c r="R20" i="6" s="1"/>
  <c r="F21" i="8"/>
  <c r="R21" i="8" s="1"/>
  <c r="F31" i="9"/>
  <c r="R31" i="9" s="1"/>
  <c r="F22" i="9"/>
  <c r="R22" i="9" s="1"/>
  <c r="F30" i="7"/>
  <c r="R30" i="7" s="1"/>
  <c r="F28" i="9"/>
  <c r="R28" i="9" s="1"/>
  <c r="F20" i="7"/>
  <c r="R20" i="7" s="1"/>
  <c r="F32" i="6"/>
  <c r="R32" i="6" s="1"/>
  <c r="F28" i="7"/>
  <c r="R28" i="7" s="1"/>
  <c r="F20" i="8"/>
  <c r="R20" i="8" s="1"/>
  <c r="F29" i="6"/>
  <c r="R29" i="6" s="1"/>
  <c r="F36" i="7"/>
  <c r="R36" i="7" s="1"/>
  <c r="F28" i="8"/>
  <c r="R28" i="8" s="1"/>
  <c r="F30" i="6"/>
  <c r="R30" i="6" s="1"/>
  <c r="R19" i="6" l="1"/>
  <c r="F34" i="9"/>
  <c r="R34" i="9" s="1"/>
  <c r="F23" i="9"/>
  <c r="R23" i="9" s="1"/>
  <c r="F24" i="9"/>
  <c r="R24" i="9" s="1"/>
  <c r="F38" i="9"/>
  <c r="R38" i="9" s="1"/>
  <c r="F35" i="9"/>
  <c r="R35" i="9" s="1"/>
  <c r="F37" i="9"/>
  <c r="R37" i="9" s="1"/>
  <c r="F41" i="9"/>
  <c r="R41" i="9" s="1"/>
  <c r="F39" i="9"/>
  <c r="R39" i="9" s="1"/>
  <c r="F40" i="9"/>
  <c r="R40" i="9" s="1"/>
  <c r="F19" i="8"/>
  <c r="F31" i="8"/>
  <c r="R31" i="8" s="1"/>
  <c r="F25" i="8"/>
  <c r="R25" i="8" s="1"/>
  <c r="F34" i="8"/>
  <c r="R34" i="8" s="1"/>
  <c r="F26" i="7"/>
  <c r="R26" i="7" s="1"/>
  <c r="F33" i="9"/>
  <c r="R33" i="9" s="1"/>
  <c r="F30" i="9"/>
  <c r="R30" i="9" s="1"/>
  <c r="F21" i="9"/>
  <c r="R21" i="9" s="1"/>
  <c r="F20" i="9"/>
  <c r="R20" i="9" s="1"/>
  <c r="F41" i="6"/>
  <c r="R41" i="6" s="1"/>
  <c r="F39" i="6"/>
  <c r="R39" i="6" s="1"/>
  <c r="F36" i="6"/>
  <c r="R36" i="6" s="1"/>
  <c r="F33" i="6"/>
  <c r="R33" i="6" s="1"/>
  <c r="F40" i="6"/>
  <c r="R40" i="6" s="1"/>
  <c r="F22" i="6"/>
  <c r="R22" i="6" s="1"/>
  <c r="F38" i="6"/>
  <c r="R38" i="6" s="1"/>
  <c r="F35" i="6"/>
  <c r="R35" i="6" s="1"/>
  <c r="F24" i="6"/>
  <c r="R24" i="6" s="1"/>
  <c r="F27" i="9"/>
  <c r="R27" i="9" s="1"/>
  <c r="R19" i="7"/>
  <c r="F19" i="9"/>
  <c r="F40" i="8"/>
  <c r="R40" i="8" s="1"/>
  <c r="F33" i="8"/>
  <c r="R33" i="8" s="1"/>
  <c r="F22" i="8"/>
  <c r="R22" i="8" s="1"/>
  <c r="F38" i="8"/>
  <c r="R38" i="8" s="1"/>
  <c r="F39" i="8"/>
  <c r="R39" i="8" s="1"/>
  <c r="F24" i="8"/>
  <c r="R24" i="8" s="1"/>
  <c r="F41" i="8"/>
  <c r="R41" i="8" s="1"/>
  <c r="F36" i="8"/>
  <c r="R36" i="8" s="1"/>
  <c r="F35" i="8"/>
  <c r="R35" i="8" s="1"/>
  <c r="F26" i="9"/>
  <c r="R26" i="9" s="1"/>
  <c r="F26" i="8"/>
  <c r="R26" i="8" s="1"/>
  <c r="F27" i="6"/>
  <c r="R27" i="6" s="1"/>
  <c r="F41" i="7"/>
  <c r="R41" i="7" s="1"/>
  <c r="F35" i="7"/>
  <c r="R35" i="7" s="1"/>
  <c r="F24" i="7"/>
  <c r="R24" i="7" s="1"/>
  <c r="F39" i="7"/>
  <c r="R39" i="7" s="1"/>
  <c r="F37" i="7"/>
  <c r="R37" i="7" s="1"/>
  <c r="F23" i="7"/>
  <c r="R23" i="7" s="1"/>
  <c r="F40" i="7"/>
  <c r="R40" i="7" s="1"/>
  <c r="F34" i="7"/>
  <c r="R34" i="7" s="1"/>
  <c r="F38" i="7"/>
  <c r="R38" i="7" s="1"/>
  <c r="R42" i="7" l="1"/>
  <c r="R43" i="7" s="1"/>
  <c r="O64" i="7" s="1"/>
  <c r="O67" i="7" s="1"/>
  <c r="Q64" i="7" s="1"/>
  <c r="F42" i="8"/>
  <c r="R19" i="8"/>
  <c r="R42" i="8" s="1"/>
  <c r="R43" i="8" s="1"/>
  <c r="O64" i="8" s="1"/>
  <c r="O67" i="8" s="1"/>
  <c r="Q64" i="8" s="1"/>
  <c r="F42" i="9"/>
  <c r="R19" i="9"/>
  <c r="R42" i="9" s="1"/>
  <c r="R43" i="9" s="1"/>
  <c r="O64" i="9" s="1"/>
  <c r="O67" i="9" s="1"/>
  <c r="Q64" i="9" s="1"/>
  <c r="F42" i="7"/>
  <c r="R42" i="6"/>
  <c r="R43" i="6" s="1"/>
  <c r="O64" i="6" s="1"/>
  <c r="O67" i="6" s="1"/>
  <c r="Q64" i="6" s="1"/>
  <c r="F42" i="6"/>
</calcChain>
</file>

<file path=xl/sharedStrings.xml><?xml version="1.0" encoding="utf-8"?>
<sst xmlns="http://schemas.openxmlformats.org/spreadsheetml/2006/main" count="1068" uniqueCount="193">
  <si>
    <t>PERFORMANCE APPRAISAL PERIOD:</t>
  </si>
  <si>
    <t>FROM</t>
  </si>
  <si>
    <t>To</t>
  </si>
  <si>
    <t>SECTION 1: EMPLOYEE INFORMATION</t>
  </si>
  <si>
    <t>Surname:</t>
  </si>
  <si>
    <t>OLANIYAN ( AINA)</t>
  </si>
  <si>
    <t>Firstname</t>
  </si>
  <si>
    <t>KIKELOMO</t>
  </si>
  <si>
    <t>Othername</t>
  </si>
  <si>
    <t>OLAJUMOKE</t>
  </si>
  <si>
    <t>Designation</t>
  </si>
  <si>
    <t xml:space="preserve"> Assist. Director (Admin.)</t>
  </si>
  <si>
    <t>IPPIS No.</t>
  </si>
  <si>
    <t>Email</t>
  </si>
  <si>
    <t>KIKILOMO80@YAHOO.CO.UK</t>
  </si>
  <si>
    <t>Phone No.</t>
  </si>
  <si>
    <t>08036856993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</si>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</sst>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9" fontId="1" fillId="0" borderId="0" applyFont="0" applyFill="0" applyBorder="0" applyAlignment="0" applyProtection="0"/>
  </cellStyleXfs>
  <cellXfs count="286">
    <xf numFmtId="0" fontId="0" fillId="0" borderId="0" xfId="0"/>
    <xf numFmtId="0" fontId="9" fillId="0" borderId="16" xfId="8" applyFont="1" applyBorder="1" applyAlignment="1">
      <alignment horizontal="center" vertical="center"/>
    </xf>
    <xf numFmtId="0" fontId="9" fillId="0" borderId="17" xfId="8" applyFont="1" applyBorder="1" applyAlignment="1">
      <alignment horizontal="center" vertical="center"/>
    </xf>
    <xf numFmtId="0" fontId="9" fillId="0" borderId="18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9" fillId="0" borderId="19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20" xfId="8" applyFont="1" applyBorder="1" applyAlignment="1">
      <alignment horizontal="center" vertical="center"/>
    </xf>
    <xf numFmtId="0" fontId="10" fillId="2" borderId="16" xfId="8" applyFont="1" applyFill="1" applyBorder="1" applyAlignment="1">
      <alignment horizontal="left" vertical="top" wrapText="1"/>
    </xf>
    <xf numFmtId="0" fontId="10" fillId="2" borderId="17" xfId="8" applyFont="1" applyFill="1" applyBorder="1" applyAlignment="1">
      <alignment horizontal="left" vertical="top" wrapText="1"/>
    </xf>
    <xf numFmtId="0" fontId="11" fillId="2" borderId="16" xfId="8" applyFont="1" applyFill="1" applyBorder="1" applyAlignment="1">
      <alignment horizontal="center" vertical="top" wrapText="1"/>
    </xf>
    <xf numFmtId="0" fontId="11" fillId="2" borderId="17" xfId="8" applyFont="1" applyFill="1" applyBorder="1" applyAlignment="1">
      <alignment horizontal="center" vertical="top" wrapText="1"/>
    </xf>
    <xf numFmtId="0" fontId="11" fillId="2" borderId="18" xfId="8" applyFont="1" applyFill="1" applyBorder="1" applyAlignment="1">
      <alignment horizontal="center" vertical="top" wrapText="1"/>
    </xf>
    <xf numFmtId="0" fontId="12" fillId="0" borderId="0" xfId="8" applyFont="1" applyAlignment="1">
      <alignment vertical="top"/>
    </xf>
    <xf numFmtId="0" fontId="13" fillId="3" borderId="19" xfId="2" applyFont="1" applyFill="1" applyBorder="1" applyAlignment="1">
      <alignment vertical="center"/>
    </xf>
    <xf numFmtId="49" fontId="13" fillId="4" borderId="0" xfId="2" applyNumberFormat="1" applyFont="1" applyFill="1" applyAlignment="1">
      <alignment vertical="center"/>
    </xf>
    <xf numFmtId="0" fontId="13" fillId="3" borderId="0" xfId="2" applyFont="1" applyFill="1" applyAlignment="1">
      <alignment horizontal="center" vertical="center"/>
    </xf>
    <xf numFmtId="49" fontId="13" fillId="0" borderId="9" xfId="2" applyNumberFormat="1" applyFont="1" applyBorder="1" applyAlignment="1">
      <alignment horizontal="center"/>
    </xf>
    <xf numFmtId="0" fontId="14" fillId="2" borderId="0" xfId="2" applyFont="1" applyFill="1" applyAlignment="1">
      <alignment horizontal="center"/>
    </xf>
    <xf numFmtId="0" fontId="14" fillId="2" borderId="0" xfId="2" applyFont="1" applyFill="1" applyAlignment="1">
      <alignment horizontal="center"/>
    </xf>
    <xf numFmtId="0" fontId="15" fillId="2" borderId="0" xfId="2" applyFont="1" applyFill="1"/>
    <xf numFmtId="0" fontId="11" fillId="2" borderId="19" xfId="8" applyFont="1" applyFill="1" applyBorder="1" applyAlignment="1">
      <alignment horizontal="center" vertical="top" wrapText="1"/>
    </xf>
    <xf numFmtId="0" fontId="11" fillId="2" borderId="0" xfId="8" applyFont="1" applyFill="1" applyAlignment="1">
      <alignment horizontal="center" vertical="top" wrapText="1"/>
    </xf>
    <xf numFmtId="0" fontId="11" fillId="2" borderId="20" xfId="8" applyFont="1" applyFill="1" applyBorder="1" applyAlignment="1">
      <alignment horizontal="center" vertical="top" wrapText="1"/>
    </xf>
    <xf numFmtId="0" fontId="15" fillId="0" borderId="0" xfId="2" applyFont="1"/>
    <xf numFmtId="0" fontId="16" fillId="2" borderId="19" xfId="9" applyFont="1" applyFill="1" applyBorder="1" applyAlignment="1">
      <alignment horizontal="left"/>
    </xf>
    <xf numFmtId="0" fontId="16" fillId="2" borderId="0" xfId="9" applyFont="1" applyFill="1" applyAlignment="1">
      <alignment horizontal="left"/>
    </xf>
    <xf numFmtId="0" fontId="16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9" fillId="2" borderId="0" xfId="2" applyFont="1" applyFill="1" applyAlignment="1">
      <alignment horizontal="left"/>
    </xf>
    <xf numFmtId="0" fontId="19" fillId="2" borderId="0" xfId="2" applyFont="1" applyFill="1" applyAlignment="1">
      <alignment horizontal="left"/>
    </xf>
    <xf numFmtId="0" fontId="20" fillId="0" borderId="0" xfId="2" applyFont="1" applyAlignment="1">
      <alignment horizontal="left"/>
    </xf>
    <xf numFmtId="0" fontId="19" fillId="3" borderId="0" xfId="5" applyFont="1" applyFill="1" applyAlignment="1">
      <alignment horizontal="left" vertical="center"/>
    </xf>
    <xf numFmtId="0" fontId="19" fillId="3" borderId="5" xfId="5" applyFont="1" applyFill="1" applyBorder="1" applyAlignment="1">
      <alignment horizontal="left" vertical="center"/>
    </xf>
    <xf numFmtId="0" fontId="19" fillId="0" borderId="8" xfId="5" applyFont="1" applyBorder="1" applyAlignment="1">
      <alignment horizontal="left"/>
    </xf>
    <xf numFmtId="0" fontId="19" fillId="3" borderId="10" xfId="5" applyFont="1" applyFill="1" applyBorder="1" applyAlignment="1">
      <alignment horizontal="left"/>
    </xf>
    <xf numFmtId="0" fontId="19" fillId="3" borderId="6" xfId="5" applyFont="1" applyFill="1" applyBorder="1" applyAlignment="1">
      <alignment horizontal="left"/>
    </xf>
    <xf numFmtId="0" fontId="19" fillId="0" borderId="6" xfId="5" applyFont="1" applyBorder="1" applyAlignment="1">
      <alignment horizontal="left"/>
    </xf>
    <xf numFmtId="0" fontId="19" fillId="0" borderId="7" xfId="6" applyFont="1" applyBorder="1" applyAlignment="1">
      <alignment horizontal="left"/>
    </xf>
    <xf numFmtId="0" fontId="19" fillId="0" borderId="8" xfId="6" applyFont="1" applyBorder="1" applyAlignment="1">
      <alignment horizontal="left"/>
    </xf>
    <xf numFmtId="0" fontId="18" fillId="0" borderId="0" xfId="5" applyFont="1"/>
    <xf numFmtId="0" fontId="19" fillId="3" borderId="0" xfId="5" applyFont="1" applyFill="1" applyAlignment="1">
      <alignment horizontal="left"/>
    </xf>
    <xf numFmtId="0" fontId="19" fillId="3" borderId="5" xfId="5" applyFont="1" applyFill="1" applyBorder="1" applyAlignment="1">
      <alignment horizontal="left"/>
    </xf>
    <xf numFmtId="0" fontId="19" fillId="0" borderId="12" xfId="5" applyFont="1" applyBorder="1" applyAlignment="1">
      <alignment horizontal="left"/>
    </xf>
    <xf numFmtId="0" fontId="19" fillId="3" borderId="11" xfId="5" applyFont="1" applyFill="1" applyBorder="1" applyAlignment="1">
      <alignment horizontal="left"/>
    </xf>
    <xf numFmtId="0" fontId="19" fillId="3" borderId="9" xfId="5" applyFont="1" applyFill="1" applyBorder="1" applyAlignment="1">
      <alignment horizontal="left"/>
    </xf>
    <xf numFmtId="0" fontId="19" fillId="0" borderId="9" xfId="6" applyFont="1" applyBorder="1" applyAlignment="1">
      <alignment horizontal="left"/>
    </xf>
    <xf numFmtId="0" fontId="19" fillId="0" borderId="12" xfId="6" applyFont="1" applyBorder="1" applyAlignment="1">
      <alignment horizontal="left"/>
    </xf>
    <xf numFmtId="0" fontId="21" fillId="2" borderId="19" xfId="2" applyFont="1" applyFill="1" applyBorder="1"/>
    <xf numFmtId="0" fontId="21" fillId="2" borderId="0" xfId="2" applyFont="1" applyFill="1"/>
    <xf numFmtId="0" fontId="22" fillId="2" borderId="0" xfId="2" applyFont="1" applyFill="1" applyAlignment="1">
      <alignment horizontal="center"/>
    </xf>
    <xf numFmtId="0" fontId="11" fillId="2" borderId="21" xfId="8" applyFont="1" applyFill="1" applyBorder="1" applyAlignment="1">
      <alignment horizontal="center" vertical="top" wrapText="1"/>
    </xf>
    <xf numFmtId="0" fontId="11" fillId="2" borderId="22" xfId="8" applyFont="1" applyFill="1" applyBorder="1" applyAlignment="1">
      <alignment horizontal="center" vertical="top" wrapText="1"/>
    </xf>
    <xf numFmtId="0" fontId="11" fillId="2" borderId="23" xfId="8" applyFont="1" applyFill="1" applyBorder="1" applyAlignment="1">
      <alignment horizontal="center" vertical="top" wrapText="1"/>
    </xf>
    <xf numFmtId="0" fontId="12" fillId="0" borderId="0" xfId="2" applyFont="1"/>
    <xf numFmtId="0" fontId="10" fillId="3" borderId="24" xfId="2" applyFont="1" applyFill="1" applyBorder="1" applyAlignment="1">
      <alignment horizontal="left"/>
    </xf>
    <xf numFmtId="0" fontId="10" fillId="3" borderId="2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22" fillId="3" borderId="0" xfId="2" applyFont="1" applyFill="1"/>
    <xf numFmtId="0" fontId="23" fillId="3" borderId="0" xfId="2" applyFont="1" applyFill="1"/>
    <xf numFmtId="0" fontId="12" fillId="3" borderId="0" xfId="2" applyFont="1" applyFill="1"/>
    <xf numFmtId="0" fontId="12" fillId="3" borderId="20" xfId="2" applyFont="1" applyFill="1" applyBorder="1"/>
    <xf numFmtId="0" fontId="6" fillId="2" borderId="25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4" fillId="2" borderId="9" xfId="8" applyFont="1" applyFill="1" applyBorder="1" applyAlignment="1">
      <alignment horizontal="center" vertical="center" wrapText="1"/>
    </xf>
    <xf numFmtId="0" fontId="24" fillId="2" borderId="13" xfId="8" applyFont="1" applyFill="1" applyBorder="1" applyAlignment="1">
      <alignment horizontal="center" vertical="center" wrapText="1"/>
    </xf>
    <xf numFmtId="0" fontId="24" fillId="2" borderId="12" xfId="8" applyFont="1" applyFill="1" applyBorder="1" applyAlignment="1">
      <alignment horizontal="center" vertical="center" wrapText="1"/>
    </xf>
    <xf numFmtId="0" fontId="24" fillId="2" borderId="14" xfId="8" applyFont="1" applyFill="1" applyBorder="1" applyAlignment="1">
      <alignment horizontal="center" vertical="center" wrapText="1"/>
    </xf>
    <xf numFmtId="2" fontId="24" fillId="2" borderId="26" xfId="8" applyNumberFormat="1" applyFont="1" applyFill="1" applyBorder="1" applyAlignment="1">
      <alignment horizontal="center" vertical="center" wrapText="1"/>
    </xf>
    <xf numFmtId="0" fontId="25" fillId="0" borderId="0" xfId="8" applyFont="1" applyAlignment="1">
      <alignment vertical="top"/>
    </xf>
    <xf numFmtId="0" fontId="6" fillId="2" borderId="2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24" fillId="2" borderId="14" xfId="8" applyFont="1" applyFill="1" applyBorder="1" applyAlignment="1">
      <alignment horizontal="center" vertical="center"/>
    </xf>
    <xf numFmtId="0" fontId="24" fillId="2" borderId="14" xfId="8" applyFont="1" applyFill="1" applyBorder="1" applyAlignment="1">
      <alignment horizontal="center" vertical="center" wrapText="1"/>
    </xf>
    <xf numFmtId="0" fontId="24" fillId="2" borderId="10" xfId="8" applyFont="1" applyFill="1" applyBorder="1" applyAlignment="1">
      <alignment horizontal="center" vertical="center" wrapText="1"/>
    </xf>
    <xf numFmtId="2" fontId="24" fillId="2" borderId="28" xfId="8" applyNumberFormat="1" applyFont="1" applyFill="1" applyBorder="1" applyAlignment="1">
      <alignment horizontal="center" vertical="center" wrapText="1"/>
    </xf>
    <xf numFmtId="0" fontId="26" fillId="0" borderId="11" xfId="2" applyFont="1" applyBorder="1" applyAlignment="1">
      <alignment vertical="center"/>
    </xf>
    <xf numFmtId="0" fontId="26" fillId="0" borderId="11" xfId="2" applyFont="1" applyBorder="1" applyAlignment="1">
      <alignment vertical="center" wrapText="1"/>
    </xf>
    <xf numFmtId="2" fontId="26" fillId="0" borderId="11" xfId="0" applyNumberFormat="1" applyFont="1" applyBorder="1" applyAlignment="1">
      <alignment horizontal="center" vertical="center"/>
    </xf>
    <xf numFmtId="0" fontId="26" fillId="0" borderId="11" xfId="2" applyFont="1" applyBorder="1" applyAlignment="1">
      <alignment horizontal="left" vertical="center" wrapText="1"/>
    </xf>
    <xf numFmtId="9" fontId="26" fillId="0" borderId="11" xfId="2" applyNumberFormat="1" applyFont="1" applyBorder="1" applyAlignment="1">
      <alignment horizontal="center" vertical="center" wrapText="1"/>
    </xf>
    <xf numFmtId="0" fontId="26" fillId="0" borderId="11" xfId="7" applyFont="1" applyBorder="1" applyAlignment="1">
      <alignment horizontal="center" vertical="center" wrapText="1"/>
    </xf>
    <xf numFmtId="0" fontId="26" fillId="0" borderId="11" xfId="8" applyFont="1" applyBorder="1" applyAlignment="1">
      <alignment horizontal="center" vertical="center" wrapText="1"/>
    </xf>
    <xf numFmtId="0" fontId="18" fillId="0" borderId="11" xfId="8" applyFont="1" applyBorder="1" applyAlignment="1">
      <alignment horizontal="center" vertical="center"/>
    </xf>
    <xf numFmtId="0" fontId="28" fillId="0" borderId="11" xfId="11" applyFont="1" applyBorder="1" applyAlignment="1">
      <alignment horizontal="center" vertical="center"/>
    </xf>
    <xf numFmtId="0" fontId="5" fillId="2" borderId="11" xfId="8" applyFont="1" applyFill="1" applyBorder="1" applyAlignment="1">
      <alignment horizontal="center" vertical="center"/>
    </xf>
    <xf numFmtId="2" fontId="5" fillId="2" borderId="11" xfId="8" applyNumberFormat="1" applyFont="1" applyFill="1" applyBorder="1" applyAlignment="1">
      <alignment horizontal="center" vertical="center"/>
    </xf>
    <xf numFmtId="0" fontId="29" fillId="0" borderId="0" xfId="8" applyFont="1" applyAlignment="1">
      <alignment horizontal="left" vertical="top" wrapText="1"/>
    </xf>
    <xf numFmtId="0" fontId="26" fillId="0" borderId="11" xfId="2" applyFont="1" applyBorder="1" applyAlignment="1">
      <alignment horizontal="center" vertical="center"/>
    </xf>
    <xf numFmtId="9" fontId="26" fillId="0" borderId="11" xfId="2" applyNumberFormat="1" applyFont="1" applyBorder="1" applyAlignment="1">
      <alignment horizontal="center" vertical="center"/>
    </xf>
    <xf numFmtId="2" fontId="26" fillId="0" borderId="11" xfId="2" applyNumberFormat="1" applyFont="1" applyBorder="1" applyAlignment="1">
      <alignment vertical="center" wrapText="1"/>
    </xf>
    <xf numFmtId="0" fontId="30" fillId="0" borderId="29" xfId="12" applyFont="1" applyBorder="1" applyAlignment="1">
      <alignment horizontal="center" vertical="center"/>
    </xf>
    <xf numFmtId="0" fontId="31" fillId="0" borderId="10" xfId="8" applyFont="1" applyBorder="1" applyAlignment="1">
      <alignment horizontal="center" vertical="center" wrapText="1"/>
    </xf>
    <xf numFmtId="2" fontId="31" fillId="0" borderId="10" xfId="8" applyNumberFormat="1" applyFont="1" applyBorder="1" applyAlignment="1">
      <alignment horizontal="center" vertical="center" wrapText="1"/>
    </xf>
    <xf numFmtId="2" fontId="30" fillId="0" borderId="10" xfId="12" applyNumberFormat="1" applyFont="1" applyBorder="1" applyAlignment="1">
      <alignment horizontal="left" vertical="center" wrapText="1"/>
    </xf>
    <xf numFmtId="9" fontId="30" fillId="0" borderId="10" xfId="12" applyNumberFormat="1" applyFont="1" applyBorder="1" applyAlignment="1">
      <alignment horizontal="center" vertical="center"/>
    </xf>
    <xf numFmtId="0" fontId="32" fillId="0" borderId="6" xfId="9" applyFont="1" applyBorder="1" applyAlignment="1">
      <alignment vertical="center"/>
    </xf>
    <xf numFmtId="49" fontId="32" fillId="0" borderId="7" xfId="9" applyNumberFormat="1" applyFont="1" applyBorder="1" applyAlignment="1">
      <alignment horizontal="center" vertical="center"/>
    </xf>
    <xf numFmtId="0" fontId="31" fillId="0" borderId="13" xfId="8" applyFont="1" applyBorder="1" applyAlignment="1" applyProtection="1">
      <alignment horizontal="center" vertical="center"/>
      <protection locked="0"/>
    </xf>
    <xf numFmtId="2" fontId="33" fillId="2" borderId="11" xfId="8" applyNumberFormat="1" applyFont="1" applyFill="1" applyBorder="1" applyAlignment="1">
      <alignment horizontal="center" vertical="center"/>
    </xf>
    <xf numFmtId="2" fontId="33" fillId="2" borderId="30" xfId="8" applyNumberFormat="1" applyFont="1" applyFill="1" applyBorder="1" applyAlignment="1">
      <alignment horizontal="center" vertical="center"/>
    </xf>
    <xf numFmtId="0" fontId="29" fillId="0" borderId="0" xfId="13" applyFont="1" applyAlignment="1">
      <alignment horizontal="left" vertical="top" wrapText="1"/>
    </xf>
    <xf numFmtId="0" fontId="34" fillId="0" borderId="31" xfId="8" applyFont="1" applyBorder="1" applyAlignment="1">
      <alignment vertical="center" wrapText="1"/>
    </xf>
    <xf numFmtId="0" fontId="35" fillId="0" borderId="0" xfId="8" applyFont="1" applyAlignment="1">
      <alignment vertical="top" wrapText="1"/>
    </xf>
    <xf numFmtId="0" fontId="36" fillId="0" borderId="10" xfId="8" applyFont="1" applyBorder="1" applyAlignment="1">
      <alignment horizontal="center" vertical="center" wrapText="1"/>
    </xf>
    <xf numFmtId="0" fontId="37" fillId="5" borderId="9" xfId="8" applyFont="1" applyFill="1" applyBorder="1" applyAlignment="1">
      <alignment horizontal="center"/>
    </xf>
    <xf numFmtId="0" fontId="37" fillId="5" borderId="13" xfId="8" applyFont="1" applyFill="1" applyBorder="1" applyAlignment="1">
      <alignment horizontal="center"/>
    </xf>
    <xf numFmtId="0" fontId="37" fillId="5" borderId="12" xfId="8" applyFont="1" applyFill="1" applyBorder="1" applyAlignment="1">
      <alignment horizontal="center"/>
    </xf>
    <xf numFmtId="2" fontId="38" fillId="6" borderId="30" xfId="14" applyNumberFormat="1" applyFont="1" applyFill="1" applyBorder="1" applyAlignment="1" applyProtection="1">
      <alignment horizontal="center"/>
    </xf>
    <xf numFmtId="0" fontId="16" fillId="2" borderId="24" xfId="8" applyFont="1" applyFill="1" applyBorder="1" applyAlignment="1">
      <alignment horizontal="right" vertical="top" wrapText="1"/>
    </xf>
    <xf numFmtId="0" fontId="16" fillId="2" borderId="2" xfId="8" applyFont="1" applyFill="1" applyBorder="1" applyAlignment="1">
      <alignment horizontal="right" vertical="top" wrapText="1"/>
    </xf>
    <xf numFmtId="0" fontId="16" fillId="2" borderId="3" xfId="8" applyFont="1" applyFill="1" applyBorder="1" applyAlignment="1">
      <alignment horizontal="right" vertical="top" wrapText="1"/>
    </xf>
    <xf numFmtId="0" fontId="16" fillId="2" borderId="11" xfId="8" applyFont="1" applyFill="1" applyBorder="1" applyAlignment="1">
      <alignment horizontal="center" vertical="top" wrapText="1"/>
    </xf>
    <xf numFmtId="0" fontId="24" fillId="2" borderId="2" xfId="8" applyFont="1" applyFill="1" applyBorder="1" applyAlignment="1">
      <alignment horizontal="center" vertical="top" wrapText="1"/>
    </xf>
    <xf numFmtId="0" fontId="24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9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9" fillId="2" borderId="0" xfId="8" applyFont="1" applyFill="1" applyAlignment="1">
      <alignment horizontal="right" vertical="top" wrapText="1"/>
    </xf>
    <xf numFmtId="0" fontId="16" fillId="3" borderId="0" xfId="8" applyFont="1" applyFill="1" applyAlignment="1">
      <alignment horizontal="right" vertical="top" wrapText="1"/>
    </xf>
    <xf numFmtId="0" fontId="16" fillId="2" borderId="0" xfId="8" applyFont="1" applyFill="1" applyAlignment="1">
      <alignment horizontal="center" vertical="top" wrapText="1"/>
    </xf>
    <xf numFmtId="0" fontId="16" fillId="2" borderId="5" xfId="8" applyFont="1" applyFill="1" applyBorder="1" applyAlignment="1">
      <alignment horizontal="center" vertical="top" wrapText="1"/>
    </xf>
    <xf numFmtId="0" fontId="24" fillId="2" borderId="7" xfId="8" applyFont="1" applyFill="1" applyBorder="1" applyAlignment="1">
      <alignment horizontal="center" vertical="top" wrapText="1"/>
    </xf>
    <xf numFmtId="0" fontId="40" fillId="2" borderId="11" xfId="8" applyFont="1" applyFill="1" applyBorder="1" applyAlignment="1">
      <alignment horizontal="center" vertical="top" wrapText="1"/>
    </xf>
    <xf numFmtId="0" fontId="6" fillId="0" borderId="29" xfId="2" applyFont="1" applyBorder="1" applyAlignment="1">
      <alignment horizontal="center" vertical="center"/>
    </xf>
    <xf numFmtId="0" fontId="6" fillId="0" borderId="11" xfId="2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41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2" fillId="2" borderId="11" xfId="8" applyFont="1" applyFill="1" applyBorder="1" applyAlignment="1">
      <alignment horizontal="center" vertical="top" wrapText="1"/>
    </xf>
    <xf numFmtId="0" fontId="40" fillId="2" borderId="9" xfId="8" applyFont="1" applyFill="1" applyBorder="1" applyAlignment="1">
      <alignment horizontal="left" vertical="top" wrapText="1"/>
    </xf>
    <xf numFmtId="0" fontId="40" fillId="2" borderId="12" xfId="8" applyFont="1" applyFill="1" applyBorder="1" applyAlignment="1">
      <alignment horizontal="left" vertical="top" wrapText="1"/>
    </xf>
    <xf numFmtId="0" fontId="7" fillId="0" borderId="31" xfId="2" applyFont="1" applyBorder="1" applyAlignment="1">
      <alignment horizontal="center" vertical="center"/>
    </xf>
    <xf numFmtId="0" fontId="7" fillId="0" borderId="11" xfId="2" applyFont="1" applyBorder="1" applyAlignment="1">
      <alignment vertical="center" wrapText="1"/>
    </xf>
    <xf numFmtId="0" fontId="39" fillId="0" borderId="9" xfId="11" applyFont="1" applyBorder="1" applyAlignment="1">
      <alignment horizontal="left" vertical="center" wrapText="1"/>
    </xf>
    <xf numFmtId="0" fontId="39" fillId="0" borderId="13" xfId="11" applyFont="1" applyBorder="1" applyAlignment="1">
      <alignment horizontal="left" vertical="center" wrapText="1"/>
    </xf>
    <xf numFmtId="0" fontId="39" fillId="0" borderId="12" xfId="11" applyFont="1" applyBorder="1" applyAlignment="1">
      <alignment horizontal="left" vertical="center" wrapText="1"/>
    </xf>
    <xf numFmtId="0" fontId="41" fillId="0" borderId="11" xfId="8" applyFont="1" applyBorder="1" applyAlignment="1">
      <alignment horizontal="center" vertical="top" wrapText="1"/>
    </xf>
    <xf numFmtId="0" fontId="41" fillId="0" borderId="11" xfId="8" applyFont="1" applyBorder="1" applyAlignment="1" applyProtection="1">
      <alignment horizontal="center" vertical="top" wrapText="1"/>
      <protection locked="0"/>
    </xf>
    <xf numFmtId="0" fontId="6" fillId="0" borderId="31" xfId="2" applyFont="1" applyBorder="1" applyAlignment="1">
      <alignment horizontal="center" vertical="center"/>
    </xf>
    <xf numFmtId="0" fontId="6" fillId="0" borderId="11" xfId="2" applyFont="1" applyBorder="1" applyAlignment="1">
      <alignment horizontal="left" vertical="center" wrapText="1"/>
    </xf>
    <xf numFmtId="0" fontId="7" fillId="0" borderId="9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7" fillId="0" borderId="12" xfId="2" applyFont="1" applyBorder="1" applyAlignment="1">
      <alignment vertical="center"/>
    </xf>
    <xf numFmtId="0" fontId="7" fillId="0" borderId="11" xfId="2" applyFont="1" applyBorder="1" applyAlignment="1">
      <alignment horizontal="left" vertical="center" wrapText="1"/>
    </xf>
    <xf numFmtId="0" fontId="39" fillId="0" borderId="9" xfId="11" applyFont="1" applyBorder="1" applyAlignment="1">
      <alignment vertical="center" wrapText="1"/>
    </xf>
    <xf numFmtId="0" fontId="39" fillId="0" borderId="13" xfId="11" applyFont="1" applyBorder="1" applyAlignment="1">
      <alignment vertical="center" wrapText="1"/>
    </xf>
    <xf numFmtId="0" fontId="39" fillId="0" borderId="12" xfId="11" applyFont="1" applyBorder="1" applyAlignment="1">
      <alignment vertical="center" wrapText="1"/>
    </xf>
    <xf numFmtId="0" fontId="40" fillId="2" borderId="12" xfId="8" applyFont="1" applyFill="1" applyBorder="1" applyAlignment="1">
      <alignment horizontal="center" vertical="top" wrapText="1"/>
    </xf>
    <xf numFmtId="0" fontId="40" fillId="2" borderId="9" xfId="8" applyFont="1" applyFill="1" applyBorder="1" applyAlignment="1">
      <alignment horizontal="left" vertical="top" wrapText="1"/>
    </xf>
    <xf numFmtId="0" fontId="40" fillId="2" borderId="12" xfId="8" applyFont="1" applyFill="1" applyBorder="1" applyAlignment="1">
      <alignment horizontal="left" vertical="top" wrapText="1"/>
    </xf>
    <xf numFmtId="0" fontId="7" fillId="0" borderId="9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6" fillId="2" borderId="5" xfId="8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0" fontId="16" fillId="2" borderId="13" xfId="8" applyFont="1" applyFill="1" applyBorder="1" applyAlignment="1">
      <alignment horizontal="center" vertical="top" wrapText="1"/>
    </xf>
    <xf numFmtId="0" fontId="16" fillId="2" borderId="12" xfId="8" applyFont="1" applyFill="1" applyBorder="1" applyAlignment="1">
      <alignment horizontal="center" vertical="top" wrapText="1"/>
    </xf>
    <xf numFmtId="0" fontId="7" fillId="0" borderId="31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39" fillId="0" borderId="11" xfId="8" applyFont="1" applyBorder="1" applyAlignment="1">
      <alignment horizontal="center" vertical="top" wrapText="1"/>
    </xf>
    <xf numFmtId="0" fontId="16" fillId="0" borderId="11" xfId="8" applyFont="1" applyBorder="1" applyAlignment="1" applyProtection="1">
      <alignment horizontal="center" vertical="top" wrapText="1"/>
      <protection locked="0"/>
    </xf>
    <xf numFmtId="0" fontId="16" fillId="0" borderId="11" xfId="8" applyFont="1" applyBorder="1" applyAlignment="1">
      <alignment horizontal="center" vertical="top" wrapText="1"/>
    </xf>
    <xf numFmtId="0" fontId="16" fillId="2" borderId="32" xfId="8" applyFont="1" applyFill="1" applyBorder="1" applyAlignment="1">
      <alignment vertical="top" wrapText="1"/>
    </xf>
    <xf numFmtId="0" fontId="16" fillId="2" borderId="13" xfId="8" applyFont="1" applyFill="1" applyBorder="1" applyAlignment="1">
      <alignment horizontal="left" vertical="top" wrapText="1"/>
    </xf>
    <xf numFmtId="0" fontId="16" fillId="2" borderId="13" xfId="8" applyFont="1" applyFill="1" applyBorder="1" applyAlignment="1">
      <alignment vertical="top" wrapText="1"/>
    </xf>
    <xf numFmtId="0" fontId="43" fillId="2" borderId="0" xfId="8" applyFont="1" applyFill="1" applyAlignment="1">
      <alignment horizontal="center" vertical="top" wrapText="1"/>
    </xf>
    <xf numFmtId="0" fontId="12" fillId="7" borderId="19" xfId="8" applyFont="1" applyFill="1" applyBorder="1"/>
    <xf numFmtId="0" fontId="12" fillId="7" borderId="2" xfId="8" applyFont="1" applyFill="1" applyBorder="1" applyAlignment="1">
      <alignment horizontal="center"/>
    </xf>
    <xf numFmtId="0" fontId="44" fillId="2" borderId="2" xfId="8" applyFont="1" applyFill="1" applyBorder="1" applyAlignment="1">
      <alignment vertical="center" wrapText="1"/>
    </xf>
    <xf numFmtId="0" fontId="44" fillId="2" borderId="13" xfId="8" applyFont="1" applyFill="1" applyBorder="1" applyAlignment="1">
      <alignment horizontal="center" vertical="center" wrapText="1"/>
    </xf>
    <xf numFmtId="0" fontId="44" fillId="8" borderId="9" xfId="8" applyFont="1" applyFill="1" applyBorder="1" applyAlignment="1">
      <alignment horizontal="center" vertical="center" wrapText="1"/>
    </xf>
    <xf numFmtId="0" fontId="44" fillId="8" borderId="12" xfId="8" applyFont="1" applyFill="1" applyBorder="1" applyAlignment="1">
      <alignment horizontal="center" vertical="center" wrapText="1"/>
    </xf>
    <xf numFmtId="0" fontId="44" fillId="8" borderId="33" xfId="8" applyFont="1" applyFill="1" applyBorder="1" applyAlignment="1">
      <alignment horizontal="center" vertical="center" wrapText="1"/>
    </xf>
    <xf numFmtId="0" fontId="12" fillId="0" borderId="0" xfId="8" applyFont="1"/>
    <xf numFmtId="0" fontId="12" fillId="7" borderId="0" xfId="8" applyFont="1" applyFill="1" applyAlignment="1">
      <alignment horizontal="center"/>
    </xf>
    <xf numFmtId="0" fontId="44" fillId="0" borderId="9" xfId="8" applyFont="1" applyBorder="1" applyAlignment="1">
      <alignment horizontal="left" vertical="center" wrapText="1"/>
    </xf>
    <xf numFmtId="0" fontId="44" fillId="0" borderId="13" xfId="8" applyFont="1" applyBorder="1" applyAlignment="1">
      <alignment horizontal="left" vertical="center" wrapText="1"/>
    </xf>
    <xf numFmtId="0" fontId="44" fillId="0" borderId="12" xfId="8" applyFont="1" applyBorder="1" applyAlignment="1">
      <alignment horizontal="left" vertical="center" wrapText="1"/>
    </xf>
    <xf numFmtId="0" fontId="44" fillId="0" borderId="9" xfId="8" applyFont="1" applyBorder="1" applyAlignment="1">
      <alignment horizontal="center" vertical="center" wrapText="1"/>
    </xf>
    <xf numFmtId="0" fontId="44" fillId="0" borderId="13" xfId="8" applyFont="1" applyBorder="1" applyAlignment="1">
      <alignment horizontal="center" vertical="center" wrapText="1"/>
    </xf>
    <xf numFmtId="0" fontId="44" fillId="0" borderId="12" xfId="8" applyFont="1" applyBorder="1" applyAlignment="1">
      <alignment horizontal="center" vertical="center" wrapText="1"/>
    </xf>
    <xf numFmtId="2" fontId="44" fillId="8" borderId="9" xfId="8" applyNumberFormat="1" applyFont="1" applyFill="1" applyBorder="1" applyAlignment="1">
      <alignment horizontal="center" vertical="center" wrapText="1"/>
    </xf>
    <xf numFmtId="2" fontId="44" fillId="8" borderId="12" xfId="8" applyNumberFormat="1" applyFont="1" applyFill="1" applyBorder="1" applyAlignment="1">
      <alignment horizontal="center" vertical="center" wrapText="1"/>
    </xf>
    <xf numFmtId="2" fontId="45" fillId="2" borderId="1" xfId="14" applyNumberFormat="1" applyFont="1" applyFill="1" applyBorder="1" applyAlignment="1" applyProtection="1">
      <alignment horizontal="center" vertical="center" wrapText="1"/>
    </xf>
    <xf numFmtId="2" fontId="45" fillId="2" borderId="34" xfId="14" applyNumberFormat="1" applyFont="1" applyFill="1" applyBorder="1" applyAlignment="1" applyProtection="1">
      <alignment horizontal="center" vertical="center" wrapText="1"/>
    </xf>
    <xf numFmtId="2" fontId="45" fillId="2" borderId="4" xfId="14" applyNumberFormat="1" applyFont="1" applyFill="1" applyBorder="1" applyAlignment="1" applyProtection="1">
      <alignment horizontal="center" vertical="center" wrapText="1"/>
    </xf>
    <xf numFmtId="2" fontId="45" fillId="2" borderId="20" xfId="14" applyNumberFormat="1" applyFont="1" applyFill="1" applyBorder="1" applyAlignment="1" applyProtection="1">
      <alignment horizontal="center" vertical="center" wrapText="1"/>
    </xf>
    <xf numFmtId="0" fontId="12" fillId="7" borderId="7" xfId="8" applyFont="1" applyFill="1" applyBorder="1" applyAlignment="1">
      <alignment horizontal="center"/>
    </xf>
    <xf numFmtId="2" fontId="45" fillId="2" borderId="6" xfId="14" applyNumberFormat="1" applyFont="1" applyFill="1" applyBorder="1" applyAlignment="1" applyProtection="1">
      <alignment horizontal="center" vertical="center" wrapText="1"/>
    </xf>
    <xf numFmtId="2" fontId="45" fillId="2" borderId="35" xfId="14" applyNumberFormat="1" applyFont="1" applyFill="1" applyBorder="1" applyAlignment="1" applyProtection="1">
      <alignment horizontal="center" vertical="center" wrapText="1"/>
    </xf>
    <xf numFmtId="0" fontId="44" fillId="2" borderId="11" xfId="8" applyFont="1" applyFill="1" applyBorder="1" applyAlignment="1">
      <alignment horizontal="center" vertical="center" wrapText="1"/>
    </xf>
    <xf numFmtId="0" fontId="44" fillId="4" borderId="11" xfId="8" applyFont="1" applyFill="1" applyBorder="1" applyAlignment="1">
      <alignment vertical="center" wrapText="1"/>
    </xf>
    <xf numFmtId="0" fontId="44" fillId="4" borderId="30" xfId="8" applyFont="1" applyFill="1" applyBorder="1" applyAlignment="1">
      <alignment vertical="center" wrapText="1"/>
    </xf>
    <xf numFmtId="0" fontId="46" fillId="4" borderId="11" xfId="8" applyFont="1" applyFill="1" applyBorder="1" applyAlignment="1">
      <alignment horizontal="center" vertical="center" wrapText="1"/>
    </xf>
    <xf numFmtId="0" fontId="46" fillId="4" borderId="30" xfId="8" applyFont="1" applyFill="1" applyBorder="1" applyAlignment="1">
      <alignment horizontal="center" vertical="center" wrapText="1"/>
    </xf>
    <xf numFmtId="0" fontId="44" fillId="2" borderId="11" xfId="8" applyFont="1" applyFill="1" applyBorder="1" applyAlignment="1">
      <alignment horizontal="left" vertical="center" wrapText="1"/>
    </xf>
    <xf numFmtId="0" fontId="44" fillId="0" borderId="11" xfId="8" applyFont="1" applyBorder="1" applyAlignment="1">
      <alignment vertical="center" wrapText="1"/>
    </xf>
    <xf numFmtId="0" fontId="44" fillId="0" borderId="30" xfId="8" applyFont="1" applyBorder="1" applyAlignment="1">
      <alignment vertical="center" wrapText="1"/>
    </xf>
    <xf numFmtId="0" fontId="16" fillId="2" borderId="24" xfId="8" applyFont="1" applyFill="1" applyBorder="1" applyAlignment="1">
      <alignment vertical="center" wrapText="1"/>
    </xf>
    <xf numFmtId="0" fontId="16" fillId="2" borderId="3" xfId="8" applyFont="1" applyFill="1" applyBorder="1" applyAlignment="1">
      <alignment vertical="center" wrapText="1"/>
    </xf>
    <xf numFmtId="0" fontId="39" fillId="0" borderId="2" xfId="8" applyFont="1" applyBorder="1" applyAlignment="1">
      <alignment vertical="center" wrapText="1"/>
    </xf>
    <xf numFmtId="0" fontId="39" fillId="0" borderId="3" xfId="8" applyFont="1" applyBorder="1" applyAlignment="1">
      <alignment vertical="center" wrapText="1"/>
    </xf>
    <xf numFmtId="0" fontId="16" fillId="2" borderId="1" xfId="8" applyFont="1" applyFill="1" applyBorder="1" applyAlignment="1">
      <alignment vertical="center" wrapText="1"/>
    </xf>
    <xf numFmtId="0" fontId="39" fillId="0" borderId="2" xfId="8" applyFont="1" applyBorder="1" applyAlignment="1">
      <alignment horizontal="center" vertical="center" wrapText="1"/>
    </xf>
    <xf numFmtId="0" fontId="41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6" fillId="2" borderId="19" xfId="8" applyFont="1" applyFill="1" applyBorder="1" applyAlignment="1">
      <alignment vertical="center" wrapText="1"/>
    </xf>
    <xf numFmtId="0" fontId="16" fillId="2" borderId="5" xfId="8" applyFont="1" applyFill="1" applyBorder="1" applyAlignment="1">
      <alignment vertical="center" wrapText="1"/>
    </xf>
    <xf numFmtId="0" fontId="39" fillId="0" borderId="0" xfId="8" applyFont="1" applyAlignment="1">
      <alignment vertical="center" wrapText="1"/>
    </xf>
    <xf numFmtId="0" fontId="39" fillId="0" borderId="5" xfId="8" applyFont="1" applyBorder="1" applyAlignment="1">
      <alignment vertical="center" wrapText="1"/>
    </xf>
    <xf numFmtId="0" fontId="16" fillId="2" borderId="4" xfId="8" applyFont="1" applyFill="1" applyBorder="1" applyAlignment="1">
      <alignment vertical="center" wrapText="1"/>
    </xf>
    <xf numFmtId="0" fontId="39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6" fillId="2" borderId="36" xfId="8" applyFont="1" applyFill="1" applyBorder="1" applyAlignment="1">
      <alignment vertical="center" wrapText="1"/>
    </xf>
    <xf numFmtId="0" fontId="16" fillId="2" borderId="8" xfId="8" applyFont="1" applyFill="1" applyBorder="1" applyAlignment="1">
      <alignment vertical="center" wrapText="1"/>
    </xf>
    <xf numFmtId="0" fontId="39" fillId="0" borderId="7" xfId="8" applyFont="1" applyBorder="1" applyAlignment="1">
      <alignment vertical="center" wrapText="1"/>
    </xf>
    <xf numFmtId="0" fontId="39" fillId="0" borderId="8" xfId="8" applyFont="1" applyBorder="1" applyAlignment="1">
      <alignment vertical="center" wrapText="1"/>
    </xf>
    <xf numFmtId="0" fontId="16" fillId="2" borderId="6" xfId="8" applyFont="1" applyFill="1" applyBorder="1" applyAlignment="1">
      <alignment vertical="center" wrapText="1"/>
    </xf>
    <xf numFmtId="0" fontId="39" fillId="0" borderId="7" xfId="8" applyFont="1" applyBorder="1" applyAlignment="1">
      <alignment horizontal="center" vertical="center" wrapText="1"/>
    </xf>
    <xf numFmtId="0" fontId="16" fillId="3" borderId="24" xfId="8" applyFont="1" applyFill="1" applyBorder="1" applyAlignment="1">
      <alignment vertical="center" wrapText="1"/>
    </xf>
    <xf numFmtId="0" fontId="16" fillId="3" borderId="3" xfId="8" applyFont="1" applyFill="1" applyBorder="1" applyAlignment="1">
      <alignment vertical="center" wrapText="1"/>
    </xf>
    <xf numFmtId="0" fontId="16" fillId="3" borderId="1" xfId="8" applyFont="1" applyFill="1" applyBorder="1" applyAlignment="1">
      <alignment vertical="center" wrapText="1"/>
    </xf>
    <xf numFmtId="0" fontId="16" fillId="3" borderId="19" xfId="8" applyFont="1" applyFill="1" applyBorder="1" applyAlignment="1">
      <alignment vertical="center" wrapText="1"/>
    </xf>
    <xf numFmtId="0" fontId="16" fillId="3" borderId="5" xfId="8" applyFont="1" applyFill="1" applyBorder="1" applyAlignment="1">
      <alignment vertical="center" wrapText="1"/>
    </xf>
    <xf numFmtId="0" fontId="16" fillId="3" borderId="4" xfId="8" applyFont="1" applyFill="1" applyBorder="1" applyAlignment="1">
      <alignment vertical="center" wrapText="1"/>
    </xf>
    <xf numFmtId="0" fontId="16" fillId="3" borderId="6" xfId="8" applyFont="1" applyFill="1" applyBorder="1" applyAlignment="1">
      <alignment vertical="center" wrapText="1"/>
    </xf>
    <xf numFmtId="0" fontId="16" fillId="3" borderId="8" xfId="8" applyFont="1" applyFill="1" applyBorder="1" applyAlignment="1">
      <alignment vertical="center" wrapText="1"/>
    </xf>
    <xf numFmtId="0" fontId="29" fillId="3" borderId="21" xfId="8" applyFont="1" applyFill="1" applyBorder="1" applyAlignment="1">
      <alignment vertical="center" wrapText="1"/>
    </xf>
    <xf numFmtId="0" fontId="29" fillId="3" borderId="22" xfId="8" applyFont="1" applyFill="1" applyBorder="1" applyAlignment="1">
      <alignment vertical="center" wrapText="1"/>
    </xf>
    <xf numFmtId="0" fontId="8" fillId="3" borderId="22" xfId="8" applyFont="1" applyFill="1" applyBorder="1" applyAlignment="1">
      <alignment horizontal="center" vertical="top" wrapText="1"/>
    </xf>
    <xf numFmtId="0" fontId="29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7" fillId="3" borderId="0" xfId="3" applyFont="1" applyFill="1" applyAlignment="1">
      <alignment horizontal="left" vertical="center"/>
    </xf>
    <xf numFmtId="0" fontId="17" fillId="3" borderId="5" xfId="3" applyFont="1" applyFill="1" applyBorder="1" applyAlignment="1">
      <alignment horizontal="left" vertical="center"/>
    </xf>
    <xf numFmtId="0" fontId="17" fillId="0" borderId="8" xfId="3" applyFont="1" applyBorder="1" applyAlignment="1">
      <alignment horizontal="left"/>
    </xf>
    <xf numFmtId="0" fontId="17" fillId="3" borderId="10" xfId="3" applyFont="1" applyFill="1" applyBorder="1" applyAlignment="1">
      <alignment horizontal="left"/>
    </xf>
    <xf numFmtId="0" fontId="17" fillId="3" borderId="11" xfId="3" applyFont="1" applyFill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17" fillId="0" borderId="7" xfId="3" applyFont="1" applyBorder="1" applyAlignment="1">
      <alignment horizontal="left"/>
    </xf>
    <xf numFmtId="0" fontId="18" fillId="0" borderId="0" xfId="3" applyFont="1" applyAlignment="1">
      <alignment horizontal="left"/>
    </xf>
    <xf numFmtId="0" fontId="17" fillId="3" borderId="0" xfId="3" applyFont="1" applyFill="1" applyAlignment="1">
      <alignment horizontal="left"/>
    </xf>
    <xf numFmtId="0" fontId="17" fillId="3" borderId="5" xfId="3" applyFont="1" applyFill="1" applyBorder="1" applyAlignment="1">
      <alignment horizontal="left"/>
    </xf>
    <xf numFmtId="0" fontId="47" fillId="0" borderId="12" xfId="3" applyFont="1" applyBorder="1" applyAlignment="1">
      <alignment horizontal="left"/>
    </xf>
    <xf numFmtId="0" fontId="48" fillId="0" borderId="12" xfId="4" quotePrefix="1" applyFont="1" applyBorder="1" applyAlignment="1">
      <alignment horizontal="left"/>
    </xf>
    <xf numFmtId="0" fontId="47" fillId="0" borderId="9" xfId="3" quotePrefix="1" applyFont="1" applyBorder="1" applyAlignment="1">
      <alignment horizontal="left"/>
    </xf>
    <xf numFmtId="0" fontId="47" fillId="0" borderId="13" xfId="3" applyFont="1" applyBorder="1" applyAlignment="1">
      <alignment horizontal="left"/>
    </xf>
    <xf numFmtId="0" fontId="17" fillId="3" borderId="0" xfId="3" applyFont="1" applyFill="1" applyAlignment="1">
      <alignment horizontal="left" vertical="center"/>
    </xf>
    <xf numFmtId="0" fontId="17" fillId="3" borderId="5" xfId="3" applyFont="1" applyFill="1" applyBorder="1" applyAlignment="1">
      <alignment horizontal="left" vertical="center"/>
    </xf>
    <xf numFmtId="0" fontId="17" fillId="0" borderId="7" xfId="3" applyFont="1" applyBorder="1" applyAlignment="1">
      <alignment horizontal="left"/>
    </xf>
    <xf numFmtId="0" fontId="17" fillId="0" borderId="8" xfId="3" applyFont="1" applyBorder="1" applyAlignment="1">
      <alignment horizontal="left"/>
    </xf>
    <xf numFmtId="0" fontId="17" fillId="3" borderId="0" xfId="3" applyFont="1" applyFill="1" applyAlignment="1">
      <alignment horizontal="left"/>
    </xf>
    <xf numFmtId="0" fontId="17" fillId="3" borderId="5" xfId="3" applyFont="1" applyFill="1" applyBorder="1" applyAlignment="1">
      <alignment horizontal="left"/>
    </xf>
    <xf numFmtId="0" fontId="48" fillId="0" borderId="12" xfId="4" applyFont="1" applyBorder="1" applyAlignment="1">
      <alignment horizontal="left"/>
    </xf>
    <xf numFmtId="0" fontId="47" fillId="0" borderId="9" xfId="3" applyFont="1" applyBorder="1" applyAlignment="1">
      <alignment horizontal="left"/>
    </xf>
    <xf numFmtId="0" fontId="47" fillId="0" borderId="13" xfId="3" applyFont="1" applyBorder="1" applyAlignment="1">
      <alignment horizontal="left"/>
    </xf>
    <xf numFmtId="0" fontId="47" fillId="0" borderId="12" xfId="3" applyFont="1" applyBorder="1" applyAlignment="1">
      <alignment horizontal="left"/>
    </xf>
    <xf numFmtId="0" fontId="49" fillId="0" borderId="12" xfId="1" quotePrefix="1" applyFont="1" applyBorder="1" applyAlignment="1">
      <alignment horizontal="left"/>
    </xf>
    <xf numFmtId="0" fontId="26" fillId="0" borderId="9" xfId="5" applyFont="1" applyBorder="1" applyAlignment="1">
      <alignment horizontal="left"/>
    </xf>
    <xf numFmtId="0" fontId="26" fillId="0" borderId="14" xfId="2" applyFont="1" applyBorder="1" applyAlignment="1">
      <alignment horizontal="center" vertical="center"/>
    </xf>
    <xf numFmtId="0" fontId="26" fillId="0" borderId="14" xfId="2" applyFont="1" applyBorder="1" applyAlignment="1">
      <alignment horizontal="left" vertical="center" wrapText="1"/>
    </xf>
    <xf numFmtId="2" fontId="26" fillId="0" borderId="14" xfId="2" applyNumberFormat="1" applyFont="1" applyBorder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6" fillId="0" borderId="15" xfId="2" applyFont="1" applyBorder="1" applyAlignment="1">
      <alignment horizontal="left" vertical="center" wrapText="1"/>
    </xf>
    <xf numFmtId="2" fontId="26" fillId="0" borderId="15" xfId="2" applyNumberFormat="1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0" fontId="26" fillId="0" borderId="10" xfId="2" applyFont="1" applyBorder="1" applyAlignment="1">
      <alignment horizontal="left" vertical="center" wrapText="1"/>
    </xf>
    <xf numFmtId="2" fontId="26" fillId="0" borderId="10" xfId="2" applyNumberFormat="1" applyFont="1" applyBorder="1" applyAlignment="1">
      <alignment horizontal="center" vertical="center"/>
    </xf>
    <xf numFmtId="2" fontId="26" fillId="0" borderId="11" xfId="2" applyNumberFormat="1" applyFont="1" applyBorder="1" applyAlignment="1">
      <alignment horizontal="center" vertical="center"/>
    </xf>
    <xf numFmtId="2" fontId="26" fillId="0" borderId="14" xfId="2" applyNumberFormat="1" applyFont="1" applyBorder="1" applyAlignment="1">
      <alignment horizontal="center" vertical="center" wrapText="1"/>
    </xf>
    <xf numFmtId="2" fontId="26" fillId="0" borderId="10" xfId="2" applyNumberFormat="1" applyFont="1" applyBorder="1" applyAlignment="1">
      <alignment horizontal="center" vertical="center" wrapText="1"/>
    </xf>
    <xf numFmtId="0" fontId="26" fillId="0" borderId="14" xfId="2" applyFont="1" applyBorder="1" applyAlignment="1">
      <alignment horizontal="left" vertical="center" wrapText="1"/>
    </xf>
  </cellXfs>
  <cellStyles count="15">
    <cellStyle name="Hyperlink" xfId="1" builtinId="8"/>
    <cellStyle name="Hyperlink 2" xfId="4" xr:uid="{DEE5EA9F-0F2C-4C20-8393-D384D0391EAD}"/>
    <cellStyle name="Normal" xfId="0" builtinId="0"/>
    <cellStyle name="Normal 2 2" xfId="11" xr:uid="{29153996-EF88-4A3B-80E3-4C7796257A36}"/>
    <cellStyle name="Normal 2 2 3 2" xfId="13" xr:uid="{29DA1440-175E-40D9-868E-7536E69BF696}"/>
    <cellStyle name="Normal 2 3" xfId="2" xr:uid="{68147CCC-4FA0-40E3-B77F-FCA9CC9930D4}"/>
    <cellStyle name="Normal 2 3 2" xfId="6" xr:uid="{18B1FE74-DD0A-42A2-9C97-6A10CF46E9FB}"/>
    <cellStyle name="Normal 2 3 5" xfId="10" xr:uid="{DD2AEF2D-F601-471C-B8A2-40B820C5D2DF}"/>
    <cellStyle name="Normal 2 3 6" xfId="3" xr:uid="{2AC7EC79-DBA5-4CA8-9A2B-C44A0E1B25D6}"/>
    <cellStyle name="Normal 2 4 2" xfId="5" xr:uid="{ED9EACA4-4E39-449C-AD50-059C440EC464}"/>
    <cellStyle name="Normal 2 5 2 2" xfId="9" xr:uid="{F88EFBA4-5EC7-4A7D-A395-FFBC2D8224FF}"/>
    <cellStyle name="Normal 2 7" xfId="12" xr:uid="{197961BC-7F49-4796-BC2F-5405E3C347DF}"/>
    <cellStyle name="Normal 4 2 2 2 2" xfId="8" xr:uid="{8879FBC5-637A-41AB-BB95-E3FE612E761E}"/>
    <cellStyle name="Normal 5 2 2" xfId="7" xr:uid="{E3EFE4FD-979B-4F00-837B-C37EAE7F8441}"/>
    <cellStyle name="Percent 2 2" xfId="14" xr:uid="{5E846136-EF54-4DBD-BDBC-F26A8668AA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C69C87C-737D-4C87-9660-011DA5FCA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62B1383-108E-4BF8-818A-E224CEC73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C734D53-E23E-4EEA-9BBD-D96CD6819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AA7A986-D5A5-4941-997E-E1A748ED3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1001-E9A4-49F4-A1C2-A52DEDE76D3C}">
  <sheetPr>
    <pageSetUpPr fitToPage="1"/>
  </sheetPr>
  <dimension ref="A1:R81"/>
  <sheetViews>
    <sheetView tabSelected="1" zoomScale="30" zoomScaleNormal="30" workbookViewId="0">
      <selection activeCell="A7" sqref="A7:XFD14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152</v>
      </c>
      <c r="C5" s="16" t="s">
        <v>2</v>
      </c>
      <c r="D5" s="17" t="s">
        <v>153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1" t="s">
        <v>8</v>
      </c>
      <c r="G7" s="252" t="s">
        <v>9</v>
      </c>
      <c r="H7" s="250" t="s">
        <v>10</v>
      </c>
      <c r="I7" s="253" t="s">
        <v>11</v>
      </c>
      <c r="J7" s="249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60691</v>
      </c>
      <c r="D8" s="251" t="s">
        <v>13</v>
      </c>
      <c r="E8" s="258" t="s">
        <v>14</v>
      </c>
      <c r="F8" s="251" t="s">
        <v>15</v>
      </c>
      <c r="G8" s="259" t="s">
        <v>16</v>
      </c>
      <c r="H8" s="251" t="s">
        <v>17</v>
      </c>
      <c r="I8" s="260" t="s">
        <v>18</v>
      </c>
      <c r="J8" s="257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61" t="s">
        <v>4</v>
      </c>
      <c r="B10" s="262"/>
      <c r="C10" s="249" t="s">
        <v>20</v>
      </c>
      <c r="D10" s="250" t="s">
        <v>6</v>
      </c>
      <c r="E10" s="249" t="s">
        <v>21</v>
      </c>
      <c r="F10" s="250" t="s">
        <v>8</v>
      </c>
      <c r="G10" s="252" t="s">
        <v>22</v>
      </c>
      <c r="H10" s="250" t="s">
        <v>10</v>
      </c>
      <c r="I10" s="263" t="s">
        <v>23</v>
      </c>
      <c r="J10" s="264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65" t="s">
        <v>12</v>
      </c>
      <c r="B11" s="266"/>
      <c r="C11" s="257">
        <v>60694</v>
      </c>
      <c r="D11" s="251" t="s">
        <v>13</v>
      </c>
      <c r="E11" s="267" t="s">
        <v>24</v>
      </c>
      <c r="F11" s="251" t="s">
        <v>15</v>
      </c>
      <c r="G11" s="268"/>
      <c r="H11" s="251" t="s">
        <v>17</v>
      </c>
      <c r="I11" s="269" t="s">
        <v>18</v>
      </c>
      <c r="J11" s="27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1" t="s">
        <v>30</v>
      </c>
      <c r="F14" s="46" t="s">
        <v>15</v>
      </c>
      <c r="G14" s="272"/>
      <c r="H14" s="45" t="s">
        <v>17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154</v>
      </c>
      <c r="Q17" s="71" t="s">
        <v>155</v>
      </c>
      <c r="R17" s="72" t="s">
        <v>156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157</v>
      </c>
      <c r="K18" s="78" t="s">
        <v>158</v>
      </c>
      <c r="L18" s="78" t="s">
        <v>159</v>
      </c>
      <c r="M18" s="77" t="s">
        <v>160</v>
      </c>
      <c r="N18" s="77" t="s">
        <v>161</v>
      </c>
      <c r="O18" s="77" t="s">
        <v>162</v>
      </c>
      <c r="P18" s="79"/>
      <c r="Q18" s="79"/>
      <c r="R18" s="80"/>
    </row>
    <row r="19" spans="1:18" s="92" customFormat="1" ht="147" customHeight="1" x14ac:dyDescent="0.25">
      <c r="A19" s="273">
        <v>1</v>
      </c>
      <c r="B19" s="274" t="s">
        <v>48</v>
      </c>
      <c r="C19" s="275">
        <f>0.25 *1.28791886111175</f>
        <v>0.32197971527793751</v>
      </c>
      <c r="D19" s="82" t="s">
        <v>49</v>
      </c>
      <c r="E19" s="83">
        <f>C19/5</f>
        <v>6.4395943055587504E-2</v>
      </c>
      <c r="F19" s="83">
        <f t="shared" ref="F19:F41" si="0">E19/$E$42 * 100</f>
        <v>0.33958946059852668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41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1" si="2">F19*Q19/100</f>
        <v>0</v>
      </c>
    </row>
    <row r="20" spans="1:18" s="92" customFormat="1" ht="147" customHeight="1" x14ac:dyDescent="0.25">
      <c r="A20" s="276"/>
      <c r="B20" s="277"/>
      <c r="C20" s="278"/>
      <c r="D20" s="82" t="s">
        <v>53</v>
      </c>
      <c r="E20" s="83">
        <f>C19/5</f>
        <v>6.4395943055587504E-2</v>
      </c>
      <c r="F20" s="83">
        <f t="shared" si="0"/>
        <v>0.33958946059852668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76"/>
      <c r="B21" s="277"/>
      <c r="C21" s="278"/>
      <c r="D21" s="82" t="s">
        <v>55</v>
      </c>
      <c r="E21" s="83">
        <f>C19/5</f>
        <v>6.4395943055587504E-2</v>
      </c>
      <c r="F21" s="83">
        <f t="shared" si="0"/>
        <v>0.33958946059852668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76"/>
      <c r="B22" s="277"/>
      <c r="C22" s="278"/>
      <c r="D22" s="82" t="s">
        <v>57</v>
      </c>
      <c r="E22" s="83">
        <f>C19/5</f>
        <v>6.4395943055587504E-2</v>
      </c>
      <c r="F22" s="83">
        <f t="shared" si="0"/>
        <v>0.33958946059852668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9"/>
      <c r="B23" s="280"/>
      <c r="C23" s="281"/>
      <c r="D23" s="82" t="s">
        <v>61</v>
      </c>
      <c r="E23" s="83">
        <f>C19/5</f>
        <v>6.4395943055587504E-2</v>
      </c>
      <c r="F23" s="83">
        <f t="shared" si="0"/>
        <v>0.33958946059852668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63</v>
      </c>
      <c r="C24" s="282">
        <f>0.25 *0.77275131666705</f>
        <v>0.1931878291667625</v>
      </c>
      <c r="D24" s="82" t="s">
        <v>64</v>
      </c>
      <c r="E24" s="83">
        <f>C24</f>
        <v>0.1931878291667625</v>
      </c>
      <c r="F24" s="83">
        <f t="shared" si="0"/>
        <v>1.0187683817955799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73">
        <v>2</v>
      </c>
      <c r="B25" s="274" t="s">
        <v>68</v>
      </c>
      <c r="C25" s="275">
        <f>0.25 *68.7196706607483</f>
        <v>17.179917665187077</v>
      </c>
      <c r="D25" s="82" t="s">
        <v>69</v>
      </c>
      <c r="E25" s="83">
        <f>C25/10</f>
        <v>1.7179917665187077</v>
      </c>
      <c r="F25" s="83">
        <f t="shared" si="0"/>
        <v>9.0597616809678279</v>
      </c>
      <c r="G25" s="82" t="s">
        <v>70</v>
      </c>
      <c r="H25" s="93">
        <v>80</v>
      </c>
      <c r="I25" s="93" t="s">
        <v>51</v>
      </c>
      <c r="J25" s="87" t="s">
        <v>71</v>
      </c>
      <c r="K25" s="88">
        <v>80</v>
      </c>
      <c r="L25" s="88">
        <v>75</v>
      </c>
      <c r="M25" s="88">
        <v>70</v>
      </c>
      <c r="N25" s="88">
        <v>50</v>
      </c>
      <c r="O25" s="88" t="s">
        <v>72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76"/>
      <c r="B26" s="277"/>
      <c r="C26" s="278"/>
      <c r="D26" s="82" t="s">
        <v>73</v>
      </c>
      <c r="E26" s="83">
        <f>C25/10</f>
        <v>1.7179917665187077</v>
      </c>
      <c r="F26" s="83">
        <f t="shared" si="0"/>
        <v>9.0597616809678279</v>
      </c>
      <c r="G26" s="82" t="s">
        <v>74</v>
      </c>
      <c r="H26" s="93">
        <v>80</v>
      </c>
      <c r="I26" s="93" t="s">
        <v>51</v>
      </c>
      <c r="J26" s="87" t="s">
        <v>71</v>
      </c>
      <c r="K26" s="88">
        <v>80</v>
      </c>
      <c r="L26" s="88">
        <v>75</v>
      </c>
      <c r="M26" s="88">
        <v>70</v>
      </c>
      <c r="N26" s="88">
        <v>50</v>
      </c>
      <c r="O26" s="88" t="s">
        <v>72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76"/>
      <c r="B27" s="277"/>
      <c r="C27" s="278"/>
      <c r="D27" s="82" t="s">
        <v>75</v>
      </c>
      <c r="E27" s="83">
        <f>C25/10</f>
        <v>1.7179917665187077</v>
      </c>
      <c r="F27" s="83">
        <f t="shared" si="0"/>
        <v>9.0597616809678279</v>
      </c>
      <c r="G27" s="82" t="s">
        <v>76</v>
      </c>
      <c r="H27" s="94">
        <v>0.9</v>
      </c>
      <c r="I27" s="93" t="s">
        <v>51</v>
      </c>
      <c r="J27" s="87" t="s">
        <v>77</v>
      </c>
      <c r="K27" s="88">
        <v>90</v>
      </c>
      <c r="L27" s="88">
        <v>80</v>
      </c>
      <c r="M27" s="88">
        <v>70</v>
      </c>
      <c r="N27" s="88">
        <v>50</v>
      </c>
      <c r="O27" s="88" t="s">
        <v>72</v>
      </c>
      <c r="P27" s="89"/>
      <c r="Q27" s="90">
        <f t="shared" si="1"/>
        <v>0</v>
      </c>
      <c r="R27" s="91">
        <f t="shared" si="2"/>
        <v>0</v>
      </c>
    </row>
    <row r="28" spans="1:18" s="92" customFormat="1" ht="147" customHeight="1" x14ac:dyDescent="0.25">
      <c r="A28" s="276"/>
      <c r="B28" s="277"/>
      <c r="C28" s="278"/>
      <c r="D28" s="82" t="s">
        <v>78</v>
      </c>
      <c r="E28" s="83">
        <f>C25/10</f>
        <v>1.7179917665187077</v>
      </c>
      <c r="F28" s="83">
        <f t="shared" si="0"/>
        <v>9.0597616809678279</v>
      </c>
      <c r="G28" s="82" t="s">
        <v>79</v>
      </c>
      <c r="H28" s="93">
        <v>80</v>
      </c>
      <c r="I28" s="93" t="s">
        <v>51</v>
      </c>
      <c r="J28" s="87" t="s">
        <v>71</v>
      </c>
      <c r="K28" s="88">
        <v>80</v>
      </c>
      <c r="L28" s="88">
        <v>75</v>
      </c>
      <c r="M28" s="88">
        <v>70</v>
      </c>
      <c r="N28" s="88">
        <v>50</v>
      </c>
      <c r="O28" s="88" t="s">
        <v>72</v>
      </c>
      <c r="P28" s="89"/>
      <c r="Q28" s="90">
        <f t="shared" si="1"/>
        <v>0</v>
      </c>
      <c r="R28" s="91">
        <f t="shared" si="2"/>
        <v>0</v>
      </c>
    </row>
    <row r="29" spans="1:18" s="92" customFormat="1" ht="147" customHeight="1" x14ac:dyDescent="0.25">
      <c r="A29" s="276"/>
      <c r="B29" s="277"/>
      <c r="C29" s="278"/>
      <c r="D29" s="82" t="s">
        <v>80</v>
      </c>
      <c r="E29" s="83">
        <f>C25/10</f>
        <v>1.7179917665187077</v>
      </c>
      <c r="F29" s="83">
        <f t="shared" si="0"/>
        <v>9.0597616809678279</v>
      </c>
      <c r="G29" s="82" t="s">
        <v>81</v>
      </c>
      <c r="H29" s="94">
        <v>0.9</v>
      </c>
      <c r="I29" s="93" t="s">
        <v>51</v>
      </c>
      <c r="J29" s="87" t="s">
        <v>77</v>
      </c>
      <c r="K29" s="88">
        <v>90</v>
      </c>
      <c r="L29" s="88">
        <v>80</v>
      </c>
      <c r="M29" s="88">
        <v>70</v>
      </c>
      <c r="N29" s="88">
        <v>50</v>
      </c>
      <c r="O29" s="88" t="s">
        <v>72</v>
      </c>
      <c r="P29" s="89"/>
      <c r="Q29" s="90">
        <f t="shared" si="1"/>
        <v>0</v>
      </c>
      <c r="R29" s="91">
        <f t="shared" si="2"/>
        <v>0</v>
      </c>
    </row>
    <row r="30" spans="1:18" s="92" customFormat="1" ht="147" customHeight="1" x14ac:dyDescent="0.25">
      <c r="A30" s="276"/>
      <c r="B30" s="277"/>
      <c r="C30" s="278"/>
      <c r="D30" s="82" t="s">
        <v>82</v>
      </c>
      <c r="E30" s="83">
        <f>C25/10</f>
        <v>1.7179917665187077</v>
      </c>
      <c r="F30" s="83">
        <f t="shared" si="0"/>
        <v>9.0597616809678279</v>
      </c>
      <c r="G30" s="82" t="s">
        <v>83</v>
      </c>
      <c r="H30" s="94">
        <v>0.8</v>
      </c>
      <c r="I30" s="93" t="s">
        <v>51</v>
      </c>
      <c r="J30" s="87" t="s">
        <v>71</v>
      </c>
      <c r="K30" s="88">
        <v>80</v>
      </c>
      <c r="L30" s="88">
        <v>75</v>
      </c>
      <c r="M30" s="88">
        <v>70</v>
      </c>
      <c r="N30" s="88">
        <v>50</v>
      </c>
      <c r="O30" s="88" t="s">
        <v>72</v>
      </c>
      <c r="P30" s="89"/>
      <c r="Q30" s="90">
        <f t="shared" si="1"/>
        <v>0</v>
      </c>
      <c r="R30" s="91">
        <f t="shared" si="2"/>
        <v>0</v>
      </c>
    </row>
    <row r="31" spans="1:18" s="92" customFormat="1" ht="147" customHeight="1" x14ac:dyDescent="0.25">
      <c r="A31" s="276"/>
      <c r="B31" s="277"/>
      <c r="C31" s="278"/>
      <c r="D31" s="82" t="s">
        <v>84</v>
      </c>
      <c r="E31" s="83">
        <f>C25/10</f>
        <v>1.7179917665187077</v>
      </c>
      <c r="F31" s="83">
        <f t="shared" si="0"/>
        <v>9.0597616809678279</v>
      </c>
      <c r="G31" s="82" t="s">
        <v>85</v>
      </c>
      <c r="H31" s="94">
        <v>0.9</v>
      </c>
      <c r="I31" s="93" t="s">
        <v>51</v>
      </c>
      <c r="J31" s="87" t="s">
        <v>77</v>
      </c>
      <c r="K31" s="88">
        <v>90</v>
      </c>
      <c r="L31" s="88">
        <v>80</v>
      </c>
      <c r="M31" s="88">
        <v>70</v>
      </c>
      <c r="N31" s="88">
        <v>50</v>
      </c>
      <c r="O31" s="88" t="s">
        <v>72</v>
      </c>
      <c r="P31" s="89"/>
      <c r="Q31" s="90">
        <f t="shared" si="1"/>
        <v>0</v>
      </c>
      <c r="R31" s="91">
        <f t="shared" si="2"/>
        <v>0</v>
      </c>
    </row>
    <row r="32" spans="1:18" s="92" customFormat="1" ht="147" customHeight="1" x14ac:dyDescent="0.25">
      <c r="A32" s="276"/>
      <c r="B32" s="277"/>
      <c r="C32" s="278"/>
      <c r="D32" s="82" t="s">
        <v>86</v>
      </c>
      <c r="E32" s="83">
        <f>C25/10</f>
        <v>1.7179917665187077</v>
      </c>
      <c r="F32" s="83">
        <f t="shared" si="0"/>
        <v>9.0597616809678279</v>
      </c>
      <c r="G32" s="82" t="s">
        <v>87</v>
      </c>
      <c r="H32" s="94">
        <v>0.8</v>
      </c>
      <c r="I32" s="93" t="s">
        <v>51</v>
      </c>
      <c r="J32" s="87" t="s">
        <v>71</v>
      </c>
      <c r="K32" s="88">
        <v>80</v>
      </c>
      <c r="L32" s="88">
        <v>75</v>
      </c>
      <c r="M32" s="88">
        <v>70</v>
      </c>
      <c r="N32" s="88">
        <v>50</v>
      </c>
      <c r="O32" s="88" t="s">
        <v>72</v>
      </c>
      <c r="P32" s="89"/>
      <c r="Q32" s="90">
        <f t="shared" si="1"/>
        <v>0</v>
      </c>
      <c r="R32" s="91">
        <f t="shared" si="2"/>
        <v>0</v>
      </c>
    </row>
    <row r="33" spans="1:18" s="92" customFormat="1" ht="147" customHeight="1" x14ac:dyDescent="0.25">
      <c r="A33" s="276"/>
      <c r="B33" s="277"/>
      <c r="C33" s="278"/>
      <c r="D33" s="82" t="s">
        <v>88</v>
      </c>
      <c r="E33" s="83">
        <f>C25/10</f>
        <v>1.7179917665187077</v>
      </c>
      <c r="F33" s="83">
        <f t="shared" si="0"/>
        <v>9.0597616809678279</v>
      </c>
      <c r="G33" s="82" t="s">
        <v>89</v>
      </c>
      <c r="H33" s="94">
        <v>0.8</v>
      </c>
      <c r="I33" s="93" t="s">
        <v>51</v>
      </c>
      <c r="J33" s="87" t="s">
        <v>71</v>
      </c>
      <c r="K33" s="88">
        <v>80</v>
      </c>
      <c r="L33" s="88">
        <v>75</v>
      </c>
      <c r="M33" s="88">
        <v>70</v>
      </c>
      <c r="N33" s="88">
        <v>50</v>
      </c>
      <c r="O33" s="88" t="s">
        <v>72</v>
      </c>
      <c r="P33" s="89"/>
      <c r="Q33" s="90">
        <f t="shared" si="1"/>
        <v>0</v>
      </c>
      <c r="R33" s="91">
        <f t="shared" si="2"/>
        <v>0</v>
      </c>
    </row>
    <row r="34" spans="1:18" s="92" customFormat="1" ht="147" customHeight="1" x14ac:dyDescent="0.25">
      <c r="A34" s="279"/>
      <c r="B34" s="280"/>
      <c r="C34" s="281"/>
      <c r="D34" s="82" t="s">
        <v>90</v>
      </c>
      <c r="E34" s="83">
        <f>C25/10</f>
        <v>1.7179917665187077</v>
      </c>
      <c r="F34" s="83">
        <f t="shared" si="0"/>
        <v>9.0597616809678279</v>
      </c>
      <c r="G34" s="82" t="s">
        <v>91</v>
      </c>
      <c r="H34" s="94">
        <v>0.9</v>
      </c>
      <c r="I34" s="93" t="s">
        <v>51</v>
      </c>
      <c r="J34" s="87" t="s">
        <v>77</v>
      </c>
      <c r="K34" s="88">
        <v>90</v>
      </c>
      <c r="L34" s="88">
        <v>80</v>
      </c>
      <c r="M34" s="88">
        <v>70</v>
      </c>
      <c r="N34" s="88">
        <v>50</v>
      </c>
      <c r="O34" s="88" t="s">
        <v>72</v>
      </c>
      <c r="P34" s="89"/>
      <c r="Q34" s="90">
        <f t="shared" si="1"/>
        <v>0</v>
      </c>
      <c r="R34" s="91">
        <f t="shared" si="2"/>
        <v>0</v>
      </c>
    </row>
    <row r="35" spans="1:18" s="92" customFormat="1" ht="147" customHeight="1" x14ac:dyDescent="0.25">
      <c r="A35" s="81">
        <v>5</v>
      </c>
      <c r="B35" s="82" t="s">
        <v>92</v>
      </c>
      <c r="C35" s="95">
        <f>0.25 *1.20742393229227</f>
        <v>0.30185598307306749</v>
      </c>
      <c r="D35" s="82" t="s">
        <v>93</v>
      </c>
      <c r="E35" s="83">
        <f>C35</f>
        <v>0.30185598307306749</v>
      </c>
      <c r="F35" s="83">
        <f t="shared" si="0"/>
        <v>1.5918255965555992</v>
      </c>
      <c r="G35" s="84" t="s">
        <v>94</v>
      </c>
      <c r="H35" s="93">
        <v>5</v>
      </c>
      <c r="I35" s="86" t="s">
        <v>59</v>
      </c>
      <c r="J35" s="87" t="s">
        <v>60</v>
      </c>
      <c r="K35" s="88">
        <v>5</v>
      </c>
      <c r="L35" s="88">
        <v>4</v>
      </c>
      <c r="M35" s="88">
        <v>3</v>
      </c>
      <c r="N35" s="88">
        <v>2</v>
      </c>
      <c r="O35" s="88">
        <v>1</v>
      </c>
      <c r="P35" s="89"/>
      <c r="Q35" s="90">
        <f t="shared" si="1"/>
        <v>0</v>
      </c>
      <c r="R35" s="91">
        <f t="shared" si="2"/>
        <v>0</v>
      </c>
    </row>
    <row r="36" spans="1:18" s="92" customFormat="1" ht="147" customHeight="1" x14ac:dyDescent="0.25">
      <c r="A36" s="273">
        <v>7</v>
      </c>
      <c r="B36" s="274" t="s">
        <v>95</v>
      </c>
      <c r="C36" s="283">
        <f>0.25 *2.41484786458453</f>
        <v>0.60371196614613254</v>
      </c>
      <c r="D36" s="82" t="s">
        <v>96</v>
      </c>
      <c r="E36" s="83">
        <f>C36/2</f>
        <v>0.30185598307306627</v>
      </c>
      <c r="F36" s="83">
        <f t="shared" si="0"/>
        <v>1.591825596555593</v>
      </c>
      <c r="G36" s="84" t="s">
        <v>97</v>
      </c>
      <c r="H36" s="93">
        <v>5</v>
      </c>
      <c r="I36" s="93" t="s">
        <v>59</v>
      </c>
      <c r="J36" s="87" t="s">
        <v>60</v>
      </c>
      <c r="K36" s="88">
        <v>5</v>
      </c>
      <c r="L36" s="88">
        <v>4</v>
      </c>
      <c r="M36" s="88">
        <v>3</v>
      </c>
      <c r="N36" s="88">
        <v>2</v>
      </c>
      <c r="O36" s="88">
        <v>1</v>
      </c>
      <c r="P36" s="89"/>
      <c r="Q36" s="90">
        <f t="shared" si="1"/>
        <v>0</v>
      </c>
      <c r="R36" s="91">
        <f t="shared" si="2"/>
        <v>0</v>
      </c>
    </row>
    <row r="37" spans="1:18" s="92" customFormat="1" ht="147" customHeight="1" x14ac:dyDescent="0.25">
      <c r="A37" s="279"/>
      <c r="B37" s="280"/>
      <c r="C37" s="284"/>
      <c r="D37" s="82" t="s">
        <v>98</v>
      </c>
      <c r="E37" s="83">
        <f>C36/2</f>
        <v>0.30185598307306627</v>
      </c>
      <c r="F37" s="83">
        <f t="shared" si="0"/>
        <v>1.591825596555593</v>
      </c>
      <c r="G37" s="84" t="s">
        <v>99</v>
      </c>
      <c r="H37" s="94">
        <v>0.8</v>
      </c>
      <c r="I37" s="93" t="s">
        <v>51</v>
      </c>
      <c r="J37" s="87" t="s">
        <v>71</v>
      </c>
      <c r="K37" s="88">
        <v>80</v>
      </c>
      <c r="L37" s="88">
        <v>75</v>
      </c>
      <c r="M37" s="88">
        <v>70</v>
      </c>
      <c r="N37" s="88">
        <v>50</v>
      </c>
      <c r="O37" s="88" t="s">
        <v>72</v>
      </c>
      <c r="P37" s="89"/>
      <c r="Q37" s="90">
        <f t="shared" si="1"/>
        <v>0</v>
      </c>
      <c r="R37" s="91">
        <f t="shared" si="2"/>
        <v>0</v>
      </c>
    </row>
    <row r="38" spans="1:18" s="92" customFormat="1" ht="147" customHeight="1" x14ac:dyDescent="0.25">
      <c r="A38" s="273">
        <v>8</v>
      </c>
      <c r="B38" s="274" t="s">
        <v>100</v>
      </c>
      <c r="C38" s="283">
        <f>0.25 *0.804949288194844</f>
        <v>0.201237322048711</v>
      </c>
      <c r="D38" s="82" t="s">
        <v>101</v>
      </c>
      <c r="E38" s="83">
        <f>C38/2</f>
        <v>0.1006186610243555</v>
      </c>
      <c r="F38" s="83">
        <f t="shared" si="0"/>
        <v>0.53060853218519799</v>
      </c>
      <c r="G38" s="84" t="s">
        <v>102</v>
      </c>
      <c r="H38" s="93">
        <v>5</v>
      </c>
      <c r="I38" s="93" t="s">
        <v>59</v>
      </c>
      <c r="J38" s="87" t="s">
        <v>60</v>
      </c>
      <c r="K38" s="88">
        <v>5</v>
      </c>
      <c r="L38" s="88">
        <v>4</v>
      </c>
      <c r="M38" s="88">
        <v>3</v>
      </c>
      <c r="N38" s="88">
        <v>2</v>
      </c>
      <c r="O38" s="88">
        <v>1</v>
      </c>
      <c r="P38" s="89"/>
      <c r="Q38" s="90">
        <f t="shared" si="1"/>
        <v>0</v>
      </c>
      <c r="R38" s="91">
        <f t="shared" si="2"/>
        <v>0</v>
      </c>
    </row>
    <row r="39" spans="1:18" s="92" customFormat="1" ht="147" customHeight="1" x14ac:dyDescent="0.25">
      <c r="A39" s="279"/>
      <c r="B39" s="280"/>
      <c r="C39" s="284"/>
      <c r="D39" s="82" t="s">
        <v>103</v>
      </c>
      <c r="E39" s="83">
        <f>C38/2</f>
        <v>0.1006186610243555</v>
      </c>
      <c r="F39" s="83">
        <f t="shared" si="0"/>
        <v>0.53060853218519799</v>
      </c>
      <c r="G39" s="84" t="s">
        <v>104</v>
      </c>
      <c r="H39" s="94">
        <v>0.8</v>
      </c>
      <c r="I39" s="93" t="s">
        <v>51</v>
      </c>
      <c r="J39" s="87" t="s">
        <v>71</v>
      </c>
      <c r="K39" s="88">
        <v>80</v>
      </c>
      <c r="L39" s="88">
        <v>75</v>
      </c>
      <c r="M39" s="88">
        <v>70</v>
      </c>
      <c r="N39" s="88">
        <v>50</v>
      </c>
      <c r="O39" s="88" t="s">
        <v>72</v>
      </c>
      <c r="P39" s="89"/>
      <c r="Q39" s="90">
        <f t="shared" ref="Q39:Q40" si="3">IF(OR(TRIM(P39)="",P39=0),0,
IF(P39&lt;N39,50,
IF(P39&lt;M39,60,
IF(P39&lt;L39,70,
IF(P39&lt;K39,80,
IF(ISNUMBER(J39),
    IF(P39&lt;J39,IF(P39&gt;=K39,90,80),100),
    IF(P39=K39,90,100)
))))))</f>
        <v>0</v>
      </c>
      <c r="R39" s="91">
        <f t="shared" ref="R39:R40" si="4">F39*Q39/100</f>
        <v>0</v>
      </c>
    </row>
    <row r="40" spans="1:18" s="92" customFormat="1" ht="147" customHeight="1" x14ac:dyDescent="0.25">
      <c r="A40" s="81">
        <v>10</v>
      </c>
      <c r="B40" s="82" t="s">
        <v>105</v>
      </c>
      <c r="C40" s="95">
        <f>0.25 *0.321979715277938</f>
        <v>8.0494928819484501E-2</v>
      </c>
      <c r="D40" s="285" t="s">
        <v>106</v>
      </c>
      <c r="E40" s="83">
        <f>C40</f>
        <v>8.0494928819484501E-2</v>
      </c>
      <c r="F40" s="83">
        <f t="shared" si="0"/>
        <v>0.42448682574815894</v>
      </c>
      <c r="G40" s="84" t="s">
        <v>107</v>
      </c>
      <c r="H40" s="85">
        <v>0.7</v>
      </c>
      <c r="I40" s="93" t="s">
        <v>51</v>
      </c>
      <c r="J40" s="87" t="s">
        <v>108</v>
      </c>
      <c r="K40" s="88">
        <v>70</v>
      </c>
      <c r="L40" s="88">
        <v>60</v>
      </c>
      <c r="M40" s="88">
        <v>50</v>
      </c>
      <c r="N40" s="88">
        <v>40</v>
      </c>
      <c r="O40" s="88" t="s">
        <v>109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81"/>
      <c r="B41" s="82" t="s">
        <v>110</v>
      </c>
      <c r="C41" s="95">
        <f>0.25 *0.321979715277938</f>
        <v>8.0494928819484501E-2</v>
      </c>
      <c r="D41" s="84" t="s">
        <v>111</v>
      </c>
      <c r="E41" s="83">
        <f>C41</f>
        <v>8.0494928819484501E-2</v>
      </c>
      <c r="F41" s="83">
        <f t="shared" si="0"/>
        <v>0.42448682574815894</v>
      </c>
      <c r="G41" s="84" t="s">
        <v>112</v>
      </c>
      <c r="H41" s="85">
        <v>0.5</v>
      </c>
      <c r="I41" s="86" t="s">
        <v>51</v>
      </c>
      <c r="J41" s="87" t="s">
        <v>66</v>
      </c>
      <c r="K41" s="88">
        <v>50</v>
      </c>
      <c r="L41" s="88">
        <v>45</v>
      </c>
      <c r="M41" s="88">
        <v>40</v>
      </c>
      <c r="N41" s="88">
        <v>25</v>
      </c>
      <c r="O41" s="88" t="s">
        <v>67</v>
      </c>
      <c r="P41" s="89">
        <v>0</v>
      </c>
      <c r="Q41" s="90">
        <f t="shared" si="1"/>
        <v>0</v>
      </c>
      <c r="R41" s="91">
        <f t="shared" si="2"/>
        <v>0</v>
      </c>
    </row>
    <row r="42" spans="1:18" s="106" customFormat="1" ht="44.25" x14ac:dyDescent="0.25">
      <c r="A42" s="96"/>
      <c r="B42" s="97" t="s">
        <v>113</v>
      </c>
      <c r="C42" s="98">
        <f>SUM(C19:C41)</f>
        <v>18.962880338538657</v>
      </c>
      <c r="D42" s="97"/>
      <c r="E42" s="98">
        <f>SUM(E19:E41)</f>
        <v>18.96288033853866</v>
      </c>
      <c r="F42" s="98">
        <f>SUM(F19:F41)</f>
        <v>99.999999999999972</v>
      </c>
      <c r="G42" s="99"/>
      <c r="H42" s="100"/>
      <c r="I42" s="101"/>
      <c r="J42" s="102"/>
      <c r="K42" s="102"/>
      <c r="L42" s="102"/>
      <c r="M42" s="102"/>
      <c r="N42" s="102"/>
      <c r="O42" s="102"/>
      <c r="P42" s="103"/>
      <c r="Q42" s="104"/>
      <c r="R42" s="105">
        <f>SUM(R19:R41)</f>
        <v>0</v>
      </c>
    </row>
    <row r="43" spans="1:18" s="108" customFormat="1" ht="66" customHeight="1" x14ac:dyDescent="0.7">
      <c r="A43" s="107"/>
      <c r="G43" s="109"/>
      <c r="H43" s="109"/>
      <c r="I43" s="110" t="s">
        <v>163</v>
      </c>
      <c r="J43" s="111"/>
      <c r="K43" s="111"/>
      <c r="L43" s="111"/>
      <c r="M43" s="111"/>
      <c r="N43" s="111"/>
      <c r="O43" s="111"/>
      <c r="P43" s="111"/>
      <c r="Q43" s="112"/>
      <c r="R43" s="113">
        <f>R42/100 * 70</f>
        <v>0</v>
      </c>
    </row>
    <row r="44" spans="1:18" s="122" customFormat="1" ht="36" x14ac:dyDescent="0.55000000000000004">
      <c r="A44" s="114" t="s">
        <v>114</v>
      </c>
      <c r="B44" s="115"/>
      <c r="C44" s="115"/>
      <c r="D44" s="115"/>
      <c r="E44" s="115"/>
      <c r="F44" s="115"/>
      <c r="G44" s="116"/>
      <c r="H44" s="117"/>
      <c r="I44" s="117"/>
      <c r="J44" s="117"/>
      <c r="K44" s="117"/>
      <c r="L44" s="71" t="s">
        <v>119</v>
      </c>
      <c r="M44" s="118" t="s">
        <v>115</v>
      </c>
      <c r="N44" s="118"/>
      <c r="O44" s="118"/>
      <c r="P44" s="119"/>
      <c r="Q44" s="120"/>
      <c r="R44" s="121"/>
    </row>
    <row r="45" spans="1:18" s="122" customFormat="1" ht="31.5" customHeight="1" x14ac:dyDescent="0.55000000000000004">
      <c r="A45" s="123"/>
      <c r="B45" s="124"/>
      <c r="C45" s="125" t="s">
        <v>116</v>
      </c>
      <c r="D45" s="125"/>
      <c r="E45" s="125"/>
      <c r="F45" s="125"/>
      <c r="G45" s="125"/>
      <c r="H45" s="126" t="s">
        <v>164</v>
      </c>
      <c r="I45" s="126" t="s">
        <v>165</v>
      </c>
      <c r="J45" s="126"/>
      <c r="K45" s="127"/>
      <c r="L45" s="79"/>
      <c r="M45" s="128"/>
      <c r="N45" s="128"/>
      <c r="O45" s="128"/>
      <c r="P45" s="129"/>
      <c r="Q45" s="120"/>
      <c r="R45" s="121"/>
    </row>
    <row r="46" spans="1:18" s="122" customFormat="1" ht="36" customHeight="1" x14ac:dyDescent="0.55000000000000004">
      <c r="A46" s="130">
        <v>1</v>
      </c>
      <c r="B46" s="131" t="s">
        <v>120</v>
      </c>
      <c r="C46" s="132"/>
      <c r="D46" s="133"/>
      <c r="E46" s="133"/>
      <c r="F46" s="133"/>
      <c r="G46" s="134"/>
      <c r="H46" s="135"/>
      <c r="I46" s="135"/>
      <c r="J46" s="135"/>
      <c r="K46" s="135"/>
      <c r="L46" s="136"/>
      <c r="M46" s="137" t="s">
        <v>42</v>
      </c>
      <c r="N46" s="138" t="s">
        <v>121</v>
      </c>
      <c r="O46" s="139"/>
      <c r="P46" s="129"/>
      <c r="Q46" s="120"/>
      <c r="R46" s="121"/>
    </row>
    <row r="47" spans="1:18" s="122" customFormat="1" ht="84.75" customHeight="1" x14ac:dyDescent="0.55000000000000004">
      <c r="A47" s="140" t="s">
        <v>122</v>
      </c>
      <c r="B47" s="141" t="s">
        <v>166</v>
      </c>
      <c r="C47" s="142"/>
      <c r="D47" s="143"/>
      <c r="E47" s="143"/>
      <c r="F47" s="143"/>
      <c r="G47" s="144"/>
      <c r="H47" s="145">
        <v>4</v>
      </c>
      <c r="I47" s="146"/>
      <c r="J47" s="145"/>
      <c r="K47" s="145"/>
      <c r="L47" s="136"/>
      <c r="M47" s="137" t="s">
        <v>43</v>
      </c>
      <c r="N47" s="138" t="s">
        <v>123</v>
      </c>
      <c r="O47" s="139"/>
      <c r="P47" s="129"/>
      <c r="Q47" s="120"/>
      <c r="R47" s="121"/>
    </row>
    <row r="48" spans="1:18" s="122" customFormat="1" ht="82.5" customHeight="1" x14ac:dyDescent="0.55000000000000004">
      <c r="A48" s="140" t="s">
        <v>124</v>
      </c>
      <c r="B48" s="141" t="s">
        <v>167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44</v>
      </c>
      <c r="N48" s="138" t="s">
        <v>125</v>
      </c>
      <c r="O48" s="139"/>
      <c r="P48" s="129"/>
      <c r="Q48" s="120"/>
      <c r="R48" s="121"/>
    </row>
    <row r="49" spans="1:18" s="122" customFormat="1" ht="78.75" customHeight="1" x14ac:dyDescent="0.55000000000000004">
      <c r="A49" s="140" t="s">
        <v>126</v>
      </c>
      <c r="B49" s="141" t="s">
        <v>127</v>
      </c>
      <c r="C49" s="142"/>
      <c r="D49" s="143"/>
      <c r="E49" s="143"/>
      <c r="F49" s="143"/>
      <c r="G49" s="144"/>
      <c r="H49" s="145">
        <v>2</v>
      </c>
      <c r="I49" s="146"/>
      <c r="J49" s="145"/>
      <c r="K49" s="145"/>
      <c r="L49" s="136"/>
      <c r="M49" s="137" t="s">
        <v>45</v>
      </c>
      <c r="N49" s="138" t="s">
        <v>128</v>
      </c>
      <c r="O49" s="139"/>
      <c r="P49" s="129"/>
      <c r="Q49" s="120"/>
      <c r="R49" s="121"/>
    </row>
    <row r="50" spans="1:18" s="122" customFormat="1" ht="36" x14ac:dyDescent="0.55000000000000004">
      <c r="A50" s="147">
        <v>2</v>
      </c>
      <c r="B50" s="148" t="s">
        <v>129</v>
      </c>
      <c r="C50" s="149"/>
      <c r="D50" s="150"/>
      <c r="E50" s="150"/>
      <c r="F50" s="150"/>
      <c r="G50" s="151"/>
      <c r="H50" s="145"/>
      <c r="I50" s="146"/>
      <c r="J50" s="145"/>
      <c r="K50" s="145"/>
      <c r="L50" s="136"/>
      <c r="M50" s="137" t="s">
        <v>46</v>
      </c>
      <c r="N50" s="138" t="s">
        <v>130</v>
      </c>
      <c r="O50" s="139"/>
      <c r="P50" s="129"/>
      <c r="Q50" s="120"/>
      <c r="R50" s="121"/>
    </row>
    <row r="51" spans="1:18" s="122" customFormat="1" ht="82.5" customHeight="1" x14ac:dyDescent="0.55000000000000004">
      <c r="A51" s="140" t="s">
        <v>122</v>
      </c>
      <c r="B51" s="152" t="s">
        <v>168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37" t="s">
        <v>47</v>
      </c>
      <c r="N51" s="138" t="s">
        <v>131</v>
      </c>
      <c r="O51" s="139"/>
      <c r="P51" s="156"/>
      <c r="Q51" s="120"/>
      <c r="R51" s="121"/>
    </row>
    <row r="52" spans="1:18" s="122" customFormat="1" ht="114.75" customHeight="1" x14ac:dyDescent="0.55000000000000004">
      <c r="A52" s="140" t="s">
        <v>124</v>
      </c>
      <c r="B52" s="152" t="s">
        <v>169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119</v>
      </c>
      <c r="N52" s="157" t="s">
        <v>132</v>
      </c>
      <c r="O52" s="158"/>
      <c r="P52" s="156"/>
      <c r="Q52" s="120"/>
      <c r="R52" s="121"/>
    </row>
    <row r="53" spans="1:18" s="122" customFormat="1" ht="72" customHeight="1" x14ac:dyDescent="0.55000000000000004">
      <c r="A53" s="140" t="s">
        <v>126</v>
      </c>
      <c r="B53" s="152" t="s">
        <v>170</v>
      </c>
      <c r="C53" s="153"/>
      <c r="D53" s="154"/>
      <c r="E53" s="154"/>
      <c r="F53" s="154"/>
      <c r="G53" s="155"/>
      <c r="H53" s="145">
        <v>2</v>
      </c>
      <c r="I53" s="146"/>
      <c r="J53" s="145"/>
      <c r="K53" s="145"/>
      <c r="L53" s="136"/>
      <c r="M53" s="129" t="s">
        <v>133</v>
      </c>
      <c r="N53" s="157" t="s">
        <v>134</v>
      </c>
      <c r="O53" s="158"/>
      <c r="P53" s="156"/>
      <c r="Q53" s="120"/>
      <c r="R53" s="121"/>
    </row>
    <row r="54" spans="1:18" s="122" customFormat="1" ht="66" customHeight="1" x14ac:dyDescent="0.55000000000000004">
      <c r="A54" s="147">
        <v>3</v>
      </c>
      <c r="B54" s="148" t="s">
        <v>135</v>
      </c>
      <c r="C54" s="149"/>
      <c r="D54" s="150"/>
      <c r="E54" s="150"/>
      <c r="F54" s="150"/>
      <c r="G54" s="151"/>
      <c r="H54" s="145"/>
      <c r="I54" s="146"/>
      <c r="J54" s="145"/>
      <c r="K54" s="145"/>
      <c r="L54" s="136"/>
      <c r="M54" s="129" t="s">
        <v>117</v>
      </c>
      <c r="N54" s="157" t="s">
        <v>136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122</v>
      </c>
      <c r="B55" s="152" t="s">
        <v>137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118</v>
      </c>
      <c r="N55" s="157" t="s">
        <v>138</v>
      </c>
      <c r="O55" s="158"/>
      <c r="P55" s="156"/>
      <c r="Q55" s="120"/>
      <c r="R55" s="121"/>
    </row>
    <row r="56" spans="1:18" s="122" customFormat="1" ht="72" customHeight="1" x14ac:dyDescent="0.55000000000000004">
      <c r="A56" s="140" t="s">
        <v>124</v>
      </c>
      <c r="B56" s="152" t="s">
        <v>171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29" t="s">
        <v>139</v>
      </c>
      <c r="N56" s="157" t="s">
        <v>140</v>
      </c>
      <c r="O56" s="158"/>
      <c r="P56" s="156"/>
      <c r="Q56" s="120"/>
      <c r="R56" s="121"/>
    </row>
    <row r="57" spans="1:18" s="122" customFormat="1" ht="44.25" customHeight="1" x14ac:dyDescent="0.55000000000000004">
      <c r="A57" s="140" t="s">
        <v>126</v>
      </c>
      <c r="B57" s="152" t="s">
        <v>172</v>
      </c>
      <c r="C57" s="159"/>
      <c r="D57" s="160"/>
      <c r="E57" s="160"/>
      <c r="F57" s="160"/>
      <c r="G57" s="161"/>
      <c r="H57" s="145">
        <v>2</v>
      </c>
      <c r="I57" s="146"/>
      <c r="J57" s="145"/>
      <c r="K57" s="145"/>
      <c r="L57" s="136"/>
      <c r="M57" s="162"/>
      <c r="N57" s="162"/>
      <c r="O57" s="162"/>
      <c r="P57" s="163"/>
      <c r="Q57" s="120"/>
      <c r="R57" s="121"/>
    </row>
    <row r="58" spans="1:18" s="122" customFormat="1" ht="31.5" customHeight="1" x14ac:dyDescent="0.55000000000000004">
      <c r="A58" s="164" t="s">
        <v>141</v>
      </c>
      <c r="B58" s="165"/>
      <c r="C58" s="165"/>
      <c r="D58" s="165"/>
      <c r="E58" s="165"/>
      <c r="F58" s="165"/>
      <c r="G58" s="165"/>
      <c r="H58" s="166">
        <f>SUM(H47:H57)</f>
        <v>20</v>
      </c>
      <c r="I58" s="166">
        <f>SUM(I47:I57)</f>
        <v>0</v>
      </c>
      <c r="J58" s="166"/>
      <c r="K58" s="167"/>
      <c r="L58" s="136"/>
      <c r="M58" s="162"/>
      <c r="N58" s="162"/>
      <c r="O58" s="162"/>
      <c r="P58" s="163"/>
      <c r="Q58" s="120"/>
      <c r="R58" s="121"/>
    </row>
    <row r="59" spans="1:18" s="122" customFormat="1" ht="36" customHeight="1" x14ac:dyDescent="0.55000000000000004">
      <c r="A59" s="168" t="s">
        <v>122</v>
      </c>
      <c r="B59" s="169" t="s">
        <v>142</v>
      </c>
      <c r="C59" s="153" t="s">
        <v>143</v>
      </c>
      <c r="D59" s="154"/>
      <c r="E59" s="154"/>
      <c r="F59" s="154"/>
      <c r="G59" s="155"/>
      <c r="H59" s="170">
        <v>4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129" customHeight="1" x14ac:dyDescent="0.55000000000000004">
      <c r="A60" s="168" t="s">
        <v>124</v>
      </c>
      <c r="B60" s="169" t="s">
        <v>144</v>
      </c>
      <c r="C60" s="153" t="s">
        <v>145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69" customHeight="1" x14ac:dyDescent="0.55000000000000004">
      <c r="A61" s="168" t="s">
        <v>124</v>
      </c>
      <c r="B61" s="169" t="s">
        <v>146</v>
      </c>
      <c r="C61" s="153" t="s">
        <v>147</v>
      </c>
      <c r="D61" s="154"/>
      <c r="E61" s="154"/>
      <c r="F61" s="154"/>
      <c r="G61" s="155"/>
      <c r="H61" s="170">
        <v>3</v>
      </c>
      <c r="I61" s="171"/>
      <c r="J61" s="170"/>
      <c r="K61" s="172"/>
      <c r="L61" s="136"/>
      <c r="M61" s="162"/>
      <c r="N61" s="162"/>
      <c r="O61" s="162"/>
      <c r="P61" s="163"/>
      <c r="Q61" s="120"/>
      <c r="R61" s="121"/>
    </row>
    <row r="62" spans="1:18" s="122" customFormat="1" ht="46.5" customHeight="1" x14ac:dyDescent="0.55000000000000004">
      <c r="A62" s="173"/>
      <c r="B62" s="174" t="s">
        <v>148</v>
      </c>
      <c r="C62" s="174"/>
      <c r="D62" s="174"/>
      <c r="E62" s="175"/>
      <c r="F62" s="175"/>
      <c r="G62" s="175"/>
      <c r="H62" s="166">
        <f>SUM(H59:H61)</f>
        <v>10</v>
      </c>
      <c r="I62" s="166">
        <f>SUM(I59:I61)</f>
        <v>0</v>
      </c>
      <c r="J62" s="175"/>
      <c r="K62" s="176"/>
      <c r="L62" s="162"/>
      <c r="M62" s="162"/>
      <c r="N62" s="162"/>
      <c r="O62" s="162"/>
      <c r="P62" s="163"/>
      <c r="Q62" s="120"/>
      <c r="R62" s="121"/>
    </row>
    <row r="63" spans="1:18" s="184" customFormat="1" ht="45" customHeight="1" x14ac:dyDescent="0.7">
      <c r="A63" s="177"/>
      <c r="B63" s="178"/>
      <c r="C63" s="179"/>
      <c r="D63" s="179"/>
      <c r="E63" s="179"/>
      <c r="F63" s="180"/>
      <c r="G63" s="180"/>
      <c r="H63" s="180"/>
      <c r="I63" s="180"/>
      <c r="J63" s="180"/>
      <c r="K63" s="179"/>
      <c r="L63" s="179"/>
      <c r="M63" s="179"/>
      <c r="N63" s="179"/>
      <c r="O63" s="181" t="s">
        <v>173</v>
      </c>
      <c r="P63" s="182"/>
      <c r="Q63" s="181" t="s">
        <v>174</v>
      </c>
      <c r="R63" s="183"/>
    </row>
    <row r="64" spans="1:18" s="184" customFormat="1" ht="45" customHeight="1" x14ac:dyDescent="0.7">
      <c r="A64" s="177"/>
      <c r="B64" s="185"/>
      <c r="C64" s="186" t="s">
        <v>175</v>
      </c>
      <c r="D64" s="187"/>
      <c r="E64" s="187"/>
      <c r="F64" s="187"/>
      <c r="G64" s="187"/>
      <c r="H64" s="187"/>
      <c r="I64" s="187"/>
      <c r="J64" s="187"/>
      <c r="K64" s="188"/>
      <c r="L64" s="189"/>
      <c r="M64" s="190"/>
      <c r="N64" s="191"/>
      <c r="O64" s="192">
        <f>R43</f>
        <v>0</v>
      </c>
      <c r="P64" s="193"/>
      <c r="Q64" s="194">
        <f>O67/100 * 20</f>
        <v>0</v>
      </c>
      <c r="R64" s="195"/>
    </row>
    <row r="65" spans="1:18" s="184" customFormat="1" ht="45" customHeight="1" x14ac:dyDescent="0.7">
      <c r="A65" s="177"/>
      <c r="B65" s="185"/>
      <c r="C65" s="187" t="s">
        <v>176</v>
      </c>
      <c r="D65" s="187"/>
      <c r="E65" s="187"/>
      <c r="F65" s="187"/>
      <c r="G65" s="187"/>
      <c r="H65" s="187"/>
      <c r="I65" s="187"/>
      <c r="J65" s="187"/>
      <c r="K65" s="187"/>
      <c r="L65" s="190"/>
      <c r="M65" s="190"/>
      <c r="N65" s="191"/>
      <c r="O65" s="192">
        <f>I58</f>
        <v>0</v>
      </c>
      <c r="P65" s="193"/>
      <c r="Q65" s="196"/>
      <c r="R65" s="197"/>
    </row>
    <row r="66" spans="1:18" s="184" customFormat="1" ht="45" customHeight="1" x14ac:dyDescent="0.7">
      <c r="A66" s="177"/>
      <c r="B66" s="185"/>
      <c r="C66" s="186" t="s">
        <v>177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I62</f>
        <v>0</v>
      </c>
      <c r="P66" s="193"/>
      <c r="Q66" s="196"/>
      <c r="R66" s="197"/>
    </row>
    <row r="67" spans="1:18" s="184" customFormat="1" ht="45" customHeight="1" x14ac:dyDescent="0.7">
      <c r="A67" s="177"/>
      <c r="B67" s="198"/>
      <c r="C67" s="186" t="s">
        <v>178</v>
      </c>
      <c r="D67" s="187"/>
      <c r="E67" s="187"/>
      <c r="F67" s="187"/>
      <c r="G67" s="187"/>
      <c r="H67" s="187"/>
      <c r="I67" s="187"/>
      <c r="J67" s="187"/>
      <c r="K67" s="188"/>
      <c r="L67" s="189"/>
      <c r="M67" s="190"/>
      <c r="N67" s="191"/>
      <c r="O67" s="192">
        <f>SUM(O64:P66)</f>
        <v>0</v>
      </c>
      <c r="P67" s="193"/>
      <c r="Q67" s="199"/>
      <c r="R67" s="200"/>
    </row>
    <row r="68" spans="1:18" s="184" customFormat="1" ht="64.900000000000006" customHeight="1" x14ac:dyDescent="0.7">
      <c r="A68" s="177"/>
      <c r="B68" s="201" t="s">
        <v>179</v>
      </c>
      <c r="C68" s="201"/>
      <c r="D68" s="201"/>
      <c r="E68" s="201"/>
      <c r="F68" s="201"/>
      <c r="G68" s="201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s="184" customFormat="1" ht="64.900000000000006" customHeight="1" x14ac:dyDescent="0.7">
      <c r="A69" s="177"/>
      <c r="B69" s="204" t="s">
        <v>180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5"/>
    </row>
    <row r="70" spans="1:18" s="184" customFormat="1" ht="48.75" customHeight="1" x14ac:dyDescent="0.7">
      <c r="A70" s="177"/>
      <c r="B70" s="206" t="s">
        <v>181</v>
      </c>
      <c r="C70" s="206"/>
      <c r="D70" s="206"/>
      <c r="E70" s="206"/>
      <c r="F70" s="206"/>
      <c r="G70" s="206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8"/>
    </row>
    <row r="71" spans="1:18" s="184" customFormat="1" ht="45.75" x14ac:dyDescent="0.7">
      <c r="A71" s="177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5"/>
    </row>
    <row r="72" spans="1:18" s="122" customFormat="1" ht="31.5" customHeight="1" x14ac:dyDescent="0.55000000000000004">
      <c r="A72" s="209" t="s">
        <v>182</v>
      </c>
      <c r="B72" s="210"/>
      <c r="C72" s="211"/>
      <c r="D72" s="212"/>
      <c r="E72" s="213" t="s">
        <v>183</v>
      </c>
      <c r="F72" s="214"/>
      <c r="G72" s="210" t="s">
        <v>184</v>
      </c>
      <c r="H72" s="211"/>
      <c r="I72" s="211"/>
      <c r="J72" s="211"/>
      <c r="K72" s="215"/>
      <c r="L72" s="136"/>
      <c r="M72" s="216"/>
      <c r="N72" s="216"/>
      <c r="O72" s="216"/>
      <c r="P72" s="216"/>
      <c r="Q72" s="216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/>
      <c r="B74" s="218"/>
      <c r="C74" s="219"/>
      <c r="D74" s="220"/>
      <c r="E74" s="221"/>
      <c r="F74" s="222"/>
      <c r="G74" s="218"/>
      <c r="H74" s="219"/>
      <c r="I74" s="219"/>
      <c r="J74" s="219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24"/>
      <c r="B75" s="225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0" t="s">
        <v>149</v>
      </c>
      <c r="B76" s="231"/>
      <c r="C76" s="211"/>
      <c r="D76" s="212"/>
      <c r="E76" s="232" t="s">
        <v>185</v>
      </c>
      <c r="F76" s="214"/>
      <c r="G76" s="231" t="s">
        <v>185</v>
      </c>
      <c r="H76" s="211"/>
      <c r="I76" s="211"/>
      <c r="J76" s="211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19"/>
      <c r="D77" s="220"/>
      <c r="E77" s="235"/>
      <c r="F77" s="222"/>
      <c r="G77" s="234"/>
      <c r="H77" s="219"/>
      <c r="I77" s="219"/>
      <c r="J77" s="219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33"/>
      <c r="B78" s="234"/>
      <c r="C78" s="226"/>
      <c r="D78" s="227"/>
      <c r="E78" s="236"/>
      <c r="F78" s="229"/>
      <c r="G78" s="237"/>
      <c r="H78" s="226"/>
      <c r="I78" s="226"/>
      <c r="J78" s="226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 t="s">
        <v>150</v>
      </c>
      <c r="B79" s="218"/>
      <c r="C79" s="211"/>
      <c r="D79" s="212"/>
      <c r="E79" s="213" t="s">
        <v>186</v>
      </c>
      <c r="F79" s="214"/>
      <c r="G79" s="210" t="s">
        <v>186</v>
      </c>
      <c r="H79" s="211"/>
      <c r="I79" s="211"/>
      <c r="J79" s="211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x14ac:dyDescent="0.55000000000000004">
      <c r="A80" s="217"/>
      <c r="B80" s="218"/>
      <c r="C80" s="226"/>
      <c r="D80" s="227"/>
      <c r="E80" s="228"/>
      <c r="F80" s="229"/>
      <c r="G80" s="225"/>
      <c r="H80" s="226"/>
      <c r="I80" s="226"/>
      <c r="J80" s="226"/>
      <c r="K80" s="215"/>
      <c r="L80" s="136"/>
      <c r="M80" s="223"/>
      <c r="N80" s="223"/>
      <c r="O80" s="223"/>
      <c r="P80" s="223"/>
      <c r="Q80" s="223"/>
      <c r="R80" s="121"/>
    </row>
    <row r="81" spans="1:18" s="122" customFormat="1" ht="31.5" customHeight="1" thickBot="1" x14ac:dyDescent="0.6">
      <c r="A81" s="238"/>
      <c r="B81" s="239"/>
      <c r="C81" s="239"/>
      <c r="D81" s="239"/>
      <c r="E81" s="239"/>
      <c r="F81" s="239"/>
      <c r="G81" s="239"/>
      <c r="H81" s="239"/>
      <c r="I81" s="239"/>
      <c r="J81" s="239"/>
      <c r="K81" s="240"/>
      <c r="L81" s="241"/>
      <c r="M81" s="242"/>
      <c r="N81" s="242"/>
      <c r="O81" s="242"/>
      <c r="P81" s="242"/>
      <c r="Q81" s="242"/>
      <c r="R81" s="243"/>
    </row>
  </sheetData>
  <mergeCells count="111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9:I9"/>
  </mergeCells>
  <hyperlinks>
    <hyperlink ref="E11" r:id="rId1" xr:uid="{8ACCD2D0-28EB-44B2-9060-AB2D83CB5725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9DEE-31F4-41AA-9286-071896B3BBFB}">
  <sheetPr>
    <pageSetUpPr fitToPage="1"/>
  </sheetPr>
  <dimension ref="A1:R81"/>
  <sheetViews>
    <sheetView topLeftCell="H5" zoomScale="30" zoomScaleNormal="30" workbookViewId="0">
      <selection activeCell="A7" sqref="A7:XFD14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187</v>
      </c>
      <c r="C5" s="16" t="s">
        <v>2</v>
      </c>
      <c r="D5" s="17" t="s">
        <v>188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1" t="s">
        <v>8</v>
      </c>
      <c r="G7" s="252" t="s">
        <v>9</v>
      </c>
      <c r="H7" s="250" t="s">
        <v>10</v>
      </c>
      <c r="I7" s="253" t="s">
        <v>11</v>
      </c>
      <c r="J7" s="249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60691</v>
      </c>
      <c r="D8" s="251" t="s">
        <v>13</v>
      </c>
      <c r="E8" s="258" t="s">
        <v>14</v>
      </c>
      <c r="F8" s="251" t="s">
        <v>15</v>
      </c>
      <c r="G8" s="259" t="s">
        <v>16</v>
      </c>
      <c r="H8" s="251" t="s">
        <v>17</v>
      </c>
      <c r="I8" s="260" t="s">
        <v>18</v>
      </c>
      <c r="J8" s="257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61" t="s">
        <v>4</v>
      </c>
      <c r="B10" s="262"/>
      <c r="C10" s="249" t="s">
        <v>20</v>
      </c>
      <c r="D10" s="250" t="s">
        <v>6</v>
      </c>
      <c r="E10" s="249" t="s">
        <v>21</v>
      </c>
      <c r="F10" s="250" t="s">
        <v>8</v>
      </c>
      <c r="G10" s="252" t="s">
        <v>22</v>
      </c>
      <c r="H10" s="250" t="s">
        <v>10</v>
      </c>
      <c r="I10" s="263" t="s">
        <v>23</v>
      </c>
      <c r="J10" s="264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65" t="s">
        <v>12</v>
      </c>
      <c r="B11" s="266"/>
      <c r="C11" s="257">
        <v>60694</v>
      </c>
      <c r="D11" s="251" t="s">
        <v>13</v>
      </c>
      <c r="E11" s="267" t="s">
        <v>24</v>
      </c>
      <c r="F11" s="251" t="s">
        <v>15</v>
      </c>
      <c r="G11" s="268"/>
      <c r="H11" s="251" t="s">
        <v>17</v>
      </c>
      <c r="I11" s="269" t="s">
        <v>18</v>
      </c>
      <c r="J11" s="27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1" t="s">
        <v>30</v>
      </c>
      <c r="F14" s="46" t="s">
        <v>15</v>
      </c>
      <c r="G14" s="272"/>
      <c r="H14" s="45" t="s">
        <v>17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154</v>
      </c>
      <c r="Q17" s="71" t="s">
        <v>155</v>
      </c>
      <c r="R17" s="72" t="s">
        <v>156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157</v>
      </c>
      <c r="K18" s="78" t="s">
        <v>158</v>
      </c>
      <c r="L18" s="78" t="s">
        <v>159</v>
      </c>
      <c r="M18" s="77" t="s">
        <v>160</v>
      </c>
      <c r="N18" s="77" t="s">
        <v>161</v>
      </c>
      <c r="O18" s="77" t="s">
        <v>162</v>
      </c>
      <c r="P18" s="79"/>
      <c r="Q18" s="79"/>
      <c r="R18" s="80"/>
    </row>
    <row r="19" spans="1:18" s="92" customFormat="1" ht="147" customHeight="1" x14ac:dyDescent="0.25">
      <c r="A19" s="273">
        <v>1</v>
      </c>
      <c r="B19" s="274" t="s">
        <v>48</v>
      </c>
      <c r="C19" s="275">
        <f>0.25 *1.28791886111175</f>
        <v>0.32197971527793751</v>
      </c>
      <c r="D19" s="82" t="s">
        <v>49</v>
      </c>
      <c r="E19" s="83">
        <f>C19/5</f>
        <v>6.4395943055587504E-2</v>
      </c>
      <c r="F19" s="83">
        <f t="shared" ref="F19:F41" si="0">E19/$E$42 * 100</f>
        <v>0.33958946059852668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41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1" si="2">F19*Q19/100</f>
        <v>0</v>
      </c>
    </row>
    <row r="20" spans="1:18" s="92" customFormat="1" ht="147" customHeight="1" x14ac:dyDescent="0.25">
      <c r="A20" s="276"/>
      <c r="B20" s="277"/>
      <c r="C20" s="278"/>
      <c r="D20" s="82" t="s">
        <v>53</v>
      </c>
      <c r="E20" s="83">
        <f>C19/5</f>
        <v>6.4395943055587504E-2</v>
      </c>
      <c r="F20" s="83">
        <f t="shared" si="0"/>
        <v>0.33958946059852668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76"/>
      <c r="B21" s="277"/>
      <c r="C21" s="278"/>
      <c r="D21" s="82" t="s">
        <v>55</v>
      </c>
      <c r="E21" s="83">
        <f>C19/5</f>
        <v>6.4395943055587504E-2</v>
      </c>
      <c r="F21" s="83">
        <f t="shared" si="0"/>
        <v>0.33958946059852668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76"/>
      <c r="B22" s="277"/>
      <c r="C22" s="278"/>
      <c r="D22" s="82" t="s">
        <v>57</v>
      </c>
      <c r="E22" s="83">
        <f>C19/5</f>
        <v>6.4395943055587504E-2</v>
      </c>
      <c r="F22" s="83">
        <f t="shared" si="0"/>
        <v>0.33958946059852668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9"/>
      <c r="B23" s="280"/>
      <c r="C23" s="281"/>
      <c r="D23" s="82" t="s">
        <v>61</v>
      </c>
      <c r="E23" s="83">
        <f>C19/5</f>
        <v>6.4395943055587504E-2</v>
      </c>
      <c r="F23" s="83">
        <f t="shared" si="0"/>
        <v>0.33958946059852668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63</v>
      </c>
      <c r="C24" s="282">
        <f>0.25 *0.77275131666705</f>
        <v>0.1931878291667625</v>
      </c>
      <c r="D24" s="82" t="s">
        <v>64</v>
      </c>
      <c r="E24" s="83">
        <f>C24</f>
        <v>0.1931878291667625</v>
      </c>
      <c r="F24" s="83">
        <f t="shared" si="0"/>
        <v>1.0187683817955799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73">
        <v>2</v>
      </c>
      <c r="B25" s="274" t="s">
        <v>68</v>
      </c>
      <c r="C25" s="275">
        <f>0.25 *68.7196706607483</f>
        <v>17.179917665187077</v>
      </c>
      <c r="D25" s="82" t="s">
        <v>69</v>
      </c>
      <c r="E25" s="83">
        <f>C25/10</f>
        <v>1.7179917665187077</v>
      </c>
      <c r="F25" s="83">
        <f t="shared" si="0"/>
        <v>9.0597616809678279</v>
      </c>
      <c r="G25" s="82" t="s">
        <v>70</v>
      </c>
      <c r="H25" s="93">
        <v>80</v>
      </c>
      <c r="I25" s="93" t="s">
        <v>51</v>
      </c>
      <c r="J25" s="87" t="s">
        <v>71</v>
      </c>
      <c r="K25" s="88">
        <v>80</v>
      </c>
      <c r="L25" s="88">
        <v>75</v>
      </c>
      <c r="M25" s="88">
        <v>70</v>
      </c>
      <c r="N25" s="88">
        <v>50</v>
      </c>
      <c r="O25" s="88" t="s">
        <v>72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76"/>
      <c r="B26" s="277"/>
      <c r="C26" s="278"/>
      <c r="D26" s="82" t="s">
        <v>73</v>
      </c>
      <c r="E26" s="83">
        <f>C25/10</f>
        <v>1.7179917665187077</v>
      </c>
      <c r="F26" s="83">
        <f t="shared" si="0"/>
        <v>9.0597616809678279</v>
      </c>
      <c r="G26" s="82" t="s">
        <v>74</v>
      </c>
      <c r="H26" s="93">
        <v>80</v>
      </c>
      <c r="I26" s="93" t="s">
        <v>51</v>
      </c>
      <c r="J26" s="87" t="s">
        <v>71</v>
      </c>
      <c r="K26" s="88">
        <v>80</v>
      </c>
      <c r="L26" s="88">
        <v>75</v>
      </c>
      <c r="M26" s="88">
        <v>70</v>
      </c>
      <c r="N26" s="88">
        <v>50</v>
      </c>
      <c r="O26" s="88" t="s">
        <v>72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76"/>
      <c r="B27" s="277"/>
      <c r="C27" s="278"/>
      <c r="D27" s="82" t="s">
        <v>75</v>
      </c>
      <c r="E27" s="83">
        <f>C25/10</f>
        <v>1.7179917665187077</v>
      </c>
      <c r="F27" s="83">
        <f t="shared" si="0"/>
        <v>9.0597616809678279</v>
      </c>
      <c r="G27" s="82" t="s">
        <v>76</v>
      </c>
      <c r="H27" s="94">
        <v>0.9</v>
      </c>
      <c r="I27" s="93" t="s">
        <v>51</v>
      </c>
      <c r="J27" s="87" t="s">
        <v>77</v>
      </c>
      <c r="K27" s="88">
        <v>90</v>
      </c>
      <c r="L27" s="88">
        <v>80</v>
      </c>
      <c r="M27" s="88">
        <v>70</v>
      </c>
      <c r="N27" s="88">
        <v>50</v>
      </c>
      <c r="O27" s="88" t="s">
        <v>72</v>
      </c>
      <c r="P27" s="89"/>
      <c r="Q27" s="90">
        <f t="shared" si="1"/>
        <v>0</v>
      </c>
      <c r="R27" s="91">
        <f t="shared" si="2"/>
        <v>0</v>
      </c>
    </row>
    <row r="28" spans="1:18" s="92" customFormat="1" ht="147" customHeight="1" x14ac:dyDescent="0.25">
      <c r="A28" s="276"/>
      <c r="B28" s="277"/>
      <c r="C28" s="278"/>
      <c r="D28" s="82" t="s">
        <v>78</v>
      </c>
      <c r="E28" s="83">
        <f>C25/10</f>
        <v>1.7179917665187077</v>
      </c>
      <c r="F28" s="83">
        <f t="shared" si="0"/>
        <v>9.0597616809678279</v>
      </c>
      <c r="G28" s="82" t="s">
        <v>79</v>
      </c>
      <c r="H28" s="93">
        <v>80</v>
      </c>
      <c r="I28" s="93" t="s">
        <v>51</v>
      </c>
      <c r="J28" s="87" t="s">
        <v>71</v>
      </c>
      <c r="K28" s="88">
        <v>80</v>
      </c>
      <c r="L28" s="88">
        <v>75</v>
      </c>
      <c r="M28" s="88">
        <v>70</v>
      </c>
      <c r="N28" s="88">
        <v>50</v>
      </c>
      <c r="O28" s="88" t="s">
        <v>72</v>
      </c>
      <c r="P28" s="89"/>
      <c r="Q28" s="90">
        <f t="shared" si="1"/>
        <v>0</v>
      </c>
      <c r="R28" s="91">
        <f t="shared" si="2"/>
        <v>0</v>
      </c>
    </row>
    <row r="29" spans="1:18" s="92" customFormat="1" ht="147" customHeight="1" x14ac:dyDescent="0.25">
      <c r="A29" s="276"/>
      <c r="B29" s="277"/>
      <c r="C29" s="278"/>
      <c r="D29" s="82" t="s">
        <v>80</v>
      </c>
      <c r="E29" s="83">
        <f>C25/10</f>
        <v>1.7179917665187077</v>
      </c>
      <c r="F29" s="83">
        <f t="shared" si="0"/>
        <v>9.0597616809678279</v>
      </c>
      <c r="G29" s="82" t="s">
        <v>81</v>
      </c>
      <c r="H29" s="94">
        <v>0.9</v>
      </c>
      <c r="I29" s="93" t="s">
        <v>51</v>
      </c>
      <c r="J29" s="87" t="s">
        <v>77</v>
      </c>
      <c r="K29" s="88">
        <v>90</v>
      </c>
      <c r="L29" s="88">
        <v>80</v>
      </c>
      <c r="M29" s="88">
        <v>70</v>
      </c>
      <c r="N29" s="88">
        <v>50</v>
      </c>
      <c r="O29" s="88" t="s">
        <v>72</v>
      </c>
      <c r="P29" s="89"/>
      <c r="Q29" s="90">
        <f t="shared" si="1"/>
        <v>0</v>
      </c>
      <c r="R29" s="91">
        <f t="shared" si="2"/>
        <v>0</v>
      </c>
    </row>
    <row r="30" spans="1:18" s="92" customFormat="1" ht="147" customHeight="1" x14ac:dyDescent="0.25">
      <c r="A30" s="276"/>
      <c r="B30" s="277"/>
      <c r="C30" s="278"/>
      <c r="D30" s="82" t="s">
        <v>82</v>
      </c>
      <c r="E30" s="83">
        <f>C25/10</f>
        <v>1.7179917665187077</v>
      </c>
      <c r="F30" s="83">
        <f t="shared" si="0"/>
        <v>9.0597616809678279</v>
      </c>
      <c r="G30" s="82" t="s">
        <v>83</v>
      </c>
      <c r="H30" s="94">
        <v>0.8</v>
      </c>
      <c r="I30" s="93" t="s">
        <v>51</v>
      </c>
      <c r="J30" s="87" t="s">
        <v>71</v>
      </c>
      <c r="K30" s="88">
        <v>80</v>
      </c>
      <c r="L30" s="88">
        <v>75</v>
      </c>
      <c r="M30" s="88">
        <v>70</v>
      </c>
      <c r="N30" s="88">
        <v>50</v>
      </c>
      <c r="O30" s="88" t="s">
        <v>72</v>
      </c>
      <c r="P30" s="89"/>
      <c r="Q30" s="90">
        <f t="shared" si="1"/>
        <v>0</v>
      </c>
      <c r="R30" s="91">
        <f t="shared" si="2"/>
        <v>0</v>
      </c>
    </row>
    <row r="31" spans="1:18" s="92" customFormat="1" ht="147" customHeight="1" x14ac:dyDescent="0.25">
      <c r="A31" s="276"/>
      <c r="B31" s="277"/>
      <c r="C31" s="278"/>
      <c r="D31" s="82" t="s">
        <v>84</v>
      </c>
      <c r="E31" s="83">
        <f>C25/10</f>
        <v>1.7179917665187077</v>
      </c>
      <c r="F31" s="83">
        <f t="shared" si="0"/>
        <v>9.0597616809678279</v>
      </c>
      <c r="G31" s="82" t="s">
        <v>85</v>
      </c>
      <c r="H31" s="94">
        <v>0.9</v>
      </c>
      <c r="I31" s="93" t="s">
        <v>51</v>
      </c>
      <c r="J31" s="87" t="s">
        <v>77</v>
      </c>
      <c r="K31" s="88">
        <v>90</v>
      </c>
      <c r="L31" s="88">
        <v>80</v>
      </c>
      <c r="M31" s="88">
        <v>70</v>
      </c>
      <c r="N31" s="88">
        <v>50</v>
      </c>
      <c r="O31" s="88" t="s">
        <v>72</v>
      </c>
      <c r="P31" s="89"/>
      <c r="Q31" s="90">
        <f t="shared" si="1"/>
        <v>0</v>
      </c>
      <c r="R31" s="91">
        <f t="shared" si="2"/>
        <v>0</v>
      </c>
    </row>
    <row r="32" spans="1:18" s="92" customFormat="1" ht="147" customHeight="1" x14ac:dyDescent="0.25">
      <c r="A32" s="276"/>
      <c r="B32" s="277"/>
      <c r="C32" s="278"/>
      <c r="D32" s="82" t="s">
        <v>86</v>
      </c>
      <c r="E32" s="83">
        <f>C25/10</f>
        <v>1.7179917665187077</v>
      </c>
      <c r="F32" s="83">
        <f t="shared" si="0"/>
        <v>9.0597616809678279</v>
      </c>
      <c r="G32" s="82" t="s">
        <v>87</v>
      </c>
      <c r="H32" s="94">
        <v>0.8</v>
      </c>
      <c r="I32" s="93" t="s">
        <v>51</v>
      </c>
      <c r="J32" s="87" t="s">
        <v>71</v>
      </c>
      <c r="K32" s="88">
        <v>80</v>
      </c>
      <c r="L32" s="88">
        <v>75</v>
      </c>
      <c r="M32" s="88">
        <v>70</v>
      </c>
      <c r="N32" s="88">
        <v>50</v>
      </c>
      <c r="O32" s="88" t="s">
        <v>72</v>
      </c>
      <c r="P32" s="89"/>
      <c r="Q32" s="90">
        <f t="shared" si="1"/>
        <v>0</v>
      </c>
      <c r="R32" s="91">
        <f t="shared" si="2"/>
        <v>0</v>
      </c>
    </row>
    <row r="33" spans="1:18" s="92" customFormat="1" ht="147" customHeight="1" x14ac:dyDescent="0.25">
      <c r="A33" s="276"/>
      <c r="B33" s="277"/>
      <c r="C33" s="278"/>
      <c r="D33" s="82" t="s">
        <v>88</v>
      </c>
      <c r="E33" s="83">
        <f>C25/10</f>
        <v>1.7179917665187077</v>
      </c>
      <c r="F33" s="83">
        <f t="shared" si="0"/>
        <v>9.0597616809678279</v>
      </c>
      <c r="G33" s="82" t="s">
        <v>89</v>
      </c>
      <c r="H33" s="94">
        <v>0.8</v>
      </c>
      <c r="I33" s="93" t="s">
        <v>51</v>
      </c>
      <c r="J33" s="87" t="s">
        <v>71</v>
      </c>
      <c r="K33" s="88">
        <v>80</v>
      </c>
      <c r="L33" s="88">
        <v>75</v>
      </c>
      <c r="M33" s="88">
        <v>70</v>
      </c>
      <c r="N33" s="88">
        <v>50</v>
      </c>
      <c r="O33" s="88" t="s">
        <v>72</v>
      </c>
      <c r="P33" s="89"/>
      <c r="Q33" s="90">
        <f t="shared" si="1"/>
        <v>0</v>
      </c>
      <c r="R33" s="91">
        <f t="shared" si="2"/>
        <v>0</v>
      </c>
    </row>
    <row r="34" spans="1:18" s="92" customFormat="1" ht="147" customHeight="1" x14ac:dyDescent="0.25">
      <c r="A34" s="279"/>
      <c r="B34" s="280"/>
      <c r="C34" s="281"/>
      <c r="D34" s="82" t="s">
        <v>90</v>
      </c>
      <c r="E34" s="83">
        <f>C25/10</f>
        <v>1.7179917665187077</v>
      </c>
      <c r="F34" s="83">
        <f t="shared" si="0"/>
        <v>9.0597616809678279</v>
      </c>
      <c r="G34" s="82" t="s">
        <v>91</v>
      </c>
      <c r="H34" s="94">
        <v>0.9</v>
      </c>
      <c r="I34" s="93" t="s">
        <v>51</v>
      </c>
      <c r="J34" s="87" t="s">
        <v>77</v>
      </c>
      <c r="K34" s="88">
        <v>90</v>
      </c>
      <c r="L34" s="88">
        <v>80</v>
      </c>
      <c r="M34" s="88">
        <v>70</v>
      </c>
      <c r="N34" s="88">
        <v>50</v>
      </c>
      <c r="O34" s="88" t="s">
        <v>72</v>
      </c>
      <c r="P34" s="89"/>
      <c r="Q34" s="90">
        <f t="shared" si="1"/>
        <v>0</v>
      </c>
      <c r="R34" s="91">
        <f t="shared" si="2"/>
        <v>0</v>
      </c>
    </row>
    <row r="35" spans="1:18" s="92" customFormat="1" ht="147" customHeight="1" x14ac:dyDescent="0.25">
      <c r="A35" s="81">
        <v>5</v>
      </c>
      <c r="B35" s="82" t="s">
        <v>92</v>
      </c>
      <c r="C35" s="95">
        <f>0.25 *1.20742393229227</f>
        <v>0.30185598307306749</v>
      </c>
      <c r="D35" s="82" t="s">
        <v>93</v>
      </c>
      <c r="E35" s="83">
        <f>C35</f>
        <v>0.30185598307306749</v>
      </c>
      <c r="F35" s="83">
        <f t="shared" si="0"/>
        <v>1.5918255965555992</v>
      </c>
      <c r="G35" s="84" t="s">
        <v>94</v>
      </c>
      <c r="H35" s="93">
        <v>5</v>
      </c>
      <c r="I35" s="86" t="s">
        <v>59</v>
      </c>
      <c r="J35" s="87" t="s">
        <v>60</v>
      </c>
      <c r="K35" s="88">
        <v>5</v>
      </c>
      <c r="L35" s="88">
        <v>4</v>
      </c>
      <c r="M35" s="88">
        <v>3</v>
      </c>
      <c r="N35" s="88">
        <v>2</v>
      </c>
      <c r="O35" s="88">
        <v>1</v>
      </c>
      <c r="P35" s="89"/>
      <c r="Q35" s="90">
        <f t="shared" si="1"/>
        <v>0</v>
      </c>
      <c r="R35" s="91">
        <f t="shared" si="2"/>
        <v>0</v>
      </c>
    </row>
    <row r="36" spans="1:18" s="92" customFormat="1" ht="147" customHeight="1" x14ac:dyDescent="0.25">
      <c r="A36" s="273">
        <v>7</v>
      </c>
      <c r="B36" s="274" t="s">
        <v>95</v>
      </c>
      <c r="C36" s="283">
        <f>0.25 *2.41484786458453</f>
        <v>0.60371196614613254</v>
      </c>
      <c r="D36" s="82" t="s">
        <v>96</v>
      </c>
      <c r="E36" s="83">
        <f>C36/2</f>
        <v>0.30185598307306627</v>
      </c>
      <c r="F36" s="83">
        <f t="shared" si="0"/>
        <v>1.591825596555593</v>
      </c>
      <c r="G36" s="84" t="s">
        <v>97</v>
      </c>
      <c r="H36" s="93">
        <v>5</v>
      </c>
      <c r="I36" s="93" t="s">
        <v>59</v>
      </c>
      <c r="J36" s="87" t="s">
        <v>60</v>
      </c>
      <c r="K36" s="88">
        <v>5</v>
      </c>
      <c r="L36" s="88">
        <v>4</v>
      </c>
      <c r="M36" s="88">
        <v>3</v>
      </c>
      <c r="N36" s="88">
        <v>2</v>
      </c>
      <c r="O36" s="88">
        <v>1</v>
      </c>
      <c r="P36" s="89"/>
      <c r="Q36" s="90">
        <f t="shared" si="1"/>
        <v>0</v>
      </c>
      <c r="R36" s="91">
        <f t="shared" si="2"/>
        <v>0</v>
      </c>
    </row>
    <row r="37" spans="1:18" s="92" customFormat="1" ht="147" customHeight="1" x14ac:dyDescent="0.25">
      <c r="A37" s="279"/>
      <c r="B37" s="280"/>
      <c r="C37" s="284"/>
      <c r="D37" s="82" t="s">
        <v>98</v>
      </c>
      <c r="E37" s="83">
        <f>C36/2</f>
        <v>0.30185598307306627</v>
      </c>
      <c r="F37" s="83">
        <f t="shared" si="0"/>
        <v>1.591825596555593</v>
      </c>
      <c r="G37" s="84" t="s">
        <v>99</v>
      </c>
      <c r="H37" s="94">
        <v>0.8</v>
      </c>
      <c r="I37" s="93" t="s">
        <v>51</v>
      </c>
      <c r="J37" s="87" t="s">
        <v>71</v>
      </c>
      <c r="K37" s="88">
        <v>80</v>
      </c>
      <c r="L37" s="88">
        <v>75</v>
      </c>
      <c r="M37" s="88">
        <v>70</v>
      </c>
      <c r="N37" s="88">
        <v>50</v>
      </c>
      <c r="O37" s="88" t="s">
        <v>72</v>
      </c>
      <c r="P37" s="89"/>
      <c r="Q37" s="90">
        <f t="shared" si="1"/>
        <v>0</v>
      </c>
      <c r="R37" s="91">
        <f t="shared" si="2"/>
        <v>0</v>
      </c>
    </row>
    <row r="38" spans="1:18" s="92" customFormat="1" ht="147" customHeight="1" x14ac:dyDescent="0.25">
      <c r="A38" s="273">
        <v>8</v>
      </c>
      <c r="B38" s="274" t="s">
        <v>100</v>
      </c>
      <c r="C38" s="283">
        <f>0.25 *0.804949288194844</f>
        <v>0.201237322048711</v>
      </c>
      <c r="D38" s="82" t="s">
        <v>101</v>
      </c>
      <c r="E38" s="83">
        <f>C38/2</f>
        <v>0.1006186610243555</v>
      </c>
      <c r="F38" s="83">
        <f t="shared" si="0"/>
        <v>0.53060853218519799</v>
      </c>
      <c r="G38" s="84" t="s">
        <v>102</v>
      </c>
      <c r="H38" s="93">
        <v>5</v>
      </c>
      <c r="I38" s="93" t="s">
        <v>59</v>
      </c>
      <c r="J38" s="87" t="s">
        <v>60</v>
      </c>
      <c r="K38" s="88">
        <v>5</v>
      </c>
      <c r="L38" s="88">
        <v>4</v>
      </c>
      <c r="M38" s="88">
        <v>3</v>
      </c>
      <c r="N38" s="88">
        <v>2</v>
      </c>
      <c r="O38" s="88">
        <v>1</v>
      </c>
      <c r="P38" s="89"/>
      <c r="Q38" s="90">
        <f t="shared" si="1"/>
        <v>0</v>
      </c>
      <c r="R38" s="91">
        <f t="shared" si="2"/>
        <v>0</v>
      </c>
    </row>
    <row r="39" spans="1:18" s="92" customFormat="1" ht="147" customHeight="1" x14ac:dyDescent="0.25">
      <c r="A39" s="279"/>
      <c r="B39" s="280"/>
      <c r="C39" s="284"/>
      <c r="D39" s="82" t="s">
        <v>103</v>
      </c>
      <c r="E39" s="83">
        <f>C38/2</f>
        <v>0.1006186610243555</v>
      </c>
      <c r="F39" s="83">
        <f t="shared" si="0"/>
        <v>0.53060853218519799</v>
      </c>
      <c r="G39" s="84" t="s">
        <v>104</v>
      </c>
      <c r="H39" s="94">
        <v>0.8</v>
      </c>
      <c r="I39" s="93" t="s">
        <v>51</v>
      </c>
      <c r="J39" s="87" t="s">
        <v>71</v>
      </c>
      <c r="K39" s="88">
        <v>80</v>
      </c>
      <c r="L39" s="88">
        <v>75</v>
      </c>
      <c r="M39" s="88">
        <v>70</v>
      </c>
      <c r="N39" s="88">
        <v>50</v>
      </c>
      <c r="O39" s="88" t="s">
        <v>72</v>
      </c>
      <c r="P39" s="89"/>
      <c r="Q39" s="90">
        <f t="shared" ref="Q39:Q40" si="3">IF(OR(TRIM(P39)="",P39=0),0,
IF(P39&lt;N39,50,
IF(P39&lt;M39,60,
IF(P39&lt;L39,70,
IF(P39&lt;K39,80,
IF(ISNUMBER(J39),
    IF(P39&lt;J39,IF(P39&gt;=K39,90,80),100),
    IF(P39=K39,90,100)
))))))</f>
        <v>0</v>
      </c>
      <c r="R39" s="91">
        <f t="shared" ref="R39:R40" si="4">F39*Q39/100</f>
        <v>0</v>
      </c>
    </row>
    <row r="40" spans="1:18" s="92" customFormat="1" ht="147" customHeight="1" x14ac:dyDescent="0.25">
      <c r="A40" s="81">
        <v>10</v>
      </c>
      <c r="B40" s="82" t="s">
        <v>105</v>
      </c>
      <c r="C40" s="95">
        <f>0.25 *0.321979715277938</f>
        <v>8.0494928819484501E-2</v>
      </c>
      <c r="D40" s="285" t="s">
        <v>106</v>
      </c>
      <c r="E40" s="83">
        <f>C40</f>
        <v>8.0494928819484501E-2</v>
      </c>
      <c r="F40" s="83">
        <f t="shared" si="0"/>
        <v>0.42448682574815894</v>
      </c>
      <c r="G40" s="84" t="s">
        <v>107</v>
      </c>
      <c r="H40" s="85">
        <v>0.7</v>
      </c>
      <c r="I40" s="93" t="s">
        <v>51</v>
      </c>
      <c r="J40" s="87" t="s">
        <v>108</v>
      </c>
      <c r="K40" s="88">
        <v>70</v>
      </c>
      <c r="L40" s="88">
        <v>60</v>
      </c>
      <c r="M40" s="88">
        <v>50</v>
      </c>
      <c r="N40" s="88">
        <v>40</v>
      </c>
      <c r="O40" s="88" t="s">
        <v>109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81"/>
      <c r="B41" s="82" t="s">
        <v>110</v>
      </c>
      <c r="C41" s="95">
        <f>0.25 *0.321979715277938</f>
        <v>8.0494928819484501E-2</v>
      </c>
      <c r="D41" s="84" t="s">
        <v>111</v>
      </c>
      <c r="E41" s="83">
        <f>C41</f>
        <v>8.0494928819484501E-2</v>
      </c>
      <c r="F41" s="83">
        <f t="shared" si="0"/>
        <v>0.42448682574815894</v>
      </c>
      <c r="G41" s="84" t="s">
        <v>112</v>
      </c>
      <c r="H41" s="85">
        <v>0.5</v>
      </c>
      <c r="I41" s="86" t="s">
        <v>51</v>
      </c>
      <c r="J41" s="87" t="s">
        <v>66</v>
      </c>
      <c r="K41" s="88">
        <v>50</v>
      </c>
      <c r="L41" s="88">
        <v>45</v>
      </c>
      <c r="M41" s="88">
        <v>40</v>
      </c>
      <c r="N41" s="88">
        <v>25</v>
      </c>
      <c r="O41" s="88" t="s">
        <v>67</v>
      </c>
      <c r="P41" s="89">
        <v>0</v>
      </c>
      <c r="Q41" s="90">
        <f t="shared" si="1"/>
        <v>0</v>
      </c>
      <c r="R41" s="91">
        <f t="shared" si="2"/>
        <v>0</v>
      </c>
    </row>
    <row r="42" spans="1:18" s="106" customFormat="1" ht="44.25" x14ac:dyDescent="0.25">
      <c r="A42" s="96"/>
      <c r="B42" s="97" t="s">
        <v>113</v>
      </c>
      <c r="C42" s="98">
        <f>SUM(C19:C41)</f>
        <v>18.962880338538657</v>
      </c>
      <c r="D42" s="97"/>
      <c r="E42" s="98">
        <f>SUM(E19:E41)</f>
        <v>18.96288033853866</v>
      </c>
      <c r="F42" s="98">
        <f>SUM(F19:F41)</f>
        <v>99.999999999999972</v>
      </c>
      <c r="G42" s="99"/>
      <c r="H42" s="100"/>
      <c r="I42" s="101"/>
      <c r="J42" s="102"/>
      <c r="K42" s="102"/>
      <c r="L42" s="102"/>
      <c r="M42" s="102"/>
      <c r="N42" s="102"/>
      <c r="O42" s="102"/>
      <c r="P42" s="103"/>
      <c r="Q42" s="104"/>
      <c r="R42" s="105">
        <f>SUM(R19:R41)</f>
        <v>0</v>
      </c>
    </row>
    <row r="43" spans="1:18" s="108" customFormat="1" ht="66" customHeight="1" x14ac:dyDescent="0.7">
      <c r="A43" s="107"/>
      <c r="G43" s="109"/>
      <c r="H43" s="109"/>
      <c r="I43" s="110" t="s">
        <v>163</v>
      </c>
      <c r="J43" s="111"/>
      <c r="K43" s="111"/>
      <c r="L43" s="111"/>
      <c r="M43" s="111"/>
      <c r="N43" s="111"/>
      <c r="O43" s="111"/>
      <c r="P43" s="111"/>
      <c r="Q43" s="112"/>
      <c r="R43" s="113">
        <f>R42/100 * 70</f>
        <v>0</v>
      </c>
    </row>
    <row r="44" spans="1:18" s="122" customFormat="1" ht="36" x14ac:dyDescent="0.55000000000000004">
      <c r="A44" s="114" t="s">
        <v>114</v>
      </c>
      <c r="B44" s="115"/>
      <c r="C44" s="115"/>
      <c r="D44" s="115"/>
      <c r="E44" s="115"/>
      <c r="F44" s="115"/>
      <c r="G44" s="116"/>
      <c r="H44" s="117"/>
      <c r="I44" s="117"/>
      <c r="J44" s="117"/>
      <c r="K44" s="117"/>
      <c r="L44" s="71" t="s">
        <v>119</v>
      </c>
      <c r="M44" s="118" t="s">
        <v>115</v>
      </c>
      <c r="N44" s="118"/>
      <c r="O44" s="118"/>
      <c r="P44" s="119"/>
      <c r="Q44" s="120"/>
      <c r="R44" s="121"/>
    </row>
    <row r="45" spans="1:18" s="122" customFormat="1" ht="31.5" customHeight="1" x14ac:dyDescent="0.55000000000000004">
      <c r="A45" s="123"/>
      <c r="B45" s="124"/>
      <c r="C45" s="125" t="s">
        <v>116</v>
      </c>
      <c r="D45" s="125"/>
      <c r="E45" s="125"/>
      <c r="F45" s="125"/>
      <c r="G45" s="125"/>
      <c r="H45" s="126" t="s">
        <v>164</v>
      </c>
      <c r="I45" s="126" t="s">
        <v>165</v>
      </c>
      <c r="J45" s="126"/>
      <c r="K45" s="127"/>
      <c r="L45" s="79"/>
      <c r="M45" s="128"/>
      <c r="N45" s="128"/>
      <c r="O45" s="128"/>
      <c r="P45" s="129"/>
      <c r="Q45" s="120"/>
      <c r="R45" s="121"/>
    </row>
    <row r="46" spans="1:18" s="122" customFormat="1" ht="36" customHeight="1" x14ac:dyDescent="0.55000000000000004">
      <c r="A46" s="130">
        <v>1</v>
      </c>
      <c r="B46" s="131" t="s">
        <v>120</v>
      </c>
      <c r="C46" s="132"/>
      <c r="D46" s="133"/>
      <c r="E46" s="133"/>
      <c r="F46" s="133"/>
      <c r="G46" s="134"/>
      <c r="H46" s="135"/>
      <c r="I46" s="135"/>
      <c r="J46" s="135"/>
      <c r="K46" s="135"/>
      <c r="L46" s="136"/>
      <c r="M46" s="137" t="s">
        <v>42</v>
      </c>
      <c r="N46" s="138" t="s">
        <v>121</v>
      </c>
      <c r="O46" s="139"/>
      <c r="P46" s="129"/>
      <c r="Q46" s="120"/>
      <c r="R46" s="121"/>
    </row>
    <row r="47" spans="1:18" s="122" customFormat="1" ht="84.75" customHeight="1" x14ac:dyDescent="0.55000000000000004">
      <c r="A47" s="140" t="s">
        <v>122</v>
      </c>
      <c r="B47" s="141" t="s">
        <v>166</v>
      </c>
      <c r="C47" s="142"/>
      <c r="D47" s="143"/>
      <c r="E47" s="143"/>
      <c r="F47" s="143"/>
      <c r="G47" s="144"/>
      <c r="H47" s="145">
        <v>4</v>
      </c>
      <c r="I47" s="146"/>
      <c r="J47" s="145"/>
      <c r="K47" s="145"/>
      <c r="L47" s="136"/>
      <c r="M47" s="137" t="s">
        <v>43</v>
      </c>
      <c r="N47" s="138" t="s">
        <v>123</v>
      </c>
      <c r="O47" s="139"/>
      <c r="P47" s="129"/>
      <c r="Q47" s="120"/>
      <c r="R47" s="121"/>
    </row>
    <row r="48" spans="1:18" s="122" customFormat="1" ht="82.5" customHeight="1" x14ac:dyDescent="0.55000000000000004">
      <c r="A48" s="140" t="s">
        <v>124</v>
      </c>
      <c r="B48" s="141" t="s">
        <v>167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44</v>
      </c>
      <c r="N48" s="138" t="s">
        <v>125</v>
      </c>
      <c r="O48" s="139"/>
      <c r="P48" s="129"/>
      <c r="Q48" s="120"/>
      <c r="R48" s="121"/>
    </row>
    <row r="49" spans="1:18" s="122" customFormat="1" ht="78.75" customHeight="1" x14ac:dyDescent="0.55000000000000004">
      <c r="A49" s="140" t="s">
        <v>126</v>
      </c>
      <c r="B49" s="141" t="s">
        <v>127</v>
      </c>
      <c r="C49" s="142"/>
      <c r="D49" s="143"/>
      <c r="E49" s="143"/>
      <c r="F49" s="143"/>
      <c r="G49" s="144"/>
      <c r="H49" s="145">
        <v>2</v>
      </c>
      <c r="I49" s="146"/>
      <c r="J49" s="145"/>
      <c r="K49" s="145"/>
      <c r="L49" s="136"/>
      <c r="M49" s="137" t="s">
        <v>45</v>
      </c>
      <c r="N49" s="138" t="s">
        <v>128</v>
      </c>
      <c r="O49" s="139"/>
      <c r="P49" s="129"/>
      <c r="Q49" s="120"/>
      <c r="R49" s="121"/>
    </row>
    <row r="50" spans="1:18" s="122" customFormat="1" ht="36" x14ac:dyDescent="0.55000000000000004">
      <c r="A50" s="147">
        <v>2</v>
      </c>
      <c r="B50" s="148" t="s">
        <v>129</v>
      </c>
      <c r="C50" s="149"/>
      <c r="D50" s="150"/>
      <c r="E50" s="150"/>
      <c r="F50" s="150"/>
      <c r="G50" s="151"/>
      <c r="H50" s="145"/>
      <c r="I50" s="146"/>
      <c r="J50" s="145"/>
      <c r="K50" s="145"/>
      <c r="L50" s="136"/>
      <c r="M50" s="137" t="s">
        <v>46</v>
      </c>
      <c r="N50" s="138" t="s">
        <v>130</v>
      </c>
      <c r="O50" s="139"/>
      <c r="P50" s="129"/>
      <c r="Q50" s="120"/>
      <c r="R50" s="121"/>
    </row>
    <row r="51" spans="1:18" s="122" customFormat="1" ht="82.5" customHeight="1" x14ac:dyDescent="0.55000000000000004">
      <c r="A51" s="140" t="s">
        <v>122</v>
      </c>
      <c r="B51" s="152" t="s">
        <v>168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37" t="s">
        <v>47</v>
      </c>
      <c r="N51" s="138" t="s">
        <v>131</v>
      </c>
      <c r="O51" s="139"/>
      <c r="P51" s="156"/>
      <c r="Q51" s="120"/>
      <c r="R51" s="121"/>
    </row>
    <row r="52" spans="1:18" s="122" customFormat="1" ht="114.75" customHeight="1" x14ac:dyDescent="0.55000000000000004">
      <c r="A52" s="140" t="s">
        <v>124</v>
      </c>
      <c r="B52" s="152" t="s">
        <v>169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119</v>
      </c>
      <c r="N52" s="157" t="s">
        <v>132</v>
      </c>
      <c r="O52" s="158"/>
      <c r="P52" s="156"/>
      <c r="Q52" s="120"/>
      <c r="R52" s="121"/>
    </row>
    <row r="53" spans="1:18" s="122" customFormat="1" ht="72" customHeight="1" x14ac:dyDescent="0.55000000000000004">
      <c r="A53" s="140" t="s">
        <v>126</v>
      </c>
      <c r="B53" s="152" t="s">
        <v>170</v>
      </c>
      <c r="C53" s="153"/>
      <c r="D53" s="154"/>
      <c r="E53" s="154"/>
      <c r="F53" s="154"/>
      <c r="G53" s="155"/>
      <c r="H53" s="145">
        <v>2</v>
      </c>
      <c r="I53" s="146"/>
      <c r="J53" s="145"/>
      <c r="K53" s="145"/>
      <c r="L53" s="136"/>
      <c r="M53" s="129" t="s">
        <v>133</v>
      </c>
      <c r="N53" s="157" t="s">
        <v>134</v>
      </c>
      <c r="O53" s="158"/>
      <c r="P53" s="156"/>
      <c r="Q53" s="120"/>
      <c r="R53" s="121"/>
    </row>
    <row r="54" spans="1:18" s="122" customFormat="1" ht="66" customHeight="1" x14ac:dyDescent="0.55000000000000004">
      <c r="A54" s="147">
        <v>3</v>
      </c>
      <c r="B54" s="148" t="s">
        <v>135</v>
      </c>
      <c r="C54" s="149"/>
      <c r="D54" s="150"/>
      <c r="E54" s="150"/>
      <c r="F54" s="150"/>
      <c r="G54" s="151"/>
      <c r="H54" s="145"/>
      <c r="I54" s="146"/>
      <c r="J54" s="145"/>
      <c r="K54" s="145"/>
      <c r="L54" s="136"/>
      <c r="M54" s="129" t="s">
        <v>117</v>
      </c>
      <c r="N54" s="157" t="s">
        <v>136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122</v>
      </c>
      <c r="B55" s="152" t="s">
        <v>137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118</v>
      </c>
      <c r="N55" s="157" t="s">
        <v>138</v>
      </c>
      <c r="O55" s="158"/>
      <c r="P55" s="156"/>
      <c r="Q55" s="120"/>
      <c r="R55" s="121"/>
    </row>
    <row r="56" spans="1:18" s="122" customFormat="1" ht="72" customHeight="1" x14ac:dyDescent="0.55000000000000004">
      <c r="A56" s="140" t="s">
        <v>124</v>
      </c>
      <c r="B56" s="152" t="s">
        <v>171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29" t="s">
        <v>139</v>
      </c>
      <c r="N56" s="157" t="s">
        <v>140</v>
      </c>
      <c r="O56" s="158"/>
      <c r="P56" s="156"/>
      <c r="Q56" s="120"/>
      <c r="R56" s="121"/>
    </row>
    <row r="57" spans="1:18" s="122" customFormat="1" ht="44.25" customHeight="1" x14ac:dyDescent="0.55000000000000004">
      <c r="A57" s="140" t="s">
        <v>126</v>
      </c>
      <c r="B57" s="152" t="s">
        <v>172</v>
      </c>
      <c r="C57" s="159"/>
      <c r="D57" s="160"/>
      <c r="E57" s="160"/>
      <c r="F57" s="160"/>
      <c r="G57" s="161"/>
      <c r="H57" s="145">
        <v>2</v>
      </c>
      <c r="I57" s="146"/>
      <c r="J57" s="145"/>
      <c r="K57" s="145"/>
      <c r="L57" s="136"/>
      <c r="M57" s="162"/>
      <c r="N57" s="162"/>
      <c r="O57" s="162"/>
      <c r="P57" s="163"/>
      <c r="Q57" s="120"/>
      <c r="R57" s="121"/>
    </row>
    <row r="58" spans="1:18" s="122" customFormat="1" ht="31.5" customHeight="1" x14ac:dyDescent="0.55000000000000004">
      <c r="A58" s="164" t="s">
        <v>141</v>
      </c>
      <c r="B58" s="165"/>
      <c r="C58" s="165"/>
      <c r="D58" s="165"/>
      <c r="E58" s="165"/>
      <c r="F58" s="165"/>
      <c r="G58" s="165"/>
      <c r="H58" s="166">
        <f>SUM(H47:H57)</f>
        <v>20</v>
      </c>
      <c r="I58" s="166">
        <f>SUM(I47:I57)</f>
        <v>0</v>
      </c>
      <c r="J58" s="166"/>
      <c r="K58" s="167"/>
      <c r="L58" s="136"/>
      <c r="M58" s="162"/>
      <c r="N58" s="162"/>
      <c r="O58" s="162"/>
      <c r="P58" s="163"/>
      <c r="Q58" s="120"/>
      <c r="R58" s="121"/>
    </row>
    <row r="59" spans="1:18" s="122" customFormat="1" ht="36" customHeight="1" x14ac:dyDescent="0.55000000000000004">
      <c r="A59" s="168" t="s">
        <v>122</v>
      </c>
      <c r="B59" s="169" t="s">
        <v>142</v>
      </c>
      <c r="C59" s="153" t="s">
        <v>143</v>
      </c>
      <c r="D59" s="154"/>
      <c r="E59" s="154"/>
      <c r="F59" s="154"/>
      <c r="G59" s="155"/>
      <c r="H59" s="170">
        <v>4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129" customHeight="1" x14ac:dyDescent="0.55000000000000004">
      <c r="A60" s="168" t="s">
        <v>124</v>
      </c>
      <c r="B60" s="169" t="s">
        <v>144</v>
      </c>
      <c r="C60" s="153" t="s">
        <v>145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69" customHeight="1" x14ac:dyDescent="0.55000000000000004">
      <c r="A61" s="168" t="s">
        <v>124</v>
      </c>
      <c r="B61" s="169" t="s">
        <v>146</v>
      </c>
      <c r="C61" s="153" t="s">
        <v>147</v>
      </c>
      <c r="D61" s="154"/>
      <c r="E61" s="154"/>
      <c r="F61" s="154"/>
      <c r="G61" s="155"/>
      <c r="H61" s="170">
        <v>3</v>
      </c>
      <c r="I61" s="171"/>
      <c r="J61" s="170"/>
      <c r="K61" s="172"/>
      <c r="L61" s="136"/>
      <c r="M61" s="162"/>
      <c r="N61" s="162"/>
      <c r="O61" s="162"/>
      <c r="P61" s="163"/>
      <c r="Q61" s="120"/>
      <c r="R61" s="121"/>
    </row>
    <row r="62" spans="1:18" s="122" customFormat="1" ht="46.5" customHeight="1" x14ac:dyDescent="0.55000000000000004">
      <c r="A62" s="173"/>
      <c r="B62" s="174" t="s">
        <v>148</v>
      </c>
      <c r="C62" s="174"/>
      <c r="D62" s="174"/>
      <c r="E62" s="175"/>
      <c r="F62" s="175"/>
      <c r="G62" s="175"/>
      <c r="H62" s="166">
        <f>SUM(H59:H61)</f>
        <v>10</v>
      </c>
      <c r="I62" s="166">
        <f>SUM(I59:I61)</f>
        <v>0</v>
      </c>
      <c r="J62" s="175"/>
      <c r="K62" s="176"/>
      <c r="L62" s="162"/>
      <c r="M62" s="162"/>
      <c r="N62" s="162"/>
      <c r="O62" s="162"/>
      <c r="P62" s="163"/>
      <c r="Q62" s="120"/>
      <c r="R62" s="121"/>
    </row>
    <row r="63" spans="1:18" s="184" customFormat="1" ht="45" customHeight="1" x14ac:dyDescent="0.7">
      <c r="A63" s="177"/>
      <c r="B63" s="178"/>
      <c r="C63" s="179"/>
      <c r="D63" s="179"/>
      <c r="E63" s="179"/>
      <c r="F63" s="180"/>
      <c r="G63" s="180"/>
      <c r="H63" s="180"/>
      <c r="I63" s="180"/>
      <c r="J63" s="180"/>
      <c r="K63" s="179"/>
      <c r="L63" s="179"/>
      <c r="M63" s="179"/>
      <c r="N63" s="179"/>
      <c r="O63" s="181" t="s">
        <v>173</v>
      </c>
      <c r="P63" s="182"/>
      <c r="Q63" s="181" t="s">
        <v>174</v>
      </c>
      <c r="R63" s="183"/>
    </row>
    <row r="64" spans="1:18" s="184" customFormat="1" ht="45" customHeight="1" x14ac:dyDescent="0.7">
      <c r="A64" s="177"/>
      <c r="B64" s="185"/>
      <c r="C64" s="186" t="s">
        <v>175</v>
      </c>
      <c r="D64" s="187"/>
      <c r="E64" s="187"/>
      <c r="F64" s="187"/>
      <c r="G64" s="187"/>
      <c r="H64" s="187"/>
      <c r="I64" s="187"/>
      <c r="J64" s="187"/>
      <c r="K64" s="188"/>
      <c r="L64" s="189"/>
      <c r="M64" s="190"/>
      <c r="N64" s="191"/>
      <c r="O64" s="192">
        <f>R43</f>
        <v>0</v>
      </c>
      <c r="P64" s="193"/>
      <c r="Q64" s="194">
        <f>O67/100 * 20</f>
        <v>0</v>
      </c>
      <c r="R64" s="195"/>
    </row>
    <row r="65" spans="1:18" s="184" customFormat="1" ht="45" customHeight="1" x14ac:dyDescent="0.7">
      <c r="A65" s="177"/>
      <c r="B65" s="185"/>
      <c r="C65" s="187" t="s">
        <v>176</v>
      </c>
      <c r="D65" s="187"/>
      <c r="E65" s="187"/>
      <c r="F65" s="187"/>
      <c r="G65" s="187"/>
      <c r="H65" s="187"/>
      <c r="I65" s="187"/>
      <c r="J65" s="187"/>
      <c r="K65" s="187"/>
      <c r="L65" s="190"/>
      <c r="M65" s="190"/>
      <c r="N65" s="191"/>
      <c r="O65" s="192">
        <f>I58</f>
        <v>0</v>
      </c>
      <c r="P65" s="193"/>
      <c r="Q65" s="196"/>
      <c r="R65" s="197"/>
    </row>
    <row r="66" spans="1:18" s="184" customFormat="1" ht="45" customHeight="1" x14ac:dyDescent="0.7">
      <c r="A66" s="177"/>
      <c r="B66" s="185"/>
      <c r="C66" s="186" t="s">
        <v>177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I62</f>
        <v>0</v>
      </c>
      <c r="P66" s="193"/>
      <c r="Q66" s="196"/>
      <c r="R66" s="197"/>
    </row>
    <row r="67" spans="1:18" s="184" customFormat="1" ht="45" customHeight="1" x14ac:dyDescent="0.7">
      <c r="A67" s="177"/>
      <c r="B67" s="198"/>
      <c r="C67" s="186" t="s">
        <v>178</v>
      </c>
      <c r="D67" s="187"/>
      <c r="E67" s="187"/>
      <c r="F67" s="187"/>
      <c r="G67" s="187"/>
      <c r="H67" s="187"/>
      <c r="I67" s="187"/>
      <c r="J67" s="187"/>
      <c r="K67" s="188"/>
      <c r="L67" s="189"/>
      <c r="M67" s="190"/>
      <c r="N67" s="191"/>
      <c r="O67" s="192">
        <f>SUM(O64:P66)</f>
        <v>0</v>
      </c>
      <c r="P67" s="193"/>
      <c r="Q67" s="199"/>
      <c r="R67" s="200"/>
    </row>
    <row r="68" spans="1:18" s="184" customFormat="1" ht="64.900000000000006" customHeight="1" x14ac:dyDescent="0.7">
      <c r="A68" s="177"/>
      <c r="B68" s="201" t="s">
        <v>179</v>
      </c>
      <c r="C68" s="201"/>
      <c r="D68" s="201"/>
      <c r="E68" s="201"/>
      <c r="F68" s="201"/>
      <c r="G68" s="201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s="184" customFormat="1" ht="64.900000000000006" customHeight="1" x14ac:dyDescent="0.7">
      <c r="A69" s="177"/>
      <c r="B69" s="204" t="s">
        <v>180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5"/>
    </row>
    <row r="70" spans="1:18" s="184" customFormat="1" ht="48.75" customHeight="1" x14ac:dyDescent="0.7">
      <c r="A70" s="177"/>
      <c r="B70" s="206" t="s">
        <v>181</v>
      </c>
      <c r="C70" s="206"/>
      <c r="D70" s="206"/>
      <c r="E70" s="206"/>
      <c r="F70" s="206"/>
      <c r="G70" s="206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8"/>
    </row>
    <row r="71" spans="1:18" s="184" customFormat="1" ht="45.75" x14ac:dyDescent="0.7">
      <c r="A71" s="177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5"/>
    </row>
    <row r="72" spans="1:18" s="122" customFormat="1" ht="31.5" customHeight="1" x14ac:dyDescent="0.55000000000000004">
      <c r="A72" s="209" t="s">
        <v>182</v>
      </c>
      <c r="B72" s="210"/>
      <c r="C72" s="211"/>
      <c r="D72" s="212"/>
      <c r="E72" s="213" t="s">
        <v>183</v>
      </c>
      <c r="F72" s="214"/>
      <c r="G72" s="210" t="s">
        <v>184</v>
      </c>
      <c r="H72" s="211"/>
      <c r="I72" s="211"/>
      <c r="J72" s="211"/>
      <c r="K72" s="215"/>
      <c r="L72" s="136"/>
      <c r="M72" s="216"/>
      <c r="N72" s="216"/>
      <c r="O72" s="216"/>
      <c r="P72" s="216"/>
      <c r="Q72" s="216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/>
      <c r="B74" s="218"/>
      <c r="C74" s="219"/>
      <c r="D74" s="220"/>
      <c r="E74" s="221"/>
      <c r="F74" s="222"/>
      <c r="G74" s="218"/>
      <c r="H74" s="219"/>
      <c r="I74" s="219"/>
      <c r="J74" s="219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24"/>
      <c r="B75" s="225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0" t="s">
        <v>149</v>
      </c>
      <c r="B76" s="231"/>
      <c r="C76" s="211"/>
      <c r="D76" s="212"/>
      <c r="E76" s="232" t="s">
        <v>185</v>
      </c>
      <c r="F76" s="214"/>
      <c r="G76" s="231" t="s">
        <v>185</v>
      </c>
      <c r="H76" s="211"/>
      <c r="I76" s="211"/>
      <c r="J76" s="211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19"/>
      <c r="D77" s="220"/>
      <c r="E77" s="235"/>
      <c r="F77" s="222"/>
      <c r="G77" s="234"/>
      <c r="H77" s="219"/>
      <c r="I77" s="219"/>
      <c r="J77" s="219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33"/>
      <c r="B78" s="234"/>
      <c r="C78" s="226"/>
      <c r="D78" s="227"/>
      <c r="E78" s="236"/>
      <c r="F78" s="229"/>
      <c r="G78" s="237"/>
      <c r="H78" s="226"/>
      <c r="I78" s="226"/>
      <c r="J78" s="226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 t="s">
        <v>150</v>
      </c>
      <c r="B79" s="218"/>
      <c r="C79" s="211"/>
      <c r="D79" s="212"/>
      <c r="E79" s="213" t="s">
        <v>186</v>
      </c>
      <c r="F79" s="214"/>
      <c r="G79" s="210" t="s">
        <v>186</v>
      </c>
      <c r="H79" s="211"/>
      <c r="I79" s="211"/>
      <c r="J79" s="211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x14ac:dyDescent="0.55000000000000004">
      <c r="A80" s="217"/>
      <c r="B80" s="218"/>
      <c r="C80" s="226"/>
      <c r="D80" s="227"/>
      <c r="E80" s="228"/>
      <c r="F80" s="229"/>
      <c r="G80" s="225"/>
      <c r="H80" s="226"/>
      <c r="I80" s="226"/>
      <c r="J80" s="226"/>
      <c r="K80" s="215"/>
      <c r="L80" s="136"/>
      <c r="M80" s="223"/>
      <c r="N80" s="223"/>
      <c r="O80" s="223"/>
      <c r="P80" s="223"/>
      <c r="Q80" s="223"/>
      <c r="R80" s="121"/>
    </row>
    <row r="81" spans="1:18" s="122" customFormat="1" ht="31.5" customHeight="1" thickBot="1" x14ac:dyDescent="0.6">
      <c r="A81" s="238"/>
      <c r="B81" s="239"/>
      <c r="C81" s="239"/>
      <c r="D81" s="239"/>
      <c r="E81" s="239"/>
      <c r="F81" s="239"/>
      <c r="G81" s="239"/>
      <c r="H81" s="239"/>
      <c r="I81" s="239"/>
      <c r="J81" s="239"/>
      <c r="K81" s="240"/>
      <c r="L81" s="241"/>
      <c r="M81" s="242"/>
      <c r="N81" s="242"/>
      <c r="O81" s="242"/>
      <c r="P81" s="242"/>
      <c r="Q81" s="242"/>
      <c r="R81" s="243"/>
    </row>
  </sheetData>
  <mergeCells count="111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9:I9"/>
  </mergeCells>
  <hyperlinks>
    <hyperlink ref="E11" r:id="rId1" xr:uid="{12794C6E-AB59-4164-BCED-332AE27E7753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8BBE-2646-49D5-822D-DAAB5F3DB4C0}">
  <sheetPr>
    <pageSetUpPr fitToPage="1"/>
  </sheetPr>
  <dimension ref="A1:R81"/>
  <sheetViews>
    <sheetView zoomScale="30" zoomScaleNormal="30" workbookViewId="0">
      <selection activeCell="A7" sqref="A7:XFD14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189</v>
      </c>
      <c r="C5" s="16" t="s">
        <v>2</v>
      </c>
      <c r="D5" s="17" t="s">
        <v>190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1" t="s">
        <v>8</v>
      </c>
      <c r="G7" s="252" t="s">
        <v>9</v>
      </c>
      <c r="H7" s="250" t="s">
        <v>10</v>
      </c>
      <c r="I7" s="253" t="s">
        <v>11</v>
      </c>
      <c r="J7" s="249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60691</v>
      </c>
      <c r="D8" s="251" t="s">
        <v>13</v>
      </c>
      <c r="E8" s="258" t="s">
        <v>14</v>
      </c>
      <c r="F8" s="251" t="s">
        <v>15</v>
      </c>
      <c r="G8" s="259" t="s">
        <v>16</v>
      </c>
      <c r="H8" s="251" t="s">
        <v>17</v>
      </c>
      <c r="I8" s="260" t="s">
        <v>18</v>
      </c>
      <c r="J8" s="257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61" t="s">
        <v>4</v>
      </c>
      <c r="B10" s="262"/>
      <c r="C10" s="249" t="s">
        <v>20</v>
      </c>
      <c r="D10" s="250" t="s">
        <v>6</v>
      </c>
      <c r="E10" s="249" t="s">
        <v>21</v>
      </c>
      <c r="F10" s="250" t="s">
        <v>8</v>
      </c>
      <c r="G10" s="252" t="s">
        <v>22</v>
      </c>
      <c r="H10" s="250" t="s">
        <v>10</v>
      </c>
      <c r="I10" s="263" t="s">
        <v>23</v>
      </c>
      <c r="J10" s="264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65" t="s">
        <v>12</v>
      </c>
      <c r="B11" s="266"/>
      <c r="C11" s="257">
        <v>60694</v>
      </c>
      <c r="D11" s="251" t="s">
        <v>13</v>
      </c>
      <c r="E11" s="267" t="s">
        <v>24</v>
      </c>
      <c r="F11" s="251" t="s">
        <v>15</v>
      </c>
      <c r="G11" s="268"/>
      <c r="H11" s="251" t="s">
        <v>17</v>
      </c>
      <c r="I11" s="269" t="s">
        <v>18</v>
      </c>
      <c r="J11" s="27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1" t="s">
        <v>30</v>
      </c>
      <c r="F14" s="46" t="s">
        <v>15</v>
      </c>
      <c r="G14" s="272"/>
      <c r="H14" s="45" t="s">
        <v>17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154</v>
      </c>
      <c r="Q17" s="71" t="s">
        <v>155</v>
      </c>
      <c r="R17" s="72" t="s">
        <v>156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157</v>
      </c>
      <c r="K18" s="78" t="s">
        <v>158</v>
      </c>
      <c r="L18" s="78" t="s">
        <v>159</v>
      </c>
      <c r="M18" s="77" t="s">
        <v>160</v>
      </c>
      <c r="N18" s="77" t="s">
        <v>161</v>
      </c>
      <c r="O18" s="77" t="s">
        <v>162</v>
      </c>
      <c r="P18" s="79"/>
      <c r="Q18" s="79"/>
      <c r="R18" s="80"/>
    </row>
    <row r="19" spans="1:18" s="92" customFormat="1" ht="147" customHeight="1" x14ac:dyDescent="0.25">
      <c r="A19" s="273">
        <v>1</v>
      </c>
      <c r="B19" s="274" t="s">
        <v>48</v>
      </c>
      <c r="C19" s="275">
        <f>0.25 *1.28791886111175</f>
        <v>0.32197971527793751</v>
      </c>
      <c r="D19" s="82" t="s">
        <v>49</v>
      </c>
      <c r="E19" s="83">
        <f>C19/5</f>
        <v>6.4395943055587504E-2</v>
      </c>
      <c r="F19" s="83">
        <f t="shared" ref="F19:F41" si="0">E19/$E$42 * 100</f>
        <v>0.33958946059852668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41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1" si="2">F19*Q19/100</f>
        <v>0</v>
      </c>
    </row>
    <row r="20" spans="1:18" s="92" customFormat="1" ht="147" customHeight="1" x14ac:dyDescent="0.25">
      <c r="A20" s="276"/>
      <c r="B20" s="277"/>
      <c r="C20" s="278"/>
      <c r="D20" s="82" t="s">
        <v>53</v>
      </c>
      <c r="E20" s="83">
        <f>C19/5</f>
        <v>6.4395943055587504E-2</v>
      </c>
      <c r="F20" s="83">
        <f t="shared" si="0"/>
        <v>0.33958946059852668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76"/>
      <c r="B21" s="277"/>
      <c r="C21" s="278"/>
      <c r="D21" s="82" t="s">
        <v>55</v>
      </c>
      <c r="E21" s="83">
        <f>C19/5</f>
        <v>6.4395943055587504E-2</v>
      </c>
      <c r="F21" s="83">
        <f t="shared" si="0"/>
        <v>0.33958946059852668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76"/>
      <c r="B22" s="277"/>
      <c r="C22" s="278"/>
      <c r="D22" s="82" t="s">
        <v>57</v>
      </c>
      <c r="E22" s="83">
        <f>C19/5</f>
        <v>6.4395943055587504E-2</v>
      </c>
      <c r="F22" s="83">
        <f t="shared" si="0"/>
        <v>0.33958946059852668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9"/>
      <c r="B23" s="280"/>
      <c r="C23" s="281"/>
      <c r="D23" s="82" t="s">
        <v>61</v>
      </c>
      <c r="E23" s="83">
        <f>C19/5</f>
        <v>6.4395943055587504E-2</v>
      </c>
      <c r="F23" s="83">
        <f t="shared" si="0"/>
        <v>0.33958946059852668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63</v>
      </c>
      <c r="C24" s="282">
        <f>0.25 *0.77275131666705</f>
        <v>0.1931878291667625</v>
      </c>
      <c r="D24" s="82" t="s">
        <v>64</v>
      </c>
      <c r="E24" s="83">
        <f>C24</f>
        <v>0.1931878291667625</v>
      </c>
      <c r="F24" s="83">
        <f t="shared" si="0"/>
        <v>1.0187683817955799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73">
        <v>2</v>
      </c>
      <c r="B25" s="274" t="s">
        <v>68</v>
      </c>
      <c r="C25" s="275">
        <f>0.25 *68.7196706607483</f>
        <v>17.179917665187077</v>
      </c>
      <c r="D25" s="82" t="s">
        <v>69</v>
      </c>
      <c r="E25" s="83">
        <f>C25/10</f>
        <v>1.7179917665187077</v>
      </c>
      <c r="F25" s="83">
        <f t="shared" si="0"/>
        <v>9.0597616809678279</v>
      </c>
      <c r="G25" s="82" t="s">
        <v>70</v>
      </c>
      <c r="H25" s="93">
        <v>80</v>
      </c>
      <c r="I25" s="93" t="s">
        <v>51</v>
      </c>
      <c r="J25" s="87" t="s">
        <v>71</v>
      </c>
      <c r="K25" s="88">
        <v>80</v>
      </c>
      <c r="L25" s="88">
        <v>75</v>
      </c>
      <c r="M25" s="88">
        <v>70</v>
      </c>
      <c r="N25" s="88">
        <v>50</v>
      </c>
      <c r="O25" s="88" t="s">
        <v>72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76"/>
      <c r="B26" s="277"/>
      <c r="C26" s="278"/>
      <c r="D26" s="82" t="s">
        <v>73</v>
      </c>
      <c r="E26" s="83">
        <f>C25/10</f>
        <v>1.7179917665187077</v>
      </c>
      <c r="F26" s="83">
        <f t="shared" si="0"/>
        <v>9.0597616809678279</v>
      </c>
      <c r="G26" s="82" t="s">
        <v>74</v>
      </c>
      <c r="H26" s="93">
        <v>80</v>
      </c>
      <c r="I26" s="93" t="s">
        <v>51</v>
      </c>
      <c r="J26" s="87" t="s">
        <v>71</v>
      </c>
      <c r="K26" s="88">
        <v>80</v>
      </c>
      <c r="L26" s="88">
        <v>75</v>
      </c>
      <c r="M26" s="88">
        <v>70</v>
      </c>
      <c r="N26" s="88">
        <v>50</v>
      </c>
      <c r="O26" s="88" t="s">
        <v>72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76"/>
      <c r="B27" s="277"/>
      <c r="C27" s="278"/>
      <c r="D27" s="82" t="s">
        <v>75</v>
      </c>
      <c r="E27" s="83">
        <f>C25/10</f>
        <v>1.7179917665187077</v>
      </c>
      <c r="F27" s="83">
        <f t="shared" si="0"/>
        <v>9.0597616809678279</v>
      </c>
      <c r="G27" s="82" t="s">
        <v>76</v>
      </c>
      <c r="H27" s="94">
        <v>0.9</v>
      </c>
      <c r="I27" s="93" t="s">
        <v>51</v>
      </c>
      <c r="J27" s="87" t="s">
        <v>77</v>
      </c>
      <c r="K27" s="88">
        <v>90</v>
      </c>
      <c r="L27" s="88">
        <v>80</v>
      </c>
      <c r="M27" s="88">
        <v>70</v>
      </c>
      <c r="N27" s="88">
        <v>50</v>
      </c>
      <c r="O27" s="88" t="s">
        <v>72</v>
      </c>
      <c r="P27" s="89"/>
      <c r="Q27" s="90">
        <f t="shared" si="1"/>
        <v>0</v>
      </c>
      <c r="R27" s="91">
        <f t="shared" si="2"/>
        <v>0</v>
      </c>
    </row>
    <row r="28" spans="1:18" s="92" customFormat="1" ht="147" customHeight="1" x14ac:dyDescent="0.25">
      <c r="A28" s="276"/>
      <c r="B28" s="277"/>
      <c r="C28" s="278"/>
      <c r="D28" s="82" t="s">
        <v>78</v>
      </c>
      <c r="E28" s="83">
        <f>C25/10</f>
        <v>1.7179917665187077</v>
      </c>
      <c r="F28" s="83">
        <f t="shared" si="0"/>
        <v>9.0597616809678279</v>
      </c>
      <c r="G28" s="82" t="s">
        <v>79</v>
      </c>
      <c r="H28" s="93">
        <v>80</v>
      </c>
      <c r="I28" s="93" t="s">
        <v>51</v>
      </c>
      <c r="J28" s="87" t="s">
        <v>71</v>
      </c>
      <c r="K28" s="88">
        <v>80</v>
      </c>
      <c r="L28" s="88">
        <v>75</v>
      </c>
      <c r="M28" s="88">
        <v>70</v>
      </c>
      <c r="N28" s="88">
        <v>50</v>
      </c>
      <c r="O28" s="88" t="s">
        <v>72</v>
      </c>
      <c r="P28" s="89"/>
      <c r="Q28" s="90">
        <f t="shared" si="1"/>
        <v>0</v>
      </c>
      <c r="R28" s="91">
        <f t="shared" si="2"/>
        <v>0</v>
      </c>
    </row>
    <row r="29" spans="1:18" s="92" customFormat="1" ht="147" customHeight="1" x14ac:dyDescent="0.25">
      <c r="A29" s="276"/>
      <c r="B29" s="277"/>
      <c r="C29" s="278"/>
      <c r="D29" s="82" t="s">
        <v>80</v>
      </c>
      <c r="E29" s="83">
        <f>C25/10</f>
        <v>1.7179917665187077</v>
      </c>
      <c r="F29" s="83">
        <f t="shared" si="0"/>
        <v>9.0597616809678279</v>
      </c>
      <c r="G29" s="82" t="s">
        <v>81</v>
      </c>
      <c r="H29" s="94">
        <v>0.9</v>
      </c>
      <c r="I29" s="93" t="s">
        <v>51</v>
      </c>
      <c r="J29" s="87" t="s">
        <v>77</v>
      </c>
      <c r="K29" s="88">
        <v>90</v>
      </c>
      <c r="L29" s="88">
        <v>80</v>
      </c>
      <c r="M29" s="88">
        <v>70</v>
      </c>
      <c r="N29" s="88">
        <v>50</v>
      </c>
      <c r="O29" s="88" t="s">
        <v>72</v>
      </c>
      <c r="P29" s="89"/>
      <c r="Q29" s="90">
        <f t="shared" si="1"/>
        <v>0</v>
      </c>
      <c r="R29" s="91">
        <f t="shared" si="2"/>
        <v>0</v>
      </c>
    </row>
    <row r="30" spans="1:18" s="92" customFormat="1" ht="147" customHeight="1" x14ac:dyDescent="0.25">
      <c r="A30" s="276"/>
      <c r="B30" s="277"/>
      <c r="C30" s="278"/>
      <c r="D30" s="82" t="s">
        <v>82</v>
      </c>
      <c r="E30" s="83">
        <f>C25/10</f>
        <v>1.7179917665187077</v>
      </c>
      <c r="F30" s="83">
        <f t="shared" si="0"/>
        <v>9.0597616809678279</v>
      </c>
      <c r="G30" s="82" t="s">
        <v>83</v>
      </c>
      <c r="H30" s="94">
        <v>0.8</v>
      </c>
      <c r="I30" s="93" t="s">
        <v>51</v>
      </c>
      <c r="J30" s="87" t="s">
        <v>71</v>
      </c>
      <c r="K30" s="88">
        <v>80</v>
      </c>
      <c r="L30" s="88">
        <v>75</v>
      </c>
      <c r="M30" s="88">
        <v>70</v>
      </c>
      <c r="N30" s="88">
        <v>50</v>
      </c>
      <c r="O30" s="88" t="s">
        <v>72</v>
      </c>
      <c r="P30" s="89"/>
      <c r="Q30" s="90">
        <f t="shared" si="1"/>
        <v>0</v>
      </c>
      <c r="R30" s="91">
        <f t="shared" si="2"/>
        <v>0</v>
      </c>
    </row>
    <row r="31" spans="1:18" s="92" customFormat="1" ht="147" customHeight="1" x14ac:dyDescent="0.25">
      <c r="A31" s="276"/>
      <c r="B31" s="277"/>
      <c r="C31" s="278"/>
      <c r="D31" s="82" t="s">
        <v>84</v>
      </c>
      <c r="E31" s="83">
        <f>C25/10</f>
        <v>1.7179917665187077</v>
      </c>
      <c r="F31" s="83">
        <f t="shared" si="0"/>
        <v>9.0597616809678279</v>
      </c>
      <c r="G31" s="82" t="s">
        <v>85</v>
      </c>
      <c r="H31" s="94">
        <v>0.9</v>
      </c>
      <c r="I31" s="93" t="s">
        <v>51</v>
      </c>
      <c r="J31" s="87" t="s">
        <v>77</v>
      </c>
      <c r="K31" s="88">
        <v>90</v>
      </c>
      <c r="L31" s="88">
        <v>80</v>
      </c>
      <c r="M31" s="88">
        <v>70</v>
      </c>
      <c r="N31" s="88">
        <v>50</v>
      </c>
      <c r="O31" s="88" t="s">
        <v>72</v>
      </c>
      <c r="P31" s="89"/>
      <c r="Q31" s="90">
        <f t="shared" si="1"/>
        <v>0</v>
      </c>
      <c r="R31" s="91">
        <f t="shared" si="2"/>
        <v>0</v>
      </c>
    </row>
    <row r="32" spans="1:18" s="92" customFormat="1" ht="147" customHeight="1" x14ac:dyDescent="0.25">
      <c r="A32" s="276"/>
      <c r="B32" s="277"/>
      <c r="C32" s="278"/>
      <c r="D32" s="82" t="s">
        <v>86</v>
      </c>
      <c r="E32" s="83">
        <f>C25/10</f>
        <v>1.7179917665187077</v>
      </c>
      <c r="F32" s="83">
        <f t="shared" si="0"/>
        <v>9.0597616809678279</v>
      </c>
      <c r="G32" s="82" t="s">
        <v>87</v>
      </c>
      <c r="H32" s="94">
        <v>0.8</v>
      </c>
      <c r="I32" s="93" t="s">
        <v>51</v>
      </c>
      <c r="J32" s="87" t="s">
        <v>71</v>
      </c>
      <c r="K32" s="88">
        <v>80</v>
      </c>
      <c r="L32" s="88">
        <v>75</v>
      </c>
      <c r="M32" s="88">
        <v>70</v>
      </c>
      <c r="N32" s="88">
        <v>50</v>
      </c>
      <c r="O32" s="88" t="s">
        <v>72</v>
      </c>
      <c r="P32" s="89"/>
      <c r="Q32" s="90">
        <f t="shared" si="1"/>
        <v>0</v>
      </c>
      <c r="R32" s="91">
        <f t="shared" si="2"/>
        <v>0</v>
      </c>
    </row>
    <row r="33" spans="1:18" s="92" customFormat="1" ht="147" customHeight="1" x14ac:dyDescent="0.25">
      <c r="A33" s="276"/>
      <c r="B33" s="277"/>
      <c r="C33" s="278"/>
      <c r="D33" s="82" t="s">
        <v>88</v>
      </c>
      <c r="E33" s="83">
        <f>C25/10</f>
        <v>1.7179917665187077</v>
      </c>
      <c r="F33" s="83">
        <f t="shared" si="0"/>
        <v>9.0597616809678279</v>
      </c>
      <c r="G33" s="82" t="s">
        <v>89</v>
      </c>
      <c r="H33" s="94">
        <v>0.8</v>
      </c>
      <c r="I33" s="93" t="s">
        <v>51</v>
      </c>
      <c r="J33" s="87" t="s">
        <v>71</v>
      </c>
      <c r="K33" s="88">
        <v>80</v>
      </c>
      <c r="L33" s="88">
        <v>75</v>
      </c>
      <c r="M33" s="88">
        <v>70</v>
      </c>
      <c r="N33" s="88">
        <v>50</v>
      </c>
      <c r="O33" s="88" t="s">
        <v>72</v>
      </c>
      <c r="P33" s="89"/>
      <c r="Q33" s="90">
        <f t="shared" si="1"/>
        <v>0</v>
      </c>
      <c r="R33" s="91">
        <f t="shared" si="2"/>
        <v>0</v>
      </c>
    </row>
    <row r="34" spans="1:18" s="92" customFormat="1" ht="147" customHeight="1" x14ac:dyDescent="0.25">
      <c r="A34" s="279"/>
      <c r="B34" s="280"/>
      <c r="C34" s="281"/>
      <c r="D34" s="82" t="s">
        <v>90</v>
      </c>
      <c r="E34" s="83">
        <f>C25/10</f>
        <v>1.7179917665187077</v>
      </c>
      <c r="F34" s="83">
        <f t="shared" si="0"/>
        <v>9.0597616809678279</v>
      </c>
      <c r="G34" s="82" t="s">
        <v>91</v>
      </c>
      <c r="H34" s="94">
        <v>0.9</v>
      </c>
      <c r="I34" s="93" t="s">
        <v>51</v>
      </c>
      <c r="J34" s="87" t="s">
        <v>77</v>
      </c>
      <c r="K34" s="88">
        <v>90</v>
      </c>
      <c r="L34" s="88">
        <v>80</v>
      </c>
      <c r="M34" s="88">
        <v>70</v>
      </c>
      <c r="N34" s="88">
        <v>50</v>
      </c>
      <c r="O34" s="88" t="s">
        <v>72</v>
      </c>
      <c r="P34" s="89"/>
      <c r="Q34" s="90">
        <f t="shared" si="1"/>
        <v>0</v>
      </c>
      <c r="R34" s="91">
        <f t="shared" si="2"/>
        <v>0</v>
      </c>
    </row>
    <row r="35" spans="1:18" s="92" customFormat="1" ht="147" customHeight="1" x14ac:dyDescent="0.25">
      <c r="A35" s="81">
        <v>5</v>
      </c>
      <c r="B35" s="82" t="s">
        <v>92</v>
      </c>
      <c r="C35" s="95">
        <f>0.25 *1.20742393229227</f>
        <v>0.30185598307306749</v>
      </c>
      <c r="D35" s="82" t="s">
        <v>93</v>
      </c>
      <c r="E35" s="83">
        <f>C35</f>
        <v>0.30185598307306749</v>
      </c>
      <c r="F35" s="83">
        <f t="shared" si="0"/>
        <v>1.5918255965555992</v>
      </c>
      <c r="G35" s="84" t="s">
        <v>94</v>
      </c>
      <c r="H35" s="93">
        <v>5</v>
      </c>
      <c r="I35" s="86" t="s">
        <v>59</v>
      </c>
      <c r="J35" s="87" t="s">
        <v>60</v>
      </c>
      <c r="K35" s="88">
        <v>5</v>
      </c>
      <c r="L35" s="88">
        <v>4</v>
      </c>
      <c r="M35" s="88">
        <v>3</v>
      </c>
      <c r="N35" s="88">
        <v>2</v>
      </c>
      <c r="O35" s="88">
        <v>1</v>
      </c>
      <c r="P35" s="89"/>
      <c r="Q35" s="90">
        <f t="shared" si="1"/>
        <v>0</v>
      </c>
      <c r="R35" s="91">
        <f t="shared" si="2"/>
        <v>0</v>
      </c>
    </row>
    <row r="36" spans="1:18" s="92" customFormat="1" ht="147" customHeight="1" x14ac:dyDescent="0.25">
      <c r="A36" s="273">
        <v>7</v>
      </c>
      <c r="B36" s="274" t="s">
        <v>95</v>
      </c>
      <c r="C36" s="283">
        <f>0.25 *2.41484786458453</f>
        <v>0.60371196614613254</v>
      </c>
      <c r="D36" s="82" t="s">
        <v>96</v>
      </c>
      <c r="E36" s="83">
        <f>C36/2</f>
        <v>0.30185598307306627</v>
      </c>
      <c r="F36" s="83">
        <f t="shared" si="0"/>
        <v>1.591825596555593</v>
      </c>
      <c r="G36" s="84" t="s">
        <v>97</v>
      </c>
      <c r="H36" s="93">
        <v>5</v>
      </c>
      <c r="I36" s="93" t="s">
        <v>59</v>
      </c>
      <c r="J36" s="87" t="s">
        <v>60</v>
      </c>
      <c r="K36" s="88">
        <v>5</v>
      </c>
      <c r="L36" s="88">
        <v>4</v>
      </c>
      <c r="M36" s="88">
        <v>3</v>
      </c>
      <c r="N36" s="88">
        <v>2</v>
      </c>
      <c r="O36" s="88">
        <v>1</v>
      </c>
      <c r="P36" s="89"/>
      <c r="Q36" s="90">
        <f t="shared" si="1"/>
        <v>0</v>
      </c>
      <c r="R36" s="91">
        <f t="shared" si="2"/>
        <v>0</v>
      </c>
    </row>
    <row r="37" spans="1:18" s="92" customFormat="1" ht="147" customHeight="1" x14ac:dyDescent="0.25">
      <c r="A37" s="279"/>
      <c r="B37" s="280"/>
      <c r="C37" s="284"/>
      <c r="D37" s="82" t="s">
        <v>98</v>
      </c>
      <c r="E37" s="83">
        <f>C36/2</f>
        <v>0.30185598307306627</v>
      </c>
      <c r="F37" s="83">
        <f t="shared" si="0"/>
        <v>1.591825596555593</v>
      </c>
      <c r="G37" s="84" t="s">
        <v>99</v>
      </c>
      <c r="H37" s="94">
        <v>0.8</v>
      </c>
      <c r="I37" s="93" t="s">
        <v>51</v>
      </c>
      <c r="J37" s="87" t="s">
        <v>71</v>
      </c>
      <c r="K37" s="88">
        <v>80</v>
      </c>
      <c r="L37" s="88">
        <v>75</v>
      </c>
      <c r="M37" s="88">
        <v>70</v>
      </c>
      <c r="N37" s="88">
        <v>50</v>
      </c>
      <c r="O37" s="88" t="s">
        <v>72</v>
      </c>
      <c r="P37" s="89"/>
      <c r="Q37" s="90">
        <f t="shared" si="1"/>
        <v>0</v>
      </c>
      <c r="R37" s="91">
        <f t="shared" si="2"/>
        <v>0</v>
      </c>
    </row>
    <row r="38" spans="1:18" s="92" customFormat="1" ht="147" customHeight="1" x14ac:dyDescent="0.25">
      <c r="A38" s="273">
        <v>8</v>
      </c>
      <c r="B38" s="274" t="s">
        <v>100</v>
      </c>
      <c r="C38" s="283">
        <f>0.25 *0.804949288194844</f>
        <v>0.201237322048711</v>
      </c>
      <c r="D38" s="82" t="s">
        <v>101</v>
      </c>
      <c r="E38" s="83">
        <f>C38/2</f>
        <v>0.1006186610243555</v>
      </c>
      <c r="F38" s="83">
        <f t="shared" si="0"/>
        <v>0.53060853218519799</v>
      </c>
      <c r="G38" s="84" t="s">
        <v>102</v>
      </c>
      <c r="H38" s="93">
        <v>5</v>
      </c>
      <c r="I38" s="93" t="s">
        <v>59</v>
      </c>
      <c r="J38" s="87" t="s">
        <v>60</v>
      </c>
      <c r="K38" s="88">
        <v>5</v>
      </c>
      <c r="L38" s="88">
        <v>4</v>
      </c>
      <c r="M38" s="88">
        <v>3</v>
      </c>
      <c r="N38" s="88">
        <v>2</v>
      </c>
      <c r="O38" s="88">
        <v>1</v>
      </c>
      <c r="P38" s="89"/>
      <c r="Q38" s="90">
        <f t="shared" si="1"/>
        <v>0</v>
      </c>
      <c r="R38" s="91">
        <f t="shared" si="2"/>
        <v>0</v>
      </c>
    </row>
    <row r="39" spans="1:18" s="92" customFormat="1" ht="147" customHeight="1" x14ac:dyDescent="0.25">
      <c r="A39" s="279"/>
      <c r="B39" s="280"/>
      <c r="C39" s="284"/>
      <c r="D39" s="82" t="s">
        <v>103</v>
      </c>
      <c r="E39" s="83">
        <f>C38/2</f>
        <v>0.1006186610243555</v>
      </c>
      <c r="F39" s="83">
        <f t="shared" si="0"/>
        <v>0.53060853218519799</v>
      </c>
      <c r="G39" s="84" t="s">
        <v>104</v>
      </c>
      <c r="H39" s="94">
        <v>0.8</v>
      </c>
      <c r="I39" s="93" t="s">
        <v>51</v>
      </c>
      <c r="J39" s="87" t="s">
        <v>71</v>
      </c>
      <c r="K39" s="88">
        <v>80</v>
      </c>
      <c r="L39" s="88">
        <v>75</v>
      </c>
      <c r="M39" s="88">
        <v>70</v>
      </c>
      <c r="N39" s="88">
        <v>50</v>
      </c>
      <c r="O39" s="88" t="s">
        <v>72</v>
      </c>
      <c r="P39" s="89"/>
      <c r="Q39" s="90">
        <f t="shared" ref="Q39:Q40" si="3">IF(OR(TRIM(P39)="",P39=0),0,
IF(P39&lt;N39,50,
IF(P39&lt;M39,60,
IF(P39&lt;L39,70,
IF(P39&lt;K39,80,
IF(ISNUMBER(J39),
    IF(P39&lt;J39,IF(P39&gt;=K39,90,80),100),
    IF(P39=K39,90,100)
))))))</f>
        <v>0</v>
      </c>
      <c r="R39" s="91">
        <f t="shared" ref="R39:R40" si="4">F39*Q39/100</f>
        <v>0</v>
      </c>
    </row>
    <row r="40" spans="1:18" s="92" customFormat="1" ht="147" customHeight="1" x14ac:dyDescent="0.25">
      <c r="A40" s="81">
        <v>10</v>
      </c>
      <c r="B40" s="82" t="s">
        <v>105</v>
      </c>
      <c r="C40" s="95">
        <f>0.25 *0.321979715277938</f>
        <v>8.0494928819484501E-2</v>
      </c>
      <c r="D40" s="285" t="s">
        <v>106</v>
      </c>
      <c r="E40" s="83">
        <f>C40</f>
        <v>8.0494928819484501E-2</v>
      </c>
      <c r="F40" s="83">
        <f t="shared" si="0"/>
        <v>0.42448682574815894</v>
      </c>
      <c r="G40" s="84" t="s">
        <v>107</v>
      </c>
      <c r="H40" s="85">
        <v>0.7</v>
      </c>
      <c r="I40" s="93" t="s">
        <v>51</v>
      </c>
      <c r="J40" s="87" t="s">
        <v>108</v>
      </c>
      <c r="K40" s="88">
        <v>70</v>
      </c>
      <c r="L40" s="88">
        <v>60</v>
      </c>
      <c r="M40" s="88">
        <v>50</v>
      </c>
      <c r="N40" s="88">
        <v>40</v>
      </c>
      <c r="O40" s="88" t="s">
        <v>109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81"/>
      <c r="B41" s="82" t="s">
        <v>110</v>
      </c>
      <c r="C41" s="95">
        <f>0.25 *0.321979715277938</f>
        <v>8.0494928819484501E-2</v>
      </c>
      <c r="D41" s="84" t="s">
        <v>111</v>
      </c>
      <c r="E41" s="83">
        <f>C41</f>
        <v>8.0494928819484501E-2</v>
      </c>
      <c r="F41" s="83">
        <f t="shared" si="0"/>
        <v>0.42448682574815894</v>
      </c>
      <c r="G41" s="84" t="s">
        <v>112</v>
      </c>
      <c r="H41" s="85">
        <v>0.5</v>
      </c>
      <c r="I41" s="86" t="s">
        <v>51</v>
      </c>
      <c r="J41" s="87" t="s">
        <v>66</v>
      </c>
      <c r="K41" s="88">
        <v>50</v>
      </c>
      <c r="L41" s="88">
        <v>45</v>
      </c>
      <c r="M41" s="88">
        <v>40</v>
      </c>
      <c r="N41" s="88">
        <v>25</v>
      </c>
      <c r="O41" s="88" t="s">
        <v>67</v>
      </c>
      <c r="P41" s="89">
        <v>0</v>
      </c>
      <c r="Q41" s="90">
        <f t="shared" si="1"/>
        <v>0</v>
      </c>
      <c r="R41" s="91">
        <f t="shared" si="2"/>
        <v>0</v>
      </c>
    </row>
    <row r="42" spans="1:18" s="106" customFormat="1" ht="44.25" x14ac:dyDescent="0.25">
      <c r="A42" s="96"/>
      <c r="B42" s="97" t="s">
        <v>113</v>
      </c>
      <c r="C42" s="98">
        <f>SUM(C19:C41)</f>
        <v>18.962880338538657</v>
      </c>
      <c r="D42" s="97"/>
      <c r="E42" s="98">
        <f>SUM(E19:E41)</f>
        <v>18.96288033853866</v>
      </c>
      <c r="F42" s="98">
        <f>SUM(F19:F41)</f>
        <v>99.999999999999972</v>
      </c>
      <c r="G42" s="99"/>
      <c r="H42" s="100"/>
      <c r="I42" s="101"/>
      <c r="J42" s="102"/>
      <c r="K42" s="102"/>
      <c r="L42" s="102"/>
      <c r="M42" s="102"/>
      <c r="N42" s="102"/>
      <c r="O42" s="102"/>
      <c r="P42" s="103"/>
      <c r="Q42" s="104"/>
      <c r="R42" s="105">
        <f>SUM(R19:R41)</f>
        <v>0</v>
      </c>
    </row>
    <row r="43" spans="1:18" s="108" customFormat="1" ht="66" customHeight="1" x14ac:dyDescent="0.7">
      <c r="A43" s="107"/>
      <c r="G43" s="109"/>
      <c r="H43" s="109"/>
      <c r="I43" s="110" t="s">
        <v>163</v>
      </c>
      <c r="J43" s="111"/>
      <c r="K43" s="111"/>
      <c r="L43" s="111"/>
      <c r="M43" s="111"/>
      <c r="N43" s="111"/>
      <c r="O43" s="111"/>
      <c r="P43" s="111"/>
      <c r="Q43" s="112"/>
      <c r="R43" s="113">
        <f>R42/100 * 70</f>
        <v>0</v>
      </c>
    </row>
    <row r="44" spans="1:18" s="122" customFormat="1" ht="36" x14ac:dyDescent="0.55000000000000004">
      <c r="A44" s="114" t="s">
        <v>114</v>
      </c>
      <c r="B44" s="115"/>
      <c r="C44" s="115"/>
      <c r="D44" s="115"/>
      <c r="E44" s="115"/>
      <c r="F44" s="115"/>
      <c r="G44" s="116"/>
      <c r="H44" s="117"/>
      <c r="I44" s="117"/>
      <c r="J44" s="117"/>
      <c r="K44" s="117"/>
      <c r="L44" s="71" t="s">
        <v>119</v>
      </c>
      <c r="M44" s="118" t="s">
        <v>115</v>
      </c>
      <c r="N44" s="118"/>
      <c r="O44" s="118"/>
      <c r="P44" s="119"/>
      <c r="Q44" s="120"/>
      <c r="R44" s="121"/>
    </row>
    <row r="45" spans="1:18" s="122" customFormat="1" ht="31.5" customHeight="1" x14ac:dyDescent="0.55000000000000004">
      <c r="A45" s="123"/>
      <c r="B45" s="124"/>
      <c r="C45" s="125" t="s">
        <v>116</v>
      </c>
      <c r="D45" s="125"/>
      <c r="E45" s="125"/>
      <c r="F45" s="125"/>
      <c r="G45" s="125"/>
      <c r="H45" s="126" t="s">
        <v>164</v>
      </c>
      <c r="I45" s="126" t="s">
        <v>165</v>
      </c>
      <c r="J45" s="126"/>
      <c r="K45" s="127"/>
      <c r="L45" s="79"/>
      <c r="M45" s="128"/>
      <c r="N45" s="128"/>
      <c r="O45" s="128"/>
      <c r="P45" s="129"/>
      <c r="Q45" s="120"/>
      <c r="R45" s="121"/>
    </row>
    <row r="46" spans="1:18" s="122" customFormat="1" ht="36" customHeight="1" x14ac:dyDescent="0.55000000000000004">
      <c r="A46" s="130">
        <v>1</v>
      </c>
      <c r="B46" s="131" t="s">
        <v>120</v>
      </c>
      <c r="C46" s="132"/>
      <c r="D46" s="133"/>
      <c r="E46" s="133"/>
      <c r="F46" s="133"/>
      <c r="G46" s="134"/>
      <c r="H46" s="135"/>
      <c r="I46" s="135"/>
      <c r="J46" s="135"/>
      <c r="K46" s="135"/>
      <c r="L46" s="136"/>
      <c r="M46" s="137" t="s">
        <v>42</v>
      </c>
      <c r="N46" s="138" t="s">
        <v>121</v>
      </c>
      <c r="O46" s="139"/>
      <c r="P46" s="129"/>
      <c r="Q46" s="120"/>
      <c r="R46" s="121"/>
    </row>
    <row r="47" spans="1:18" s="122" customFormat="1" ht="84.75" customHeight="1" x14ac:dyDescent="0.55000000000000004">
      <c r="A47" s="140" t="s">
        <v>122</v>
      </c>
      <c r="B47" s="141" t="s">
        <v>166</v>
      </c>
      <c r="C47" s="142"/>
      <c r="D47" s="143"/>
      <c r="E47" s="143"/>
      <c r="F47" s="143"/>
      <c r="G47" s="144"/>
      <c r="H47" s="145">
        <v>4</v>
      </c>
      <c r="I47" s="146"/>
      <c r="J47" s="145"/>
      <c r="K47" s="145"/>
      <c r="L47" s="136"/>
      <c r="M47" s="137" t="s">
        <v>43</v>
      </c>
      <c r="N47" s="138" t="s">
        <v>123</v>
      </c>
      <c r="O47" s="139"/>
      <c r="P47" s="129"/>
      <c r="Q47" s="120"/>
      <c r="R47" s="121"/>
    </row>
    <row r="48" spans="1:18" s="122" customFormat="1" ht="82.5" customHeight="1" x14ac:dyDescent="0.55000000000000004">
      <c r="A48" s="140" t="s">
        <v>124</v>
      </c>
      <c r="B48" s="141" t="s">
        <v>167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44</v>
      </c>
      <c r="N48" s="138" t="s">
        <v>125</v>
      </c>
      <c r="O48" s="139"/>
      <c r="P48" s="129"/>
      <c r="Q48" s="120"/>
      <c r="R48" s="121"/>
    </row>
    <row r="49" spans="1:18" s="122" customFormat="1" ht="78.75" customHeight="1" x14ac:dyDescent="0.55000000000000004">
      <c r="A49" s="140" t="s">
        <v>126</v>
      </c>
      <c r="B49" s="141" t="s">
        <v>127</v>
      </c>
      <c r="C49" s="142"/>
      <c r="D49" s="143"/>
      <c r="E49" s="143"/>
      <c r="F49" s="143"/>
      <c r="G49" s="144"/>
      <c r="H49" s="145">
        <v>2</v>
      </c>
      <c r="I49" s="146"/>
      <c r="J49" s="145"/>
      <c r="K49" s="145"/>
      <c r="L49" s="136"/>
      <c r="M49" s="137" t="s">
        <v>45</v>
      </c>
      <c r="N49" s="138" t="s">
        <v>128</v>
      </c>
      <c r="O49" s="139"/>
      <c r="P49" s="129"/>
      <c r="Q49" s="120"/>
      <c r="R49" s="121"/>
    </row>
    <row r="50" spans="1:18" s="122" customFormat="1" ht="36" x14ac:dyDescent="0.55000000000000004">
      <c r="A50" s="147">
        <v>2</v>
      </c>
      <c r="B50" s="148" t="s">
        <v>129</v>
      </c>
      <c r="C50" s="149"/>
      <c r="D50" s="150"/>
      <c r="E50" s="150"/>
      <c r="F50" s="150"/>
      <c r="G50" s="151"/>
      <c r="H50" s="145"/>
      <c r="I50" s="146"/>
      <c r="J50" s="145"/>
      <c r="K50" s="145"/>
      <c r="L50" s="136"/>
      <c r="M50" s="137" t="s">
        <v>46</v>
      </c>
      <c r="N50" s="138" t="s">
        <v>130</v>
      </c>
      <c r="O50" s="139"/>
      <c r="P50" s="129"/>
      <c r="Q50" s="120"/>
      <c r="R50" s="121"/>
    </row>
    <row r="51" spans="1:18" s="122" customFormat="1" ht="82.5" customHeight="1" x14ac:dyDescent="0.55000000000000004">
      <c r="A51" s="140" t="s">
        <v>122</v>
      </c>
      <c r="B51" s="152" t="s">
        <v>168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37" t="s">
        <v>47</v>
      </c>
      <c r="N51" s="138" t="s">
        <v>131</v>
      </c>
      <c r="O51" s="139"/>
      <c r="P51" s="156"/>
      <c r="Q51" s="120"/>
      <c r="R51" s="121"/>
    </row>
    <row r="52" spans="1:18" s="122" customFormat="1" ht="114.75" customHeight="1" x14ac:dyDescent="0.55000000000000004">
      <c r="A52" s="140" t="s">
        <v>124</v>
      </c>
      <c r="B52" s="152" t="s">
        <v>169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119</v>
      </c>
      <c r="N52" s="157" t="s">
        <v>132</v>
      </c>
      <c r="O52" s="158"/>
      <c r="P52" s="156"/>
      <c r="Q52" s="120"/>
      <c r="R52" s="121"/>
    </row>
    <row r="53" spans="1:18" s="122" customFormat="1" ht="72" customHeight="1" x14ac:dyDescent="0.55000000000000004">
      <c r="A53" s="140" t="s">
        <v>126</v>
      </c>
      <c r="B53" s="152" t="s">
        <v>170</v>
      </c>
      <c r="C53" s="153"/>
      <c r="D53" s="154"/>
      <c r="E53" s="154"/>
      <c r="F53" s="154"/>
      <c r="G53" s="155"/>
      <c r="H53" s="145">
        <v>2</v>
      </c>
      <c r="I53" s="146"/>
      <c r="J53" s="145"/>
      <c r="K53" s="145"/>
      <c r="L53" s="136"/>
      <c r="M53" s="129" t="s">
        <v>133</v>
      </c>
      <c r="N53" s="157" t="s">
        <v>134</v>
      </c>
      <c r="O53" s="158"/>
      <c r="P53" s="156"/>
      <c r="Q53" s="120"/>
      <c r="R53" s="121"/>
    </row>
    <row r="54" spans="1:18" s="122" customFormat="1" ht="66" customHeight="1" x14ac:dyDescent="0.55000000000000004">
      <c r="A54" s="147">
        <v>3</v>
      </c>
      <c r="B54" s="148" t="s">
        <v>135</v>
      </c>
      <c r="C54" s="149"/>
      <c r="D54" s="150"/>
      <c r="E54" s="150"/>
      <c r="F54" s="150"/>
      <c r="G54" s="151"/>
      <c r="H54" s="145"/>
      <c r="I54" s="146"/>
      <c r="J54" s="145"/>
      <c r="K54" s="145"/>
      <c r="L54" s="136"/>
      <c r="M54" s="129" t="s">
        <v>117</v>
      </c>
      <c r="N54" s="157" t="s">
        <v>136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122</v>
      </c>
      <c r="B55" s="152" t="s">
        <v>137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118</v>
      </c>
      <c r="N55" s="157" t="s">
        <v>138</v>
      </c>
      <c r="O55" s="158"/>
      <c r="P55" s="156"/>
      <c r="Q55" s="120"/>
      <c r="R55" s="121"/>
    </row>
    <row r="56" spans="1:18" s="122" customFormat="1" ht="72" customHeight="1" x14ac:dyDescent="0.55000000000000004">
      <c r="A56" s="140" t="s">
        <v>124</v>
      </c>
      <c r="B56" s="152" t="s">
        <v>171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29" t="s">
        <v>139</v>
      </c>
      <c r="N56" s="157" t="s">
        <v>140</v>
      </c>
      <c r="O56" s="158"/>
      <c r="P56" s="156"/>
      <c r="Q56" s="120"/>
      <c r="R56" s="121"/>
    </row>
    <row r="57" spans="1:18" s="122" customFormat="1" ht="44.25" customHeight="1" x14ac:dyDescent="0.55000000000000004">
      <c r="A57" s="140" t="s">
        <v>126</v>
      </c>
      <c r="B57" s="152" t="s">
        <v>172</v>
      </c>
      <c r="C57" s="159"/>
      <c r="D57" s="160"/>
      <c r="E57" s="160"/>
      <c r="F57" s="160"/>
      <c r="G57" s="161"/>
      <c r="H57" s="145">
        <v>2</v>
      </c>
      <c r="I57" s="146"/>
      <c r="J57" s="145"/>
      <c r="K57" s="145"/>
      <c r="L57" s="136"/>
      <c r="M57" s="162"/>
      <c r="N57" s="162"/>
      <c r="O57" s="162"/>
      <c r="P57" s="163"/>
      <c r="Q57" s="120"/>
      <c r="R57" s="121"/>
    </row>
    <row r="58" spans="1:18" s="122" customFormat="1" ht="31.5" customHeight="1" x14ac:dyDescent="0.55000000000000004">
      <c r="A58" s="164" t="s">
        <v>141</v>
      </c>
      <c r="B58" s="165"/>
      <c r="C58" s="165"/>
      <c r="D58" s="165"/>
      <c r="E58" s="165"/>
      <c r="F58" s="165"/>
      <c r="G58" s="165"/>
      <c r="H58" s="166">
        <f>SUM(H47:H57)</f>
        <v>20</v>
      </c>
      <c r="I58" s="166">
        <f>SUM(I47:I57)</f>
        <v>0</v>
      </c>
      <c r="J58" s="166"/>
      <c r="K58" s="167"/>
      <c r="L58" s="136"/>
      <c r="M58" s="162"/>
      <c r="N58" s="162"/>
      <c r="O58" s="162"/>
      <c r="P58" s="163"/>
      <c r="Q58" s="120"/>
      <c r="R58" s="121"/>
    </row>
    <row r="59" spans="1:18" s="122" customFormat="1" ht="36" customHeight="1" x14ac:dyDescent="0.55000000000000004">
      <c r="A59" s="168" t="s">
        <v>122</v>
      </c>
      <c r="B59" s="169" t="s">
        <v>142</v>
      </c>
      <c r="C59" s="153" t="s">
        <v>143</v>
      </c>
      <c r="D59" s="154"/>
      <c r="E59" s="154"/>
      <c r="F59" s="154"/>
      <c r="G59" s="155"/>
      <c r="H59" s="170">
        <v>4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129" customHeight="1" x14ac:dyDescent="0.55000000000000004">
      <c r="A60" s="168" t="s">
        <v>124</v>
      </c>
      <c r="B60" s="169" t="s">
        <v>144</v>
      </c>
      <c r="C60" s="153" t="s">
        <v>145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69" customHeight="1" x14ac:dyDescent="0.55000000000000004">
      <c r="A61" s="168" t="s">
        <v>124</v>
      </c>
      <c r="B61" s="169" t="s">
        <v>146</v>
      </c>
      <c r="C61" s="153" t="s">
        <v>147</v>
      </c>
      <c r="D61" s="154"/>
      <c r="E61" s="154"/>
      <c r="F61" s="154"/>
      <c r="G61" s="155"/>
      <c r="H61" s="170">
        <v>3</v>
      </c>
      <c r="I61" s="171"/>
      <c r="J61" s="170"/>
      <c r="K61" s="172"/>
      <c r="L61" s="136"/>
      <c r="M61" s="162"/>
      <c r="N61" s="162"/>
      <c r="O61" s="162"/>
      <c r="P61" s="163"/>
      <c r="Q61" s="120"/>
      <c r="R61" s="121"/>
    </row>
    <row r="62" spans="1:18" s="122" customFormat="1" ht="46.5" customHeight="1" x14ac:dyDescent="0.55000000000000004">
      <c r="A62" s="173"/>
      <c r="B62" s="174" t="s">
        <v>148</v>
      </c>
      <c r="C62" s="174"/>
      <c r="D62" s="174"/>
      <c r="E62" s="175"/>
      <c r="F62" s="175"/>
      <c r="G62" s="175"/>
      <c r="H62" s="166">
        <f>SUM(H59:H61)</f>
        <v>10</v>
      </c>
      <c r="I62" s="166">
        <f>SUM(I59:I61)</f>
        <v>0</v>
      </c>
      <c r="J62" s="175"/>
      <c r="K62" s="176"/>
      <c r="L62" s="162"/>
      <c r="M62" s="162"/>
      <c r="N62" s="162"/>
      <c r="O62" s="162"/>
      <c r="P62" s="163"/>
      <c r="Q62" s="120"/>
      <c r="R62" s="121"/>
    </row>
    <row r="63" spans="1:18" s="184" customFormat="1" ht="45" customHeight="1" x14ac:dyDescent="0.7">
      <c r="A63" s="177"/>
      <c r="B63" s="178"/>
      <c r="C63" s="179"/>
      <c r="D63" s="179"/>
      <c r="E63" s="179"/>
      <c r="F63" s="180"/>
      <c r="G63" s="180"/>
      <c r="H63" s="180"/>
      <c r="I63" s="180"/>
      <c r="J63" s="180"/>
      <c r="K63" s="179"/>
      <c r="L63" s="179"/>
      <c r="M63" s="179"/>
      <c r="N63" s="179"/>
      <c r="O63" s="181" t="s">
        <v>173</v>
      </c>
      <c r="P63" s="182"/>
      <c r="Q63" s="181" t="s">
        <v>174</v>
      </c>
      <c r="R63" s="183"/>
    </row>
    <row r="64" spans="1:18" s="184" customFormat="1" ht="45" customHeight="1" x14ac:dyDescent="0.7">
      <c r="A64" s="177"/>
      <c r="B64" s="185"/>
      <c r="C64" s="186" t="s">
        <v>175</v>
      </c>
      <c r="D64" s="187"/>
      <c r="E64" s="187"/>
      <c r="F64" s="187"/>
      <c r="G64" s="187"/>
      <c r="H64" s="187"/>
      <c r="I64" s="187"/>
      <c r="J64" s="187"/>
      <c r="K64" s="188"/>
      <c r="L64" s="189"/>
      <c r="M64" s="190"/>
      <c r="N64" s="191"/>
      <c r="O64" s="192">
        <f>R43</f>
        <v>0</v>
      </c>
      <c r="P64" s="193"/>
      <c r="Q64" s="194">
        <f>O67/100 * 20</f>
        <v>0</v>
      </c>
      <c r="R64" s="195"/>
    </row>
    <row r="65" spans="1:18" s="184" customFormat="1" ht="45" customHeight="1" x14ac:dyDescent="0.7">
      <c r="A65" s="177"/>
      <c r="B65" s="185"/>
      <c r="C65" s="187" t="s">
        <v>176</v>
      </c>
      <c r="D65" s="187"/>
      <c r="E65" s="187"/>
      <c r="F65" s="187"/>
      <c r="G65" s="187"/>
      <c r="H65" s="187"/>
      <c r="I65" s="187"/>
      <c r="J65" s="187"/>
      <c r="K65" s="187"/>
      <c r="L65" s="190"/>
      <c r="M65" s="190"/>
      <c r="N65" s="191"/>
      <c r="O65" s="192">
        <f>I58</f>
        <v>0</v>
      </c>
      <c r="P65" s="193"/>
      <c r="Q65" s="196"/>
      <c r="R65" s="197"/>
    </row>
    <row r="66" spans="1:18" s="184" customFormat="1" ht="45" customHeight="1" x14ac:dyDescent="0.7">
      <c r="A66" s="177"/>
      <c r="B66" s="185"/>
      <c r="C66" s="186" t="s">
        <v>177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I62</f>
        <v>0</v>
      </c>
      <c r="P66" s="193"/>
      <c r="Q66" s="196"/>
      <c r="R66" s="197"/>
    </row>
    <row r="67" spans="1:18" s="184" customFormat="1" ht="45" customHeight="1" x14ac:dyDescent="0.7">
      <c r="A67" s="177"/>
      <c r="B67" s="198"/>
      <c r="C67" s="186" t="s">
        <v>178</v>
      </c>
      <c r="D67" s="187"/>
      <c r="E67" s="187"/>
      <c r="F67" s="187"/>
      <c r="G67" s="187"/>
      <c r="H67" s="187"/>
      <c r="I67" s="187"/>
      <c r="J67" s="187"/>
      <c r="K67" s="188"/>
      <c r="L67" s="189"/>
      <c r="M67" s="190"/>
      <c r="N67" s="191"/>
      <c r="O67" s="192">
        <f>SUM(O64:P66)</f>
        <v>0</v>
      </c>
      <c r="P67" s="193"/>
      <c r="Q67" s="199"/>
      <c r="R67" s="200"/>
    </row>
    <row r="68" spans="1:18" s="184" customFormat="1" ht="64.900000000000006" customHeight="1" x14ac:dyDescent="0.7">
      <c r="A68" s="177"/>
      <c r="B68" s="201" t="s">
        <v>179</v>
      </c>
      <c r="C68" s="201"/>
      <c r="D68" s="201"/>
      <c r="E68" s="201"/>
      <c r="F68" s="201"/>
      <c r="G68" s="201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s="184" customFormat="1" ht="64.900000000000006" customHeight="1" x14ac:dyDescent="0.7">
      <c r="A69" s="177"/>
      <c r="B69" s="204" t="s">
        <v>180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5"/>
    </row>
    <row r="70" spans="1:18" s="184" customFormat="1" ht="48.75" customHeight="1" x14ac:dyDescent="0.7">
      <c r="A70" s="177"/>
      <c r="B70" s="206" t="s">
        <v>181</v>
      </c>
      <c r="C70" s="206"/>
      <c r="D70" s="206"/>
      <c r="E70" s="206"/>
      <c r="F70" s="206"/>
      <c r="G70" s="206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8"/>
    </row>
    <row r="71" spans="1:18" s="184" customFormat="1" ht="45.75" x14ac:dyDescent="0.7">
      <c r="A71" s="177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5"/>
    </row>
    <row r="72" spans="1:18" s="122" customFormat="1" ht="31.5" customHeight="1" x14ac:dyDescent="0.55000000000000004">
      <c r="A72" s="209" t="s">
        <v>182</v>
      </c>
      <c r="B72" s="210"/>
      <c r="C72" s="211"/>
      <c r="D72" s="212"/>
      <c r="E72" s="213" t="s">
        <v>183</v>
      </c>
      <c r="F72" s="214"/>
      <c r="G72" s="210" t="s">
        <v>184</v>
      </c>
      <c r="H72" s="211"/>
      <c r="I72" s="211"/>
      <c r="J72" s="211"/>
      <c r="K72" s="215"/>
      <c r="L72" s="136"/>
      <c r="M72" s="216"/>
      <c r="N72" s="216"/>
      <c r="O72" s="216"/>
      <c r="P72" s="216"/>
      <c r="Q72" s="216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/>
      <c r="B74" s="218"/>
      <c r="C74" s="219"/>
      <c r="D74" s="220"/>
      <c r="E74" s="221"/>
      <c r="F74" s="222"/>
      <c r="G74" s="218"/>
      <c r="H74" s="219"/>
      <c r="I74" s="219"/>
      <c r="J74" s="219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24"/>
      <c r="B75" s="225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0" t="s">
        <v>149</v>
      </c>
      <c r="B76" s="231"/>
      <c r="C76" s="211"/>
      <c r="D76" s="212"/>
      <c r="E76" s="232" t="s">
        <v>185</v>
      </c>
      <c r="F76" s="214"/>
      <c r="G76" s="231" t="s">
        <v>185</v>
      </c>
      <c r="H76" s="211"/>
      <c r="I76" s="211"/>
      <c r="J76" s="211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19"/>
      <c r="D77" s="220"/>
      <c r="E77" s="235"/>
      <c r="F77" s="222"/>
      <c r="G77" s="234"/>
      <c r="H77" s="219"/>
      <c r="I77" s="219"/>
      <c r="J77" s="219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33"/>
      <c r="B78" s="234"/>
      <c r="C78" s="226"/>
      <c r="D78" s="227"/>
      <c r="E78" s="236"/>
      <c r="F78" s="229"/>
      <c r="G78" s="237"/>
      <c r="H78" s="226"/>
      <c r="I78" s="226"/>
      <c r="J78" s="226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 t="s">
        <v>150</v>
      </c>
      <c r="B79" s="218"/>
      <c r="C79" s="211"/>
      <c r="D79" s="212"/>
      <c r="E79" s="213" t="s">
        <v>186</v>
      </c>
      <c r="F79" s="214"/>
      <c r="G79" s="210" t="s">
        <v>186</v>
      </c>
      <c r="H79" s="211"/>
      <c r="I79" s="211"/>
      <c r="J79" s="211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x14ac:dyDescent="0.55000000000000004">
      <c r="A80" s="217"/>
      <c r="B80" s="218"/>
      <c r="C80" s="226"/>
      <c r="D80" s="227"/>
      <c r="E80" s="228"/>
      <c r="F80" s="229"/>
      <c r="G80" s="225"/>
      <c r="H80" s="226"/>
      <c r="I80" s="226"/>
      <c r="J80" s="226"/>
      <c r="K80" s="215"/>
      <c r="L80" s="136"/>
      <c r="M80" s="223"/>
      <c r="N80" s="223"/>
      <c r="O80" s="223"/>
      <c r="P80" s="223"/>
      <c r="Q80" s="223"/>
      <c r="R80" s="121"/>
    </row>
    <row r="81" spans="1:18" s="122" customFormat="1" ht="31.5" customHeight="1" thickBot="1" x14ac:dyDescent="0.6">
      <c r="A81" s="238"/>
      <c r="B81" s="239"/>
      <c r="C81" s="239"/>
      <c r="D81" s="239"/>
      <c r="E81" s="239"/>
      <c r="F81" s="239"/>
      <c r="G81" s="239"/>
      <c r="H81" s="239"/>
      <c r="I81" s="239"/>
      <c r="J81" s="239"/>
      <c r="K81" s="240"/>
      <c r="L81" s="241"/>
      <c r="M81" s="242"/>
      <c r="N81" s="242"/>
      <c r="O81" s="242"/>
      <c r="P81" s="242"/>
      <c r="Q81" s="242"/>
      <c r="R81" s="243"/>
    </row>
  </sheetData>
  <mergeCells count="111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9:I9"/>
  </mergeCells>
  <hyperlinks>
    <hyperlink ref="E11" r:id="rId1" xr:uid="{296C7075-8D5D-4D76-9CE3-1A48DD99A9B6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BDC8-519A-46EE-BCB5-5021CCB10ED5}">
  <sheetPr>
    <pageSetUpPr fitToPage="1"/>
  </sheetPr>
  <dimension ref="A1:R81"/>
  <sheetViews>
    <sheetView zoomScale="30" zoomScaleNormal="30" workbookViewId="0">
      <selection activeCell="A7" sqref="A7:XFD14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191</v>
      </c>
      <c r="C5" s="16" t="s">
        <v>2</v>
      </c>
      <c r="D5" s="17" t="s">
        <v>192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1" t="s">
        <v>8</v>
      </c>
      <c r="G7" s="252" t="s">
        <v>9</v>
      </c>
      <c r="H7" s="250" t="s">
        <v>10</v>
      </c>
      <c r="I7" s="253" t="s">
        <v>11</v>
      </c>
      <c r="J7" s="249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60691</v>
      </c>
      <c r="D8" s="251" t="s">
        <v>13</v>
      </c>
      <c r="E8" s="258" t="s">
        <v>14</v>
      </c>
      <c r="F8" s="251" t="s">
        <v>15</v>
      </c>
      <c r="G8" s="259" t="s">
        <v>16</v>
      </c>
      <c r="H8" s="251" t="s">
        <v>17</v>
      </c>
      <c r="I8" s="260" t="s">
        <v>18</v>
      </c>
      <c r="J8" s="257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19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61" t="s">
        <v>4</v>
      </c>
      <c r="B10" s="262"/>
      <c r="C10" s="249" t="s">
        <v>20</v>
      </c>
      <c r="D10" s="250" t="s">
        <v>6</v>
      </c>
      <c r="E10" s="249" t="s">
        <v>21</v>
      </c>
      <c r="F10" s="250" t="s">
        <v>8</v>
      </c>
      <c r="G10" s="252" t="s">
        <v>22</v>
      </c>
      <c r="H10" s="250" t="s">
        <v>10</v>
      </c>
      <c r="I10" s="263" t="s">
        <v>23</v>
      </c>
      <c r="J10" s="264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65" t="s">
        <v>12</v>
      </c>
      <c r="B11" s="266"/>
      <c r="C11" s="257">
        <v>60694</v>
      </c>
      <c r="D11" s="251" t="s">
        <v>13</v>
      </c>
      <c r="E11" s="267" t="s">
        <v>24</v>
      </c>
      <c r="F11" s="251" t="s">
        <v>15</v>
      </c>
      <c r="G11" s="268"/>
      <c r="H11" s="251" t="s">
        <v>17</v>
      </c>
      <c r="I11" s="269" t="s">
        <v>18</v>
      </c>
      <c r="J11" s="27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10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1" t="s">
        <v>30</v>
      </c>
      <c r="F14" s="46" t="s">
        <v>15</v>
      </c>
      <c r="G14" s="272"/>
      <c r="H14" s="45" t="s">
        <v>17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154</v>
      </c>
      <c r="Q17" s="71" t="s">
        <v>155</v>
      </c>
      <c r="R17" s="72" t="s">
        <v>156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157</v>
      </c>
      <c r="K18" s="78" t="s">
        <v>158</v>
      </c>
      <c r="L18" s="78" t="s">
        <v>159</v>
      </c>
      <c r="M18" s="77" t="s">
        <v>160</v>
      </c>
      <c r="N18" s="77" t="s">
        <v>161</v>
      </c>
      <c r="O18" s="77" t="s">
        <v>162</v>
      </c>
      <c r="P18" s="79"/>
      <c r="Q18" s="79"/>
      <c r="R18" s="80"/>
    </row>
    <row r="19" spans="1:18" s="92" customFormat="1" ht="147" customHeight="1" x14ac:dyDescent="0.25">
      <c r="A19" s="273">
        <v>1</v>
      </c>
      <c r="B19" s="274" t="s">
        <v>48</v>
      </c>
      <c r="C19" s="275">
        <f>0.25 *1.28791886111175</f>
        <v>0.32197971527793751</v>
      </c>
      <c r="D19" s="82" t="s">
        <v>49</v>
      </c>
      <c r="E19" s="83">
        <f>C19/5</f>
        <v>6.4395943055587504E-2</v>
      </c>
      <c r="F19" s="83">
        <f t="shared" ref="F19:F41" si="0">E19/$E$42 * 100</f>
        <v>0.33958946059852668</v>
      </c>
      <c r="G19" s="84" t="s">
        <v>50</v>
      </c>
      <c r="H19" s="85">
        <v>1</v>
      </c>
      <c r="I19" s="86" t="s">
        <v>51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52</v>
      </c>
      <c r="P19" s="89"/>
      <c r="Q19" s="90">
        <f t="shared" ref="Q19:Q41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1" si="2">F19*Q19/100</f>
        <v>0</v>
      </c>
    </row>
    <row r="20" spans="1:18" s="92" customFormat="1" ht="147" customHeight="1" x14ac:dyDescent="0.25">
      <c r="A20" s="276"/>
      <c r="B20" s="277"/>
      <c r="C20" s="278"/>
      <c r="D20" s="82" t="s">
        <v>53</v>
      </c>
      <c r="E20" s="83">
        <f>C19/5</f>
        <v>6.4395943055587504E-2</v>
      </c>
      <c r="F20" s="83">
        <f t="shared" si="0"/>
        <v>0.33958946059852668</v>
      </c>
      <c r="G20" s="84" t="s">
        <v>54</v>
      </c>
      <c r="H20" s="85">
        <v>1</v>
      </c>
      <c r="I20" s="86" t="s">
        <v>51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52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76"/>
      <c r="B21" s="277"/>
      <c r="C21" s="278"/>
      <c r="D21" s="82" t="s">
        <v>55</v>
      </c>
      <c r="E21" s="83">
        <f>C19/5</f>
        <v>6.4395943055587504E-2</v>
      </c>
      <c r="F21" s="83">
        <f t="shared" si="0"/>
        <v>0.33958946059852668</v>
      </c>
      <c r="G21" s="84" t="s">
        <v>56</v>
      </c>
      <c r="H21" s="85">
        <v>1</v>
      </c>
      <c r="I21" s="86" t="s">
        <v>51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52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76"/>
      <c r="B22" s="277"/>
      <c r="C22" s="278"/>
      <c r="D22" s="82" t="s">
        <v>57</v>
      </c>
      <c r="E22" s="83">
        <f>C19/5</f>
        <v>6.4395943055587504E-2</v>
      </c>
      <c r="F22" s="83">
        <f t="shared" si="0"/>
        <v>0.33958946059852668</v>
      </c>
      <c r="G22" s="84" t="s">
        <v>58</v>
      </c>
      <c r="H22" s="93">
        <v>5</v>
      </c>
      <c r="I22" s="86" t="s">
        <v>59</v>
      </c>
      <c r="J22" s="87" t="s">
        <v>60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9"/>
      <c r="B23" s="280"/>
      <c r="C23" s="281"/>
      <c r="D23" s="82" t="s">
        <v>61</v>
      </c>
      <c r="E23" s="83">
        <f>C19/5</f>
        <v>6.4395943055587504E-2</v>
      </c>
      <c r="F23" s="83">
        <f t="shared" si="0"/>
        <v>0.33958946059852668</v>
      </c>
      <c r="G23" s="84" t="s">
        <v>62</v>
      </c>
      <c r="H23" s="85">
        <v>1</v>
      </c>
      <c r="I23" s="86" t="s">
        <v>51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52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63</v>
      </c>
      <c r="C24" s="282">
        <f>0.25 *0.77275131666705</f>
        <v>0.1931878291667625</v>
      </c>
      <c r="D24" s="82" t="s">
        <v>64</v>
      </c>
      <c r="E24" s="83">
        <f>C24</f>
        <v>0.1931878291667625</v>
      </c>
      <c r="F24" s="83">
        <f t="shared" si="0"/>
        <v>1.0187683817955799</v>
      </c>
      <c r="G24" s="84" t="s">
        <v>65</v>
      </c>
      <c r="H24" s="85">
        <v>0.5</v>
      </c>
      <c r="I24" s="86" t="s">
        <v>51</v>
      </c>
      <c r="J24" s="87" t="s">
        <v>66</v>
      </c>
      <c r="K24" s="88">
        <v>50</v>
      </c>
      <c r="L24" s="88">
        <v>45</v>
      </c>
      <c r="M24" s="88">
        <v>40</v>
      </c>
      <c r="N24" s="88">
        <v>25</v>
      </c>
      <c r="O24" s="88" t="s">
        <v>67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73">
        <v>2</v>
      </c>
      <c r="B25" s="274" t="s">
        <v>68</v>
      </c>
      <c r="C25" s="275">
        <f>0.25 *68.7196706607483</f>
        <v>17.179917665187077</v>
      </c>
      <c r="D25" s="82" t="s">
        <v>69</v>
      </c>
      <c r="E25" s="83">
        <f>C25/10</f>
        <v>1.7179917665187077</v>
      </c>
      <c r="F25" s="83">
        <f t="shared" si="0"/>
        <v>9.0597616809678279</v>
      </c>
      <c r="G25" s="82" t="s">
        <v>70</v>
      </c>
      <c r="H25" s="93">
        <v>80</v>
      </c>
      <c r="I25" s="93" t="s">
        <v>51</v>
      </c>
      <c r="J25" s="87" t="s">
        <v>71</v>
      </c>
      <c r="K25" s="88">
        <v>80</v>
      </c>
      <c r="L25" s="88">
        <v>75</v>
      </c>
      <c r="M25" s="88">
        <v>70</v>
      </c>
      <c r="N25" s="88">
        <v>50</v>
      </c>
      <c r="O25" s="88" t="s">
        <v>72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76"/>
      <c r="B26" s="277"/>
      <c r="C26" s="278"/>
      <c r="D26" s="82" t="s">
        <v>73</v>
      </c>
      <c r="E26" s="83">
        <f>C25/10</f>
        <v>1.7179917665187077</v>
      </c>
      <c r="F26" s="83">
        <f t="shared" si="0"/>
        <v>9.0597616809678279</v>
      </c>
      <c r="G26" s="82" t="s">
        <v>74</v>
      </c>
      <c r="H26" s="93">
        <v>80</v>
      </c>
      <c r="I26" s="93" t="s">
        <v>51</v>
      </c>
      <c r="J26" s="87" t="s">
        <v>71</v>
      </c>
      <c r="K26" s="88">
        <v>80</v>
      </c>
      <c r="L26" s="88">
        <v>75</v>
      </c>
      <c r="M26" s="88">
        <v>70</v>
      </c>
      <c r="N26" s="88">
        <v>50</v>
      </c>
      <c r="O26" s="88" t="s">
        <v>72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76"/>
      <c r="B27" s="277"/>
      <c r="C27" s="278"/>
      <c r="D27" s="82" t="s">
        <v>75</v>
      </c>
      <c r="E27" s="83">
        <f>C25/10</f>
        <v>1.7179917665187077</v>
      </c>
      <c r="F27" s="83">
        <f t="shared" si="0"/>
        <v>9.0597616809678279</v>
      </c>
      <c r="G27" s="82" t="s">
        <v>76</v>
      </c>
      <c r="H27" s="94">
        <v>0.9</v>
      </c>
      <c r="I27" s="93" t="s">
        <v>51</v>
      </c>
      <c r="J27" s="87" t="s">
        <v>77</v>
      </c>
      <c r="K27" s="88">
        <v>90</v>
      </c>
      <c r="L27" s="88">
        <v>80</v>
      </c>
      <c r="M27" s="88">
        <v>70</v>
      </c>
      <c r="N27" s="88">
        <v>50</v>
      </c>
      <c r="O27" s="88" t="s">
        <v>72</v>
      </c>
      <c r="P27" s="89"/>
      <c r="Q27" s="90">
        <f t="shared" si="1"/>
        <v>0</v>
      </c>
      <c r="R27" s="91">
        <f t="shared" si="2"/>
        <v>0</v>
      </c>
    </row>
    <row r="28" spans="1:18" s="92" customFormat="1" ht="147" customHeight="1" x14ac:dyDescent="0.25">
      <c r="A28" s="276"/>
      <c r="B28" s="277"/>
      <c r="C28" s="278"/>
      <c r="D28" s="82" t="s">
        <v>78</v>
      </c>
      <c r="E28" s="83">
        <f>C25/10</f>
        <v>1.7179917665187077</v>
      </c>
      <c r="F28" s="83">
        <f t="shared" si="0"/>
        <v>9.0597616809678279</v>
      </c>
      <c r="G28" s="82" t="s">
        <v>79</v>
      </c>
      <c r="H28" s="93">
        <v>80</v>
      </c>
      <c r="I28" s="93" t="s">
        <v>51</v>
      </c>
      <c r="J28" s="87" t="s">
        <v>71</v>
      </c>
      <c r="K28" s="88">
        <v>80</v>
      </c>
      <c r="L28" s="88">
        <v>75</v>
      </c>
      <c r="M28" s="88">
        <v>70</v>
      </c>
      <c r="N28" s="88">
        <v>50</v>
      </c>
      <c r="O28" s="88" t="s">
        <v>72</v>
      </c>
      <c r="P28" s="89"/>
      <c r="Q28" s="90">
        <f t="shared" si="1"/>
        <v>0</v>
      </c>
      <c r="R28" s="91">
        <f t="shared" si="2"/>
        <v>0</v>
      </c>
    </row>
    <row r="29" spans="1:18" s="92" customFormat="1" ht="147" customHeight="1" x14ac:dyDescent="0.25">
      <c r="A29" s="276"/>
      <c r="B29" s="277"/>
      <c r="C29" s="278"/>
      <c r="D29" s="82" t="s">
        <v>80</v>
      </c>
      <c r="E29" s="83">
        <f>C25/10</f>
        <v>1.7179917665187077</v>
      </c>
      <c r="F29" s="83">
        <f t="shared" si="0"/>
        <v>9.0597616809678279</v>
      </c>
      <c r="G29" s="82" t="s">
        <v>81</v>
      </c>
      <c r="H29" s="94">
        <v>0.9</v>
      </c>
      <c r="I29" s="93" t="s">
        <v>51</v>
      </c>
      <c r="J29" s="87" t="s">
        <v>77</v>
      </c>
      <c r="K29" s="88">
        <v>90</v>
      </c>
      <c r="L29" s="88">
        <v>80</v>
      </c>
      <c r="M29" s="88">
        <v>70</v>
      </c>
      <c r="N29" s="88">
        <v>50</v>
      </c>
      <c r="O29" s="88" t="s">
        <v>72</v>
      </c>
      <c r="P29" s="89"/>
      <c r="Q29" s="90">
        <f t="shared" si="1"/>
        <v>0</v>
      </c>
      <c r="R29" s="91">
        <f t="shared" si="2"/>
        <v>0</v>
      </c>
    </row>
    <row r="30" spans="1:18" s="92" customFormat="1" ht="147" customHeight="1" x14ac:dyDescent="0.25">
      <c r="A30" s="276"/>
      <c r="B30" s="277"/>
      <c r="C30" s="278"/>
      <c r="D30" s="82" t="s">
        <v>82</v>
      </c>
      <c r="E30" s="83">
        <f>C25/10</f>
        <v>1.7179917665187077</v>
      </c>
      <c r="F30" s="83">
        <f t="shared" si="0"/>
        <v>9.0597616809678279</v>
      </c>
      <c r="G30" s="82" t="s">
        <v>83</v>
      </c>
      <c r="H30" s="94">
        <v>0.8</v>
      </c>
      <c r="I30" s="93" t="s">
        <v>51</v>
      </c>
      <c r="J30" s="87" t="s">
        <v>71</v>
      </c>
      <c r="K30" s="88">
        <v>80</v>
      </c>
      <c r="L30" s="88">
        <v>75</v>
      </c>
      <c r="M30" s="88">
        <v>70</v>
      </c>
      <c r="N30" s="88">
        <v>50</v>
      </c>
      <c r="O30" s="88" t="s">
        <v>72</v>
      </c>
      <c r="P30" s="89"/>
      <c r="Q30" s="90">
        <f t="shared" si="1"/>
        <v>0</v>
      </c>
      <c r="R30" s="91">
        <f t="shared" si="2"/>
        <v>0</v>
      </c>
    </row>
    <row r="31" spans="1:18" s="92" customFormat="1" ht="147" customHeight="1" x14ac:dyDescent="0.25">
      <c r="A31" s="276"/>
      <c r="B31" s="277"/>
      <c r="C31" s="278"/>
      <c r="D31" s="82" t="s">
        <v>84</v>
      </c>
      <c r="E31" s="83">
        <f>C25/10</f>
        <v>1.7179917665187077</v>
      </c>
      <c r="F31" s="83">
        <f t="shared" si="0"/>
        <v>9.0597616809678279</v>
      </c>
      <c r="G31" s="82" t="s">
        <v>85</v>
      </c>
      <c r="H31" s="94">
        <v>0.9</v>
      </c>
      <c r="I31" s="93" t="s">
        <v>51</v>
      </c>
      <c r="J31" s="87" t="s">
        <v>77</v>
      </c>
      <c r="K31" s="88">
        <v>90</v>
      </c>
      <c r="L31" s="88">
        <v>80</v>
      </c>
      <c r="M31" s="88">
        <v>70</v>
      </c>
      <c r="N31" s="88">
        <v>50</v>
      </c>
      <c r="O31" s="88" t="s">
        <v>72</v>
      </c>
      <c r="P31" s="89"/>
      <c r="Q31" s="90">
        <f t="shared" si="1"/>
        <v>0</v>
      </c>
      <c r="R31" s="91">
        <f t="shared" si="2"/>
        <v>0</v>
      </c>
    </row>
    <row r="32" spans="1:18" s="92" customFormat="1" ht="147" customHeight="1" x14ac:dyDescent="0.25">
      <c r="A32" s="276"/>
      <c r="B32" s="277"/>
      <c r="C32" s="278"/>
      <c r="D32" s="82" t="s">
        <v>86</v>
      </c>
      <c r="E32" s="83">
        <f>C25/10</f>
        <v>1.7179917665187077</v>
      </c>
      <c r="F32" s="83">
        <f t="shared" si="0"/>
        <v>9.0597616809678279</v>
      </c>
      <c r="G32" s="82" t="s">
        <v>87</v>
      </c>
      <c r="H32" s="94">
        <v>0.8</v>
      </c>
      <c r="I32" s="93" t="s">
        <v>51</v>
      </c>
      <c r="J32" s="87" t="s">
        <v>71</v>
      </c>
      <c r="K32" s="88">
        <v>80</v>
      </c>
      <c r="L32" s="88">
        <v>75</v>
      </c>
      <c r="M32" s="88">
        <v>70</v>
      </c>
      <c r="N32" s="88">
        <v>50</v>
      </c>
      <c r="O32" s="88" t="s">
        <v>72</v>
      </c>
      <c r="P32" s="89"/>
      <c r="Q32" s="90">
        <f t="shared" si="1"/>
        <v>0</v>
      </c>
      <c r="R32" s="91">
        <f t="shared" si="2"/>
        <v>0</v>
      </c>
    </row>
    <row r="33" spans="1:18" s="92" customFormat="1" ht="147" customHeight="1" x14ac:dyDescent="0.25">
      <c r="A33" s="276"/>
      <c r="B33" s="277"/>
      <c r="C33" s="278"/>
      <c r="D33" s="82" t="s">
        <v>88</v>
      </c>
      <c r="E33" s="83">
        <f>C25/10</f>
        <v>1.7179917665187077</v>
      </c>
      <c r="F33" s="83">
        <f t="shared" si="0"/>
        <v>9.0597616809678279</v>
      </c>
      <c r="G33" s="82" t="s">
        <v>89</v>
      </c>
      <c r="H33" s="94">
        <v>0.8</v>
      </c>
      <c r="I33" s="93" t="s">
        <v>51</v>
      </c>
      <c r="J33" s="87" t="s">
        <v>71</v>
      </c>
      <c r="K33" s="88">
        <v>80</v>
      </c>
      <c r="L33" s="88">
        <v>75</v>
      </c>
      <c r="M33" s="88">
        <v>70</v>
      </c>
      <c r="N33" s="88">
        <v>50</v>
      </c>
      <c r="O33" s="88" t="s">
        <v>72</v>
      </c>
      <c r="P33" s="89"/>
      <c r="Q33" s="90">
        <f t="shared" si="1"/>
        <v>0</v>
      </c>
      <c r="R33" s="91">
        <f t="shared" si="2"/>
        <v>0</v>
      </c>
    </row>
    <row r="34" spans="1:18" s="92" customFormat="1" ht="147" customHeight="1" x14ac:dyDescent="0.25">
      <c r="A34" s="279"/>
      <c r="B34" s="280"/>
      <c r="C34" s="281"/>
      <c r="D34" s="82" t="s">
        <v>90</v>
      </c>
      <c r="E34" s="83">
        <f>C25/10</f>
        <v>1.7179917665187077</v>
      </c>
      <c r="F34" s="83">
        <f t="shared" si="0"/>
        <v>9.0597616809678279</v>
      </c>
      <c r="G34" s="82" t="s">
        <v>91</v>
      </c>
      <c r="H34" s="94">
        <v>0.9</v>
      </c>
      <c r="I34" s="93" t="s">
        <v>51</v>
      </c>
      <c r="J34" s="87" t="s">
        <v>77</v>
      </c>
      <c r="K34" s="88">
        <v>90</v>
      </c>
      <c r="L34" s="88">
        <v>80</v>
      </c>
      <c r="M34" s="88">
        <v>70</v>
      </c>
      <c r="N34" s="88">
        <v>50</v>
      </c>
      <c r="O34" s="88" t="s">
        <v>72</v>
      </c>
      <c r="P34" s="89"/>
      <c r="Q34" s="90">
        <f t="shared" si="1"/>
        <v>0</v>
      </c>
      <c r="R34" s="91">
        <f t="shared" si="2"/>
        <v>0</v>
      </c>
    </row>
    <row r="35" spans="1:18" s="92" customFormat="1" ht="147" customHeight="1" x14ac:dyDescent="0.25">
      <c r="A35" s="81">
        <v>5</v>
      </c>
      <c r="B35" s="82" t="s">
        <v>92</v>
      </c>
      <c r="C35" s="95">
        <f>0.25 *1.20742393229227</f>
        <v>0.30185598307306749</v>
      </c>
      <c r="D35" s="82" t="s">
        <v>93</v>
      </c>
      <c r="E35" s="83">
        <f>C35</f>
        <v>0.30185598307306749</v>
      </c>
      <c r="F35" s="83">
        <f t="shared" si="0"/>
        <v>1.5918255965555992</v>
      </c>
      <c r="G35" s="84" t="s">
        <v>94</v>
      </c>
      <c r="H35" s="93">
        <v>5</v>
      </c>
      <c r="I35" s="86" t="s">
        <v>59</v>
      </c>
      <c r="J35" s="87" t="s">
        <v>60</v>
      </c>
      <c r="K35" s="88">
        <v>5</v>
      </c>
      <c r="L35" s="88">
        <v>4</v>
      </c>
      <c r="M35" s="88">
        <v>3</v>
      </c>
      <c r="N35" s="88">
        <v>2</v>
      </c>
      <c r="O35" s="88">
        <v>1</v>
      </c>
      <c r="P35" s="89"/>
      <c r="Q35" s="90">
        <f t="shared" si="1"/>
        <v>0</v>
      </c>
      <c r="R35" s="91">
        <f t="shared" si="2"/>
        <v>0</v>
      </c>
    </row>
    <row r="36" spans="1:18" s="92" customFormat="1" ht="147" customHeight="1" x14ac:dyDescent="0.25">
      <c r="A36" s="273">
        <v>7</v>
      </c>
      <c r="B36" s="274" t="s">
        <v>95</v>
      </c>
      <c r="C36" s="283">
        <f>0.25 *2.41484786458453</f>
        <v>0.60371196614613254</v>
      </c>
      <c r="D36" s="82" t="s">
        <v>96</v>
      </c>
      <c r="E36" s="83">
        <f>C36/2</f>
        <v>0.30185598307306627</v>
      </c>
      <c r="F36" s="83">
        <f t="shared" si="0"/>
        <v>1.591825596555593</v>
      </c>
      <c r="G36" s="84" t="s">
        <v>97</v>
      </c>
      <c r="H36" s="93">
        <v>5</v>
      </c>
      <c r="I36" s="93" t="s">
        <v>59</v>
      </c>
      <c r="J36" s="87" t="s">
        <v>60</v>
      </c>
      <c r="K36" s="88">
        <v>5</v>
      </c>
      <c r="L36" s="88">
        <v>4</v>
      </c>
      <c r="M36" s="88">
        <v>3</v>
      </c>
      <c r="N36" s="88">
        <v>2</v>
      </c>
      <c r="O36" s="88">
        <v>1</v>
      </c>
      <c r="P36" s="89"/>
      <c r="Q36" s="90">
        <f t="shared" si="1"/>
        <v>0</v>
      </c>
      <c r="R36" s="91">
        <f t="shared" si="2"/>
        <v>0</v>
      </c>
    </row>
    <row r="37" spans="1:18" s="92" customFormat="1" ht="147" customHeight="1" x14ac:dyDescent="0.25">
      <c r="A37" s="279"/>
      <c r="B37" s="280"/>
      <c r="C37" s="284"/>
      <c r="D37" s="82" t="s">
        <v>98</v>
      </c>
      <c r="E37" s="83">
        <f>C36/2</f>
        <v>0.30185598307306627</v>
      </c>
      <c r="F37" s="83">
        <f t="shared" si="0"/>
        <v>1.591825596555593</v>
      </c>
      <c r="G37" s="84" t="s">
        <v>99</v>
      </c>
      <c r="H37" s="94">
        <v>0.8</v>
      </c>
      <c r="I37" s="93" t="s">
        <v>51</v>
      </c>
      <c r="J37" s="87" t="s">
        <v>71</v>
      </c>
      <c r="K37" s="88">
        <v>80</v>
      </c>
      <c r="L37" s="88">
        <v>75</v>
      </c>
      <c r="M37" s="88">
        <v>70</v>
      </c>
      <c r="N37" s="88">
        <v>50</v>
      </c>
      <c r="O37" s="88" t="s">
        <v>72</v>
      </c>
      <c r="P37" s="89"/>
      <c r="Q37" s="90">
        <f t="shared" si="1"/>
        <v>0</v>
      </c>
      <c r="R37" s="91">
        <f t="shared" si="2"/>
        <v>0</v>
      </c>
    </row>
    <row r="38" spans="1:18" s="92" customFormat="1" ht="147" customHeight="1" x14ac:dyDescent="0.25">
      <c r="A38" s="273">
        <v>8</v>
      </c>
      <c r="B38" s="274" t="s">
        <v>100</v>
      </c>
      <c r="C38" s="283">
        <f>0.25 *0.804949288194844</f>
        <v>0.201237322048711</v>
      </c>
      <c r="D38" s="82" t="s">
        <v>101</v>
      </c>
      <c r="E38" s="83">
        <f>C38/2</f>
        <v>0.1006186610243555</v>
      </c>
      <c r="F38" s="83">
        <f t="shared" si="0"/>
        <v>0.53060853218519799</v>
      </c>
      <c r="G38" s="84" t="s">
        <v>102</v>
      </c>
      <c r="H38" s="93">
        <v>5</v>
      </c>
      <c r="I38" s="93" t="s">
        <v>59</v>
      </c>
      <c r="J38" s="87" t="s">
        <v>60</v>
      </c>
      <c r="K38" s="88">
        <v>5</v>
      </c>
      <c r="L38" s="88">
        <v>4</v>
      </c>
      <c r="M38" s="88">
        <v>3</v>
      </c>
      <c r="N38" s="88">
        <v>2</v>
      </c>
      <c r="O38" s="88">
        <v>1</v>
      </c>
      <c r="P38" s="89"/>
      <c r="Q38" s="90">
        <f t="shared" si="1"/>
        <v>0</v>
      </c>
      <c r="R38" s="91">
        <f t="shared" si="2"/>
        <v>0</v>
      </c>
    </row>
    <row r="39" spans="1:18" s="92" customFormat="1" ht="147" customHeight="1" x14ac:dyDescent="0.25">
      <c r="A39" s="279"/>
      <c r="B39" s="280"/>
      <c r="C39" s="284"/>
      <c r="D39" s="82" t="s">
        <v>103</v>
      </c>
      <c r="E39" s="83">
        <f>C38/2</f>
        <v>0.1006186610243555</v>
      </c>
      <c r="F39" s="83">
        <f t="shared" si="0"/>
        <v>0.53060853218519799</v>
      </c>
      <c r="G39" s="84" t="s">
        <v>104</v>
      </c>
      <c r="H39" s="94">
        <v>0.8</v>
      </c>
      <c r="I39" s="93" t="s">
        <v>51</v>
      </c>
      <c r="J39" s="87" t="s">
        <v>71</v>
      </c>
      <c r="K39" s="88">
        <v>80</v>
      </c>
      <c r="L39" s="88">
        <v>75</v>
      </c>
      <c r="M39" s="88">
        <v>70</v>
      </c>
      <c r="N39" s="88">
        <v>50</v>
      </c>
      <c r="O39" s="88" t="s">
        <v>72</v>
      </c>
      <c r="P39" s="89"/>
      <c r="Q39" s="90">
        <f t="shared" ref="Q39:Q40" si="3">IF(OR(TRIM(P39)="",P39=0),0,
IF(P39&lt;N39,50,
IF(P39&lt;M39,60,
IF(P39&lt;L39,70,
IF(P39&lt;K39,80,
IF(ISNUMBER(J39),
    IF(P39&lt;J39,IF(P39&gt;=K39,90,80),100),
    IF(P39=K39,90,100)
))))))</f>
        <v>0</v>
      </c>
      <c r="R39" s="91">
        <f t="shared" ref="R39:R40" si="4">F39*Q39/100</f>
        <v>0</v>
      </c>
    </row>
    <row r="40" spans="1:18" s="92" customFormat="1" ht="147" customHeight="1" x14ac:dyDescent="0.25">
      <c r="A40" s="81">
        <v>10</v>
      </c>
      <c r="B40" s="82" t="s">
        <v>105</v>
      </c>
      <c r="C40" s="95">
        <f>0.25 *0.321979715277938</f>
        <v>8.0494928819484501E-2</v>
      </c>
      <c r="D40" s="285" t="s">
        <v>106</v>
      </c>
      <c r="E40" s="83">
        <f>C40</f>
        <v>8.0494928819484501E-2</v>
      </c>
      <c r="F40" s="83">
        <f t="shared" si="0"/>
        <v>0.42448682574815894</v>
      </c>
      <c r="G40" s="84" t="s">
        <v>107</v>
      </c>
      <c r="H40" s="85">
        <v>0.7</v>
      </c>
      <c r="I40" s="93" t="s">
        <v>51</v>
      </c>
      <c r="J40" s="87" t="s">
        <v>108</v>
      </c>
      <c r="K40" s="88">
        <v>70</v>
      </c>
      <c r="L40" s="88">
        <v>60</v>
      </c>
      <c r="M40" s="88">
        <v>50</v>
      </c>
      <c r="N40" s="88">
        <v>40</v>
      </c>
      <c r="O40" s="88" t="s">
        <v>109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81"/>
      <c r="B41" s="82" t="s">
        <v>110</v>
      </c>
      <c r="C41" s="95">
        <f>0.25 *0.321979715277938</f>
        <v>8.0494928819484501E-2</v>
      </c>
      <c r="D41" s="84" t="s">
        <v>111</v>
      </c>
      <c r="E41" s="83">
        <f>C41</f>
        <v>8.0494928819484501E-2</v>
      </c>
      <c r="F41" s="83">
        <f t="shared" si="0"/>
        <v>0.42448682574815894</v>
      </c>
      <c r="G41" s="84" t="s">
        <v>112</v>
      </c>
      <c r="H41" s="85">
        <v>0.5</v>
      </c>
      <c r="I41" s="86" t="s">
        <v>51</v>
      </c>
      <c r="J41" s="87" t="s">
        <v>66</v>
      </c>
      <c r="K41" s="88">
        <v>50</v>
      </c>
      <c r="L41" s="88">
        <v>45</v>
      </c>
      <c r="M41" s="88">
        <v>40</v>
      </c>
      <c r="N41" s="88">
        <v>25</v>
      </c>
      <c r="O41" s="88" t="s">
        <v>67</v>
      </c>
      <c r="P41" s="89">
        <v>0</v>
      </c>
      <c r="Q41" s="90">
        <f t="shared" si="1"/>
        <v>0</v>
      </c>
      <c r="R41" s="91">
        <f t="shared" si="2"/>
        <v>0</v>
      </c>
    </row>
    <row r="42" spans="1:18" s="106" customFormat="1" ht="44.25" x14ac:dyDescent="0.25">
      <c r="A42" s="96"/>
      <c r="B42" s="97" t="s">
        <v>113</v>
      </c>
      <c r="C42" s="98">
        <f>SUM(C19:C41)</f>
        <v>18.962880338538657</v>
      </c>
      <c r="D42" s="97"/>
      <c r="E42" s="98">
        <f>SUM(E19:E41)</f>
        <v>18.96288033853866</v>
      </c>
      <c r="F42" s="98">
        <f>SUM(F19:F41)</f>
        <v>99.999999999999972</v>
      </c>
      <c r="G42" s="99"/>
      <c r="H42" s="100"/>
      <c r="I42" s="101"/>
      <c r="J42" s="102"/>
      <c r="K42" s="102"/>
      <c r="L42" s="102"/>
      <c r="M42" s="102"/>
      <c r="N42" s="102"/>
      <c r="O42" s="102"/>
      <c r="P42" s="103"/>
      <c r="Q42" s="104"/>
      <c r="R42" s="105">
        <f>SUM(R19:R41)</f>
        <v>0</v>
      </c>
    </row>
    <row r="43" spans="1:18" s="108" customFormat="1" ht="66" customHeight="1" x14ac:dyDescent="0.7">
      <c r="A43" s="107"/>
      <c r="G43" s="109"/>
      <c r="H43" s="109"/>
      <c r="I43" s="110" t="s">
        <v>163</v>
      </c>
      <c r="J43" s="111"/>
      <c r="K43" s="111"/>
      <c r="L43" s="111"/>
      <c r="M43" s="111"/>
      <c r="N43" s="111"/>
      <c r="O43" s="111"/>
      <c r="P43" s="111"/>
      <c r="Q43" s="112"/>
      <c r="R43" s="113">
        <f>R42/100 * 70</f>
        <v>0</v>
      </c>
    </row>
    <row r="44" spans="1:18" s="122" customFormat="1" ht="36" x14ac:dyDescent="0.55000000000000004">
      <c r="A44" s="114" t="s">
        <v>114</v>
      </c>
      <c r="B44" s="115"/>
      <c r="C44" s="115"/>
      <c r="D44" s="115"/>
      <c r="E44" s="115"/>
      <c r="F44" s="115"/>
      <c r="G44" s="116"/>
      <c r="H44" s="117"/>
      <c r="I44" s="117"/>
      <c r="J44" s="117"/>
      <c r="K44" s="117"/>
      <c r="L44" s="71" t="s">
        <v>119</v>
      </c>
      <c r="M44" s="118" t="s">
        <v>115</v>
      </c>
      <c r="N44" s="118"/>
      <c r="O44" s="118"/>
      <c r="P44" s="119"/>
      <c r="Q44" s="120"/>
      <c r="R44" s="121"/>
    </row>
    <row r="45" spans="1:18" s="122" customFormat="1" ht="31.5" customHeight="1" x14ac:dyDescent="0.55000000000000004">
      <c r="A45" s="123"/>
      <c r="B45" s="124"/>
      <c r="C45" s="125" t="s">
        <v>116</v>
      </c>
      <c r="D45" s="125"/>
      <c r="E45" s="125"/>
      <c r="F45" s="125"/>
      <c r="G45" s="125"/>
      <c r="H45" s="126" t="s">
        <v>164</v>
      </c>
      <c r="I45" s="126" t="s">
        <v>165</v>
      </c>
      <c r="J45" s="126"/>
      <c r="K45" s="127"/>
      <c r="L45" s="79"/>
      <c r="M45" s="128"/>
      <c r="N45" s="128"/>
      <c r="O45" s="128"/>
      <c r="P45" s="129"/>
      <c r="Q45" s="120"/>
      <c r="R45" s="121"/>
    </row>
    <row r="46" spans="1:18" s="122" customFormat="1" ht="36" customHeight="1" x14ac:dyDescent="0.55000000000000004">
      <c r="A46" s="130">
        <v>1</v>
      </c>
      <c r="B46" s="131" t="s">
        <v>120</v>
      </c>
      <c r="C46" s="132"/>
      <c r="D46" s="133"/>
      <c r="E46" s="133"/>
      <c r="F46" s="133"/>
      <c r="G46" s="134"/>
      <c r="H46" s="135"/>
      <c r="I46" s="135"/>
      <c r="J46" s="135"/>
      <c r="K46" s="135"/>
      <c r="L46" s="136"/>
      <c r="M46" s="137" t="s">
        <v>42</v>
      </c>
      <c r="N46" s="138" t="s">
        <v>121</v>
      </c>
      <c r="O46" s="139"/>
      <c r="P46" s="129"/>
      <c r="Q46" s="120"/>
      <c r="R46" s="121"/>
    </row>
    <row r="47" spans="1:18" s="122" customFormat="1" ht="84.75" customHeight="1" x14ac:dyDescent="0.55000000000000004">
      <c r="A47" s="140" t="s">
        <v>122</v>
      </c>
      <c r="B47" s="141" t="s">
        <v>166</v>
      </c>
      <c r="C47" s="142"/>
      <c r="D47" s="143"/>
      <c r="E47" s="143"/>
      <c r="F47" s="143"/>
      <c r="G47" s="144"/>
      <c r="H47" s="145">
        <v>4</v>
      </c>
      <c r="I47" s="146"/>
      <c r="J47" s="145"/>
      <c r="K47" s="145"/>
      <c r="L47" s="136"/>
      <c r="M47" s="137" t="s">
        <v>43</v>
      </c>
      <c r="N47" s="138" t="s">
        <v>123</v>
      </c>
      <c r="O47" s="139"/>
      <c r="P47" s="129"/>
      <c r="Q47" s="120"/>
      <c r="R47" s="121"/>
    </row>
    <row r="48" spans="1:18" s="122" customFormat="1" ht="82.5" customHeight="1" x14ac:dyDescent="0.55000000000000004">
      <c r="A48" s="140" t="s">
        <v>124</v>
      </c>
      <c r="B48" s="141" t="s">
        <v>167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44</v>
      </c>
      <c r="N48" s="138" t="s">
        <v>125</v>
      </c>
      <c r="O48" s="139"/>
      <c r="P48" s="129"/>
      <c r="Q48" s="120"/>
      <c r="R48" s="121"/>
    </row>
    <row r="49" spans="1:18" s="122" customFormat="1" ht="78.75" customHeight="1" x14ac:dyDescent="0.55000000000000004">
      <c r="A49" s="140" t="s">
        <v>126</v>
      </c>
      <c r="B49" s="141" t="s">
        <v>127</v>
      </c>
      <c r="C49" s="142"/>
      <c r="D49" s="143"/>
      <c r="E49" s="143"/>
      <c r="F49" s="143"/>
      <c r="G49" s="144"/>
      <c r="H49" s="145">
        <v>2</v>
      </c>
      <c r="I49" s="146"/>
      <c r="J49" s="145"/>
      <c r="K49" s="145"/>
      <c r="L49" s="136"/>
      <c r="M49" s="137" t="s">
        <v>45</v>
      </c>
      <c r="N49" s="138" t="s">
        <v>128</v>
      </c>
      <c r="O49" s="139"/>
      <c r="P49" s="129"/>
      <c r="Q49" s="120"/>
      <c r="R49" s="121"/>
    </row>
    <row r="50" spans="1:18" s="122" customFormat="1" ht="36" x14ac:dyDescent="0.55000000000000004">
      <c r="A50" s="147">
        <v>2</v>
      </c>
      <c r="B50" s="148" t="s">
        <v>129</v>
      </c>
      <c r="C50" s="149"/>
      <c r="D50" s="150"/>
      <c r="E50" s="150"/>
      <c r="F50" s="150"/>
      <c r="G50" s="151"/>
      <c r="H50" s="145"/>
      <c r="I50" s="146"/>
      <c r="J50" s="145"/>
      <c r="K50" s="145"/>
      <c r="L50" s="136"/>
      <c r="M50" s="137" t="s">
        <v>46</v>
      </c>
      <c r="N50" s="138" t="s">
        <v>130</v>
      </c>
      <c r="O50" s="139"/>
      <c r="P50" s="129"/>
      <c r="Q50" s="120"/>
      <c r="R50" s="121"/>
    </row>
    <row r="51" spans="1:18" s="122" customFormat="1" ht="82.5" customHeight="1" x14ac:dyDescent="0.55000000000000004">
      <c r="A51" s="140" t="s">
        <v>122</v>
      </c>
      <c r="B51" s="152" t="s">
        <v>168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37" t="s">
        <v>47</v>
      </c>
      <c r="N51" s="138" t="s">
        <v>131</v>
      </c>
      <c r="O51" s="139"/>
      <c r="P51" s="156"/>
      <c r="Q51" s="120"/>
      <c r="R51" s="121"/>
    </row>
    <row r="52" spans="1:18" s="122" customFormat="1" ht="114.75" customHeight="1" x14ac:dyDescent="0.55000000000000004">
      <c r="A52" s="140" t="s">
        <v>124</v>
      </c>
      <c r="B52" s="152" t="s">
        <v>169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119</v>
      </c>
      <c r="N52" s="157" t="s">
        <v>132</v>
      </c>
      <c r="O52" s="158"/>
      <c r="P52" s="156"/>
      <c r="Q52" s="120"/>
      <c r="R52" s="121"/>
    </row>
    <row r="53" spans="1:18" s="122" customFormat="1" ht="72" customHeight="1" x14ac:dyDescent="0.55000000000000004">
      <c r="A53" s="140" t="s">
        <v>126</v>
      </c>
      <c r="B53" s="152" t="s">
        <v>170</v>
      </c>
      <c r="C53" s="153"/>
      <c r="D53" s="154"/>
      <c r="E53" s="154"/>
      <c r="F53" s="154"/>
      <c r="G53" s="155"/>
      <c r="H53" s="145">
        <v>2</v>
      </c>
      <c r="I53" s="146"/>
      <c r="J53" s="145"/>
      <c r="K53" s="145"/>
      <c r="L53" s="136"/>
      <c r="M53" s="129" t="s">
        <v>133</v>
      </c>
      <c r="N53" s="157" t="s">
        <v>134</v>
      </c>
      <c r="O53" s="158"/>
      <c r="P53" s="156"/>
      <c r="Q53" s="120"/>
      <c r="R53" s="121"/>
    </row>
    <row r="54" spans="1:18" s="122" customFormat="1" ht="66" customHeight="1" x14ac:dyDescent="0.55000000000000004">
      <c r="A54" s="147">
        <v>3</v>
      </c>
      <c r="B54" s="148" t="s">
        <v>135</v>
      </c>
      <c r="C54" s="149"/>
      <c r="D54" s="150"/>
      <c r="E54" s="150"/>
      <c r="F54" s="150"/>
      <c r="G54" s="151"/>
      <c r="H54" s="145"/>
      <c r="I54" s="146"/>
      <c r="J54" s="145"/>
      <c r="K54" s="145"/>
      <c r="L54" s="136"/>
      <c r="M54" s="129" t="s">
        <v>117</v>
      </c>
      <c r="N54" s="157" t="s">
        <v>136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122</v>
      </c>
      <c r="B55" s="152" t="s">
        <v>137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118</v>
      </c>
      <c r="N55" s="157" t="s">
        <v>138</v>
      </c>
      <c r="O55" s="158"/>
      <c r="P55" s="156"/>
      <c r="Q55" s="120"/>
      <c r="R55" s="121"/>
    </row>
    <row r="56" spans="1:18" s="122" customFormat="1" ht="72" customHeight="1" x14ac:dyDescent="0.55000000000000004">
      <c r="A56" s="140" t="s">
        <v>124</v>
      </c>
      <c r="B56" s="152" t="s">
        <v>171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29" t="s">
        <v>139</v>
      </c>
      <c r="N56" s="157" t="s">
        <v>140</v>
      </c>
      <c r="O56" s="158"/>
      <c r="P56" s="156"/>
      <c r="Q56" s="120"/>
      <c r="R56" s="121"/>
    </row>
    <row r="57" spans="1:18" s="122" customFormat="1" ht="44.25" customHeight="1" x14ac:dyDescent="0.55000000000000004">
      <c r="A57" s="140" t="s">
        <v>126</v>
      </c>
      <c r="B57" s="152" t="s">
        <v>172</v>
      </c>
      <c r="C57" s="159"/>
      <c r="D57" s="160"/>
      <c r="E57" s="160"/>
      <c r="F57" s="160"/>
      <c r="G57" s="161"/>
      <c r="H57" s="145">
        <v>2</v>
      </c>
      <c r="I57" s="146"/>
      <c r="J57" s="145"/>
      <c r="K57" s="145"/>
      <c r="L57" s="136"/>
      <c r="M57" s="162"/>
      <c r="N57" s="162"/>
      <c r="O57" s="162"/>
      <c r="P57" s="163"/>
      <c r="Q57" s="120"/>
      <c r="R57" s="121"/>
    </row>
    <row r="58" spans="1:18" s="122" customFormat="1" ht="31.5" customHeight="1" x14ac:dyDescent="0.55000000000000004">
      <c r="A58" s="164" t="s">
        <v>141</v>
      </c>
      <c r="B58" s="165"/>
      <c r="C58" s="165"/>
      <c r="D58" s="165"/>
      <c r="E58" s="165"/>
      <c r="F58" s="165"/>
      <c r="G58" s="165"/>
      <c r="H58" s="166">
        <f>SUM(H47:H57)</f>
        <v>20</v>
      </c>
      <c r="I58" s="166">
        <f>SUM(I47:I57)</f>
        <v>0</v>
      </c>
      <c r="J58" s="166"/>
      <c r="K58" s="167"/>
      <c r="L58" s="136"/>
      <c r="M58" s="162"/>
      <c r="N58" s="162"/>
      <c r="O58" s="162"/>
      <c r="P58" s="163"/>
      <c r="Q58" s="120"/>
      <c r="R58" s="121"/>
    </row>
    <row r="59" spans="1:18" s="122" customFormat="1" ht="36" customHeight="1" x14ac:dyDescent="0.55000000000000004">
      <c r="A59" s="168" t="s">
        <v>122</v>
      </c>
      <c r="B59" s="169" t="s">
        <v>142</v>
      </c>
      <c r="C59" s="153" t="s">
        <v>143</v>
      </c>
      <c r="D59" s="154"/>
      <c r="E59" s="154"/>
      <c r="F59" s="154"/>
      <c r="G59" s="155"/>
      <c r="H59" s="170">
        <v>4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129" customHeight="1" x14ac:dyDescent="0.55000000000000004">
      <c r="A60" s="168" t="s">
        <v>124</v>
      </c>
      <c r="B60" s="169" t="s">
        <v>144</v>
      </c>
      <c r="C60" s="153" t="s">
        <v>145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69" customHeight="1" x14ac:dyDescent="0.55000000000000004">
      <c r="A61" s="168" t="s">
        <v>124</v>
      </c>
      <c r="B61" s="169" t="s">
        <v>146</v>
      </c>
      <c r="C61" s="153" t="s">
        <v>147</v>
      </c>
      <c r="D61" s="154"/>
      <c r="E61" s="154"/>
      <c r="F61" s="154"/>
      <c r="G61" s="155"/>
      <c r="H61" s="170">
        <v>3</v>
      </c>
      <c r="I61" s="171"/>
      <c r="J61" s="170"/>
      <c r="K61" s="172"/>
      <c r="L61" s="136"/>
      <c r="M61" s="162"/>
      <c r="N61" s="162"/>
      <c r="O61" s="162"/>
      <c r="P61" s="163"/>
      <c r="Q61" s="120"/>
      <c r="R61" s="121"/>
    </row>
    <row r="62" spans="1:18" s="122" customFormat="1" ht="46.5" customHeight="1" x14ac:dyDescent="0.55000000000000004">
      <c r="A62" s="173"/>
      <c r="B62" s="174" t="s">
        <v>148</v>
      </c>
      <c r="C62" s="174"/>
      <c r="D62" s="174"/>
      <c r="E62" s="175"/>
      <c r="F62" s="175"/>
      <c r="G62" s="175"/>
      <c r="H62" s="166">
        <f>SUM(H59:H61)</f>
        <v>10</v>
      </c>
      <c r="I62" s="166">
        <f>SUM(I59:I61)</f>
        <v>0</v>
      </c>
      <c r="J62" s="175"/>
      <c r="K62" s="176"/>
      <c r="L62" s="162"/>
      <c r="M62" s="162"/>
      <c r="N62" s="162"/>
      <c r="O62" s="162"/>
      <c r="P62" s="163"/>
      <c r="Q62" s="120"/>
      <c r="R62" s="121"/>
    </row>
    <row r="63" spans="1:18" s="184" customFormat="1" ht="45" customHeight="1" x14ac:dyDescent="0.7">
      <c r="A63" s="177"/>
      <c r="B63" s="178"/>
      <c r="C63" s="179"/>
      <c r="D63" s="179"/>
      <c r="E63" s="179"/>
      <c r="F63" s="180"/>
      <c r="G63" s="180"/>
      <c r="H63" s="180"/>
      <c r="I63" s="180"/>
      <c r="J63" s="180"/>
      <c r="K63" s="179"/>
      <c r="L63" s="179"/>
      <c r="M63" s="179"/>
      <c r="N63" s="179"/>
      <c r="O63" s="181" t="s">
        <v>173</v>
      </c>
      <c r="P63" s="182"/>
      <c r="Q63" s="181" t="s">
        <v>174</v>
      </c>
      <c r="R63" s="183"/>
    </row>
    <row r="64" spans="1:18" s="184" customFormat="1" ht="45" customHeight="1" x14ac:dyDescent="0.7">
      <c r="A64" s="177"/>
      <c r="B64" s="185"/>
      <c r="C64" s="186" t="s">
        <v>175</v>
      </c>
      <c r="D64" s="187"/>
      <c r="E64" s="187"/>
      <c r="F64" s="187"/>
      <c r="G64" s="187"/>
      <c r="H64" s="187"/>
      <c r="I64" s="187"/>
      <c r="J64" s="187"/>
      <c r="K64" s="188"/>
      <c r="L64" s="189"/>
      <c r="M64" s="190"/>
      <c r="N64" s="191"/>
      <c r="O64" s="192">
        <f>R43</f>
        <v>0</v>
      </c>
      <c r="P64" s="193"/>
      <c r="Q64" s="194">
        <f>O67/100 * 20</f>
        <v>0</v>
      </c>
      <c r="R64" s="195"/>
    </row>
    <row r="65" spans="1:18" s="184" customFormat="1" ht="45" customHeight="1" x14ac:dyDescent="0.7">
      <c r="A65" s="177"/>
      <c r="B65" s="185"/>
      <c r="C65" s="187" t="s">
        <v>176</v>
      </c>
      <c r="D65" s="187"/>
      <c r="E65" s="187"/>
      <c r="F65" s="187"/>
      <c r="G65" s="187"/>
      <c r="H65" s="187"/>
      <c r="I65" s="187"/>
      <c r="J65" s="187"/>
      <c r="K65" s="187"/>
      <c r="L65" s="190"/>
      <c r="M65" s="190"/>
      <c r="N65" s="191"/>
      <c r="O65" s="192">
        <f>I58</f>
        <v>0</v>
      </c>
      <c r="P65" s="193"/>
      <c r="Q65" s="196"/>
      <c r="R65" s="197"/>
    </row>
    <row r="66" spans="1:18" s="184" customFormat="1" ht="45" customHeight="1" x14ac:dyDescent="0.7">
      <c r="A66" s="177"/>
      <c r="B66" s="185"/>
      <c r="C66" s="186" t="s">
        <v>177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I62</f>
        <v>0</v>
      </c>
      <c r="P66" s="193"/>
      <c r="Q66" s="196"/>
      <c r="R66" s="197"/>
    </row>
    <row r="67" spans="1:18" s="184" customFormat="1" ht="45" customHeight="1" x14ac:dyDescent="0.7">
      <c r="A67" s="177"/>
      <c r="B67" s="198"/>
      <c r="C67" s="186" t="s">
        <v>178</v>
      </c>
      <c r="D67" s="187"/>
      <c r="E67" s="187"/>
      <c r="F67" s="187"/>
      <c r="G67" s="187"/>
      <c r="H67" s="187"/>
      <c r="I67" s="187"/>
      <c r="J67" s="187"/>
      <c r="K67" s="188"/>
      <c r="L67" s="189"/>
      <c r="M67" s="190"/>
      <c r="N67" s="191"/>
      <c r="O67" s="192">
        <f>SUM(O64:P66)</f>
        <v>0</v>
      </c>
      <c r="P67" s="193"/>
      <c r="Q67" s="199"/>
      <c r="R67" s="200"/>
    </row>
    <row r="68" spans="1:18" s="184" customFormat="1" ht="64.900000000000006" customHeight="1" x14ac:dyDescent="0.7">
      <c r="A68" s="177"/>
      <c r="B68" s="201" t="s">
        <v>179</v>
      </c>
      <c r="C68" s="201"/>
      <c r="D68" s="201"/>
      <c r="E68" s="201"/>
      <c r="F68" s="201"/>
      <c r="G68" s="201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s="184" customFormat="1" ht="64.900000000000006" customHeight="1" x14ac:dyDescent="0.7">
      <c r="A69" s="177"/>
      <c r="B69" s="204" t="s">
        <v>180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5"/>
    </row>
    <row r="70" spans="1:18" s="184" customFormat="1" ht="48.75" customHeight="1" x14ac:dyDescent="0.7">
      <c r="A70" s="177"/>
      <c r="B70" s="206" t="s">
        <v>181</v>
      </c>
      <c r="C70" s="206"/>
      <c r="D70" s="206"/>
      <c r="E70" s="206"/>
      <c r="F70" s="206"/>
      <c r="G70" s="206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8"/>
    </row>
    <row r="71" spans="1:18" s="184" customFormat="1" ht="45.75" x14ac:dyDescent="0.7">
      <c r="A71" s="177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5"/>
    </row>
    <row r="72" spans="1:18" s="122" customFormat="1" ht="31.5" customHeight="1" x14ac:dyDescent="0.55000000000000004">
      <c r="A72" s="209" t="s">
        <v>182</v>
      </c>
      <c r="B72" s="210"/>
      <c r="C72" s="211"/>
      <c r="D72" s="212"/>
      <c r="E72" s="213" t="s">
        <v>183</v>
      </c>
      <c r="F72" s="214"/>
      <c r="G72" s="210" t="s">
        <v>184</v>
      </c>
      <c r="H72" s="211"/>
      <c r="I72" s="211"/>
      <c r="J72" s="211"/>
      <c r="K72" s="215"/>
      <c r="L72" s="136"/>
      <c r="M72" s="216"/>
      <c r="N72" s="216"/>
      <c r="O72" s="216"/>
      <c r="P72" s="216"/>
      <c r="Q72" s="216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/>
      <c r="B74" s="218"/>
      <c r="C74" s="219"/>
      <c r="D74" s="220"/>
      <c r="E74" s="221"/>
      <c r="F74" s="222"/>
      <c r="G74" s="218"/>
      <c r="H74" s="219"/>
      <c r="I74" s="219"/>
      <c r="J74" s="219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24"/>
      <c r="B75" s="225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0" t="s">
        <v>149</v>
      </c>
      <c r="B76" s="231"/>
      <c r="C76" s="211"/>
      <c r="D76" s="212"/>
      <c r="E76" s="232" t="s">
        <v>185</v>
      </c>
      <c r="F76" s="214"/>
      <c r="G76" s="231" t="s">
        <v>185</v>
      </c>
      <c r="H76" s="211"/>
      <c r="I76" s="211"/>
      <c r="J76" s="211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19"/>
      <c r="D77" s="220"/>
      <c r="E77" s="235"/>
      <c r="F77" s="222"/>
      <c r="G77" s="234"/>
      <c r="H77" s="219"/>
      <c r="I77" s="219"/>
      <c r="J77" s="219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33"/>
      <c r="B78" s="234"/>
      <c r="C78" s="226"/>
      <c r="D78" s="227"/>
      <c r="E78" s="236"/>
      <c r="F78" s="229"/>
      <c r="G78" s="237"/>
      <c r="H78" s="226"/>
      <c r="I78" s="226"/>
      <c r="J78" s="226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 t="s">
        <v>150</v>
      </c>
      <c r="B79" s="218"/>
      <c r="C79" s="211"/>
      <c r="D79" s="212"/>
      <c r="E79" s="213" t="s">
        <v>186</v>
      </c>
      <c r="F79" s="214"/>
      <c r="G79" s="210" t="s">
        <v>186</v>
      </c>
      <c r="H79" s="211"/>
      <c r="I79" s="211"/>
      <c r="J79" s="211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x14ac:dyDescent="0.55000000000000004">
      <c r="A80" s="217"/>
      <c r="B80" s="218"/>
      <c r="C80" s="226"/>
      <c r="D80" s="227"/>
      <c r="E80" s="228"/>
      <c r="F80" s="229"/>
      <c r="G80" s="225"/>
      <c r="H80" s="226"/>
      <c r="I80" s="226"/>
      <c r="J80" s="226"/>
      <c r="K80" s="215"/>
      <c r="L80" s="136"/>
      <c r="M80" s="223"/>
      <c r="N80" s="223"/>
      <c r="O80" s="223"/>
      <c r="P80" s="223"/>
      <c r="Q80" s="223"/>
      <c r="R80" s="121"/>
    </row>
    <row r="81" spans="1:18" s="122" customFormat="1" ht="31.5" customHeight="1" thickBot="1" x14ac:dyDescent="0.6">
      <c r="A81" s="238"/>
      <c r="B81" s="239"/>
      <c r="C81" s="239"/>
      <c r="D81" s="239"/>
      <c r="E81" s="239"/>
      <c r="F81" s="239"/>
      <c r="G81" s="239"/>
      <c r="H81" s="239"/>
      <c r="I81" s="239"/>
      <c r="J81" s="239"/>
      <c r="K81" s="240"/>
      <c r="L81" s="241"/>
      <c r="M81" s="242"/>
      <c r="N81" s="242"/>
      <c r="O81" s="242"/>
      <c r="P81" s="242"/>
      <c r="Q81" s="242"/>
      <c r="R81" s="243"/>
    </row>
  </sheetData>
  <mergeCells count="111">
    <mergeCell ref="A81:J81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9:B80"/>
    <mergeCell ref="C79:D80"/>
    <mergeCell ref="E79:E80"/>
    <mergeCell ref="F79:F80"/>
    <mergeCell ref="G79:G80"/>
    <mergeCell ref="H79:J80"/>
    <mergeCell ref="A76:B78"/>
    <mergeCell ref="C76:D78"/>
    <mergeCell ref="E76:E78"/>
    <mergeCell ref="F76:F78"/>
    <mergeCell ref="G76:G78"/>
    <mergeCell ref="H76:J78"/>
    <mergeCell ref="B69:R69"/>
    <mergeCell ref="B70:G70"/>
    <mergeCell ref="B71:R71"/>
    <mergeCell ref="A72:B75"/>
    <mergeCell ref="C72:D75"/>
    <mergeCell ref="E72:E75"/>
    <mergeCell ref="F72:F75"/>
    <mergeCell ref="G72:G75"/>
    <mergeCell ref="H72:J75"/>
    <mergeCell ref="M72:Q81"/>
    <mergeCell ref="L66:N66"/>
    <mergeCell ref="O66:P66"/>
    <mergeCell ref="C67:K67"/>
    <mergeCell ref="L67:N67"/>
    <mergeCell ref="O67:P67"/>
    <mergeCell ref="B68:G68"/>
    <mergeCell ref="O63:P63"/>
    <mergeCell ref="Q63:R63"/>
    <mergeCell ref="C64:K64"/>
    <mergeCell ref="L64:N64"/>
    <mergeCell ref="O64:P64"/>
    <mergeCell ref="Q64:R67"/>
    <mergeCell ref="C65:K65"/>
    <mergeCell ref="L65:N65"/>
    <mergeCell ref="O65:P65"/>
    <mergeCell ref="C66:K66"/>
    <mergeCell ref="A58:G58"/>
    <mergeCell ref="C59:G59"/>
    <mergeCell ref="C60:G60"/>
    <mergeCell ref="C61:G61"/>
    <mergeCell ref="B62:D62"/>
    <mergeCell ref="B63:B67"/>
    <mergeCell ref="F63:J63"/>
    <mergeCell ref="C52:G52"/>
    <mergeCell ref="C53:G53"/>
    <mergeCell ref="C54:G54"/>
    <mergeCell ref="C55:G55"/>
    <mergeCell ref="C56:G56"/>
    <mergeCell ref="C57:G57"/>
    <mergeCell ref="C49:G49"/>
    <mergeCell ref="N49:O49"/>
    <mergeCell ref="C50:G50"/>
    <mergeCell ref="N50:O50"/>
    <mergeCell ref="C51:G51"/>
    <mergeCell ref="N51:O51"/>
    <mergeCell ref="C46:G46"/>
    <mergeCell ref="N46:O46"/>
    <mergeCell ref="C47:G47"/>
    <mergeCell ref="N47:O47"/>
    <mergeCell ref="C48:G48"/>
    <mergeCell ref="N48:O48"/>
    <mergeCell ref="R17:R18"/>
    <mergeCell ref="I43:Q43"/>
    <mergeCell ref="A44:G44"/>
    <mergeCell ref="H44:K44"/>
    <mergeCell ref="L44:L45"/>
    <mergeCell ref="C45:G45"/>
    <mergeCell ref="A38:A39"/>
    <mergeCell ref="B38:B39"/>
    <mergeCell ref="C38:C39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9:I9"/>
  </mergeCells>
  <hyperlinks>
    <hyperlink ref="E11" r:id="rId1" xr:uid="{EF99DCF2-5930-4812-888A-D4FDBB8AB3A0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2026-04-09T13:39:50Z</dcterms:created>
  <dcterms:modified xsi:type="dcterms:W3CDTF">2026-04-09T20:35:09Z</dcterms:modified>
</cp:coreProperties>
</file>