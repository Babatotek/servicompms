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ervicom_2026\20\OPERATIONS\A\"/>
    </mc:Choice>
  </mc:AlternateContent>
  <xr:revisionPtr revIDLastSave="0" documentId="13_ncr:1_{25F4E226-DFD0-4A0F-B27D-E53380E0DB09}" xr6:coauthVersionLast="47" xr6:coauthVersionMax="47" xr10:uidLastSave="{00000000-0000-0000-0000-000000000000}"/>
  <bookViews>
    <workbookView xWindow="-120" yWindow="-120" windowWidth="20730" windowHeight="11040" xr2:uid="{880D8E36-4151-4C55-91CB-14DB081971CB}"/>
  </bookViews>
  <sheets>
    <sheet name="FIRST QUARTER" sheetId="6" r:id="rId1"/>
    <sheet name="SECOND QUARTER" sheetId="7" r:id="rId2"/>
    <sheet name="THIRD QUARTER" sheetId="8" r:id="rId3"/>
    <sheet name="FOURTH QUARTER" sheetId="9" r:id="rId4"/>
  </sheets>
  <definedNames>
    <definedName name="_xlnm.Print_Area" localSheetId="0">'FIRST QUARTER'!$A$1:$R$81</definedName>
    <definedName name="_xlnm.Print_Area" localSheetId="3">'FOURTH QUARTER'!$A$1:$R$81</definedName>
    <definedName name="_xlnm.Print_Area" localSheetId="1">'SECOND QUARTER'!$A$1:$R$81</definedName>
    <definedName name="_xlnm.Print_Area" localSheetId="2">'THIRD QUARTER'!$A$1:$R$81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0" i="7" l="1"/>
  <c r="R20" i="7" s="1"/>
  <c r="Q21" i="7"/>
  <c r="R21" i="7"/>
  <c r="Q22" i="7"/>
  <c r="R22" i="7" s="1"/>
  <c r="Q23" i="7"/>
  <c r="R23" i="7"/>
  <c r="Q24" i="7"/>
  <c r="R24" i="7" s="1"/>
  <c r="Q25" i="7"/>
  <c r="R25" i="7"/>
  <c r="Q26" i="7"/>
  <c r="R26" i="7" s="1"/>
  <c r="Q27" i="7"/>
  <c r="R27" i="7"/>
  <c r="Q28" i="7"/>
  <c r="R28" i="7" s="1"/>
  <c r="Q29" i="7"/>
  <c r="R29" i="7"/>
  <c r="Q30" i="7"/>
  <c r="R30" i="7" s="1"/>
  <c r="Q31" i="7"/>
  <c r="R31" i="7"/>
  <c r="Q32" i="7"/>
  <c r="R32" i="7" s="1"/>
  <c r="Q33" i="7"/>
  <c r="R33" i="7"/>
  <c r="Q34" i="7"/>
  <c r="R34" i="7" s="1"/>
  <c r="Q35" i="7"/>
  <c r="R35" i="7"/>
  <c r="Q36" i="7"/>
  <c r="R36" i="7" s="1"/>
  <c r="Q37" i="7"/>
  <c r="R37" i="7"/>
  <c r="Q38" i="7"/>
  <c r="R38" i="7" s="1"/>
  <c r="Q39" i="7"/>
  <c r="R39" i="7"/>
  <c r="Q40" i="7"/>
  <c r="R40" i="7" s="1"/>
  <c r="Q41" i="7"/>
  <c r="R41" i="7"/>
  <c r="Q20" i="8"/>
  <c r="R20" i="8" s="1"/>
  <c r="Q21" i="8"/>
  <c r="R21" i="8"/>
  <c r="Q22" i="8"/>
  <c r="R22" i="8" s="1"/>
  <c r="Q23" i="8"/>
  <c r="R23" i="8"/>
  <c r="Q24" i="8"/>
  <c r="R24" i="8" s="1"/>
  <c r="Q25" i="8"/>
  <c r="R25" i="8"/>
  <c r="Q26" i="8"/>
  <c r="R26" i="8" s="1"/>
  <c r="Q27" i="8"/>
  <c r="R27" i="8"/>
  <c r="Q28" i="8"/>
  <c r="R28" i="8" s="1"/>
  <c r="Q29" i="8"/>
  <c r="R29" i="8"/>
  <c r="Q30" i="8"/>
  <c r="R30" i="8" s="1"/>
  <c r="Q31" i="8"/>
  <c r="R31" i="8"/>
  <c r="Q32" i="8"/>
  <c r="R32" i="8" s="1"/>
  <c r="Q33" i="8"/>
  <c r="R33" i="8"/>
  <c r="Q34" i="8"/>
  <c r="R34" i="8" s="1"/>
  <c r="Q35" i="8"/>
  <c r="R35" i="8"/>
  <c r="Q36" i="8"/>
  <c r="R36" i="8" s="1"/>
  <c r="Q37" i="8"/>
  <c r="R37" i="8"/>
  <c r="Q38" i="8"/>
  <c r="R38" i="8" s="1"/>
  <c r="Q39" i="8"/>
  <c r="R39" i="8"/>
  <c r="Q40" i="8"/>
  <c r="R40" i="8" s="1"/>
  <c r="Q41" i="8"/>
  <c r="R41" i="8"/>
  <c r="Q20" i="9"/>
  <c r="R20" i="9" s="1"/>
  <c r="Q21" i="9"/>
  <c r="R21" i="9"/>
  <c r="Q22" i="9"/>
  <c r="R22" i="9" s="1"/>
  <c r="Q23" i="9"/>
  <c r="R23" i="9"/>
  <c r="Q24" i="9"/>
  <c r="R24" i="9" s="1"/>
  <c r="Q25" i="9"/>
  <c r="R25" i="9"/>
  <c r="Q26" i="9"/>
  <c r="R26" i="9" s="1"/>
  <c r="Q27" i="9"/>
  <c r="R27" i="9"/>
  <c r="Q28" i="9"/>
  <c r="R28" i="9" s="1"/>
  <c r="Q29" i="9"/>
  <c r="R29" i="9"/>
  <c r="Q30" i="9"/>
  <c r="R30" i="9" s="1"/>
  <c r="Q31" i="9"/>
  <c r="R31" i="9"/>
  <c r="Q32" i="9"/>
  <c r="R32" i="9" s="1"/>
  <c r="Q33" i="9"/>
  <c r="R33" i="9"/>
  <c r="Q34" i="9"/>
  <c r="R34" i="9" s="1"/>
  <c r="Q35" i="9"/>
  <c r="R35" i="9"/>
  <c r="Q36" i="9"/>
  <c r="R36" i="9" s="1"/>
  <c r="Q37" i="9"/>
  <c r="R37" i="9"/>
  <c r="Q38" i="9"/>
  <c r="R38" i="9" s="1"/>
  <c r="Q39" i="9"/>
  <c r="R39" i="9"/>
  <c r="Q40" i="9"/>
  <c r="R40" i="9" s="1"/>
  <c r="Q41" i="9"/>
  <c r="R41" i="9"/>
  <c r="Q20" i="6"/>
  <c r="R20" i="6" s="1"/>
  <c r="Q21" i="6"/>
  <c r="R21" i="6"/>
  <c r="Q22" i="6"/>
  <c r="R22" i="6" s="1"/>
  <c r="Q23" i="6"/>
  <c r="R23" i="6"/>
  <c r="Q24" i="6"/>
  <c r="R24" i="6" s="1"/>
  <c r="Q25" i="6"/>
  <c r="R25" i="6"/>
  <c r="Q26" i="6"/>
  <c r="R26" i="6" s="1"/>
  <c r="Q27" i="6"/>
  <c r="R27" i="6"/>
  <c r="Q28" i="6"/>
  <c r="R28" i="6" s="1"/>
  <c r="Q29" i="6"/>
  <c r="R29" i="6"/>
  <c r="Q30" i="6"/>
  <c r="R30" i="6" s="1"/>
  <c r="Q31" i="6"/>
  <c r="R31" i="6"/>
  <c r="Q32" i="6"/>
  <c r="R32" i="6" s="1"/>
  <c r="Q33" i="6"/>
  <c r="R33" i="6"/>
  <c r="Q34" i="6"/>
  <c r="R34" i="6" s="1"/>
  <c r="Q35" i="6"/>
  <c r="R35" i="6"/>
  <c r="Q36" i="6"/>
  <c r="R36" i="6" s="1"/>
  <c r="Q37" i="6"/>
  <c r="R37" i="6"/>
  <c r="Q38" i="6"/>
  <c r="R38" i="6" s="1"/>
  <c r="Q39" i="6"/>
  <c r="R39" i="6"/>
  <c r="Q40" i="6"/>
  <c r="R40" i="6" s="1"/>
  <c r="Q41" i="6"/>
  <c r="R41" i="6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19" i="7"/>
  <c r="F19" i="8"/>
  <c r="F19" i="9"/>
  <c r="F19" i="6"/>
  <c r="C41" i="7"/>
  <c r="E41" i="7" s="1"/>
  <c r="C40" i="7"/>
  <c r="E40" i="7" s="1"/>
  <c r="E39" i="7"/>
  <c r="E38" i="7"/>
  <c r="C38" i="7"/>
  <c r="C36" i="7"/>
  <c r="E37" i="7" s="1"/>
  <c r="E35" i="7"/>
  <c r="C35" i="7"/>
  <c r="C25" i="7"/>
  <c r="E34" i="7" s="1"/>
  <c r="C24" i="7"/>
  <c r="E24" i="7" s="1"/>
  <c r="C19" i="7"/>
  <c r="E23" i="7" s="1"/>
  <c r="C41" i="8"/>
  <c r="E41" i="8" s="1"/>
  <c r="C40" i="8"/>
  <c r="E40" i="8" s="1"/>
  <c r="C38" i="8"/>
  <c r="E39" i="8" s="1"/>
  <c r="C36" i="8"/>
  <c r="E36" i="8" s="1"/>
  <c r="C35" i="8"/>
  <c r="E35" i="8" s="1"/>
  <c r="C25" i="8"/>
  <c r="E33" i="8" s="1"/>
  <c r="E24" i="8"/>
  <c r="C24" i="8"/>
  <c r="C19" i="8"/>
  <c r="E22" i="8" s="1"/>
  <c r="C41" i="9"/>
  <c r="E41" i="9" s="1"/>
  <c r="C40" i="9"/>
  <c r="E40" i="9" s="1"/>
  <c r="C38" i="9"/>
  <c r="E38" i="9" s="1"/>
  <c r="C36" i="9"/>
  <c r="E37" i="9" s="1"/>
  <c r="C35" i="9"/>
  <c r="E35" i="9" s="1"/>
  <c r="C25" i="9"/>
  <c r="E24" i="9"/>
  <c r="C24" i="9"/>
  <c r="C19" i="9"/>
  <c r="E23" i="9" s="1"/>
  <c r="E41" i="6"/>
  <c r="C41" i="6"/>
  <c r="C40" i="6"/>
  <c r="E40" i="6" s="1"/>
  <c r="E39" i="6"/>
  <c r="E38" i="6"/>
  <c r="C38" i="6"/>
  <c r="C36" i="6"/>
  <c r="E36" i="6" s="1"/>
  <c r="C35" i="6"/>
  <c r="E35" i="6" s="1"/>
  <c r="C25" i="6"/>
  <c r="E33" i="6" s="1"/>
  <c r="C24" i="6"/>
  <c r="E24" i="6" s="1"/>
  <c r="C19" i="6"/>
  <c r="I62" i="9"/>
  <c r="O66" i="9" s="1"/>
  <c r="H62" i="9"/>
  <c r="I58" i="9"/>
  <c r="O65" i="9" s="1"/>
  <c r="H58" i="9"/>
  <c r="Q19" i="9"/>
  <c r="I62" i="8"/>
  <c r="O66" i="8" s="1"/>
  <c r="H62" i="8"/>
  <c r="I58" i="8"/>
  <c r="O65" i="8" s="1"/>
  <c r="H58" i="8"/>
  <c r="Q19" i="8"/>
  <c r="I62" i="7"/>
  <c r="O66" i="7" s="1"/>
  <c r="H62" i="7"/>
  <c r="I58" i="7"/>
  <c r="O65" i="7" s="1"/>
  <c r="H58" i="7"/>
  <c r="Q19" i="7"/>
  <c r="O65" i="6"/>
  <c r="I62" i="6"/>
  <c r="O66" i="6" s="1"/>
  <c r="H62" i="6"/>
  <c r="I58" i="6"/>
  <c r="H58" i="6"/>
  <c r="C42" i="6"/>
  <c r="Q19" i="6"/>
  <c r="E39" i="9" l="1"/>
  <c r="E38" i="8"/>
  <c r="E22" i="6"/>
  <c r="E20" i="6"/>
  <c r="E23" i="6"/>
  <c r="E21" i="6"/>
  <c r="E19" i="6"/>
  <c r="E34" i="9"/>
  <c r="E32" i="9"/>
  <c r="E30" i="9"/>
  <c r="E28" i="9"/>
  <c r="E26" i="9"/>
  <c r="E33" i="9"/>
  <c r="E31" i="9"/>
  <c r="E29" i="9"/>
  <c r="E27" i="9"/>
  <c r="E25" i="9"/>
  <c r="C42" i="9"/>
  <c r="C42" i="7"/>
  <c r="C42" i="8"/>
  <c r="E26" i="6"/>
  <c r="E28" i="6"/>
  <c r="E30" i="6"/>
  <c r="E32" i="6"/>
  <c r="E34" i="6"/>
  <c r="E37" i="6"/>
  <c r="E20" i="9"/>
  <c r="E22" i="9"/>
  <c r="E36" i="9"/>
  <c r="E19" i="8"/>
  <c r="E21" i="8"/>
  <c r="E23" i="8"/>
  <c r="E26" i="8"/>
  <c r="E28" i="8"/>
  <c r="E30" i="8"/>
  <c r="E32" i="8"/>
  <c r="E34" i="8"/>
  <c r="E37" i="8"/>
  <c r="E20" i="7"/>
  <c r="E22" i="7"/>
  <c r="E25" i="7"/>
  <c r="E27" i="7"/>
  <c r="E29" i="7"/>
  <c r="E31" i="7"/>
  <c r="E33" i="7"/>
  <c r="E36" i="7"/>
  <c r="E25" i="6"/>
  <c r="E27" i="6"/>
  <c r="E29" i="6"/>
  <c r="E31" i="6"/>
  <c r="E19" i="9"/>
  <c r="E21" i="9"/>
  <c r="E20" i="8"/>
  <c r="E25" i="8"/>
  <c r="E27" i="8"/>
  <c r="E29" i="8"/>
  <c r="E31" i="8"/>
  <c r="E19" i="7"/>
  <c r="E21" i="7"/>
  <c r="E26" i="7"/>
  <c r="E28" i="7"/>
  <c r="E30" i="7"/>
  <c r="E32" i="7"/>
  <c r="E42" i="8" l="1"/>
  <c r="E42" i="7"/>
  <c r="E42" i="9"/>
  <c r="E42" i="6"/>
  <c r="F42" i="6" l="1"/>
  <c r="R19" i="6"/>
  <c r="R42" i="6" s="1"/>
  <c r="R43" i="6" s="1"/>
  <c r="O64" i="6" s="1"/>
  <c r="O67" i="6" s="1"/>
  <c r="Q64" i="6" s="1"/>
  <c r="F42" i="7"/>
  <c r="R19" i="7"/>
  <c r="R42" i="7" s="1"/>
  <c r="R43" i="7" s="1"/>
  <c r="O64" i="7" s="1"/>
  <c r="O67" i="7" s="1"/>
  <c r="Q64" i="7" s="1"/>
  <c r="F42" i="9"/>
  <c r="R19" i="9"/>
  <c r="R42" i="9" s="1"/>
  <c r="R43" i="9" s="1"/>
  <c r="O64" i="9" s="1"/>
  <c r="O67" i="9" s="1"/>
  <c r="Q64" i="9" s="1"/>
  <c r="F42" i="8"/>
  <c r="R19" i="8"/>
  <c r="R42" i="8" s="1"/>
  <c r="R43" i="8" s="1"/>
  <c r="O64" i="8" s="1"/>
  <c r="O67" i="8" s="1"/>
  <c r="Q64" i="8" s="1"/>
</calcChain>
</file>

<file path=xl/sharedStrings.xml><?xml version="1.0" encoding="utf-8"?>
<sst xmlns="http://schemas.openxmlformats.org/spreadsheetml/2006/main" count="1060" uniqueCount="191">
  <si>
    <t>PERFORMANCE APPRAISAL PERIOD:</t>
  </si>
  <si>
    <t>FROM</t>
  </si>
  <si>
    <t>To</t>
  </si>
  <si>
    <t>SECTION 1: EMPLOYEE INFORMATION</t>
  </si>
  <si>
    <t>Surname:</t>
  </si>
  <si>
    <t>Firstname</t>
  </si>
  <si>
    <t>Othername</t>
  </si>
  <si>
    <t>Designation</t>
  </si>
  <si>
    <t>IPPIS No.</t>
  </si>
  <si>
    <t>Email</t>
  </si>
  <si>
    <t>Phone No.</t>
  </si>
  <si>
    <t>Department</t>
  </si>
  <si>
    <t>SECTION 2: SUPERVISOR INFORMATION</t>
  </si>
  <si>
    <t>SECTION 3: COUNTER-SIGNING OFFICER'S INFORMATION</t>
  </si>
  <si>
    <t>LAWAL</t>
  </si>
  <si>
    <t>HELEN</t>
  </si>
  <si>
    <t>OBEHI</t>
  </si>
  <si>
    <t xml:space="preserve">DEPUTY DIRECTOR </t>
  </si>
  <si>
    <t>helenlawal6a@gmail.com</t>
  </si>
  <si>
    <t>SERVICOM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</si>
  <si>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</si>
  <si>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</si>
  <si>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</si>
  <si>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</si>
  <si>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</si>
  <si>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</si>
  <si>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</si>
  <si>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</si>
  <si>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</si>
  <si>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</si>
  <si>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</si>
  <si>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</si>
  <si>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</si>
  <si>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</si>
  <si>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</si>
  <si>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</si>
  <si>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</si>
  <si>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</si>
  <si>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</si>
  <si>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</si>
  <si>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</si>
  <si>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</si>
  <si>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</si>
  <si>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</si>
  <si>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</si>
  <si>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</si>
  <si>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</si>
  <si>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</si>
  <si>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</si>
  <si>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</si>
  <si>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</si>
  <si>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Digital Records &amp; Process Transformation Coordination</t>
  </si>
  <si>
    <t>Supervise digitization of physical records and documents</t>
  </si>
  <si>
    <t>Percentage of records digitized</t>
  </si>
  <si>
    <t>&gt;50</t>
  </si>
  <si>
    <t>&lt;25</t>
  </si>
  <si>
    <t>Service Delivery Evaluation &amp; Coordination</t>
  </si>
  <si>
    <t>Lead SERVICOM Compliance Evaluations (SCE) across assigned MDAs</t>
  </si>
  <si>
    <t>Percentage  of planned SCEs conducted within schedule</t>
  </si>
  <si>
    <t>&gt;80</t>
  </si>
  <si>
    <t>&lt;50</t>
  </si>
  <si>
    <t>Coordinate evaluation activities and assign responsibilities to team members</t>
  </si>
  <si>
    <t>Percentage  of activities executed according to plan</t>
  </si>
  <si>
    <t>Review and validate evaluation data and findings</t>
  </si>
  <si>
    <t>Percentage  of reports validated without errors</t>
  </si>
  <si>
    <t>&gt;90</t>
  </si>
  <si>
    <t>Drive engagement sessions to promote service improvement and accountability</t>
  </si>
  <si>
    <t>Percentage ofplanned  engagement sessions held per period</t>
  </si>
  <si>
    <t>Assess functionality of SERVICOM units/nodal officers in MDAs</t>
  </si>
  <si>
    <t>Percentage  of MDAs assessed with functional SERVICOM structures</t>
  </si>
  <si>
    <t>Supervise development and implementation of Service Charters</t>
  </si>
  <si>
    <t>Percentage  of Service Charters developed/reviewed with MDAs</t>
  </si>
  <si>
    <t>Compile and submit evaluation and performance reports</t>
  </si>
  <si>
    <t>Percentage  of reports submitted within deadlines</t>
  </si>
  <si>
    <t>Provide inputs for year-end performance review and institutional learning</t>
  </si>
  <si>
    <t>Percentage  of required inputs submitted on time</t>
  </si>
  <si>
    <t>Monitor implementation of recommendations by MDAs</t>
  </si>
  <si>
    <t>Percentage  of recommendations tracked and implemented</t>
  </si>
  <si>
    <t>Ensure team compliance with SERVICOM evaluation standards and tools</t>
  </si>
  <si>
    <t>Percentage  compliance with standard procedures</t>
  </si>
  <si>
    <t>Innovation &amp; Service Improvement Coordination</t>
  </si>
  <si>
    <t>Identify and prioritize service-improvement and innovation opportunities</t>
  </si>
  <si>
    <t>Number of viable innovation ideas identified and shortlisted</t>
  </si>
  <si>
    <t>Automated Service Delivery</t>
  </si>
  <si>
    <t>Identify and prioritize processes, forms, and routine tasks for automation</t>
  </si>
  <si>
    <t>Number of processes identified  for automation</t>
  </si>
  <si>
    <t>Ensure standardization of official email communication across the unit</t>
  </si>
  <si>
    <t>Percentage  compliance with official email usage policy</t>
  </si>
  <si>
    <t>Capacity Building</t>
  </si>
  <si>
    <t>Identify skill gaps and training needs across  unit</t>
  </si>
  <si>
    <t>Number of training needs assessments conducted</t>
  </si>
  <si>
    <t>Coordinate participation in knowledge-sharing and learning sessions</t>
  </si>
  <si>
    <t>Percentage  of team member participation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</si>
  <si>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</si>
  <si>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</si>
  <si>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</si>
  <si>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</si>
  <si>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</si>
  <si>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</si>
  <si>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</si>
  <si>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</si>
  <si>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</si>
  <si>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</si>
  <si>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</si>
  <si>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</si>
  <si>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</si>
  <si>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</si>
  <si>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</si>
  <si>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</si>
  <si>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</si>
  <si>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</si>
  <si>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Excellent</t>
  </si>
  <si>
    <t>ii</t>
  </si>
  <si>
    <t>Very Good</t>
  </si>
  <si>
    <t>iii</t>
  </si>
  <si>
    <t>Effective Communication</t>
  </si>
  <si>
    <t>Good</t>
  </si>
  <si>
    <t>Functional Competencies</t>
  </si>
  <si>
    <t>Fair</t>
  </si>
  <si>
    <t>Poor</t>
  </si>
  <si>
    <t>Aggregrate</t>
  </si>
  <si>
    <t>Q1</t>
  </si>
  <si>
    <t>First Quarter</t>
  </si>
  <si>
    <t>Ethic and value</t>
  </si>
  <si>
    <t>Second Quarter</t>
  </si>
  <si>
    <t>Integrity</t>
  </si>
  <si>
    <t>Third Quarter</t>
  </si>
  <si>
    <t>Q4</t>
  </si>
  <si>
    <t>Fourth Quarter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</si>
  <si>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</si>
  <si>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</si>
  <si>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</si>
  <si>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</si>
  <si>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</si>
  <si>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</si>
  <si>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</si>
  <si>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</si>
  <si>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Signature</t>
  </si>
  <si>
    <t>Date</t>
  </si>
  <si>
    <t xml:space="preserve">PERFORMANCE APPRAISAL </t>
  </si>
  <si>
    <t>JANUARY 2025</t>
  </si>
  <si>
    <t>MARCH 2025</t>
  </si>
  <si>
    <t>ACHIEVEMENT</t>
  </si>
  <si>
    <t>RAW SCORE</t>
  </si>
  <si>
    <t>WEIGHTED RAW SCORE</t>
  </si>
  <si>
    <t>O -100%</t>
  </si>
  <si>
    <t>E -90%</t>
  </si>
  <si>
    <t>VG-80%</t>
  </si>
  <si>
    <t>G -70%</t>
  </si>
  <si>
    <t>F- 60%</t>
  </si>
  <si>
    <t>P - 50%</t>
  </si>
  <si>
    <t>COMPOSITE SCORE (SUM OF WEIGHTED SCORE CONVERTED TO 70%)</t>
  </si>
  <si>
    <t>TARGET</t>
  </si>
  <si>
    <t>SCORE</t>
  </si>
  <si>
    <t>Drive for Results</t>
  </si>
  <si>
    <t>Collaborating &amp; Partnering</t>
  </si>
  <si>
    <t>Policy Management</t>
  </si>
  <si>
    <t>Public Relations Management</t>
  </si>
  <si>
    <t>Information &amp; Records Management</t>
  </si>
  <si>
    <t xml:space="preserve">Inclusiveness </t>
  </si>
  <si>
    <t xml:space="preserve">Transparency &amp; Accountability </t>
  </si>
  <si>
    <t>APPRAISER RATING</t>
  </si>
  <si>
    <t>APPRAISER SCORE</t>
  </si>
  <si>
    <t xml:space="preserve">SUB-TOTAL RATING OF APPRAISEE PERFORMANCE (EXPECTATIONS AND GOALS FROM )SECTION 4 </t>
  </si>
  <si>
    <t>SUB-TOTAL RATING OF APPRAISEE PERFORMANCE (COMPETENCIES) IN SECTION 5</t>
  </si>
  <si>
    <t>SUB-TOTAL RATING OF APPRAISEE PERFORMANCE (OPERATIONS AND PROCESSES) SECTION 6</t>
  </si>
  <si>
    <t>OVERALL RATING (SECTION 4 + 5 + 6)</t>
  </si>
  <si>
    <t>What are the employee’s strengths?</t>
  </si>
  <si>
    <t>AUTOMATED SERVICE DELIVERY</t>
  </si>
  <si>
    <t>What are the employee’s areas for improvement?</t>
  </si>
  <si>
    <t>Appraisee's
 Comments:</t>
  </si>
  <si>
    <t>Supervisor's Comment</t>
  </si>
  <si>
    <t>Counter Supervisor's Comment</t>
  </si>
  <si>
    <t>Signature:</t>
  </si>
  <si>
    <t>Date:</t>
  </si>
  <si>
    <t>APRIL 2025</t>
  </si>
  <si>
    <t>JUNE 2025</t>
  </si>
  <si>
    <t>JULY 2025</t>
  </si>
  <si>
    <t>SEPTEMBER 2025</t>
  </si>
  <si>
    <t>OCTOBER 2025</t>
  </si>
  <si>
    <t>DECEMBER 2025</t>
  </si>
  <si>
    <t>UTUTAH</t>
  </si>
  <si>
    <t>EMMANUEL</t>
  </si>
  <si>
    <t>CCO</t>
  </si>
  <si>
    <t>ututahe@gmail.com</t>
  </si>
  <si>
    <t>08057924506</t>
  </si>
  <si>
    <t>PUBLIC AWARENESS</t>
  </si>
  <si>
    <t xml:space="preserve">OKOKON </t>
  </si>
  <si>
    <t>HENRIETTA</t>
  </si>
  <si>
    <t>ASSISTANT DIRECTOR</t>
  </si>
  <si>
    <t>henrubabe@gmail.com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</si>
</sst>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8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sz val="16"/>
      <color theme="1"/>
      <name val="Century Gothic"/>
      <family val="2"/>
    </font>
    <font>
      <b/>
      <sz val="80"/>
      <color theme="1"/>
      <name val="Century Gothic"/>
      <family val="2"/>
    </font>
    <font>
      <b/>
      <sz val="35"/>
      <name val="Century Gothic"/>
      <family val="2"/>
    </font>
    <font>
      <b/>
      <sz val="18"/>
      <name val="Century Gothic"/>
      <family val="2"/>
    </font>
    <font>
      <sz val="35"/>
      <color theme="1"/>
      <name val="Calibri"/>
      <family val="2"/>
      <scheme val="minor"/>
    </font>
    <font>
      <b/>
      <sz val="24"/>
      <name val="Century Gothic"/>
      <family val="2"/>
    </font>
    <font>
      <sz val="24"/>
      <name val="Century Gothic"/>
      <family val="2"/>
    </font>
    <font>
      <sz val="24"/>
      <color theme="1"/>
      <name val="Calibri"/>
      <family val="2"/>
      <scheme val="minor"/>
    </font>
    <font>
      <b/>
      <sz val="28"/>
      <name val="Century Gothic"/>
      <family val="2"/>
    </font>
    <font>
      <b/>
      <sz val="30"/>
      <name val="Century Gothic"/>
      <family val="2"/>
    </font>
    <font>
      <sz val="30"/>
      <color theme="1"/>
      <name val="Calibri"/>
      <family val="2"/>
      <scheme val="minor"/>
    </font>
    <font>
      <b/>
      <sz val="30"/>
      <color theme="1"/>
      <name val="Century Gothic"/>
      <family val="2"/>
    </font>
    <font>
      <b/>
      <sz val="30"/>
      <color theme="1"/>
      <name val="Calibri"/>
      <family val="2"/>
      <scheme val="minor"/>
    </font>
    <font>
      <sz val="35"/>
      <name val="Calibri"/>
      <family val="2"/>
      <scheme val="minor"/>
    </font>
    <font>
      <sz val="35"/>
      <name val="Century Gothic"/>
      <family val="2"/>
    </font>
    <font>
      <sz val="18"/>
      <color theme="1"/>
      <name val="Calibri"/>
      <family val="2"/>
      <scheme val="minor"/>
    </font>
    <font>
      <sz val="30"/>
      <color theme="1"/>
      <name val="Century Gothic"/>
      <family val="2"/>
    </font>
    <font>
      <sz val="11"/>
      <color theme="1"/>
      <name val="Calibri"/>
      <family val="2"/>
      <charset val="1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8"/>
      <name val="Century Gothic"/>
      <family val="2"/>
    </font>
    <font>
      <sz val="28"/>
      <color theme="1"/>
      <name val="Century Gothic"/>
      <family val="2"/>
    </font>
    <font>
      <sz val="35"/>
      <name val="Calibri"/>
      <family val="2"/>
    </font>
    <font>
      <b/>
      <u/>
      <sz val="30"/>
      <color theme="10"/>
      <name val="Calibri"/>
      <family val="2"/>
      <charset val="1"/>
      <scheme val="minor"/>
    </font>
    <font>
      <b/>
      <u/>
      <sz val="30"/>
      <color theme="1"/>
      <name val="Calibri"/>
      <family val="2"/>
      <charset val="1"/>
      <scheme val="minor"/>
    </font>
    <font>
      <b/>
      <u/>
      <sz val="30"/>
      <color theme="1"/>
      <name val="Calibri"/>
      <family val="2"/>
      <scheme val="minor"/>
    </font>
    <font>
      <sz val="35"/>
      <color theme="1"/>
      <name val="Century Gothic"/>
      <family val="2"/>
    </font>
    <font>
      <b/>
      <sz val="26"/>
      <name val="Century Gothic"/>
      <family val="2"/>
    </font>
    <font>
      <b/>
      <sz val="28"/>
      <name val="Candara"/>
      <family val="2"/>
    </font>
    <font>
      <sz val="25"/>
      <color theme="1"/>
      <name val="Century Gothic"/>
      <family val="2"/>
    </font>
    <font>
      <b/>
      <sz val="40"/>
      <color theme="1"/>
      <name val="Calibri"/>
      <family val="2"/>
      <scheme val="minor"/>
    </font>
    <font>
      <sz val="34"/>
      <color theme="1"/>
      <name val="Century Gothic"/>
      <family val="2"/>
    </font>
    <font>
      <b/>
      <sz val="34"/>
      <color theme="1" tint="4.9989318521683403E-2"/>
      <name val="Century Gothic"/>
      <family val="2"/>
    </font>
    <font>
      <sz val="34"/>
      <color theme="1" tint="4.9989318521683403E-2"/>
      <name val="Century Gothic"/>
      <family val="2"/>
    </font>
    <font>
      <b/>
      <sz val="34"/>
      <color theme="1"/>
      <name val="Calibri"/>
      <family val="2"/>
      <scheme val="minor"/>
    </font>
    <font>
      <sz val="28"/>
      <color theme="1" tint="4.9989318521683403E-2"/>
      <name val="Century Gothic"/>
      <family val="2"/>
    </font>
    <font>
      <b/>
      <sz val="28"/>
      <color theme="1" tint="4.9989318521683403E-2"/>
      <name val="Century Gothic"/>
      <family val="2"/>
    </font>
    <font>
      <b/>
      <sz val="35"/>
      <color theme="0"/>
      <name val="Calibri"/>
      <family val="2"/>
      <scheme val="minor"/>
    </font>
    <font>
      <b/>
      <sz val="3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6"/>
      <name val="Century Gothic"/>
      <family val="2"/>
    </font>
    <font>
      <b/>
      <sz val="28"/>
      <name val="Bahnschrift"/>
      <family val="2"/>
    </font>
    <font>
      <b/>
      <sz val="28"/>
      <color theme="0"/>
      <name val="Century Gothic"/>
      <family val="2"/>
    </font>
    <font>
      <b/>
      <sz val="35"/>
      <name val="Calibri"/>
      <family val="2"/>
    </font>
    <font>
      <b/>
      <sz val="6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F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9" fontId="1" fillId="0" borderId="0" applyFont="0" applyFill="0" applyBorder="0" applyAlignment="0" applyProtection="0"/>
  </cellStyleXfs>
  <cellXfs count="293">
    <xf numFmtId="0" fontId="0" fillId="0" borderId="0" xfId="0"/>
    <xf numFmtId="0" fontId="1" fillId="0" borderId="0" xfId="8" applyAlignment="1">
      <alignment vertical="top"/>
    </xf>
    <xf numFmtId="0" fontId="9" fillId="0" borderId="0" xfId="8" applyFont="1" applyAlignment="1">
      <alignment vertical="top"/>
    </xf>
    <xf numFmtId="0" fontId="10" fillId="3" borderId="19" xfId="2" applyFont="1" applyFill="1" applyBorder="1" applyAlignment="1">
      <alignment vertical="center"/>
    </xf>
    <xf numFmtId="49" fontId="10" fillId="4" borderId="0" xfId="2" applyNumberFormat="1" applyFont="1" applyFill="1" applyAlignment="1">
      <alignment vertical="center"/>
    </xf>
    <xf numFmtId="0" fontId="10" fillId="3" borderId="0" xfId="2" applyFont="1" applyFill="1" applyAlignment="1">
      <alignment horizontal="center" vertical="center"/>
    </xf>
    <xf numFmtId="49" fontId="10" fillId="0" borderId="9" xfId="2" applyNumberFormat="1" applyFont="1" applyBorder="1" applyAlignment="1">
      <alignment horizontal="center"/>
    </xf>
    <xf numFmtId="0" fontId="11" fillId="2" borderId="0" xfId="2" applyFont="1" applyFill="1" applyAlignment="1">
      <alignment horizontal="center"/>
    </xf>
    <xf numFmtId="0" fontId="12" fillId="2" borderId="0" xfId="2" applyFont="1" applyFill="1"/>
    <xf numFmtId="0" fontId="12" fillId="0" borderId="0" xfId="2" applyFont="1"/>
    <xf numFmtId="0" fontId="13" fillId="2" borderId="0" xfId="9" applyFont="1" applyFill="1" applyAlignment="1">
      <alignment horizontal="left"/>
    </xf>
    <xf numFmtId="0" fontId="3" fillId="2" borderId="0" xfId="9" applyFont="1" applyFill="1"/>
    <xf numFmtId="0" fontId="3" fillId="0" borderId="0" xfId="9" applyFont="1"/>
    <xf numFmtId="0" fontId="16" fillId="2" borderId="0" xfId="2" applyFont="1" applyFill="1" applyAlignment="1">
      <alignment horizontal="left"/>
    </xf>
    <xf numFmtId="0" fontId="17" fillId="0" borderId="0" xfId="2" applyFont="1" applyAlignment="1">
      <alignment horizontal="left"/>
    </xf>
    <xf numFmtId="0" fontId="16" fillId="0" borderId="8" xfId="5" applyFont="1" applyBorder="1" applyAlignment="1">
      <alignment horizontal="left"/>
    </xf>
    <xf numFmtId="0" fontId="16" fillId="3" borderId="10" xfId="5" applyFont="1" applyFill="1" applyBorder="1" applyAlignment="1">
      <alignment horizontal="left"/>
    </xf>
    <xf numFmtId="0" fontId="16" fillId="3" borderId="6" xfId="5" applyFont="1" applyFill="1" applyBorder="1" applyAlignment="1">
      <alignment horizontal="left"/>
    </xf>
    <xf numFmtId="0" fontId="16" fillId="0" borderId="6" xfId="5" applyFont="1" applyBorder="1" applyAlignment="1">
      <alignment horizontal="left"/>
    </xf>
    <xf numFmtId="0" fontId="15" fillId="0" borderId="0" xfId="5" applyFont="1"/>
    <xf numFmtId="0" fontId="16" fillId="0" borderId="11" xfId="5" applyFont="1" applyBorder="1" applyAlignment="1">
      <alignment horizontal="left"/>
    </xf>
    <xf numFmtId="0" fontId="16" fillId="3" borderId="12" xfId="5" applyFont="1" applyFill="1" applyBorder="1" applyAlignment="1">
      <alignment horizontal="left"/>
    </xf>
    <xf numFmtId="0" fontId="16" fillId="3" borderId="9" xfId="5" applyFont="1" applyFill="1" applyBorder="1" applyAlignment="1">
      <alignment horizontal="left"/>
    </xf>
    <xf numFmtId="0" fontId="19" fillId="2" borderId="0" xfId="2" applyFont="1" applyFill="1" applyAlignment="1">
      <alignment horizontal="center"/>
    </xf>
    <xf numFmtId="0" fontId="9" fillId="0" borderId="0" xfId="2" applyFont="1"/>
    <xf numFmtId="0" fontId="20" fillId="0" borderId="0" xfId="8" applyFont="1" applyAlignment="1">
      <alignment vertical="top"/>
    </xf>
    <xf numFmtId="0" fontId="21" fillId="0" borderId="12" xfId="2" applyFont="1" applyBorder="1" applyAlignment="1">
      <alignment vertical="center" wrapText="1"/>
    </xf>
    <xf numFmtId="2" fontId="21" fillId="0" borderId="12" xfId="0" applyNumberFormat="1" applyFont="1" applyBorder="1" applyAlignment="1">
      <alignment horizontal="center" vertical="center"/>
    </xf>
    <xf numFmtId="0" fontId="21" fillId="0" borderId="12" xfId="2" applyFont="1" applyBorder="1" applyAlignment="1">
      <alignment horizontal="left" vertical="center" wrapText="1"/>
    </xf>
    <xf numFmtId="9" fontId="21" fillId="0" borderId="12" xfId="2" applyNumberFormat="1" applyFont="1" applyBorder="1" applyAlignment="1">
      <alignment horizontal="center" vertical="center" wrapText="1"/>
    </xf>
    <xf numFmtId="0" fontId="21" fillId="0" borderId="12" xfId="7" applyFont="1" applyBorder="1" applyAlignment="1">
      <alignment horizontal="center" vertical="center" wrapText="1"/>
    </xf>
    <xf numFmtId="0" fontId="21" fillId="0" borderId="12" xfId="8" applyFont="1" applyBorder="1" applyAlignment="1">
      <alignment horizontal="center" vertical="center" wrapText="1"/>
    </xf>
    <xf numFmtId="0" fontId="15" fillId="0" borderId="12" xfId="8" applyFont="1" applyBorder="1" applyAlignment="1">
      <alignment horizontal="center" vertical="center"/>
    </xf>
    <xf numFmtId="0" fontId="23" fillId="0" borderId="0" xfId="8" applyFont="1" applyAlignment="1">
      <alignment horizontal="left" vertical="top" wrapText="1"/>
    </xf>
    <xf numFmtId="0" fontId="21" fillId="0" borderId="12" xfId="2" applyFont="1" applyBorder="1" applyAlignment="1">
      <alignment horizontal="center" vertical="center"/>
    </xf>
    <xf numFmtId="9" fontId="21" fillId="0" borderId="12" xfId="2" applyNumberFormat="1" applyFont="1" applyBorder="1" applyAlignment="1">
      <alignment horizontal="center" vertical="center"/>
    </xf>
    <xf numFmtId="2" fontId="21" fillId="0" borderId="12" xfId="2" applyNumberFormat="1" applyFont="1" applyBorder="1" applyAlignment="1">
      <alignment horizontal="center" vertical="center" wrapText="1"/>
    </xf>
    <xf numFmtId="0" fontId="24" fillId="0" borderId="0" xfId="8" applyFont="1" applyAlignment="1">
      <alignment vertical="top" wrapText="1"/>
    </xf>
    <xf numFmtId="2" fontId="3" fillId="3" borderId="20" xfId="8" applyNumberFormat="1" applyFont="1" applyFill="1" applyBorder="1" applyAlignment="1">
      <alignment horizontal="center"/>
    </xf>
    <xf numFmtId="0" fontId="23" fillId="0" borderId="0" xfId="8" applyFont="1" applyAlignment="1">
      <alignment vertical="top" wrapText="1"/>
    </xf>
    <xf numFmtId="0" fontId="3" fillId="3" borderId="0" xfId="8" applyFont="1" applyFill="1" applyAlignment="1">
      <alignment horizontal="center" vertical="top" wrapText="1"/>
    </xf>
    <xf numFmtId="0" fontId="9" fillId="7" borderId="19" xfId="8" applyFont="1" applyFill="1" applyBorder="1"/>
    <xf numFmtId="0" fontId="9" fillId="0" borderId="0" xfId="8" applyFont="1"/>
    <xf numFmtId="0" fontId="26" fillId="3" borderId="0" xfId="8" applyFont="1" applyFill="1" applyAlignment="1">
      <alignment horizontal="center" vertical="top" wrapText="1"/>
    </xf>
    <xf numFmtId="0" fontId="5" fillId="3" borderId="22" xfId="8" applyFont="1" applyFill="1" applyBorder="1" applyAlignment="1">
      <alignment horizontal="center" vertical="top" wrapText="1"/>
    </xf>
    <xf numFmtId="0" fontId="23" fillId="3" borderId="22" xfId="8" applyFont="1" applyFill="1" applyBorder="1" applyAlignment="1">
      <alignment horizontal="center" vertical="top" wrapText="1"/>
    </xf>
    <xf numFmtId="2" fontId="3" fillId="3" borderId="23" xfId="8" applyNumberFormat="1" applyFont="1" applyFill="1" applyBorder="1" applyAlignment="1">
      <alignment horizontal="center"/>
    </xf>
    <xf numFmtId="0" fontId="1" fillId="0" borderId="0" xfId="8" applyAlignment="1">
      <alignment horizontal="center" vertical="top"/>
    </xf>
    <xf numFmtId="0" fontId="3" fillId="0" borderId="0" xfId="8" applyFont="1" applyAlignment="1">
      <alignment horizontal="center"/>
    </xf>
    <xf numFmtId="2" fontId="3" fillId="0" borderId="0" xfId="8" applyNumberFormat="1" applyFont="1" applyAlignment="1">
      <alignment horizontal="center"/>
    </xf>
    <xf numFmtId="0" fontId="21" fillId="0" borderId="14" xfId="2" applyFont="1" applyBorder="1" applyAlignment="1">
      <alignment horizontal="left" vertical="center" wrapText="1"/>
    </xf>
    <xf numFmtId="2" fontId="21" fillId="0" borderId="12" xfId="2" applyNumberFormat="1" applyFont="1" applyBorder="1" applyAlignment="1">
      <alignment horizontal="center" vertical="center"/>
    </xf>
    <xf numFmtId="0" fontId="23" fillId="3" borderId="21" xfId="8" applyFont="1" applyFill="1" applyBorder="1" applyAlignment="1">
      <alignment vertical="center" wrapText="1"/>
    </xf>
    <xf numFmtId="0" fontId="23" fillId="3" borderId="22" xfId="8" applyFont="1" applyFill="1" applyBorder="1" applyAlignment="1">
      <alignment vertical="center" wrapText="1"/>
    </xf>
    <xf numFmtId="0" fontId="21" fillId="0" borderId="14" xfId="2" applyFont="1" applyBorder="1" applyAlignment="1">
      <alignment horizontal="center" vertical="center"/>
    </xf>
    <xf numFmtId="0" fontId="21" fillId="0" borderId="15" xfId="2" applyFont="1" applyBorder="1" applyAlignment="1">
      <alignment horizontal="center" vertical="center"/>
    </xf>
    <xf numFmtId="0" fontId="21" fillId="0" borderId="10" xfId="2" applyFont="1" applyBorder="1" applyAlignment="1">
      <alignment horizontal="center" vertical="center"/>
    </xf>
    <xf numFmtId="0" fontId="21" fillId="0" borderId="14" xfId="2" applyFont="1" applyBorder="1" applyAlignment="1">
      <alignment horizontal="left" vertical="center" wrapText="1"/>
    </xf>
    <xf numFmtId="0" fontId="21" fillId="0" borderId="15" xfId="2" applyFont="1" applyBorder="1" applyAlignment="1">
      <alignment horizontal="left" vertical="center" wrapText="1"/>
    </xf>
    <xf numFmtId="0" fontId="21" fillId="0" borderId="10" xfId="2" applyFont="1" applyBorder="1" applyAlignment="1">
      <alignment horizontal="left" vertical="center" wrapText="1"/>
    </xf>
    <xf numFmtId="2" fontId="21" fillId="0" borderId="14" xfId="2" applyNumberFormat="1" applyFont="1" applyBorder="1" applyAlignment="1">
      <alignment horizontal="center" vertical="center"/>
    </xf>
    <xf numFmtId="2" fontId="21" fillId="0" borderId="15" xfId="2" applyNumberFormat="1" applyFont="1" applyBorder="1" applyAlignment="1">
      <alignment horizontal="center" vertical="center"/>
    </xf>
    <xf numFmtId="2" fontId="21" fillId="0" borderId="10" xfId="2" applyNumberFormat="1" applyFont="1" applyBorder="1" applyAlignment="1">
      <alignment horizontal="center" vertical="center"/>
    </xf>
    <xf numFmtId="2" fontId="21" fillId="0" borderId="14" xfId="2" applyNumberFormat="1" applyFont="1" applyBorder="1" applyAlignment="1">
      <alignment horizontal="center" vertical="center" wrapText="1"/>
    </xf>
    <xf numFmtId="2" fontId="21" fillId="0" borderId="10" xfId="2" applyNumberFormat="1" applyFont="1" applyBorder="1" applyAlignment="1">
      <alignment horizontal="center" vertical="center" wrapText="1"/>
    </xf>
    <xf numFmtId="0" fontId="13" fillId="2" borderId="19" xfId="8" applyFont="1" applyFill="1" applyBorder="1" applyAlignment="1">
      <alignment vertical="center" wrapText="1"/>
    </xf>
    <xf numFmtId="0" fontId="13" fillId="2" borderId="5" xfId="8" applyFont="1" applyFill="1" applyBorder="1" applyAlignment="1">
      <alignment vertical="center" wrapText="1"/>
    </xf>
    <xf numFmtId="0" fontId="25" fillId="0" borderId="2" xfId="8" applyFont="1" applyBorder="1" applyAlignment="1">
      <alignment vertical="center" wrapText="1"/>
    </xf>
    <xf numFmtId="0" fontId="25" fillId="0" borderId="3" xfId="8" applyFont="1" applyBorder="1" applyAlignment="1">
      <alignment vertical="center" wrapText="1"/>
    </xf>
    <xf numFmtId="0" fontId="25" fillId="0" borderId="7" xfId="8" applyFont="1" applyBorder="1" applyAlignment="1">
      <alignment vertical="center" wrapText="1"/>
    </xf>
    <xf numFmtId="0" fontId="25" fillId="0" borderId="8" xfId="8" applyFont="1" applyBorder="1" applyAlignment="1">
      <alignment vertical="center" wrapText="1"/>
    </xf>
    <xf numFmtId="0" fontId="13" fillId="2" borderId="1" xfId="8" applyFont="1" applyFill="1" applyBorder="1" applyAlignment="1">
      <alignment vertical="center" wrapText="1"/>
    </xf>
    <xf numFmtId="0" fontId="13" fillId="2" borderId="6" xfId="8" applyFont="1" applyFill="1" applyBorder="1" applyAlignment="1">
      <alignment vertical="center" wrapText="1"/>
    </xf>
    <xf numFmtId="0" fontId="25" fillId="0" borderId="2" xfId="8" applyFont="1" applyBorder="1" applyAlignment="1">
      <alignment horizontal="center" vertical="center" wrapText="1"/>
    </xf>
    <xf numFmtId="0" fontId="25" fillId="0" borderId="7" xfId="8" applyFont="1" applyBorder="1" applyAlignment="1">
      <alignment horizontal="center" vertical="center" wrapText="1"/>
    </xf>
    <xf numFmtId="0" fontId="13" fillId="2" borderId="3" xfId="8" applyFont="1" applyFill="1" applyBorder="1" applyAlignment="1">
      <alignment vertical="center" wrapText="1"/>
    </xf>
    <xf numFmtId="0" fontId="13" fillId="2" borderId="8" xfId="8" applyFont="1" applyFill="1" applyBorder="1" applyAlignment="1">
      <alignment vertical="center" wrapText="1"/>
    </xf>
    <xf numFmtId="0" fontId="13" fillId="3" borderId="24" xfId="8" applyFont="1" applyFill="1" applyBorder="1" applyAlignment="1">
      <alignment vertical="center" wrapText="1"/>
    </xf>
    <xf numFmtId="0" fontId="13" fillId="3" borderId="3" xfId="8" applyFont="1" applyFill="1" applyBorder="1" applyAlignment="1">
      <alignment vertical="center" wrapText="1"/>
    </xf>
    <xf numFmtId="0" fontId="13" fillId="3" borderId="19" xfId="8" applyFont="1" applyFill="1" applyBorder="1" applyAlignment="1">
      <alignment vertical="center" wrapText="1"/>
    </xf>
    <xf numFmtId="0" fontId="13" fillId="3" borderId="5" xfId="8" applyFont="1" applyFill="1" applyBorder="1" applyAlignment="1">
      <alignment vertical="center" wrapText="1"/>
    </xf>
    <xf numFmtId="0" fontId="25" fillId="0" borderId="0" xfId="8" applyFont="1" applyAlignment="1">
      <alignment vertical="center" wrapText="1"/>
    </xf>
    <xf numFmtId="0" fontId="25" fillId="0" borderId="5" xfId="8" applyFont="1" applyBorder="1" applyAlignment="1">
      <alignment vertical="center" wrapText="1"/>
    </xf>
    <xf numFmtId="0" fontId="13" fillId="3" borderId="1" xfId="8" applyFont="1" applyFill="1" applyBorder="1" applyAlignment="1">
      <alignment vertical="center" wrapText="1"/>
    </xf>
    <xf numFmtId="0" fontId="13" fillId="3" borderId="4" xfId="8" applyFont="1" applyFill="1" applyBorder="1" applyAlignment="1">
      <alignment vertical="center" wrapText="1"/>
    </xf>
    <xf numFmtId="0" fontId="13" fillId="3" borderId="6" xfId="8" applyFont="1" applyFill="1" applyBorder="1" applyAlignment="1">
      <alignment vertical="center" wrapText="1"/>
    </xf>
    <xf numFmtId="0" fontId="25" fillId="0" borderId="0" xfId="8" applyFont="1" applyAlignment="1">
      <alignment horizontal="center" vertical="center" wrapText="1"/>
    </xf>
    <xf numFmtId="0" fontId="13" fillId="3" borderId="8" xfId="8" applyFont="1" applyFill="1" applyBorder="1" applyAlignment="1">
      <alignment vertical="center" wrapText="1"/>
    </xf>
    <xf numFmtId="0" fontId="27" fillId="4" borderId="12" xfId="8" applyFont="1" applyFill="1" applyBorder="1" applyAlignment="1">
      <alignment horizontal="center" vertical="center" wrapText="1"/>
    </xf>
    <xf numFmtId="0" fontId="27" fillId="4" borderId="30" xfId="8" applyFont="1" applyFill="1" applyBorder="1" applyAlignment="1">
      <alignment horizontal="center" vertical="center" wrapText="1"/>
    </xf>
    <xf numFmtId="0" fontId="13" fillId="2" borderId="24" xfId="8" applyFont="1" applyFill="1" applyBorder="1" applyAlignment="1">
      <alignment vertical="center" wrapText="1"/>
    </xf>
    <xf numFmtId="0" fontId="13" fillId="2" borderId="36" xfId="8" applyFont="1" applyFill="1" applyBorder="1" applyAlignment="1">
      <alignment vertical="center" wrapText="1"/>
    </xf>
    <xf numFmtId="0" fontId="13" fillId="2" borderId="4" xfId="8" applyFont="1" applyFill="1" applyBorder="1" applyAlignment="1">
      <alignment vertical="center" wrapText="1"/>
    </xf>
    <xf numFmtId="0" fontId="3" fillId="3" borderId="2" xfId="8" applyFont="1" applyFill="1" applyBorder="1" applyAlignment="1">
      <alignment horizontal="center" vertical="top" wrapText="1"/>
    </xf>
    <xf numFmtId="0" fontId="3" fillId="3" borderId="0" xfId="8" applyFont="1" applyFill="1" applyAlignment="1">
      <alignment horizontal="center" vertical="top" wrapText="1"/>
    </xf>
    <xf numFmtId="0" fontId="3" fillId="3" borderId="22" xfId="8" applyFont="1" applyFill="1" applyBorder="1" applyAlignment="1">
      <alignment horizontal="center" vertical="top" wrapText="1"/>
    </xf>
    <xf numFmtId="0" fontId="16" fillId="3" borderId="0" xfId="5" applyFont="1" applyFill="1" applyAlignment="1">
      <alignment horizontal="left"/>
    </xf>
    <xf numFmtId="0" fontId="16" fillId="3" borderId="5" xfId="5" applyFont="1" applyFill="1" applyBorder="1" applyAlignment="1">
      <alignment horizontal="left"/>
    </xf>
    <xf numFmtId="0" fontId="16" fillId="0" borderId="9" xfId="6" applyFont="1" applyBorder="1" applyAlignment="1">
      <alignment horizontal="left"/>
    </xf>
    <xf numFmtId="0" fontId="16" fillId="0" borderId="11" xfId="6" applyFont="1" applyBorder="1" applyAlignment="1">
      <alignment horizontal="left"/>
    </xf>
    <xf numFmtId="0" fontId="18" fillId="2" borderId="19" xfId="2" applyFont="1" applyFill="1" applyBorder="1"/>
    <xf numFmtId="0" fontId="18" fillId="2" borderId="0" xfId="2" applyFont="1" applyFill="1"/>
    <xf numFmtId="0" fontId="16" fillId="2" borderId="0" xfId="2" applyFont="1" applyFill="1" applyAlignment="1">
      <alignment horizontal="left"/>
    </xf>
    <xf numFmtId="0" fontId="16" fillId="3" borderId="0" xfId="5" applyFont="1" applyFill="1" applyAlignment="1">
      <alignment horizontal="left" vertical="center"/>
    </xf>
    <xf numFmtId="0" fontId="16" fillId="3" borderId="5" xfId="5" applyFont="1" applyFill="1" applyBorder="1" applyAlignment="1">
      <alignment horizontal="left" vertical="center"/>
    </xf>
    <xf numFmtId="0" fontId="16" fillId="0" borderId="7" xfId="6" applyFont="1" applyBorder="1" applyAlignment="1">
      <alignment horizontal="left"/>
    </xf>
    <xf numFmtId="0" fontId="16" fillId="0" borderId="8" xfId="6" applyFont="1" applyBorder="1" applyAlignment="1">
      <alignment horizontal="left"/>
    </xf>
    <xf numFmtId="0" fontId="6" fillId="0" borderId="16" xfId="8" applyFont="1" applyBorder="1" applyAlignment="1">
      <alignment horizontal="center" vertical="center"/>
    </xf>
    <xf numFmtId="0" fontId="6" fillId="0" borderId="17" xfId="8" applyFont="1" applyBorder="1" applyAlignment="1">
      <alignment horizontal="center" vertical="center"/>
    </xf>
    <xf numFmtId="0" fontId="6" fillId="0" borderId="18" xfId="8" applyFont="1" applyBorder="1" applyAlignment="1">
      <alignment horizontal="center" vertical="center"/>
    </xf>
    <xf numFmtId="0" fontId="6" fillId="0" borderId="19" xfId="8" applyFont="1" applyBorder="1" applyAlignment="1">
      <alignment horizontal="center" vertical="center"/>
    </xf>
    <xf numFmtId="0" fontId="6" fillId="0" borderId="0" xfId="8" applyFont="1" applyAlignment="1">
      <alignment horizontal="center" vertical="center"/>
    </xf>
    <xf numFmtId="0" fontId="6" fillId="0" borderId="20" xfId="8" applyFont="1" applyBorder="1" applyAlignment="1">
      <alignment horizontal="center" vertical="center"/>
    </xf>
    <xf numFmtId="0" fontId="7" fillId="2" borderId="16" xfId="8" applyFont="1" applyFill="1" applyBorder="1" applyAlignment="1">
      <alignment horizontal="left" vertical="top" wrapText="1"/>
    </xf>
    <xf numFmtId="0" fontId="7" fillId="2" borderId="17" xfId="8" applyFont="1" applyFill="1" applyBorder="1" applyAlignment="1">
      <alignment horizontal="left" vertical="top" wrapText="1"/>
    </xf>
    <xf numFmtId="0" fontId="8" fillId="2" borderId="16" xfId="8" applyFont="1" applyFill="1" applyBorder="1" applyAlignment="1">
      <alignment horizontal="center" vertical="top" wrapText="1"/>
    </xf>
    <xf numFmtId="0" fontId="8" fillId="2" borderId="17" xfId="8" applyFont="1" applyFill="1" applyBorder="1" applyAlignment="1">
      <alignment horizontal="center" vertical="top" wrapText="1"/>
    </xf>
    <xf numFmtId="0" fontId="8" fillId="2" borderId="18" xfId="8" applyFont="1" applyFill="1" applyBorder="1" applyAlignment="1">
      <alignment horizontal="center" vertical="top" wrapText="1"/>
    </xf>
    <xf numFmtId="0" fontId="8" fillId="2" borderId="19" xfId="8" applyFont="1" applyFill="1" applyBorder="1" applyAlignment="1">
      <alignment horizontal="center" vertical="top" wrapText="1"/>
    </xf>
    <xf numFmtId="0" fontId="8" fillId="2" borderId="0" xfId="8" applyFont="1" applyFill="1" applyAlignment="1">
      <alignment horizontal="center" vertical="top" wrapText="1"/>
    </xf>
    <xf numFmtId="0" fontId="8" fillId="2" borderId="20" xfId="8" applyFont="1" applyFill="1" applyBorder="1" applyAlignment="1">
      <alignment horizontal="center" vertical="top" wrapText="1"/>
    </xf>
    <xf numFmtId="0" fontId="8" fillId="2" borderId="21" xfId="8" applyFont="1" applyFill="1" applyBorder="1" applyAlignment="1">
      <alignment horizontal="center" vertical="top" wrapText="1"/>
    </xf>
    <xf numFmtId="0" fontId="8" fillId="2" borderId="22" xfId="8" applyFont="1" applyFill="1" applyBorder="1" applyAlignment="1">
      <alignment horizontal="center" vertical="top" wrapText="1"/>
    </xf>
    <xf numFmtId="0" fontId="8" fillId="2" borderId="23" xfId="8" applyFont="1" applyFill="1" applyBorder="1" applyAlignment="1">
      <alignment horizontal="center" vertical="top" wrapText="1"/>
    </xf>
    <xf numFmtId="0" fontId="11" fillId="2" borderId="0" xfId="2" applyFont="1" applyFill="1" applyAlignment="1">
      <alignment horizontal="center"/>
    </xf>
    <xf numFmtId="0" fontId="13" fillId="2" borderId="19" xfId="9" applyFont="1" applyFill="1" applyBorder="1" applyAlignment="1">
      <alignment horizontal="left"/>
    </xf>
    <xf numFmtId="0" fontId="13" fillId="2" borderId="0" xfId="9" applyFont="1" applyFill="1" applyAlignment="1">
      <alignment horizontal="left"/>
    </xf>
    <xf numFmtId="0" fontId="14" fillId="3" borderId="0" xfId="9" applyFont="1" applyFill="1" applyAlignment="1">
      <alignment horizontal="left" vertical="center"/>
    </xf>
    <xf numFmtId="0" fontId="14" fillId="3" borderId="5" xfId="9" applyFont="1" applyFill="1" applyBorder="1" applyAlignment="1">
      <alignment horizontal="left" vertical="center"/>
    </xf>
    <xf numFmtId="0" fontId="14" fillId="0" borderId="8" xfId="9" applyFont="1" applyBorder="1" applyAlignment="1">
      <alignment horizontal="left"/>
    </xf>
    <xf numFmtId="0" fontId="14" fillId="3" borderId="10" xfId="9" applyFont="1" applyFill="1" applyBorder="1" applyAlignment="1">
      <alignment horizontal="left"/>
    </xf>
    <xf numFmtId="0" fontId="14" fillId="0" borderId="6" xfId="9" applyFont="1" applyBorder="1" applyAlignment="1">
      <alignment horizontal="left"/>
    </xf>
    <xf numFmtId="0" fontId="14" fillId="0" borderId="7" xfId="9" applyFont="1" applyBorder="1" applyAlignment="1">
      <alignment horizontal="left"/>
    </xf>
    <xf numFmtId="0" fontId="14" fillId="0" borderId="8" xfId="9" applyFont="1" applyBorder="1" applyAlignment="1">
      <alignment horizontal="left"/>
    </xf>
    <xf numFmtId="0" fontId="15" fillId="0" borderId="0" xfId="9" applyFont="1" applyAlignment="1">
      <alignment horizontal="left"/>
    </xf>
    <xf numFmtId="0" fontId="14" fillId="3" borderId="0" xfId="9" applyFont="1" applyFill="1" applyAlignment="1">
      <alignment horizontal="left"/>
    </xf>
    <xf numFmtId="0" fontId="14" fillId="3" borderId="5" xfId="9" applyFont="1" applyFill="1" applyBorder="1" applyAlignment="1">
      <alignment horizontal="left"/>
    </xf>
    <xf numFmtId="0" fontId="14" fillId="0" borderId="11" xfId="9" applyFont="1" applyBorder="1" applyAlignment="1">
      <alignment horizontal="left"/>
    </xf>
    <xf numFmtId="0" fontId="14" fillId="3" borderId="12" xfId="9" applyFont="1" applyFill="1" applyBorder="1" applyAlignment="1">
      <alignment horizontal="left"/>
    </xf>
    <xf numFmtId="0" fontId="28" fillId="0" borderId="11" xfId="1" quotePrefix="1" applyFont="1" applyBorder="1" applyAlignment="1">
      <alignment horizontal="left"/>
    </xf>
    <xf numFmtId="0" fontId="14" fillId="0" borderId="9" xfId="9" quotePrefix="1" applyFont="1" applyBorder="1" applyAlignment="1">
      <alignment horizontal="left"/>
    </xf>
    <xf numFmtId="0" fontId="14" fillId="0" borderId="13" xfId="9" applyFont="1" applyBorder="1" applyAlignment="1">
      <alignment horizontal="left"/>
    </xf>
    <xf numFmtId="0" fontId="14" fillId="0" borderId="11" xfId="9" applyFont="1" applyBorder="1" applyAlignment="1">
      <alignment horizontal="left"/>
    </xf>
    <xf numFmtId="0" fontId="14" fillId="3" borderId="0" xfId="10" applyFont="1" applyFill="1" applyAlignment="1">
      <alignment horizontal="left" vertical="center"/>
    </xf>
    <xf numFmtId="0" fontId="14" fillId="3" borderId="5" xfId="10" applyFont="1" applyFill="1" applyBorder="1" applyAlignment="1">
      <alignment horizontal="left" vertical="center"/>
    </xf>
    <xf numFmtId="0" fontId="14" fillId="0" borderId="8" xfId="10" applyFont="1" applyBorder="1" applyAlignment="1">
      <alignment horizontal="left"/>
    </xf>
    <xf numFmtId="0" fontId="14" fillId="3" borderId="10" xfId="10" applyFont="1" applyFill="1" applyBorder="1" applyAlignment="1">
      <alignment horizontal="left"/>
    </xf>
    <xf numFmtId="0" fontId="14" fillId="0" borderId="6" xfId="10" applyFont="1" applyBorder="1" applyAlignment="1">
      <alignment horizontal="left"/>
    </xf>
    <xf numFmtId="0" fontId="14" fillId="0" borderId="6" xfId="10" applyFont="1" applyBorder="1" applyAlignment="1">
      <alignment horizontal="left"/>
    </xf>
    <xf numFmtId="0" fontId="14" fillId="0" borderId="8" xfId="10" applyFont="1" applyBorder="1" applyAlignment="1">
      <alignment horizontal="left"/>
    </xf>
    <xf numFmtId="0" fontId="15" fillId="0" borderId="0" xfId="10" applyFont="1" applyAlignment="1">
      <alignment horizontal="left"/>
    </xf>
    <xf numFmtId="0" fontId="14" fillId="3" borderId="0" xfId="10" applyFont="1" applyFill="1" applyAlignment="1">
      <alignment horizontal="left"/>
    </xf>
    <xf numFmtId="0" fontId="14" fillId="3" borderId="5" xfId="10" applyFont="1" applyFill="1" applyBorder="1" applyAlignment="1">
      <alignment horizontal="left"/>
    </xf>
    <xf numFmtId="0" fontId="14" fillId="0" borderId="11" xfId="10" applyFont="1" applyBorder="1" applyAlignment="1">
      <alignment horizontal="left"/>
    </xf>
    <xf numFmtId="0" fontId="14" fillId="3" borderId="12" xfId="10" applyFont="1" applyFill="1" applyBorder="1" applyAlignment="1">
      <alignment horizontal="left"/>
    </xf>
    <xf numFmtId="0" fontId="29" fillId="0" borderId="11" xfId="1" applyFont="1" applyBorder="1" applyAlignment="1">
      <alignment horizontal="left"/>
    </xf>
    <xf numFmtId="0" fontId="14" fillId="0" borderId="9" xfId="10" applyFont="1" applyBorder="1" applyAlignment="1">
      <alignment horizontal="left"/>
    </xf>
    <xf numFmtId="0" fontId="14" fillId="0" borderId="9" xfId="10" applyFont="1" applyBorder="1" applyAlignment="1">
      <alignment horizontal="left"/>
    </xf>
    <xf numFmtId="0" fontId="14" fillId="0" borderId="11" xfId="10" applyFont="1" applyBorder="1" applyAlignment="1">
      <alignment horizontal="left"/>
    </xf>
    <xf numFmtId="0" fontId="30" fillId="0" borderId="11" xfId="1" quotePrefix="1" applyFont="1" applyBorder="1" applyAlignment="1">
      <alignment horizontal="left"/>
    </xf>
    <xf numFmtId="0" fontId="16" fillId="0" borderId="9" xfId="5" applyFont="1" applyBorder="1" applyAlignment="1">
      <alignment horizontal="left"/>
    </xf>
    <xf numFmtId="0" fontId="7" fillId="3" borderId="24" xfId="2" applyFont="1" applyFill="1" applyBorder="1" applyAlignment="1">
      <alignment horizontal="left"/>
    </xf>
    <xf numFmtId="0" fontId="7" fillId="3" borderId="2" xfId="2" applyFont="1" applyFill="1" applyBorder="1" applyAlignment="1">
      <alignment horizontal="left"/>
    </xf>
    <xf numFmtId="0" fontId="7" fillId="3" borderId="0" xfId="2" applyFont="1" applyFill="1" applyAlignment="1">
      <alignment horizontal="left"/>
    </xf>
    <xf numFmtId="0" fontId="19" fillId="3" borderId="0" xfId="2" applyFont="1" applyFill="1"/>
    <xf numFmtId="0" fontId="31" fillId="3" borderId="0" xfId="2" applyFont="1" applyFill="1"/>
    <xf numFmtId="0" fontId="9" fillId="3" borderId="0" xfId="2" applyFont="1" applyFill="1"/>
    <xf numFmtId="0" fontId="9" fillId="3" borderId="20" xfId="2" applyFont="1" applyFill="1" applyBorder="1"/>
    <xf numFmtId="0" fontId="32" fillId="2" borderId="25" xfId="2" applyFont="1" applyFill="1" applyBorder="1" applyAlignment="1">
      <alignment horizontal="center" vertical="center"/>
    </xf>
    <xf numFmtId="0" fontId="32" fillId="2" borderId="15" xfId="2" applyFont="1" applyFill="1" applyBorder="1" applyAlignment="1">
      <alignment horizontal="center" vertical="center"/>
    </xf>
    <xf numFmtId="0" fontId="32" fillId="2" borderId="14" xfId="2" applyFont="1" applyFill="1" applyBorder="1" applyAlignment="1">
      <alignment horizontal="center" vertical="center"/>
    </xf>
    <xf numFmtId="0" fontId="32" fillId="2" borderId="14" xfId="2" applyFont="1" applyFill="1" applyBorder="1" applyAlignment="1">
      <alignment horizontal="center" vertical="center" wrapText="1"/>
    </xf>
    <xf numFmtId="0" fontId="32" fillId="2" borderId="1" xfId="2" applyFont="1" applyFill="1" applyBorder="1" applyAlignment="1">
      <alignment horizontal="center" vertical="center" wrapText="1"/>
    </xf>
    <xf numFmtId="0" fontId="33" fillId="2" borderId="9" xfId="8" applyFont="1" applyFill="1" applyBorder="1" applyAlignment="1">
      <alignment horizontal="center" vertical="center" wrapText="1"/>
    </xf>
    <xf numFmtId="0" fontId="33" fillId="2" borderId="13" xfId="8" applyFont="1" applyFill="1" applyBorder="1" applyAlignment="1">
      <alignment horizontal="center" vertical="center" wrapText="1"/>
    </xf>
    <xf numFmtId="0" fontId="33" fillId="2" borderId="11" xfId="8" applyFont="1" applyFill="1" applyBorder="1" applyAlignment="1">
      <alignment horizontal="center" vertical="center" wrapText="1"/>
    </xf>
    <xf numFmtId="0" fontId="33" fillId="2" borderId="14" xfId="8" applyFont="1" applyFill="1" applyBorder="1" applyAlignment="1">
      <alignment horizontal="center" vertical="center" wrapText="1"/>
    </xf>
    <xf numFmtId="2" fontId="33" fillId="2" borderId="26" xfId="8" applyNumberFormat="1" applyFont="1" applyFill="1" applyBorder="1" applyAlignment="1">
      <alignment horizontal="center" vertical="center" wrapText="1"/>
    </xf>
    <xf numFmtId="0" fontId="32" fillId="2" borderId="27" xfId="2" applyFont="1" applyFill="1" applyBorder="1" applyAlignment="1">
      <alignment horizontal="center" vertical="center"/>
    </xf>
    <xf numFmtId="0" fontId="32" fillId="2" borderId="15" xfId="2" applyFont="1" applyFill="1" applyBorder="1" applyAlignment="1">
      <alignment horizontal="center" vertical="center" wrapText="1"/>
    </xf>
    <xf numFmtId="0" fontId="32" fillId="2" borderId="4" xfId="2" applyFont="1" applyFill="1" applyBorder="1" applyAlignment="1">
      <alignment horizontal="center" vertical="center"/>
    </xf>
    <xf numFmtId="0" fontId="33" fillId="2" borderId="14" xfId="8" applyFont="1" applyFill="1" applyBorder="1" applyAlignment="1">
      <alignment horizontal="center" vertical="center"/>
    </xf>
    <xf numFmtId="0" fontId="33" fillId="2" borderId="14" xfId="8" applyFont="1" applyFill="1" applyBorder="1" applyAlignment="1">
      <alignment horizontal="center" vertical="center" wrapText="1"/>
    </xf>
    <xf numFmtId="0" fontId="33" fillId="2" borderId="10" xfId="8" applyFont="1" applyFill="1" applyBorder="1" applyAlignment="1">
      <alignment horizontal="center" vertical="center" wrapText="1"/>
    </xf>
    <xf numFmtId="2" fontId="33" fillId="2" borderId="28" xfId="8" applyNumberFormat="1" applyFont="1" applyFill="1" applyBorder="1" applyAlignment="1">
      <alignment horizontal="center" vertical="center" wrapText="1"/>
    </xf>
    <xf numFmtId="0" fontId="34" fillId="0" borderId="12" xfId="11" applyFont="1" applyBorder="1" applyAlignment="1">
      <alignment horizontal="center" vertical="center"/>
    </xf>
    <xf numFmtId="0" fontId="35" fillId="2" borderId="12" xfId="8" applyFont="1" applyFill="1" applyBorder="1" applyAlignment="1">
      <alignment horizontal="center" vertical="center"/>
    </xf>
    <xf numFmtId="2" fontId="35" fillId="2" borderId="12" xfId="8" applyNumberFormat="1" applyFont="1" applyFill="1" applyBorder="1" applyAlignment="1">
      <alignment horizontal="center" vertical="center"/>
    </xf>
    <xf numFmtId="0" fontId="36" fillId="0" borderId="29" xfId="12" applyFont="1" applyBorder="1" applyAlignment="1">
      <alignment horizontal="center" vertical="center"/>
    </xf>
    <xf numFmtId="0" fontId="37" fillId="0" borderId="10" xfId="8" applyFont="1" applyBorder="1" applyAlignment="1">
      <alignment horizontal="center" vertical="center" wrapText="1"/>
    </xf>
    <xf numFmtId="2" fontId="37" fillId="0" borderId="10" xfId="8" applyNumberFormat="1" applyFont="1" applyBorder="1" applyAlignment="1">
      <alignment horizontal="center" vertical="center" wrapText="1"/>
    </xf>
    <xf numFmtId="2" fontId="36" fillId="0" borderId="10" xfId="12" applyNumberFormat="1" applyFont="1" applyBorder="1" applyAlignment="1">
      <alignment horizontal="left" vertical="center" wrapText="1"/>
    </xf>
    <xf numFmtId="9" fontId="36" fillId="0" borderId="10" xfId="12" applyNumberFormat="1" applyFont="1" applyBorder="1" applyAlignment="1">
      <alignment horizontal="center" vertical="center"/>
    </xf>
    <xf numFmtId="0" fontId="38" fillId="0" borderId="6" xfId="9" applyFont="1" applyBorder="1" applyAlignment="1">
      <alignment vertical="center"/>
    </xf>
    <xf numFmtId="49" fontId="38" fillId="0" borderId="7" xfId="9" applyNumberFormat="1" applyFont="1" applyBorder="1" applyAlignment="1">
      <alignment horizontal="center" vertical="center"/>
    </xf>
    <xf numFmtId="0" fontId="37" fillId="0" borderId="13" xfId="8" applyFont="1" applyBorder="1" applyAlignment="1" applyProtection="1">
      <alignment horizontal="center" vertical="center"/>
      <protection locked="0"/>
    </xf>
    <xf numFmtId="2" fontId="39" fillId="2" borderId="12" xfId="8" applyNumberFormat="1" applyFont="1" applyFill="1" applyBorder="1" applyAlignment="1">
      <alignment horizontal="center" vertical="center"/>
    </xf>
    <xf numFmtId="2" fontId="39" fillId="2" borderId="30" xfId="8" applyNumberFormat="1" applyFont="1" applyFill="1" applyBorder="1" applyAlignment="1">
      <alignment horizontal="center" vertical="center"/>
    </xf>
    <xf numFmtId="0" fontId="23" fillId="0" borderId="0" xfId="13" applyFont="1" applyAlignment="1">
      <alignment horizontal="left" vertical="top" wrapText="1"/>
    </xf>
    <xf numFmtId="0" fontId="40" fillId="0" borderId="31" xfId="8" applyFont="1" applyBorder="1" applyAlignment="1">
      <alignment vertical="center" wrapText="1"/>
    </xf>
    <xf numFmtId="0" fontId="41" fillId="0" borderId="10" xfId="8" applyFont="1" applyBorder="1" applyAlignment="1">
      <alignment horizontal="center" vertical="center" wrapText="1"/>
    </xf>
    <xf numFmtId="0" fontId="42" fillId="5" borderId="9" xfId="8" applyFont="1" applyFill="1" applyBorder="1" applyAlignment="1">
      <alignment horizontal="center"/>
    </xf>
    <xf numFmtId="0" fontId="42" fillId="5" borderId="13" xfId="8" applyFont="1" applyFill="1" applyBorder="1" applyAlignment="1">
      <alignment horizontal="center"/>
    </xf>
    <xf numFmtId="0" fontId="42" fillId="5" borderId="11" xfId="8" applyFont="1" applyFill="1" applyBorder="1" applyAlignment="1">
      <alignment horizontal="center"/>
    </xf>
    <xf numFmtId="2" fontId="43" fillId="6" borderId="30" xfId="14" applyNumberFormat="1" applyFont="1" applyFill="1" applyBorder="1" applyAlignment="1" applyProtection="1">
      <alignment horizontal="center"/>
    </xf>
    <xf numFmtId="0" fontId="13" fillId="2" borderId="24" xfId="8" applyFont="1" applyFill="1" applyBorder="1" applyAlignment="1">
      <alignment horizontal="right" vertical="top" wrapText="1"/>
    </xf>
    <xf numFmtId="0" fontId="13" fillId="2" borderId="2" xfId="8" applyFont="1" applyFill="1" applyBorder="1" applyAlignment="1">
      <alignment horizontal="right" vertical="top" wrapText="1"/>
    </xf>
    <xf numFmtId="0" fontId="13" fillId="2" borderId="3" xfId="8" applyFont="1" applyFill="1" applyBorder="1" applyAlignment="1">
      <alignment horizontal="right" vertical="top" wrapText="1"/>
    </xf>
    <xf numFmtId="0" fontId="13" fillId="2" borderId="12" xfId="8" applyFont="1" applyFill="1" applyBorder="1" applyAlignment="1">
      <alignment horizontal="center" vertical="top" wrapText="1"/>
    </xf>
    <xf numFmtId="0" fontId="33" fillId="2" borderId="2" xfId="8" applyFont="1" applyFill="1" applyBorder="1" applyAlignment="1">
      <alignment horizontal="center" vertical="top" wrapText="1"/>
    </xf>
    <xf numFmtId="0" fontId="33" fillId="2" borderId="8" xfId="8" applyFont="1" applyFill="1" applyBorder="1" applyAlignment="1">
      <alignment horizontal="center" vertical="top" wrapText="1"/>
    </xf>
    <xf numFmtId="0" fontId="3" fillId="3" borderId="0" xfId="8" applyFont="1" applyFill="1" applyAlignment="1">
      <alignment horizontal="center"/>
    </xf>
    <xf numFmtId="0" fontId="3" fillId="2" borderId="19" xfId="8" applyFont="1" applyFill="1" applyBorder="1" applyAlignment="1">
      <alignment horizontal="right" vertical="top" wrapText="1"/>
    </xf>
    <xf numFmtId="0" fontId="25" fillId="2" borderId="0" xfId="8" applyFont="1" applyFill="1" applyAlignment="1">
      <alignment horizontal="right" vertical="top" wrapText="1"/>
    </xf>
    <xf numFmtId="0" fontId="13" fillId="3" borderId="0" xfId="8" applyFont="1" applyFill="1" applyAlignment="1">
      <alignment horizontal="right" vertical="top" wrapText="1"/>
    </xf>
    <xf numFmtId="0" fontId="13" fillId="2" borderId="0" xfId="8" applyFont="1" applyFill="1" applyAlignment="1">
      <alignment horizontal="center" vertical="top" wrapText="1"/>
    </xf>
    <xf numFmtId="0" fontId="13" fillId="2" borderId="5" xfId="8" applyFont="1" applyFill="1" applyBorder="1" applyAlignment="1">
      <alignment horizontal="center" vertical="top" wrapText="1"/>
    </xf>
    <xf numFmtId="0" fontId="33" fillId="2" borderId="7" xfId="8" applyFont="1" applyFill="1" applyBorder="1" applyAlignment="1">
      <alignment horizontal="center" vertical="top" wrapText="1"/>
    </xf>
    <xf numFmtId="0" fontId="44" fillId="2" borderId="12" xfId="8" applyFont="1" applyFill="1" applyBorder="1" applyAlignment="1">
      <alignment horizontal="center" vertical="top" wrapText="1"/>
    </xf>
    <xf numFmtId="0" fontId="32" fillId="0" borderId="29" xfId="2" applyFont="1" applyBorder="1" applyAlignment="1">
      <alignment horizontal="center" vertical="center"/>
    </xf>
    <xf numFmtId="0" fontId="32" fillId="0" borderId="12" xfId="2" applyFont="1" applyBorder="1" applyAlignment="1">
      <alignment horizontal="left" vertical="center"/>
    </xf>
    <xf numFmtId="0" fontId="45" fillId="0" borderId="6" xfId="2" applyFont="1" applyBorder="1" applyAlignment="1">
      <alignment vertical="center"/>
    </xf>
    <xf numFmtId="0" fontId="45" fillId="0" borderId="7" xfId="2" applyFont="1" applyBorder="1" applyAlignment="1">
      <alignment vertical="center"/>
    </xf>
    <xf numFmtId="0" fontId="45" fillId="0" borderId="8" xfId="2" applyFont="1" applyBorder="1" applyAlignment="1">
      <alignment vertical="center"/>
    </xf>
    <xf numFmtId="0" fontId="26" fillId="0" borderId="10" xfId="8" applyFont="1" applyBorder="1" applyAlignment="1">
      <alignment horizontal="center" vertical="top" wrapText="1"/>
    </xf>
    <xf numFmtId="0" fontId="46" fillId="2" borderId="12" xfId="8" applyFont="1" applyFill="1" applyBorder="1" applyAlignment="1">
      <alignment horizontal="center" vertical="top" wrapText="1"/>
    </xf>
    <xf numFmtId="0" fontId="44" fillId="2" borderId="9" xfId="8" applyFont="1" applyFill="1" applyBorder="1" applyAlignment="1">
      <alignment horizontal="left" vertical="top" wrapText="1"/>
    </xf>
    <xf numFmtId="0" fontId="44" fillId="2" borderId="11" xfId="8" applyFont="1" applyFill="1" applyBorder="1" applyAlignment="1">
      <alignment horizontal="left" vertical="top" wrapText="1"/>
    </xf>
    <xf numFmtId="0" fontId="45" fillId="0" borderId="31" xfId="2" applyFont="1" applyBorder="1" applyAlignment="1">
      <alignment horizontal="center" vertical="center"/>
    </xf>
    <xf numFmtId="0" fontId="45" fillId="0" borderId="12" xfId="2" applyFont="1" applyBorder="1" applyAlignment="1">
      <alignment vertical="center" wrapText="1"/>
    </xf>
    <xf numFmtId="0" fontId="25" fillId="0" borderId="9" xfId="11" applyFont="1" applyBorder="1" applyAlignment="1">
      <alignment horizontal="left" vertical="center" wrapText="1"/>
    </xf>
    <xf numFmtId="0" fontId="25" fillId="0" borderId="13" xfId="11" applyFont="1" applyBorder="1" applyAlignment="1">
      <alignment horizontal="left" vertical="center" wrapText="1"/>
    </xf>
    <xf numFmtId="0" fontId="25" fillId="0" borderId="11" xfId="11" applyFont="1" applyBorder="1" applyAlignment="1">
      <alignment horizontal="left" vertical="center" wrapText="1"/>
    </xf>
    <xf numFmtId="0" fontId="26" fillId="0" borderId="12" xfId="8" applyFont="1" applyBorder="1" applyAlignment="1">
      <alignment horizontal="center" vertical="top" wrapText="1"/>
    </xf>
    <xf numFmtId="0" fontId="26" fillId="0" borderId="12" xfId="8" applyFont="1" applyBorder="1" applyAlignment="1" applyProtection="1">
      <alignment horizontal="center" vertical="top" wrapText="1"/>
      <protection locked="0"/>
    </xf>
    <xf numFmtId="0" fontId="32" fillId="0" borderId="31" xfId="2" applyFont="1" applyBorder="1" applyAlignment="1">
      <alignment horizontal="center" vertical="center"/>
    </xf>
    <xf numFmtId="0" fontId="32" fillId="0" borderId="12" xfId="2" applyFont="1" applyBorder="1" applyAlignment="1">
      <alignment horizontal="left" vertical="center" wrapText="1"/>
    </xf>
    <xf numFmtId="0" fontId="45" fillId="0" borderId="9" xfId="2" applyFont="1" applyBorder="1" applyAlignment="1">
      <alignment vertical="center"/>
    </xf>
    <xf numFmtId="0" fontId="45" fillId="0" borderId="13" xfId="2" applyFont="1" applyBorder="1" applyAlignment="1">
      <alignment vertical="center"/>
    </xf>
    <xf numFmtId="0" fontId="45" fillId="0" borderId="11" xfId="2" applyFont="1" applyBorder="1" applyAlignment="1">
      <alignment vertical="center"/>
    </xf>
    <xf numFmtId="0" fontId="45" fillId="0" borderId="12" xfId="2" applyFont="1" applyBorder="1" applyAlignment="1">
      <alignment horizontal="left" vertical="center" wrapText="1"/>
    </xf>
    <xf numFmtId="0" fontId="25" fillId="0" borderId="9" xfId="11" applyFont="1" applyBorder="1" applyAlignment="1">
      <alignment vertical="center" wrapText="1"/>
    </xf>
    <xf numFmtId="0" fontId="25" fillId="0" borderId="13" xfId="11" applyFont="1" applyBorder="1" applyAlignment="1">
      <alignment vertical="center" wrapText="1"/>
    </xf>
    <xf numFmtId="0" fontId="25" fillId="0" borderId="11" xfId="11" applyFont="1" applyBorder="1" applyAlignment="1">
      <alignment vertical="center" wrapText="1"/>
    </xf>
    <xf numFmtId="0" fontId="44" fillId="2" borderId="11" xfId="8" applyFont="1" applyFill="1" applyBorder="1" applyAlignment="1">
      <alignment horizontal="center" vertical="top" wrapText="1"/>
    </xf>
    <xf numFmtId="0" fontId="44" fillId="2" borderId="9" xfId="8" applyFont="1" applyFill="1" applyBorder="1" applyAlignment="1">
      <alignment horizontal="left" vertical="top" wrapText="1"/>
    </xf>
    <xf numFmtId="0" fontId="44" fillId="2" borderId="11" xfId="8" applyFont="1" applyFill="1" applyBorder="1" applyAlignment="1">
      <alignment horizontal="left" vertical="top" wrapText="1"/>
    </xf>
    <xf numFmtId="0" fontId="45" fillId="0" borderId="9" xfId="2" applyFont="1" applyBorder="1" applyAlignment="1">
      <alignment horizontal="left" vertical="center" wrapText="1"/>
    </xf>
    <xf numFmtId="0" fontId="45" fillId="0" borderId="13" xfId="2" applyFont="1" applyBorder="1" applyAlignment="1">
      <alignment horizontal="left" vertical="center" wrapText="1"/>
    </xf>
    <xf numFmtId="0" fontId="45" fillId="0" borderId="11" xfId="2" applyFont="1" applyBorder="1" applyAlignment="1">
      <alignment horizontal="left" vertical="center" wrapText="1"/>
    </xf>
    <xf numFmtId="0" fontId="3" fillId="2" borderId="0" xfId="8" applyFont="1" applyFill="1" applyAlignment="1">
      <alignment horizontal="center" vertical="top" wrapText="1"/>
    </xf>
    <xf numFmtId="0" fontId="13" fillId="2" borderId="5" xfId="8" applyFont="1" applyFill="1" applyBorder="1" applyAlignment="1">
      <alignment horizontal="center" vertical="center" wrapText="1"/>
    </xf>
    <xf numFmtId="0" fontId="32" fillId="2" borderId="32" xfId="2" applyFont="1" applyFill="1" applyBorder="1" applyAlignment="1">
      <alignment horizontal="left" vertical="center"/>
    </xf>
    <xf numFmtId="0" fontId="32" fillId="2" borderId="13" xfId="2" applyFont="1" applyFill="1" applyBorder="1" applyAlignment="1">
      <alignment horizontal="left" vertical="center"/>
    </xf>
    <xf numFmtId="0" fontId="13" fillId="2" borderId="13" xfId="8" applyFont="1" applyFill="1" applyBorder="1" applyAlignment="1">
      <alignment horizontal="center" vertical="top" wrapText="1"/>
    </xf>
    <xf numFmtId="0" fontId="13" fillId="2" borderId="11" xfId="8" applyFont="1" applyFill="1" applyBorder="1" applyAlignment="1">
      <alignment horizontal="center" vertical="top" wrapText="1"/>
    </xf>
    <xf numFmtId="0" fontId="45" fillId="0" borderId="31" xfId="2" applyFont="1" applyBorder="1" applyAlignment="1">
      <alignment vertical="center"/>
    </xf>
    <xf numFmtId="0" fontId="32" fillId="0" borderId="9" xfId="2" applyFont="1" applyBorder="1" applyAlignment="1">
      <alignment vertical="center"/>
    </xf>
    <xf numFmtId="0" fontId="25" fillId="0" borderId="12" xfId="8" applyFont="1" applyBorder="1" applyAlignment="1">
      <alignment horizontal="center" vertical="top" wrapText="1"/>
    </xf>
    <xf numFmtId="0" fontId="13" fillId="0" borderId="12" xfId="8" applyFont="1" applyBorder="1" applyAlignment="1" applyProtection="1">
      <alignment horizontal="center" vertical="top" wrapText="1"/>
      <protection locked="0"/>
    </xf>
    <xf numFmtId="0" fontId="13" fillId="0" borderId="12" xfId="8" applyFont="1" applyBorder="1" applyAlignment="1">
      <alignment horizontal="center" vertical="top" wrapText="1"/>
    </xf>
    <xf numFmtId="0" fontId="13" fillId="2" borderId="32" xfId="8" applyFont="1" applyFill="1" applyBorder="1" applyAlignment="1">
      <alignment vertical="top" wrapText="1"/>
    </xf>
    <xf numFmtId="0" fontId="13" fillId="2" borderId="13" xfId="8" applyFont="1" applyFill="1" applyBorder="1" applyAlignment="1">
      <alignment horizontal="left" vertical="top" wrapText="1"/>
    </xf>
    <xf numFmtId="0" fontId="13" fillId="2" borderId="13" xfId="8" applyFont="1" applyFill="1" applyBorder="1" applyAlignment="1">
      <alignment vertical="top" wrapText="1"/>
    </xf>
    <xf numFmtId="0" fontId="47" fillId="2" borderId="0" xfId="8" applyFont="1" applyFill="1" applyAlignment="1">
      <alignment horizontal="center" vertical="top" wrapText="1"/>
    </xf>
    <xf numFmtId="0" fontId="9" fillId="7" borderId="2" xfId="8" applyFont="1" applyFill="1" applyBorder="1" applyAlignment="1">
      <alignment horizontal="center"/>
    </xf>
    <xf numFmtId="0" fontId="48" fillId="2" borderId="2" xfId="8" applyFont="1" applyFill="1" applyBorder="1" applyAlignment="1">
      <alignment vertical="center" wrapText="1"/>
    </xf>
    <xf numFmtId="0" fontId="48" fillId="2" borderId="13" xfId="8" applyFont="1" applyFill="1" applyBorder="1" applyAlignment="1">
      <alignment horizontal="center" vertical="center" wrapText="1"/>
    </xf>
    <xf numFmtId="0" fontId="48" fillId="8" borderId="9" xfId="8" applyFont="1" applyFill="1" applyBorder="1" applyAlignment="1">
      <alignment horizontal="center" vertical="center" wrapText="1"/>
    </xf>
    <xf numFmtId="0" fontId="48" fillId="8" borderId="11" xfId="8" applyFont="1" applyFill="1" applyBorder="1" applyAlignment="1">
      <alignment horizontal="center" vertical="center" wrapText="1"/>
    </xf>
    <xf numFmtId="0" fontId="48" fillId="8" borderId="33" xfId="8" applyFont="1" applyFill="1" applyBorder="1" applyAlignment="1">
      <alignment horizontal="center" vertical="center" wrapText="1"/>
    </xf>
    <xf numFmtId="0" fontId="9" fillId="7" borderId="0" xfId="8" applyFont="1" applyFill="1" applyAlignment="1">
      <alignment horizontal="center"/>
    </xf>
    <xf numFmtId="0" fontId="48" fillId="0" borderId="9" xfId="8" applyFont="1" applyBorder="1" applyAlignment="1">
      <alignment horizontal="left" vertical="center" wrapText="1"/>
    </xf>
    <xf numFmtId="0" fontId="48" fillId="0" borderId="13" xfId="8" applyFont="1" applyBorder="1" applyAlignment="1">
      <alignment horizontal="left" vertical="center" wrapText="1"/>
    </xf>
    <xf numFmtId="0" fontId="48" fillId="0" borderId="11" xfId="8" applyFont="1" applyBorder="1" applyAlignment="1">
      <alignment horizontal="left" vertical="center" wrapText="1"/>
    </xf>
    <xf numFmtId="0" fontId="48" fillId="0" borderId="9" xfId="8" applyFont="1" applyBorder="1" applyAlignment="1">
      <alignment horizontal="center" vertical="center" wrapText="1"/>
    </xf>
    <xf numFmtId="0" fontId="48" fillId="0" borderId="13" xfId="8" applyFont="1" applyBorder="1" applyAlignment="1">
      <alignment horizontal="center" vertical="center" wrapText="1"/>
    </xf>
    <xf numFmtId="0" fontId="48" fillId="0" borderId="11" xfId="8" applyFont="1" applyBorder="1" applyAlignment="1">
      <alignment horizontal="center" vertical="center" wrapText="1"/>
    </xf>
    <xf numFmtId="2" fontId="48" fillId="8" borderId="9" xfId="8" applyNumberFormat="1" applyFont="1" applyFill="1" applyBorder="1" applyAlignment="1">
      <alignment horizontal="center" vertical="center" wrapText="1"/>
    </xf>
    <xf numFmtId="2" fontId="48" fillId="8" borderId="11" xfId="8" applyNumberFormat="1" applyFont="1" applyFill="1" applyBorder="1" applyAlignment="1">
      <alignment horizontal="center" vertical="center" wrapText="1"/>
    </xf>
    <xf numFmtId="2" fontId="49" fillId="2" borderId="1" xfId="14" applyNumberFormat="1" applyFont="1" applyFill="1" applyBorder="1" applyAlignment="1" applyProtection="1">
      <alignment horizontal="center" vertical="center" wrapText="1"/>
    </xf>
    <xf numFmtId="2" fontId="49" fillId="2" borderId="34" xfId="14" applyNumberFormat="1" applyFont="1" applyFill="1" applyBorder="1" applyAlignment="1" applyProtection="1">
      <alignment horizontal="center" vertical="center" wrapText="1"/>
    </xf>
    <xf numFmtId="2" fontId="49" fillId="2" borderId="4" xfId="14" applyNumberFormat="1" applyFont="1" applyFill="1" applyBorder="1" applyAlignment="1" applyProtection="1">
      <alignment horizontal="center" vertical="center" wrapText="1"/>
    </xf>
    <xf numFmtId="2" fontId="49" fillId="2" borderId="20" xfId="14" applyNumberFormat="1" applyFont="1" applyFill="1" applyBorder="1" applyAlignment="1" applyProtection="1">
      <alignment horizontal="center" vertical="center" wrapText="1"/>
    </xf>
    <xf numFmtId="0" fontId="9" fillId="7" borderId="7" xfId="8" applyFont="1" applyFill="1" applyBorder="1" applyAlignment="1">
      <alignment horizontal="center"/>
    </xf>
    <xf numFmtId="2" fontId="49" fillId="2" borderId="6" xfId="14" applyNumberFormat="1" applyFont="1" applyFill="1" applyBorder="1" applyAlignment="1" applyProtection="1">
      <alignment horizontal="center" vertical="center" wrapText="1"/>
    </xf>
    <xf numFmtId="2" fontId="49" fillId="2" borderId="35" xfId="14" applyNumberFormat="1" applyFont="1" applyFill="1" applyBorder="1" applyAlignment="1" applyProtection="1">
      <alignment horizontal="center" vertical="center" wrapText="1"/>
    </xf>
    <xf numFmtId="0" fontId="48" fillId="2" borderId="12" xfId="8" applyFont="1" applyFill="1" applyBorder="1" applyAlignment="1">
      <alignment horizontal="center" vertical="center" wrapText="1"/>
    </xf>
    <xf numFmtId="0" fontId="48" fillId="4" borderId="12" xfId="8" applyFont="1" applyFill="1" applyBorder="1" applyAlignment="1">
      <alignment vertical="center" wrapText="1"/>
    </xf>
    <xf numFmtId="0" fontId="48" fillId="4" borderId="30" xfId="8" applyFont="1" applyFill="1" applyBorder="1" applyAlignment="1">
      <alignment vertical="center" wrapText="1"/>
    </xf>
    <xf numFmtId="0" fontId="48" fillId="2" borderId="12" xfId="8" applyFont="1" applyFill="1" applyBorder="1" applyAlignment="1">
      <alignment horizontal="left" vertical="center" wrapText="1"/>
    </xf>
    <xf numFmtId="0" fontId="48" fillId="0" borderId="12" xfId="8" applyFont="1" applyBorder="1" applyAlignment="1">
      <alignment vertical="center" wrapText="1"/>
    </xf>
    <xf numFmtId="0" fontId="48" fillId="0" borderId="30" xfId="8" applyFont="1" applyBorder="1" applyAlignment="1">
      <alignment vertical="center" wrapText="1"/>
    </xf>
  </cellXfs>
  <cellStyles count="15">
    <cellStyle name="Hyperlink" xfId="1" builtinId="8"/>
    <cellStyle name="Hyperlink 2" xfId="4" xr:uid="{814ECF8C-BEC7-41AF-B47C-7C66EF8A9546}"/>
    <cellStyle name="Normal" xfId="0" builtinId="0"/>
    <cellStyle name="Normal 2 2" xfId="11" xr:uid="{1378D77E-CC9E-469D-A5E3-F45B3A097B0E}"/>
    <cellStyle name="Normal 2 2 3 2" xfId="13" xr:uid="{D1566934-38A7-470B-89EE-B69D5D9534B7}"/>
    <cellStyle name="Normal 2 3" xfId="2" xr:uid="{2214A833-AE6E-468E-B13E-93B000021C7D}"/>
    <cellStyle name="Normal 2 3 2" xfId="6" xr:uid="{3B988435-56F4-4A5A-A190-0030DAEAB153}"/>
    <cellStyle name="Normal 2 3 5" xfId="10" xr:uid="{3B14D9F9-34C8-428C-96DC-CF5E85B06C54}"/>
    <cellStyle name="Normal 2 3 6" xfId="3" xr:uid="{20A6F016-9BE8-402F-865F-A015C3A520C1}"/>
    <cellStyle name="Normal 2 4 2" xfId="5" xr:uid="{31AC710A-20DA-459F-B98B-B57A779BD902}"/>
    <cellStyle name="Normal 2 5 2 2" xfId="9" xr:uid="{E46EF8AE-59FA-468F-9A3C-E2C64C35E0F7}"/>
    <cellStyle name="Normal 2 7" xfId="12" xr:uid="{DD115C77-0061-420E-ADB7-C80EF353B5B9}"/>
    <cellStyle name="Normal 4 2 2 2 2" xfId="8" xr:uid="{4B0DD156-B47C-4EE5-A72A-682B01920574}"/>
    <cellStyle name="Normal 5 2 2" xfId="7" xr:uid="{AD953B1E-2927-4F69-902A-EA927CB9D27A}"/>
    <cellStyle name="Percent 2 2" xfId="14" xr:uid="{F08C94FF-64AD-40D5-875A-27ED76DE3A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9ECDDB58-D51E-40EA-9A78-A4885679C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0A5A4055-F127-4B82-A652-5E4F7B62E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DCEF66B2-CAEE-4B91-AEA1-5F0D2EE34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F5D5298A-7400-41D1-87F3-C200978F1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enrubabe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henrubabe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henrubabe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henrubab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D7AF3-D438-4AEE-97B5-005FFDDF6D42}">
  <sheetPr>
    <pageSetUpPr fitToPage="1"/>
  </sheetPr>
  <dimension ref="A1:R81"/>
  <sheetViews>
    <sheetView tabSelected="1" topLeftCell="H37" zoomScale="30" zoomScaleNormal="30" workbookViewId="0">
      <selection activeCell="A19" sqref="A19:O41"/>
    </sheetView>
  </sheetViews>
  <sheetFormatPr defaultRowHeight="31.5" customHeight="1" x14ac:dyDescent="0.55000000000000004"/>
  <cols>
    <col min="1" max="1" width="15.5703125" style="47" bestFit="1" customWidth="1"/>
    <col min="2" max="2" width="85.42578125" style="1" bestFit="1" customWidth="1"/>
    <col min="3" max="3" width="39.5703125" style="1" bestFit="1" customWidth="1"/>
    <col min="4" max="4" width="114.85546875" style="1" customWidth="1"/>
    <col min="5" max="5" width="64.7109375" style="47" bestFit="1" customWidth="1"/>
    <col min="6" max="6" width="42" style="47" customWidth="1"/>
    <col min="7" max="7" width="255.7109375" style="1" bestFit="1" customWidth="1"/>
    <col min="8" max="8" width="33" style="47" customWidth="1"/>
    <col min="9" max="9" width="62.42578125" style="47" customWidth="1"/>
    <col min="10" max="10" width="45.140625" style="47" customWidth="1"/>
    <col min="11" max="13" width="35.28515625" style="47" bestFit="1" customWidth="1"/>
    <col min="14" max="14" width="40.7109375" style="47" bestFit="1" customWidth="1"/>
    <col min="15" max="15" width="36.85546875" style="47" bestFit="1" customWidth="1"/>
    <col min="16" max="17" width="36.85546875" style="48" customWidth="1"/>
    <col min="18" max="18" width="36.85546875" style="49" customWidth="1"/>
    <col min="19" max="16384" width="9.140625" style="1"/>
  </cols>
  <sheetData>
    <row r="1" spans="1:18" ht="31.5" customHeight="1" x14ac:dyDescent="0.25">
      <c r="A1" s="107" t="s">
        <v>139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9"/>
    </row>
    <row r="2" spans="1:18" ht="31.5" customHeight="1" x14ac:dyDescent="0.25">
      <c r="A2" s="1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2"/>
    </row>
    <row r="3" spans="1:18" ht="31.5" customHeight="1" thickBot="1" x14ac:dyDescent="0.3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2"/>
    </row>
    <row r="4" spans="1:18" s="2" customFormat="1" ht="45.75" x14ac:dyDescent="0.25">
      <c r="A4" s="113" t="s">
        <v>0</v>
      </c>
      <c r="B4" s="114"/>
      <c r="C4" s="114"/>
      <c r="D4" s="114"/>
      <c r="E4" s="114"/>
      <c r="F4" s="114"/>
      <c r="G4" s="114"/>
      <c r="H4" s="114"/>
      <c r="I4" s="114"/>
      <c r="J4" s="114"/>
      <c r="K4" s="115"/>
      <c r="L4" s="116"/>
      <c r="M4" s="116"/>
      <c r="N4" s="116"/>
      <c r="O4" s="116"/>
      <c r="P4" s="116"/>
      <c r="Q4" s="116"/>
      <c r="R4" s="117"/>
    </row>
    <row r="5" spans="1:18" s="9" customFormat="1" ht="32.25" x14ac:dyDescent="0.5">
      <c r="A5" s="3" t="s">
        <v>1</v>
      </c>
      <c r="B5" s="4" t="s">
        <v>140</v>
      </c>
      <c r="C5" s="5" t="s">
        <v>2</v>
      </c>
      <c r="D5" s="6" t="s">
        <v>141</v>
      </c>
      <c r="E5" s="124"/>
      <c r="F5" s="124"/>
      <c r="G5" s="124"/>
      <c r="H5" s="124"/>
      <c r="I5" s="7"/>
      <c r="J5" s="8"/>
      <c r="K5" s="118"/>
      <c r="L5" s="119"/>
      <c r="M5" s="119"/>
      <c r="N5" s="119"/>
      <c r="O5" s="119"/>
      <c r="P5" s="119"/>
      <c r="Q5" s="119"/>
      <c r="R5" s="120"/>
    </row>
    <row r="6" spans="1:18" s="12" customFormat="1" ht="38.25" customHeight="1" x14ac:dyDescent="0.55000000000000004">
      <c r="A6" s="125" t="s">
        <v>3</v>
      </c>
      <c r="B6" s="126"/>
      <c r="C6" s="126"/>
      <c r="D6" s="126"/>
      <c r="E6" s="126"/>
      <c r="F6" s="126"/>
      <c r="G6" s="126"/>
      <c r="H6" s="126"/>
      <c r="I6" s="10"/>
      <c r="J6" s="11"/>
      <c r="K6" s="118"/>
      <c r="L6" s="119"/>
      <c r="M6" s="119"/>
      <c r="N6" s="119"/>
      <c r="O6" s="119"/>
      <c r="P6" s="119"/>
      <c r="Q6" s="119"/>
      <c r="R6" s="120"/>
    </row>
    <row r="7" spans="1:18" s="134" customFormat="1" ht="39" x14ac:dyDescent="0.6">
      <c r="A7" s="127" t="s">
        <v>4</v>
      </c>
      <c r="B7" s="128"/>
      <c r="C7" s="129" t="s">
        <v>181</v>
      </c>
      <c r="D7" s="130" t="s">
        <v>5</v>
      </c>
      <c r="E7" s="129" t="s">
        <v>182</v>
      </c>
      <c r="F7" s="130" t="s">
        <v>6</v>
      </c>
      <c r="G7" s="131"/>
      <c r="H7" s="130" t="s">
        <v>7</v>
      </c>
      <c r="I7" s="132" t="s">
        <v>183</v>
      </c>
      <c r="J7" s="133"/>
      <c r="K7" s="118"/>
      <c r="L7" s="119"/>
      <c r="M7" s="119"/>
      <c r="N7" s="119"/>
      <c r="O7" s="119"/>
      <c r="P7" s="119"/>
      <c r="Q7" s="119"/>
      <c r="R7" s="120"/>
    </row>
    <row r="8" spans="1:18" s="134" customFormat="1" ht="39" x14ac:dyDescent="0.6">
      <c r="A8" s="135" t="s">
        <v>8</v>
      </c>
      <c r="B8" s="136"/>
      <c r="C8" s="137">
        <v>359823</v>
      </c>
      <c r="D8" s="138" t="s">
        <v>9</v>
      </c>
      <c r="E8" s="139" t="s">
        <v>184</v>
      </c>
      <c r="F8" s="138" t="s">
        <v>10</v>
      </c>
      <c r="G8" s="140" t="s">
        <v>185</v>
      </c>
      <c r="H8" s="138" t="s">
        <v>11</v>
      </c>
      <c r="I8" s="141" t="s">
        <v>186</v>
      </c>
      <c r="J8" s="142"/>
      <c r="K8" s="118"/>
      <c r="L8" s="119"/>
      <c r="M8" s="119"/>
      <c r="N8" s="119"/>
      <c r="O8" s="119"/>
      <c r="P8" s="119"/>
      <c r="Q8" s="119"/>
      <c r="R8" s="120"/>
    </row>
    <row r="9" spans="1:18" s="14" customFormat="1" ht="62.25" customHeight="1" x14ac:dyDescent="0.6">
      <c r="A9" s="102" t="s">
        <v>12</v>
      </c>
      <c r="B9" s="102"/>
      <c r="C9" s="102"/>
      <c r="D9" s="102"/>
      <c r="E9" s="102"/>
      <c r="F9" s="102"/>
      <c r="G9" s="102"/>
      <c r="H9" s="102"/>
      <c r="I9" s="102"/>
      <c r="J9" s="13"/>
      <c r="K9" s="118"/>
      <c r="L9" s="119"/>
      <c r="M9" s="119"/>
      <c r="N9" s="119"/>
      <c r="O9" s="119"/>
      <c r="P9" s="119"/>
      <c r="Q9" s="119"/>
      <c r="R9" s="120"/>
    </row>
    <row r="10" spans="1:18" s="150" customFormat="1" ht="39" x14ac:dyDescent="0.6">
      <c r="A10" s="143" t="s">
        <v>4</v>
      </c>
      <c r="B10" s="144"/>
      <c r="C10" s="145" t="s">
        <v>187</v>
      </c>
      <c r="D10" s="146" t="s">
        <v>5</v>
      </c>
      <c r="E10" s="145" t="s">
        <v>188</v>
      </c>
      <c r="F10" s="146" t="s">
        <v>6</v>
      </c>
      <c r="G10" s="147"/>
      <c r="H10" s="146" t="s">
        <v>7</v>
      </c>
      <c r="I10" s="148" t="s">
        <v>189</v>
      </c>
      <c r="J10" s="149"/>
      <c r="K10" s="118"/>
      <c r="L10" s="119"/>
      <c r="M10" s="119"/>
      <c r="N10" s="119"/>
      <c r="O10" s="119"/>
      <c r="P10" s="119"/>
      <c r="Q10" s="119"/>
      <c r="R10" s="120"/>
    </row>
    <row r="11" spans="1:18" s="150" customFormat="1" ht="39" x14ac:dyDescent="0.6">
      <c r="A11" s="151" t="s">
        <v>8</v>
      </c>
      <c r="B11" s="152"/>
      <c r="C11" s="153">
        <v>168083</v>
      </c>
      <c r="D11" s="154" t="s">
        <v>9</v>
      </c>
      <c r="E11" s="155" t="s">
        <v>190</v>
      </c>
      <c r="F11" s="154" t="s">
        <v>10</v>
      </c>
      <c r="G11" s="156"/>
      <c r="H11" s="154" t="s">
        <v>11</v>
      </c>
      <c r="I11" s="157" t="s">
        <v>186</v>
      </c>
      <c r="J11" s="158"/>
      <c r="K11" s="118"/>
      <c r="L11" s="119"/>
      <c r="M11" s="119"/>
      <c r="N11" s="119"/>
      <c r="O11" s="119"/>
      <c r="P11" s="119"/>
      <c r="Q11" s="119"/>
      <c r="R11" s="120"/>
    </row>
    <row r="12" spans="1:18" s="14" customFormat="1" ht="39" x14ac:dyDescent="0.6">
      <c r="A12" s="102" t="s">
        <v>13</v>
      </c>
      <c r="B12" s="102"/>
      <c r="C12" s="102"/>
      <c r="D12" s="102"/>
      <c r="E12" s="102"/>
      <c r="F12" s="102"/>
      <c r="G12" s="102"/>
      <c r="H12" s="102"/>
      <c r="I12" s="102"/>
      <c r="J12" s="13"/>
      <c r="K12" s="118"/>
      <c r="L12" s="119"/>
      <c r="M12" s="119"/>
      <c r="N12" s="119"/>
      <c r="O12" s="119"/>
      <c r="P12" s="119"/>
      <c r="Q12" s="119"/>
      <c r="R12" s="120"/>
    </row>
    <row r="13" spans="1:18" s="19" customFormat="1" ht="39" x14ac:dyDescent="0.6">
      <c r="A13" s="103" t="s">
        <v>4</v>
      </c>
      <c r="B13" s="104"/>
      <c r="C13" s="15" t="s">
        <v>14</v>
      </c>
      <c r="D13" s="16" t="s">
        <v>5</v>
      </c>
      <c r="E13" s="15" t="s">
        <v>15</v>
      </c>
      <c r="F13" s="17" t="s">
        <v>6</v>
      </c>
      <c r="G13" s="18" t="s">
        <v>16</v>
      </c>
      <c r="H13" s="16" t="s">
        <v>7</v>
      </c>
      <c r="I13" s="105" t="s">
        <v>17</v>
      </c>
      <c r="J13" s="106"/>
      <c r="K13" s="118"/>
      <c r="L13" s="119"/>
      <c r="M13" s="119"/>
      <c r="N13" s="119"/>
      <c r="O13" s="119"/>
      <c r="P13" s="119"/>
      <c r="Q13" s="119"/>
      <c r="R13" s="120"/>
    </row>
    <row r="14" spans="1:18" s="19" customFormat="1" ht="39" x14ac:dyDescent="0.6">
      <c r="A14" s="96" t="s">
        <v>8</v>
      </c>
      <c r="B14" s="97"/>
      <c r="C14" s="20">
        <v>60529</v>
      </c>
      <c r="D14" s="21" t="s">
        <v>9</v>
      </c>
      <c r="E14" s="159" t="s">
        <v>18</v>
      </c>
      <c r="F14" s="22" t="s">
        <v>10</v>
      </c>
      <c r="G14" s="160"/>
      <c r="H14" s="21" t="s">
        <v>11</v>
      </c>
      <c r="I14" s="98" t="s">
        <v>19</v>
      </c>
      <c r="J14" s="99"/>
      <c r="K14" s="118"/>
      <c r="L14" s="119"/>
      <c r="M14" s="119"/>
      <c r="N14" s="119"/>
      <c r="O14" s="119"/>
      <c r="P14" s="119"/>
      <c r="Q14" s="119"/>
      <c r="R14" s="120"/>
    </row>
    <row r="15" spans="1:18" s="24" customFormat="1" ht="20.25" customHeight="1" thickBot="1" x14ac:dyDescent="0.75">
      <c r="A15" s="100"/>
      <c r="B15" s="101"/>
      <c r="C15" s="101"/>
      <c r="D15" s="101"/>
      <c r="E15" s="101"/>
      <c r="F15" s="101"/>
      <c r="G15" s="101"/>
      <c r="H15" s="101"/>
      <c r="I15" s="101"/>
      <c r="J15" s="23"/>
      <c r="K15" s="121"/>
      <c r="L15" s="122"/>
      <c r="M15" s="122"/>
      <c r="N15" s="122"/>
      <c r="O15" s="122"/>
      <c r="P15" s="122"/>
      <c r="Q15" s="122"/>
      <c r="R15" s="123"/>
    </row>
    <row r="16" spans="1:18" s="24" customFormat="1" ht="47.25" x14ac:dyDescent="0.7">
      <c r="A16" s="161" t="s">
        <v>20</v>
      </c>
      <c r="B16" s="162"/>
      <c r="C16" s="162"/>
      <c r="D16" s="162"/>
      <c r="E16" s="162"/>
      <c r="F16" s="162"/>
      <c r="G16" s="162"/>
      <c r="H16" s="162"/>
      <c r="I16" s="162"/>
      <c r="J16" s="163"/>
      <c r="K16" s="164"/>
      <c r="L16" s="165"/>
      <c r="M16" s="165"/>
      <c r="N16" s="165"/>
      <c r="O16" s="165"/>
      <c r="P16" s="166"/>
      <c r="Q16" s="166"/>
      <c r="R16" s="167"/>
    </row>
    <row r="17" spans="1:18" s="25" customFormat="1" ht="31.5" customHeight="1" x14ac:dyDescent="0.25">
      <c r="A17" s="168" t="s">
        <v>21</v>
      </c>
      <c r="B17" s="169" t="s">
        <v>22</v>
      </c>
      <c r="C17" s="170" t="s">
        <v>23</v>
      </c>
      <c r="D17" s="170" t="s">
        <v>24</v>
      </c>
      <c r="E17" s="170" t="s">
        <v>23</v>
      </c>
      <c r="F17" s="171" t="s">
        <v>25</v>
      </c>
      <c r="G17" s="171" t="s">
        <v>26</v>
      </c>
      <c r="H17" s="172" t="s">
        <v>27</v>
      </c>
      <c r="I17" s="171" t="s">
        <v>28</v>
      </c>
      <c r="J17" s="173" t="s">
        <v>29</v>
      </c>
      <c r="K17" s="174"/>
      <c r="L17" s="174"/>
      <c r="M17" s="174"/>
      <c r="N17" s="174"/>
      <c r="O17" s="175"/>
      <c r="P17" s="176" t="s">
        <v>142</v>
      </c>
      <c r="Q17" s="176" t="s">
        <v>143</v>
      </c>
      <c r="R17" s="177" t="s">
        <v>144</v>
      </c>
    </row>
    <row r="18" spans="1:18" s="25" customFormat="1" ht="36" x14ac:dyDescent="0.25">
      <c r="A18" s="178"/>
      <c r="B18" s="169"/>
      <c r="C18" s="169"/>
      <c r="D18" s="169"/>
      <c r="E18" s="169"/>
      <c r="F18" s="179"/>
      <c r="G18" s="179"/>
      <c r="H18" s="180"/>
      <c r="I18" s="179"/>
      <c r="J18" s="181" t="s">
        <v>145</v>
      </c>
      <c r="K18" s="182" t="s">
        <v>146</v>
      </c>
      <c r="L18" s="182" t="s">
        <v>147</v>
      </c>
      <c r="M18" s="181" t="s">
        <v>148</v>
      </c>
      <c r="N18" s="181" t="s">
        <v>149</v>
      </c>
      <c r="O18" s="181" t="s">
        <v>150</v>
      </c>
      <c r="P18" s="183"/>
      <c r="Q18" s="183"/>
      <c r="R18" s="184"/>
    </row>
    <row r="19" spans="1:18" s="33" customFormat="1" ht="147" customHeight="1" x14ac:dyDescent="0.25">
      <c r="A19" s="54">
        <v>1</v>
      </c>
      <c r="B19" s="57" t="s">
        <v>36</v>
      </c>
      <c r="C19" s="60">
        <f>0.25 *1.28791886111175</f>
        <v>0.32197971527793751</v>
      </c>
      <c r="D19" s="26" t="s">
        <v>37</v>
      </c>
      <c r="E19" s="27">
        <f>C19/5</f>
        <v>6.4395943055587504E-2</v>
      </c>
      <c r="F19" s="27">
        <f>E19/$E$42* 100</f>
        <v>0.33958946059852668</v>
      </c>
      <c r="G19" s="28" t="s">
        <v>38</v>
      </c>
      <c r="H19" s="29">
        <v>1</v>
      </c>
      <c r="I19" s="30" t="s">
        <v>39</v>
      </c>
      <c r="J19" s="31">
        <v>100</v>
      </c>
      <c r="K19" s="32">
        <v>95</v>
      </c>
      <c r="L19" s="32">
        <v>90</v>
      </c>
      <c r="M19" s="32">
        <v>85</v>
      </c>
      <c r="N19" s="32">
        <v>80</v>
      </c>
      <c r="O19" s="32" t="s">
        <v>40</v>
      </c>
      <c r="P19" s="185"/>
      <c r="Q19" s="186">
        <f t="shared" ref="Q19:Q41" si="0">IF(OR(TRIM(P19)="",P19=0),0,
IF(P19&lt;N19,50,
IF(P19&lt;M19,60,
IF(P19&lt;L19,70,
IF(P19&lt;K19,80,
IF(ISNUMBER(J19),
    IF(P19&lt;J19,IF(P19&gt;=K19,90,80),100),
    IF(P19=K19,90,100)
))))))</f>
        <v>0</v>
      </c>
      <c r="R19" s="187">
        <f t="shared" ref="R19:R41" si="1">F19*Q19/100</f>
        <v>0</v>
      </c>
    </row>
    <row r="20" spans="1:18" s="33" customFormat="1" ht="147" customHeight="1" x14ac:dyDescent="0.25">
      <c r="A20" s="55"/>
      <c r="B20" s="58"/>
      <c r="C20" s="61"/>
      <c r="D20" s="26" t="s">
        <v>41</v>
      </c>
      <c r="E20" s="27">
        <f>C19/5</f>
        <v>6.4395943055587504E-2</v>
      </c>
      <c r="F20" s="27">
        <f t="shared" ref="F20:F41" si="2">E20/$E$42* 100</f>
        <v>0.33958946059852668</v>
      </c>
      <c r="G20" s="28" t="s">
        <v>42</v>
      </c>
      <c r="H20" s="29">
        <v>1</v>
      </c>
      <c r="I20" s="30" t="s">
        <v>39</v>
      </c>
      <c r="J20" s="31">
        <v>100</v>
      </c>
      <c r="K20" s="32">
        <v>95</v>
      </c>
      <c r="L20" s="32">
        <v>90</v>
      </c>
      <c r="M20" s="32">
        <v>85</v>
      </c>
      <c r="N20" s="32">
        <v>80</v>
      </c>
      <c r="O20" s="32" t="s">
        <v>40</v>
      </c>
      <c r="P20" s="185"/>
      <c r="Q20" s="186">
        <f t="shared" ref="Q20:Q41" si="3">IF(OR(TRIM(P20)="",P20=0),0,
IF(P20&lt;N20,50,
IF(P20&lt;M20,60,
IF(P20&lt;L20,70,
IF(P20&lt;K20,80,
IF(ISNUMBER(J20),
    IF(P20&lt;J20,IF(P20&gt;=K20,90,80),100),
    IF(P20=K20,90,100)
))))))</f>
        <v>0</v>
      </c>
      <c r="R20" s="187">
        <f t="shared" ref="R20:R41" si="4">F20*Q20/100</f>
        <v>0</v>
      </c>
    </row>
    <row r="21" spans="1:18" s="33" customFormat="1" ht="147" customHeight="1" x14ac:dyDescent="0.25">
      <c r="A21" s="55"/>
      <c r="B21" s="58"/>
      <c r="C21" s="61"/>
      <c r="D21" s="26" t="s">
        <v>43</v>
      </c>
      <c r="E21" s="27">
        <f>C19/5</f>
        <v>6.4395943055587504E-2</v>
      </c>
      <c r="F21" s="27">
        <f t="shared" si="2"/>
        <v>0.33958946059852668</v>
      </c>
      <c r="G21" s="28" t="s">
        <v>44</v>
      </c>
      <c r="H21" s="29">
        <v>1</v>
      </c>
      <c r="I21" s="30" t="s">
        <v>39</v>
      </c>
      <c r="J21" s="31">
        <v>100</v>
      </c>
      <c r="K21" s="32">
        <v>95</v>
      </c>
      <c r="L21" s="32">
        <v>90</v>
      </c>
      <c r="M21" s="32">
        <v>85</v>
      </c>
      <c r="N21" s="32">
        <v>80</v>
      </c>
      <c r="O21" s="32" t="s">
        <v>40</v>
      </c>
      <c r="P21" s="185"/>
      <c r="Q21" s="186">
        <f t="shared" si="3"/>
        <v>0</v>
      </c>
      <c r="R21" s="187">
        <f t="shared" si="4"/>
        <v>0</v>
      </c>
    </row>
    <row r="22" spans="1:18" s="33" customFormat="1" ht="147" customHeight="1" x14ac:dyDescent="0.25">
      <c r="A22" s="55"/>
      <c r="B22" s="58"/>
      <c r="C22" s="61"/>
      <c r="D22" s="26" t="s">
        <v>45</v>
      </c>
      <c r="E22" s="27">
        <f>C19/5</f>
        <v>6.4395943055587504E-2</v>
      </c>
      <c r="F22" s="27">
        <f t="shared" si="2"/>
        <v>0.33958946059852668</v>
      </c>
      <c r="G22" s="28" t="s">
        <v>46</v>
      </c>
      <c r="H22" s="34">
        <v>5</v>
      </c>
      <c r="I22" s="30" t="s">
        <v>47</v>
      </c>
      <c r="J22" s="31" t="s">
        <v>48</v>
      </c>
      <c r="K22" s="32">
        <v>5</v>
      </c>
      <c r="L22" s="32">
        <v>4</v>
      </c>
      <c r="M22" s="32">
        <v>3</v>
      </c>
      <c r="N22" s="32">
        <v>2</v>
      </c>
      <c r="O22" s="32">
        <v>1</v>
      </c>
      <c r="P22" s="185"/>
      <c r="Q22" s="186">
        <f t="shared" si="3"/>
        <v>0</v>
      </c>
      <c r="R22" s="187">
        <f t="shared" si="4"/>
        <v>0</v>
      </c>
    </row>
    <row r="23" spans="1:18" s="33" customFormat="1" ht="147" customHeight="1" x14ac:dyDescent="0.25">
      <c r="A23" s="56"/>
      <c r="B23" s="59"/>
      <c r="C23" s="62"/>
      <c r="D23" s="26" t="s">
        <v>49</v>
      </c>
      <c r="E23" s="27">
        <f>C19/5</f>
        <v>6.4395943055587504E-2</v>
      </c>
      <c r="F23" s="27">
        <f t="shared" si="2"/>
        <v>0.33958946059852668</v>
      </c>
      <c r="G23" s="28" t="s">
        <v>50</v>
      </c>
      <c r="H23" s="29">
        <v>1</v>
      </c>
      <c r="I23" s="30" t="s">
        <v>39</v>
      </c>
      <c r="J23" s="31">
        <v>100</v>
      </c>
      <c r="K23" s="32">
        <v>95</v>
      </c>
      <c r="L23" s="32">
        <v>90</v>
      </c>
      <c r="M23" s="32">
        <v>85</v>
      </c>
      <c r="N23" s="32">
        <v>80</v>
      </c>
      <c r="O23" s="32" t="s">
        <v>40</v>
      </c>
      <c r="P23" s="185"/>
      <c r="Q23" s="186">
        <f t="shared" si="3"/>
        <v>0</v>
      </c>
      <c r="R23" s="187">
        <f t="shared" si="4"/>
        <v>0</v>
      </c>
    </row>
    <row r="24" spans="1:18" s="33" customFormat="1" ht="147" customHeight="1" x14ac:dyDescent="0.25">
      <c r="A24" s="34">
        <v>2</v>
      </c>
      <c r="B24" s="26" t="s">
        <v>51</v>
      </c>
      <c r="C24" s="51">
        <f>0.25 *0.77275131666705</f>
        <v>0.1931878291667625</v>
      </c>
      <c r="D24" s="26" t="s">
        <v>52</v>
      </c>
      <c r="E24" s="27">
        <f>C24</f>
        <v>0.1931878291667625</v>
      </c>
      <c r="F24" s="27">
        <f t="shared" si="2"/>
        <v>1.0187683817955799</v>
      </c>
      <c r="G24" s="28" t="s">
        <v>53</v>
      </c>
      <c r="H24" s="29">
        <v>0.5</v>
      </c>
      <c r="I24" s="30" t="s">
        <v>39</v>
      </c>
      <c r="J24" s="31" t="s">
        <v>54</v>
      </c>
      <c r="K24" s="32">
        <v>50</v>
      </c>
      <c r="L24" s="32">
        <v>45</v>
      </c>
      <c r="M24" s="32">
        <v>40</v>
      </c>
      <c r="N24" s="32">
        <v>25</v>
      </c>
      <c r="O24" s="32" t="s">
        <v>55</v>
      </c>
      <c r="P24" s="185"/>
      <c r="Q24" s="186">
        <f t="shared" si="3"/>
        <v>0</v>
      </c>
      <c r="R24" s="187">
        <f t="shared" si="4"/>
        <v>0</v>
      </c>
    </row>
    <row r="25" spans="1:18" s="33" customFormat="1" ht="147" customHeight="1" x14ac:dyDescent="0.25">
      <c r="A25" s="54">
        <v>3</v>
      </c>
      <c r="B25" s="57" t="s">
        <v>56</v>
      </c>
      <c r="C25" s="60">
        <f>0.25 *68.7196706607483</f>
        <v>17.179917665187077</v>
      </c>
      <c r="D25" s="26" t="s">
        <v>57</v>
      </c>
      <c r="E25" s="27">
        <f>C25/10</f>
        <v>1.7179917665187077</v>
      </c>
      <c r="F25" s="27">
        <f t="shared" si="2"/>
        <v>9.0597616809678279</v>
      </c>
      <c r="G25" s="26" t="s">
        <v>58</v>
      </c>
      <c r="H25" s="34">
        <v>80</v>
      </c>
      <c r="I25" s="34" t="s">
        <v>39</v>
      </c>
      <c r="J25" s="31" t="s">
        <v>59</v>
      </c>
      <c r="K25" s="32">
        <v>80</v>
      </c>
      <c r="L25" s="32">
        <v>75</v>
      </c>
      <c r="M25" s="32">
        <v>70</v>
      </c>
      <c r="N25" s="32">
        <v>50</v>
      </c>
      <c r="O25" s="32" t="s">
        <v>60</v>
      </c>
      <c r="P25" s="185"/>
      <c r="Q25" s="186">
        <f t="shared" si="3"/>
        <v>0</v>
      </c>
      <c r="R25" s="187">
        <f t="shared" si="4"/>
        <v>0</v>
      </c>
    </row>
    <row r="26" spans="1:18" s="33" customFormat="1" ht="147" customHeight="1" x14ac:dyDescent="0.25">
      <c r="A26" s="55"/>
      <c r="B26" s="58"/>
      <c r="C26" s="61"/>
      <c r="D26" s="26" t="s">
        <v>61</v>
      </c>
      <c r="E26" s="27">
        <f>C25/10</f>
        <v>1.7179917665187077</v>
      </c>
      <c r="F26" s="27">
        <f t="shared" si="2"/>
        <v>9.0597616809678279</v>
      </c>
      <c r="G26" s="26" t="s">
        <v>62</v>
      </c>
      <c r="H26" s="34">
        <v>80</v>
      </c>
      <c r="I26" s="34" t="s">
        <v>39</v>
      </c>
      <c r="J26" s="31" t="s">
        <v>59</v>
      </c>
      <c r="K26" s="32">
        <v>80</v>
      </c>
      <c r="L26" s="32">
        <v>75</v>
      </c>
      <c r="M26" s="32">
        <v>70</v>
      </c>
      <c r="N26" s="32">
        <v>50</v>
      </c>
      <c r="O26" s="32" t="s">
        <v>60</v>
      </c>
      <c r="P26" s="185"/>
      <c r="Q26" s="186">
        <f t="shared" si="3"/>
        <v>0</v>
      </c>
      <c r="R26" s="187">
        <f t="shared" si="4"/>
        <v>0</v>
      </c>
    </row>
    <row r="27" spans="1:18" s="33" customFormat="1" ht="147" customHeight="1" x14ac:dyDescent="0.25">
      <c r="A27" s="55"/>
      <c r="B27" s="58"/>
      <c r="C27" s="61"/>
      <c r="D27" s="26" t="s">
        <v>63</v>
      </c>
      <c r="E27" s="27">
        <f>C25/10</f>
        <v>1.7179917665187077</v>
      </c>
      <c r="F27" s="27">
        <f t="shared" si="2"/>
        <v>9.0597616809678279</v>
      </c>
      <c r="G27" s="26" t="s">
        <v>64</v>
      </c>
      <c r="H27" s="35">
        <v>0.9</v>
      </c>
      <c r="I27" s="34" t="s">
        <v>39</v>
      </c>
      <c r="J27" s="31" t="s">
        <v>65</v>
      </c>
      <c r="K27" s="32">
        <v>90</v>
      </c>
      <c r="L27" s="32">
        <v>80</v>
      </c>
      <c r="M27" s="32">
        <v>70</v>
      </c>
      <c r="N27" s="32">
        <v>50</v>
      </c>
      <c r="O27" s="32" t="s">
        <v>60</v>
      </c>
      <c r="P27" s="185"/>
      <c r="Q27" s="186">
        <f t="shared" si="3"/>
        <v>0</v>
      </c>
      <c r="R27" s="187">
        <f t="shared" si="4"/>
        <v>0</v>
      </c>
    </row>
    <row r="28" spans="1:18" s="33" customFormat="1" ht="147" customHeight="1" x14ac:dyDescent="0.25">
      <c r="A28" s="55"/>
      <c r="B28" s="58"/>
      <c r="C28" s="61"/>
      <c r="D28" s="26" t="s">
        <v>66</v>
      </c>
      <c r="E28" s="27">
        <f>C25/10</f>
        <v>1.7179917665187077</v>
      </c>
      <c r="F28" s="27">
        <f t="shared" si="2"/>
        <v>9.0597616809678279</v>
      </c>
      <c r="G28" s="26" t="s">
        <v>67</v>
      </c>
      <c r="H28" s="34">
        <v>80</v>
      </c>
      <c r="I28" s="34" t="s">
        <v>39</v>
      </c>
      <c r="J28" s="31" t="s">
        <v>59</v>
      </c>
      <c r="K28" s="32">
        <v>80</v>
      </c>
      <c r="L28" s="32">
        <v>75</v>
      </c>
      <c r="M28" s="32">
        <v>70</v>
      </c>
      <c r="N28" s="32">
        <v>50</v>
      </c>
      <c r="O28" s="32" t="s">
        <v>60</v>
      </c>
      <c r="P28" s="185"/>
      <c r="Q28" s="186">
        <f t="shared" si="3"/>
        <v>0</v>
      </c>
      <c r="R28" s="187">
        <f t="shared" si="4"/>
        <v>0</v>
      </c>
    </row>
    <row r="29" spans="1:18" s="33" customFormat="1" ht="147" customHeight="1" x14ac:dyDescent="0.25">
      <c r="A29" s="55"/>
      <c r="B29" s="58"/>
      <c r="C29" s="61"/>
      <c r="D29" s="26" t="s">
        <v>68</v>
      </c>
      <c r="E29" s="27">
        <f>C25/10</f>
        <v>1.7179917665187077</v>
      </c>
      <c r="F29" s="27">
        <f t="shared" si="2"/>
        <v>9.0597616809678279</v>
      </c>
      <c r="G29" s="26" t="s">
        <v>69</v>
      </c>
      <c r="H29" s="35">
        <v>0.9</v>
      </c>
      <c r="I29" s="34" t="s">
        <v>39</v>
      </c>
      <c r="J29" s="31" t="s">
        <v>65</v>
      </c>
      <c r="K29" s="32">
        <v>90</v>
      </c>
      <c r="L29" s="32">
        <v>80</v>
      </c>
      <c r="M29" s="32">
        <v>70</v>
      </c>
      <c r="N29" s="32">
        <v>50</v>
      </c>
      <c r="O29" s="32" t="s">
        <v>60</v>
      </c>
      <c r="P29" s="185"/>
      <c r="Q29" s="186">
        <f t="shared" si="3"/>
        <v>0</v>
      </c>
      <c r="R29" s="187">
        <f t="shared" si="4"/>
        <v>0</v>
      </c>
    </row>
    <row r="30" spans="1:18" s="33" customFormat="1" ht="147" customHeight="1" x14ac:dyDescent="0.25">
      <c r="A30" s="55"/>
      <c r="B30" s="58"/>
      <c r="C30" s="61"/>
      <c r="D30" s="26" t="s">
        <v>70</v>
      </c>
      <c r="E30" s="27">
        <f>C25/10</f>
        <v>1.7179917665187077</v>
      </c>
      <c r="F30" s="27">
        <f t="shared" si="2"/>
        <v>9.0597616809678279</v>
      </c>
      <c r="G30" s="26" t="s">
        <v>71</v>
      </c>
      <c r="H30" s="35">
        <v>0.8</v>
      </c>
      <c r="I30" s="34" t="s">
        <v>39</v>
      </c>
      <c r="J30" s="31" t="s">
        <v>59</v>
      </c>
      <c r="K30" s="32">
        <v>80</v>
      </c>
      <c r="L30" s="32">
        <v>75</v>
      </c>
      <c r="M30" s="32">
        <v>70</v>
      </c>
      <c r="N30" s="32">
        <v>50</v>
      </c>
      <c r="O30" s="32" t="s">
        <v>60</v>
      </c>
      <c r="P30" s="185"/>
      <c r="Q30" s="186">
        <f t="shared" si="3"/>
        <v>0</v>
      </c>
      <c r="R30" s="187">
        <f t="shared" si="4"/>
        <v>0</v>
      </c>
    </row>
    <row r="31" spans="1:18" s="33" customFormat="1" ht="147" customHeight="1" x14ac:dyDescent="0.25">
      <c r="A31" s="55"/>
      <c r="B31" s="58"/>
      <c r="C31" s="61"/>
      <c r="D31" s="26" t="s">
        <v>72</v>
      </c>
      <c r="E31" s="27">
        <f>C25/10</f>
        <v>1.7179917665187077</v>
      </c>
      <c r="F31" s="27">
        <f t="shared" si="2"/>
        <v>9.0597616809678279</v>
      </c>
      <c r="G31" s="26" t="s">
        <v>73</v>
      </c>
      <c r="H31" s="35">
        <v>0.9</v>
      </c>
      <c r="I31" s="34" t="s">
        <v>39</v>
      </c>
      <c r="J31" s="31" t="s">
        <v>65</v>
      </c>
      <c r="K31" s="32">
        <v>90</v>
      </c>
      <c r="L31" s="32">
        <v>80</v>
      </c>
      <c r="M31" s="32">
        <v>70</v>
      </c>
      <c r="N31" s="32">
        <v>50</v>
      </c>
      <c r="O31" s="32" t="s">
        <v>60</v>
      </c>
      <c r="P31" s="185"/>
      <c r="Q31" s="186">
        <f t="shared" si="3"/>
        <v>0</v>
      </c>
      <c r="R31" s="187">
        <f t="shared" si="4"/>
        <v>0</v>
      </c>
    </row>
    <row r="32" spans="1:18" s="33" customFormat="1" ht="147" customHeight="1" x14ac:dyDescent="0.25">
      <c r="A32" s="55"/>
      <c r="B32" s="58"/>
      <c r="C32" s="61"/>
      <c r="D32" s="26" t="s">
        <v>74</v>
      </c>
      <c r="E32" s="27">
        <f>C25/10</f>
        <v>1.7179917665187077</v>
      </c>
      <c r="F32" s="27">
        <f t="shared" si="2"/>
        <v>9.0597616809678279</v>
      </c>
      <c r="G32" s="26" t="s">
        <v>75</v>
      </c>
      <c r="H32" s="35">
        <v>0.8</v>
      </c>
      <c r="I32" s="34" t="s">
        <v>39</v>
      </c>
      <c r="J32" s="31" t="s">
        <v>59</v>
      </c>
      <c r="K32" s="32">
        <v>80</v>
      </c>
      <c r="L32" s="32">
        <v>75</v>
      </c>
      <c r="M32" s="32">
        <v>70</v>
      </c>
      <c r="N32" s="32">
        <v>50</v>
      </c>
      <c r="O32" s="32" t="s">
        <v>60</v>
      </c>
      <c r="P32" s="185"/>
      <c r="Q32" s="186">
        <f t="shared" si="3"/>
        <v>0</v>
      </c>
      <c r="R32" s="187">
        <f t="shared" si="4"/>
        <v>0</v>
      </c>
    </row>
    <row r="33" spans="1:18" s="33" customFormat="1" ht="147" customHeight="1" x14ac:dyDescent="0.25">
      <c r="A33" s="55"/>
      <c r="B33" s="58"/>
      <c r="C33" s="61"/>
      <c r="D33" s="26" t="s">
        <v>76</v>
      </c>
      <c r="E33" s="27">
        <f>C25/10</f>
        <v>1.7179917665187077</v>
      </c>
      <c r="F33" s="27">
        <f t="shared" si="2"/>
        <v>9.0597616809678279</v>
      </c>
      <c r="G33" s="26" t="s">
        <v>77</v>
      </c>
      <c r="H33" s="35">
        <v>0.8</v>
      </c>
      <c r="I33" s="34" t="s">
        <v>39</v>
      </c>
      <c r="J33" s="31" t="s">
        <v>59</v>
      </c>
      <c r="K33" s="32">
        <v>80</v>
      </c>
      <c r="L33" s="32">
        <v>75</v>
      </c>
      <c r="M33" s="32">
        <v>70</v>
      </c>
      <c r="N33" s="32">
        <v>50</v>
      </c>
      <c r="O33" s="32" t="s">
        <v>60</v>
      </c>
      <c r="P33" s="185"/>
      <c r="Q33" s="186">
        <f t="shared" si="3"/>
        <v>0</v>
      </c>
      <c r="R33" s="187">
        <f t="shared" si="4"/>
        <v>0</v>
      </c>
    </row>
    <row r="34" spans="1:18" s="33" customFormat="1" ht="147" customHeight="1" x14ac:dyDescent="0.25">
      <c r="A34" s="56"/>
      <c r="B34" s="59"/>
      <c r="C34" s="62"/>
      <c r="D34" s="26" t="s">
        <v>78</v>
      </c>
      <c r="E34" s="27">
        <f>C25/10</f>
        <v>1.7179917665187077</v>
      </c>
      <c r="F34" s="27">
        <f t="shared" si="2"/>
        <v>9.0597616809678279</v>
      </c>
      <c r="G34" s="26" t="s">
        <v>79</v>
      </c>
      <c r="H34" s="35">
        <v>0.9</v>
      </c>
      <c r="I34" s="34" t="s">
        <v>39</v>
      </c>
      <c r="J34" s="31" t="s">
        <v>65</v>
      </c>
      <c r="K34" s="32">
        <v>90</v>
      </c>
      <c r="L34" s="32">
        <v>80</v>
      </c>
      <c r="M34" s="32">
        <v>70</v>
      </c>
      <c r="N34" s="32">
        <v>50</v>
      </c>
      <c r="O34" s="32" t="s">
        <v>60</v>
      </c>
      <c r="P34" s="185"/>
      <c r="Q34" s="186">
        <f t="shared" si="3"/>
        <v>0</v>
      </c>
      <c r="R34" s="187">
        <f t="shared" si="4"/>
        <v>0</v>
      </c>
    </row>
    <row r="35" spans="1:18" s="33" customFormat="1" ht="147" customHeight="1" x14ac:dyDescent="0.25">
      <c r="A35" s="34">
        <v>4</v>
      </c>
      <c r="B35" s="26" t="s">
        <v>80</v>
      </c>
      <c r="C35" s="36">
        <f>0.25 *1.20742393229227</f>
        <v>0.30185598307306749</v>
      </c>
      <c r="D35" s="26" t="s">
        <v>81</v>
      </c>
      <c r="E35" s="27">
        <f>C35</f>
        <v>0.30185598307306749</v>
      </c>
      <c r="F35" s="27">
        <f t="shared" si="2"/>
        <v>1.5918255965555992</v>
      </c>
      <c r="G35" s="28" t="s">
        <v>82</v>
      </c>
      <c r="H35" s="34">
        <v>5</v>
      </c>
      <c r="I35" s="30" t="s">
        <v>47</v>
      </c>
      <c r="J35" s="31" t="s">
        <v>48</v>
      </c>
      <c r="K35" s="32">
        <v>5</v>
      </c>
      <c r="L35" s="32">
        <v>4</v>
      </c>
      <c r="M35" s="32">
        <v>3</v>
      </c>
      <c r="N35" s="32">
        <v>2</v>
      </c>
      <c r="O35" s="32">
        <v>1</v>
      </c>
      <c r="P35" s="185"/>
      <c r="Q35" s="186">
        <f t="shared" si="3"/>
        <v>0</v>
      </c>
      <c r="R35" s="187">
        <f t="shared" si="4"/>
        <v>0</v>
      </c>
    </row>
    <row r="36" spans="1:18" s="33" customFormat="1" ht="147" customHeight="1" x14ac:dyDescent="0.25">
      <c r="A36" s="54">
        <v>5</v>
      </c>
      <c r="B36" s="57" t="s">
        <v>83</v>
      </c>
      <c r="C36" s="63">
        <f>0.25 *2.41484786458453</f>
        <v>0.60371196614613254</v>
      </c>
      <c r="D36" s="26" t="s">
        <v>84</v>
      </c>
      <c r="E36" s="27">
        <f>C36/2</f>
        <v>0.30185598307306627</v>
      </c>
      <c r="F36" s="27">
        <f t="shared" si="2"/>
        <v>1.591825596555593</v>
      </c>
      <c r="G36" s="28" t="s">
        <v>85</v>
      </c>
      <c r="H36" s="34">
        <v>5</v>
      </c>
      <c r="I36" s="34" t="s">
        <v>47</v>
      </c>
      <c r="J36" s="31" t="s">
        <v>48</v>
      </c>
      <c r="K36" s="32">
        <v>5</v>
      </c>
      <c r="L36" s="32">
        <v>4</v>
      </c>
      <c r="M36" s="32">
        <v>3</v>
      </c>
      <c r="N36" s="32">
        <v>2</v>
      </c>
      <c r="O36" s="32">
        <v>1</v>
      </c>
      <c r="P36" s="185"/>
      <c r="Q36" s="186">
        <f t="shared" si="3"/>
        <v>0</v>
      </c>
      <c r="R36" s="187">
        <f t="shared" si="4"/>
        <v>0</v>
      </c>
    </row>
    <row r="37" spans="1:18" s="33" customFormat="1" ht="147" customHeight="1" x14ac:dyDescent="0.25">
      <c r="A37" s="56"/>
      <c r="B37" s="59"/>
      <c r="C37" s="64"/>
      <c r="D37" s="26" t="s">
        <v>86</v>
      </c>
      <c r="E37" s="27">
        <f>C36/2</f>
        <v>0.30185598307306627</v>
      </c>
      <c r="F37" s="27">
        <f t="shared" si="2"/>
        <v>1.591825596555593</v>
      </c>
      <c r="G37" s="28" t="s">
        <v>87</v>
      </c>
      <c r="H37" s="35">
        <v>0.8</v>
      </c>
      <c r="I37" s="34" t="s">
        <v>39</v>
      </c>
      <c r="J37" s="31" t="s">
        <v>59</v>
      </c>
      <c r="K37" s="32">
        <v>80</v>
      </c>
      <c r="L37" s="32">
        <v>75</v>
      </c>
      <c r="M37" s="32">
        <v>70</v>
      </c>
      <c r="N37" s="32">
        <v>50</v>
      </c>
      <c r="O37" s="32" t="s">
        <v>60</v>
      </c>
      <c r="P37" s="185"/>
      <c r="Q37" s="186">
        <f t="shared" si="3"/>
        <v>0</v>
      </c>
      <c r="R37" s="187">
        <f t="shared" si="4"/>
        <v>0</v>
      </c>
    </row>
    <row r="38" spans="1:18" s="33" customFormat="1" ht="147" customHeight="1" x14ac:dyDescent="0.25">
      <c r="A38" s="54">
        <v>6</v>
      </c>
      <c r="B38" s="57" t="s">
        <v>88</v>
      </c>
      <c r="C38" s="63">
        <f>0.25 *0.804949288194844</f>
        <v>0.201237322048711</v>
      </c>
      <c r="D38" s="26" t="s">
        <v>89</v>
      </c>
      <c r="E38" s="27">
        <f>C38/2</f>
        <v>0.1006186610243555</v>
      </c>
      <c r="F38" s="27">
        <f t="shared" si="2"/>
        <v>0.53060853218519799</v>
      </c>
      <c r="G38" s="28" t="s">
        <v>90</v>
      </c>
      <c r="H38" s="34">
        <v>5</v>
      </c>
      <c r="I38" s="34" t="s">
        <v>47</v>
      </c>
      <c r="J38" s="31" t="s">
        <v>48</v>
      </c>
      <c r="K38" s="32">
        <v>5</v>
      </c>
      <c r="L38" s="32">
        <v>4</v>
      </c>
      <c r="M38" s="32">
        <v>3</v>
      </c>
      <c r="N38" s="32">
        <v>2</v>
      </c>
      <c r="O38" s="32">
        <v>1</v>
      </c>
      <c r="P38" s="185"/>
      <c r="Q38" s="186">
        <f t="shared" si="3"/>
        <v>0</v>
      </c>
      <c r="R38" s="187">
        <f t="shared" si="4"/>
        <v>0</v>
      </c>
    </row>
    <row r="39" spans="1:18" s="33" customFormat="1" ht="147" customHeight="1" x14ac:dyDescent="0.25">
      <c r="A39" s="56"/>
      <c r="B39" s="59"/>
      <c r="C39" s="64"/>
      <c r="D39" s="26" t="s">
        <v>91</v>
      </c>
      <c r="E39" s="27">
        <f>C38/2</f>
        <v>0.1006186610243555</v>
      </c>
      <c r="F39" s="27">
        <f t="shared" si="2"/>
        <v>0.53060853218519799</v>
      </c>
      <c r="G39" s="28" t="s">
        <v>92</v>
      </c>
      <c r="H39" s="35">
        <v>0.8</v>
      </c>
      <c r="I39" s="34" t="s">
        <v>39</v>
      </c>
      <c r="J39" s="31" t="s">
        <v>59</v>
      </c>
      <c r="K39" s="32">
        <v>80</v>
      </c>
      <c r="L39" s="32">
        <v>75</v>
      </c>
      <c r="M39" s="32">
        <v>70</v>
      </c>
      <c r="N39" s="32">
        <v>50</v>
      </c>
      <c r="O39" s="32" t="s">
        <v>60</v>
      </c>
      <c r="P39" s="185"/>
      <c r="Q39" s="186">
        <f t="shared" si="3"/>
        <v>0</v>
      </c>
      <c r="R39" s="187">
        <f t="shared" si="4"/>
        <v>0</v>
      </c>
    </row>
    <row r="40" spans="1:18" s="33" customFormat="1" ht="147" customHeight="1" x14ac:dyDescent="0.25">
      <c r="A40" s="34">
        <v>7</v>
      </c>
      <c r="B40" s="26" t="s">
        <v>93</v>
      </c>
      <c r="C40" s="36">
        <f>0.25 *0.321979715277938</f>
        <v>8.0494928819484501E-2</v>
      </c>
      <c r="D40" s="50" t="s">
        <v>94</v>
      </c>
      <c r="E40" s="27">
        <f>C40</f>
        <v>8.0494928819484501E-2</v>
      </c>
      <c r="F40" s="27">
        <f t="shared" si="2"/>
        <v>0.42448682574815894</v>
      </c>
      <c r="G40" s="28" t="s">
        <v>95</v>
      </c>
      <c r="H40" s="29">
        <v>0.7</v>
      </c>
      <c r="I40" s="34" t="s">
        <v>39</v>
      </c>
      <c r="J40" s="31" t="s">
        <v>96</v>
      </c>
      <c r="K40" s="32">
        <v>70</v>
      </c>
      <c r="L40" s="32">
        <v>60</v>
      </c>
      <c r="M40" s="32">
        <v>50</v>
      </c>
      <c r="N40" s="32">
        <v>40</v>
      </c>
      <c r="O40" s="32" t="s">
        <v>97</v>
      </c>
      <c r="P40" s="185"/>
      <c r="Q40" s="186">
        <f t="shared" si="3"/>
        <v>0</v>
      </c>
      <c r="R40" s="187">
        <f t="shared" si="4"/>
        <v>0</v>
      </c>
    </row>
    <row r="41" spans="1:18" s="33" customFormat="1" ht="147" customHeight="1" x14ac:dyDescent="0.25">
      <c r="A41" s="34">
        <v>8</v>
      </c>
      <c r="B41" s="26" t="s">
        <v>98</v>
      </c>
      <c r="C41" s="36">
        <f>0.25 *0.321979715277938</f>
        <v>8.0494928819484501E-2</v>
      </c>
      <c r="D41" s="28" t="s">
        <v>99</v>
      </c>
      <c r="E41" s="27">
        <f>C41</f>
        <v>8.0494928819484501E-2</v>
      </c>
      <c r="F41" s="27">
        <f t="shared" si="2"/>
        <v>0.42448682574815894</v>
      </c>
      <c r="G41" s="28" t="s">
        <v>100</v>
      </c>
      <c r="H41" s="29">
        <v>0.5</v>
      </c>
      <c r="I41" s="30" t="s">
        <v>39</v>
      </c>
      <c r="J41" s="31" t="s">
        <v>54</v>
      </c>
      <c r="K41" s="32">
        <v>50</v>
      </c>
      <c r="L41" s="32">
        <v>45</v>
      </c>
      <c r="M41" s="32">
        <v>40</v>
      </c>
      <c r="N41" s="32">
        <v>25</v>
      </c>
      <c r="O41" s="32" t="s">
        <v>55</v>
      </c>
      <c r="P41" s="185"/>
      <c r="Q41" s="186">
        <f t="shared" si="3"/>
        <v>0</v>
      </c>
      <c r="R41" s="187">
        <f t="shared" si="4"/>
        <v>0</v>
      </c>
    </row>
    <row r="42" spans="1:18" s="198" customFormat="1" ht="44.25" x14ac:dyDescent="0.25">
      <c r="A42" s="188"/>
      <c r="B42" s="189" t="s">
        <v>101</v>
      </c>
      <c r="C42" s="190">
        <f>SUM(C19:C41)</f>
        <v>18.962880338538657</v>
      </c>
      <c r="D42" s="189"/>
      <c r="E42" s="190">
        <f>SUM(E19:E41)</f>
        <v>18.96288033853866</v>
      </c>
      <c r="F42" s="190">
        <f>SUM(F19:F41)</f>
        <v>99.999999999999972</v>
      </c>
      <c r="G42" s="191"/>
      <c r="H42" s="192"/>
      <c r="I42" s="193"/>
      <c r="J42" s="194"/>
      <c r="K42" s="194"/>
      <c r="L42" s="194"/>
      <c r="M42" s="194"/>
      <c r="N42" s="194"/>
      <c r="O42" s="194"/>
      <c r="P42" s="195"/>
      <c r="Q42" s="196"/>
      <c r="R42" s="197">
        <f>SUM(R19:R41)</f>
        <v>0</v>
      </c>
    </row>
    <row r="43" spans="1:18" s="37" customFormat="1" ht="66" customHeight="1" x14ac:dyDescent="0.7">
      <c r="A43" s="199"/>
      <c r="G43" s="200"/>
      <c r="H43" s="200"/>
      <c r="I43" s="201" t="s">
        <v>151</v>
      </c>
      <c r="J43" s="202"/>
      <c r="K43" s="202"/>
      <c r="L43" s="202"/>
      <c r="M43" s="202"/>
      <c r="N43" s="202"/>
      <c r="O43" s="202"/>
      <c r="P43" s="202"/>
      <c r="Q43" s="203"/>
      <c r="R43" s="204">
        <f>R42/100 * 70</f>
        <v>0</v>
      </c>
    </row>
    <row r="44" spans="1:18" s="39" customFormat="1" ht="36" x14ac:dyDescent="0.55000000000000004">
      <c r="A44" s="205" t="s">
        <v>102</v>
      </c>
      <c r="B44" s="206"/>
      <c r="C44" s="206"/>
      <c r="D44" s="206"/>
      <c r="E44" s="206"/>
      <c r="F44" s="206"/>
      <c r="G44" s="207"/>
      <c r="H44" s="208"/>
      <c r="I44" s="208"/>
      <c r="J44" s="208"/>
      <c r="K44" s="208"/>
      <c r="L44" s="176" t="s">
        <v>107</v>
      </c>
      <c r="M44" s="209" t="s">
        <v>103</v>
      </c>
      <c r="N44" s="209"/>
      <c r="O44" s="209"/>
      <c r="P44" s="210"/>
      <c r="Q44" s="211"/>
      <c r="R44" s="38"/>
    </row>
    <row r="45" spans="1:18" s="39" customFormat="1" ht="31.5" customHeight="1" x14ac:dyDescent="0.55000000000000004">
      <c r="A45" s="212"/>
      <c r="B45" s="213"/>
      <c r="C45" s="214" t="s">
        <v>104</v>
      </c>
      <c r="D45" s="214"/>
      <c r="E45" s="214"/>
      <c r="F45" s="214"/>
      <c r="G45" s="214"/>
      <c r="H45" s="215" t="s">
        <v>152</v>
      </c>
      <c r="I45" s="215" t="s">
        <v>153</v>
      </c>
      <c r="J45" s="215"/>
      <c r="K45" s="216"/>
      <c r="L45" s="183"/>
      <c r="M45" s="217"/>
      <c r="N45" s="217"/>
      <c r="O45" s="217"/>
      <c r="P45" s="218"/>
      <c r="Q45" s="211"/>
      <c r="R45" s="38"/>
    </row>
    <row r="46" spans="1:18" s="39" customFormat="1" ht="36" customHeight="1" x14ac:dyDescent="0.55000000000000004">
      <c r="A46" s="219">
        <v>1</v>
      </c>
      <c r="B46" s="220" t="s">
        <v>108</v>
      </c>
      <c r="C46" s="221"/>
      <c r="D46" s="222"/>
      <c r="E46" s="222"/>
      <c r="F46" s="222"/>
      <c r="G46" s="223"/>
      <c r="H46" s="224"/>
      <c r="I46" s="224"/>
      <c r="J46" s="224"/>
      <c r="K46" s="224"/>
      <c r="L46" s="40"/>
      <c r="M46" s="225" t="s">
        <v>30</v>
      </c>
      <c r="N46" s="226" t="s">
        <v>109</v>
      </c>
      <c r="O46" s="227"/>
      <c r="P46" s="218"/>
      <c r="Q46" s="211"/>
      <c r="R46" s="38"/>
    </row>
    <row r="47" spans="1:18" s="39" customFormat="1" ht="84.75" customHeight="1" x14ac:dyDescent="0.55000000000000004">
      <c r="A47" s="228" t="s">
        <v>110</v>
      </c>
      <c r="B47" s="229" t="s">
        <v>154</v>
      </c>
      <c r="C47" s="230"/>
      <c r="D47" s="231"/>
      <c r="E47" s="231"/>
      <c r="F47" s="231"/>
      <c r="G47" s="232"/>
      <c r="H47" s="233">
        <v>4</v>
      </c>
      <c r="I47" s="234"/>
      <c r="J47" s="233"/>
      <c r="K47" s="233"/>
      <c r="L47" s="40"/>
      <c r="M47" s="225" t="s">
        <v>31</v>
      </c>
      <c r="N47" s="226" t="s">
        <v>111</v>
      </c>
      <c r="O47" s="227"/>
      <c r="P47" s="218"/>
      <c r="Q47" s="211"/>
      <c r="R47" s="38"/>
    </row>
    <row r="48" spans="1:18" s="39" customFormat="1" ht="82.5" customHeight="1" x14ac:dyDescent="0.55000000000000004">
      <c r="A48" s="228" t="s">
        <v>112</v>
      </c>
      <c r="B48" s="229" t="s">
        <v>155</v>
      </c>
      <c r="C48" s="230"/>
      <c r="D48" s="231"/>
      <c r="E48" s="231"/>
      <c r="F48" s="231"/>
      <c r="G48" s="232"/>
      <c r="H48" s="233">
        <v>2</v>
      </c>
      <c r="I48" s="234"/>
      <c r="J48" s="233"/>
      <c r="K48" s="233"/>
      <c r="L48" s="40"/>
      <c r="M48" s="225" t="s">
        <v>32</v>
      </c>
      <c r="N48" s="226" t="s">
        <v>113</v>
      </c>
      <c r="O48" s="227"/>
      <c r="P48" s="218"/>
      <c r="Q48" s="211"/>
      <c r="R48" s="38"/>
    </row>
    <row r="49" spans="1:18" s="39" customFormat="1" ht="78.75" customHeight="1" x14ac:dyDescent="0.55000000000000004">
      <c r="A49" s="228" t="s">
        <v>114</v>
      </c>
      <c r="B49" s="229" t="s">
        <v>115</v>
      </c>
      <c r="C49" s="230"/>
      <c r="D49" s="231"/>
      <c r="E49" s="231"/>
      <c r="F49" s="231"/>
      <c r="G49" s="232"/>
      <c r="H49" s="233">
        <v>2</v>
      </c>
      <c r="I49" s="234"/>
      <c r="J49" s="233"/>
      <c r="K49" s="233"/>
      <c r="L49" s="40"/>
      <c r="M49" s="225" t="s">
        <v>33</v>
      </c>
      <c r="N49" s="226" t="s">
        <v>116</v>
      </c>
      <c r="O49" s="227"/>
      <c r="P49" s="218"/>
      <c r="Q49" s="211"/>
      <c r="R49" s="38"/>
    </row>
    <row r="50" spans="1:18" s="39" customFormat="1" ht="36" x14ac:dyDescent="0.55000000000000004">
      <c r="A50" s="235">
        <v>2</v>
      </c>
      <c r="B50" s="236" t="s">
        <v>117</v>
      </c>
      <c r="C50" s="237"/>
      <c r="D50" s="238"/>
      <c r="E50" s="238"/>
      <c r="F50" s="238"/>
      <c r="G50" s="239"/>
      <c r="H50" s="233"/>
      <c r="I50" s="234"/>
      <c r="J50" s="233"/>
      <c r="K50" s="233"/>
      <c r="L50" s="40"/>
      <c r="M50" s="225" t="s">
        <v>34</v>
      </c>
      <c r="N50" s="226" t="s">
        <v>118</v>
      </c>
      <c r="O50" s="227"/>
      <c r="P50" s="218"/>
      <c r="Q50" s="211"/>
      <c r="R50" s="38"/>
    </row>
    <row r="51" spans="1:18" s="39" customFormat="1" ht="82.5" customHeight="1" x14ac:dyDescent="0.55000000000000004">
      <c r="A51" s="228" t="s">
        <v>110</v>
      </c>
      <c r="B51" s="240" t="s">
        <v>156</v>
      </c>
      <c r="C51" s="241"/>
      <c r="D51" s="242"/>
      <c r="E51" s="242"/>
      <c r="F51" s="242"/>
      <c r="G51" s="243"/>
      <c r="H51" s="233">
        <v>2</v>
      </c>
      <c r="I51" s="234"/>
      <c r="J51" s="233"/>
      <c r="K51" s="233"/>
      <c r="L51" s="40"/>
      <c r="M51" s="225" t="s">
        <v>35</v>
      </c>
      <c r="N51" s="226" t="s">
        <v>119</v>
      </c>
      <c r="O51" s="227"/>
      <c r="P51" s="244"/>
      <c r="Q51" s="211"/>
      <c r="R51" s="38"/>
    </row>
    <row r="52" spans="1:18" s="39" customFormat="1" ht="114.75" customHeight="1" x14ac:dyDescent="0.55000000000000004">
      <c r="A52" s="228" t="s">
        <v>112</v>
      </c>
      <c r="B52" s="240" t="s">
        <v>157</v>
      </c>
      <c r="C52" s="241"/>
      <c r="D52" s="242"/>
      <c r="E52" s="242"/>
      <c r="F52" s="242"/>
      <c r="G52" s="243"/>
      <c r="H52" s="233">
        <v>2</v>
      </c>
      <c r="I52" s="234"/>
      <c r="J52" s="233"/>
      <c r="K52" s="233"/>
      <c r="L52" s="40"/>
      <c r="M52" s="218" t="s">
        <v>107</v>
      </c>
      <c r="N52" s="245" t="s">
        <v>120</v>
      </c>
      <c r="O52" s="246"/>
      <c r="P52" s="244"/>
      <c r="Q52" s="211"/>
      <c r="R52" s="38"/>
    </row>
    <row r="53" spans="1:18" s="39" customFormat="1" ht="72" customHeight="1" x14ac:dyDescent="0.55000000000000004">
      <c r="A53" s="228" t="s">
        <v>114</v>
      </c>
      <c r="B53" s="240" t="s">
        <v>158</v>
      </c>
      <c r="C53" s="241"/>
      <c r="D53" s="242"/>
      <c r="E53" s="242"/>
      <c r="F53" s="242"/>
      <c r="G53" s="243"/>
      <c r="H53" s="233">
        <v>2</v>
      </c>
      <c r="I53" s="234"/>
      <c r="J53" s="233"/>
      <c r="K53" s="233"/>
      <c r="L53" s="40"/>
      <c r="M53" s="218" t="s">
        <v>121</v>
      </c>
      <c r="N53" s="245" t="s">
        <v>122</v>
      </c>
      <c r="O53" s="246"/>
      <c r="P53" s="244"/>
      <c r="Q53" s="211"/>
      <c r="R53" s="38"/>
    </row>
    <row r="54" spans="1:18" s="39" customFormat="1" ht="66" customHeight="1" x14ac:dyDescent="0.55000000000000004">
      <c r="A54" s="235">
        <v>3</v>
      </c>
      <c r="B54" s="236" t="s">
        <v>123</v>
      </c>
      <c r="C54" s="237"/>
      <c r="D54" s="238"/>
      <c r="E54" s="238"/>
      <c r="F54" s="238"/>
      <c r="G54" s="239"/>
      <c r="H54" s="233"/>
      <c r="I54" s="234"/>
      <c r="J54" s="233"/>
      <c r="K54" s="233"/>
      <c r="L54" s="40"/>
      <c r="M54" s="218" t="s">
        <v>105</v>
      </c>
      <c r="N54" s="245" t="s">
        <v>124</v>
      </c>
      <c r="O54" s="246"/>
      <c r="P54" s="244"/>
      <c r="Q54" s="211"/>
      <c r="R54" s="38"/>
    </row>
    <row r="55" spans="1:18" s="39" customFormat="1" ht="72" customHeight="1" x14ac:dyDescent="0.55000000000000004">
      <c r="A55" s="228" t="s">
        <v>110</v>
      </c>
      <c r="B55" s="240" t="s">
        <v>125</v>
      </c>
      <c r="C55" s="247"/>
      <c r="D55" s="248"/>
      <c r="E55" s="248"/>
      <c r="F55" s="248"/>
      <c r="G55" s="249"/>
      <c r="H55" s="233">
        <v>2</v>
      </c>
      <c r="I55" s="234"/>
      <c r="J55" s="233"/>
      <c r="K55" s="233"/>
      <c r="L55" s="40"/>
      <c r="M55" s="218" t="s">
        <v>106</v>
      </c>
      <c r="N55" s="245" t="s">
        <v>126</v>
      </c>
      <c r="O55" s="246"/>
      <c r="P55" s="244"/>
      <c r="Q55" s="211"/>
      <c r="R55" s="38"/>
    </row>
    <row r="56" spans="1:18" s="39" customFormat="1" ht="72" customHeight="1" x14ac:dyDescent="0.55000000000000004">
      <c r="A56" s="228" t="s">
        <v>112</v>
      </c>
      <c r="B56" s="240" t="s">
        <v>159</v>
      </c>
      <c r="C56" s="247"/>
      <c r="D56" s="248"/>
      <c r="E56" s="248"/>
      <c r="F56" s="248"/>
      <c r="G56" s="249"/>
      <c r="H56" s="233">
        <v>2</v>
      </c>
      <c r="I56" s="234"/>
      <c r="J56" s="233"/>
      <c r="K56" s="233"/>
      <c r="L56" s="40"/>
      <c r="M56" s="218" t="s">
        <v>127</v>
      </c>
      <c r="N56" s="245" t="s">
        <v>128</v>
      </c>
      <c r="O56" s="246"/>
      <c r="P56" s="244"/>
      <c r="Q56" s="211"/>
      <c r="R56" s="38"/>
    </row>
    <row r="57" spans="1:18" s="39" customFormat="1" ht="44.25" customHeight="1" x14ac:dyDescent="0.55000000000000004">
      <c r="A57" s="228" t="s">
        <v>114</v>
      </c>
      <c r="B57" s="240" t="s">
        <v>160</v>
      </c>
      <c r="C57" s="247"/>
      <c r="D57" s="248"/>
      <c r="E57" s="248"/>
      <c r="F57" s="248"/>
      <c r="G57" s="249"/>
      <c r="H57" s="233">
        <v>2</v>
      </c>
      <c r="I57" s="234"/>
      <c r="J57" s="233"/>
      <c r="K57" s="233"/>
      <c r="L57" s="40"/>
      <c r="M57" s="250"/>
      <c r="N57" s="250"/>
      <c r="O57" s="250"/>
      <c r="P57" s="251"/>
      <c r="Q57" s="211"/>
      <c r="R57" s="38"/>
    </row>
    <row r="58" spans="1:18" s="39" customFormat="1" ht="31.5" customHeight="1" x14ac:dyDescent="0.55000000000000004">
      <c r="A58" s="252" t="s">
        <v>129</v>
      </c>
      <c r="B58" s="253"/>
      <c r="C58" s="253"/>
      <c r="D58" s="253"/>
      <c r="E58" s="253"/>
      <c r="F58" s="253"/>
      <c r="G58" s="253"/>
      <c r="H58" s="254">
        <f>SUM(H47:H57)</f>
        <v>20</v>
      </c>
      <c r="I58" s="254">
        <f>SUM(I47:I57)</f>
        <v>0</v>
      </c>
      <c r="J58" s="254"/>
      <c r="K58" s="255"/>
      <c r="L58" s="40"/>
      <c r="M58" s="250"/>
      <c r="N58" s="250"/>
      <c r="O58" s="250"/>
      <c r="P58" s="251"/>
      <c r="Q58" s="211"/>
      <c r="R58" s="38"/>
    </row>
    <row r="59" spans="1:18" s="39" customFormat="1" ht="36" customHeight="1" x14ac:dyDescent="0.55000000000000004">
      <c r="A59" s="256" t="s">
        <v>110</v>
      </c>
      <c r="B59" s="257" t="s">
        <v>130</v>
      </c>
      <c r="C59" s="241" t="s">
        <v>131</v>
      </c>
      <c r="D59" s="242"/>
      <c r="E59" s="242"/>
      <c r="F59" s="242"/>
      <c r="G59" s="243"/>
      <c r="H59" s="258">
        <v>4</v>
      </c>
      <c r="I59" s="259"/>
      <c r="J59" s="258"/>
      <c r="K59" s="260"/>
      <c r="L59" s="40"/>
      <c r="M59" s="250"/>
      <c r="N59" s="250"/>
      <c r="O59" s="250"/>
      <c r="P59" s="251"/>
      <c r="Q59" s="211"/>
      <c r="R59" s="38"/>
    </row>
    <row r="60" spans="1:18" s="39" customFormat="1" ht="129" customHeight="1" x14ac:dyDescent="0.55000000000000004">
      <c r="A60" s="256" t="s">
        <v>112</v>
      </c>
      <c r="B60" s="257" t="s">
        <v>132</v>
      </c>
      <c r="C60" s="241" t="s">
        <v>133</v>
      </c>
      <c r="D60" s="242"/>
      <c r="E60" s="242"/>
      <c r="F60" s="242"/>
      <c r="G60" s="243"/>
      <c r="H60" s="258">
        <v>3</v>
      </c>
      <c r="I60" s="259"/>
      <c r="J60" s="258"/>
      <c r="K60" s="260"/>
      <c r="L60" s="40"/>
      <c r="M60" s="250"/>
      <c r="N60" s="250"/>
      <c r="O60" s="250"/>
      <c r="P60" s="251"/>
      <c r="Q60" s="211"/>
      <c r="R60" s="38"/>
    </row>
    <row r="61" spans="1:18" s="39" customFormat="1" ht="69" customHeight="1" x14ac:dyDescent="0.55000000000000004">
      <c r="A61" s="256" t="s">
        <v>112</v>
      </c>
      <c r="B61" s="257" t="s">
        <v>134</v>
      </c>
      <c r="C61" s="241" t="s">
        <v>135</v>
      </c>
      <c r="D61" s="242"/>
      <c r="E61" s="242"/>
      <c r="F61" s="242"/>
      <c r="G61" s="243"/>
      <c r="H61" s="258">
        <v>3</v>
      </c>
      <c r="I61" s="259"/>
      <c r="J61" s="258"/>
      <c r="K61" s="260"/>
      <c r="L61" s="40"/>
      <c r="M61" s="250"/>
      <c r="N61" s="250"/>
      <c r="O61" s="250"/>
      <c r="P61" s="251"/>
      <c r="Q61" s="211"/>
      <c r="R61" s="38"/>
    </row>
    <row r="62" spans="1:18" s="39" customFormat="1" ht="46.5" customHeight="1" x14ac:dyDescent="0.55000000000000004">
      <c r="A62" s="261"/>
      <c r="B62" s="262" t="s">
        <v>136</v>
      </c>
      <c r="C62" s="262"/>
      <c r="D62" s="262"/>
      <c r="E62" s="263"/>
      <c r="F62" s="263"/>
      <c r="G62" s="263"/>
      <c r="H62" s="254">
        <f>SUM(H59:H61)</f>
        <v>10</v>
      </c>
      <c r="I62" s="254">
        <f>SUM(I59:I61)</f>
        <v>0</v>
      </c>
      <c r="J62" s="263"/>
      <c r="K62" s="264"/>
      <c r="L62" s="250"/>
      <c r="M62" s="250"/>
      <c r="N62" s="250"/>
      <c r="O62" s="250"/>
      <c r="P62" s="251"/>
      <c r="Q62" s="211"/>
      <c r="R62" s="38"/>
    </row>
    <row r="63" spans="1:18" s="42" customFormat="1" ht="45" customHeight="1" x14ac:dyDescent="0.7">
      <c r="A63" s="41"/>
      <c r="B63" s="265"/>
      <c r="C63" s="266"/>
      <c r="D63" s="266"/>
      <c r="E63" s="266"/>
      <c r="F63" s="267"/>
      <c r="G63" s="267"/>
      <c r="H63" s="267"/>
      <c r="I63" s="267"/>
      <c r="J63" s="267"/>
      <c r="K63" s="266"/>
      <c r="L63" s="266"/>
      <c r="M63" s="266"/>
      <c r="N63" s="266"/>
      <c r="O63" s="268" t="s">
        <v>161</v>
      </c>
      <c r="P63" s="269"/>
      <c r="Q63" s="268" t="s">
        <v>162</v>
      </c>
      <c r="R63" s="270"/>
    </row>
    <row r="64" spans="1:18" s="42" customFormat="1" ht="45" customHeight="1" x14ac:dyDescent="0.7">
      <c r="A64" s="41"/>
      <c r="B64" s="271"/>
      <c r="C64" s="272" t="s">
        <v>163</v>
      </c>
      <c r="D64" s="273"/>
      <c r="E64" s="273"/>
      <c r="F64" s="273"/>
      <c r="G64" s="273"/>
      <c r="H64" s="273"/>
      <c r="I64" s="273"/>
      <c r="J64" s="273"/>
      <c r="K64" s="274"/>
      <c r="L64" s="275"/>
      <c r="M64" s="276"/>
      <c r="N64" s="277"/>
      <c r="O64" s="278">
        <f>R43</f>
        <v>0</v>
      </c>
      <c r="P64" s="279"/>
      <c r="Q64" s="280">
        <f>O67/100 * 20</f>
        <v>0</v>
      </c>
      <c r="R64" s="281"/>
    </row>
    <row r="65" spans="1:18" s="42" customFormat="1" ht="45" customHeight="1" x14ac:dyDescent="0.7">
      <c r="A65" s="41"/>
      <c r="B65" s="271"/>
      <c r="C65" s="273" t="s">
        <v>164</v>
      </c>
      <c r="D65" s="273"/>
      <c r="E65" s="273"/>
      <c r="F65" s="273"/>
      <c r="G65" s="273"/>
      <c r="H65" s="273"/>
      <c r="I65" s="273"/>
      <c r="J65" s="273"/>
      <c r="K65" s="273"/>
      <c r="L65" s="276"/>
      <c r="M65" s="276"/>
      <c r="N65" s="277"/>
      <c r="O65" s="278">
        <f>I58</f>
        <v>0</v>
      </c>
      <c r="P65" s="279"/>
      <c r="Q65" s="282"/>
      <c r="R65" s="283"/>
    </row>
    <row r="66" spans="1:18" s="42" customFormat="1" ht="45" customHeight="1" x14ac:dyDescent="0.7">
      <c r="A66" s="41"/>
      <c r="B66" s="271"/>
      <c r="C66" s="272" t="s">
        <v>165</v>
      </c>
      <c r="D66" s="273"/>
      <c r="E66" s="273"/>
      <c r="F66" s="273"/>
      <c r="G66" s="273"/>
      <c r="H66" s="273"/>
      <c r="I66" s="273"/>
      <c r="J66" s="273"/>
      <c r="K66" s="274"/>
      <c r="L66" s="275"/>
      <c r="M66" s="276"/>
      <c r="N66" s="277"/>
      <c r="O66" s="278">
        <f>I62</f>
        <v>0</v>
      </c>
      <c r="P66" s="279"/>
      <c r="Q66" s="282"/>
      <c r="R66" s="283"/>
    </row>
    <row r="67" spans="1:18" s="42" customFormat="1" ht="45" customHeight="1" x14ac:dyDescent="0.7">
      <c r="A67" s="41"/>
      <c r="B67" s="284"/>
      <c r="C67" s="272" t="s">
        <v>166</v>
      </c>
      <c r="D67" s="273"/>
      <c r="E67" s="273"/>
      <c r="F67" s="273"/>
      <c r="G67" s="273"/>
      <c r="H67" s="273"/>
      <c r="I67" s="273"/>
      <c r="J67" s="273"/>
      <c r="K67" s="274"/>
      <c r="L67" s="275"/>
      <c r="M67" s="276"/>
      <c r="N67" s="277"/>
      <c r="O67" s="278">
        <f>SUM(O64:P66)</f>
        <v>0</v>
      </c>
      <c r="P67" s="279"/>
      <c r="Q67" s="285"/>
      <c r="R67" s="286"/>
    </row>
    <row r="68" spans="1:18" s="42" customFormat="1" ht="64.900000000000006" customHeight="1" x14ac:dyDescent="0.7">
      <c r="A68" s="41"/>
      <c r="B68" s="287" t="s">
        <v>167</v>
      </c>
      <c r="C68" s="287"/>
      <c r="D68" s="287"/>
      <c r="E68" s="287"/>
      <c r="F68" s="287"/>
      <c r="G68" s="287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9"/>
    </row>
    <row r="69" spans="1:18" s="42" customFormat="1" ht="64.900000000000006" customHeight="1" x14ac:dyDescent="0.7">
      <c r="A69" s="41"/>
      <c r="B69" s="88" t="s">
        <v>168</v>
      </c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9"/>
    </row>
    <row r="70" spans="1:18" s="42" customFormat="1" ht="48.75" customHeight="1" x14ac:dyDescent="0.7">
      <c r="A70" s="41"/>
      <c r="B70" s="290" t="s">
        <v>169</v>
      </c>
      <c r="C70" s="290"/>
      <c r="D70" s="290"/>
      <c r="E70" s="290"/>
      <c r="F70" s="290"/>
      <c r="G70" s="290"/>
      <c r="H70" s="291"/>
      <c r="I70" s="291"/>
      <c r="J70" s="291"/>
      <c r="K70" s="291"/>
      <c r="L70" s="291"/>
      <c r="M70" s="291"/>
      <c r="N70" s="291"/>
      <c r="O70" s="291"/>
      <c r="P70" s="291"/>
      <c r="Q70" s="291"/>
      <c r="R70" s="292"/>
    </row>
    <row r="71" spans="1:18" s="42" customFormat="1" ht="45.75" x14ac:dyDescent="0.7">
      <c r="A71" s="41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9"/>
    </row>
    <row r="72" spans="1:18" s="39" customFormat="1" ht="31.5" customHeight="1" x14ac:dyDescent="0.55000000000000004">
      <c r="A72" s="90" t="s">
        <v>170</v>
      </c>
      <c r="B72" s="75"/>
      <c r="C72" s="67"/>
      <c r="D72" s="68"/>
      <c r="E72" s="71" t="s">
        <v>171</v>
      </c>
      <c r="F72" s="73"/>
      <c r="G72" s="75" t="s">
        <v>172</v>
      </c>
      <c r="H72" s="67"/>
      <c r="I72" s="67"/>
      <c r="J72" s="67"/>
      <c r="K72" s="43"/>
      <c r="L72" s="40"/>
      <c r="M72" s="93"/>
      <c r="N72" s="93"/>
      <c r="O72" s="93"/>
      <c r="P72" s="93"/>
      <c r="Q72" s="93"/>
      <c r="R72" s="38"/>
    </row>
    <row r="73" spans="1:18" s="39" customFormat="1" ht="31.5" customHeight="1" x14ac:dyDescent="0.55000000000000004">
      <c r="A73" s="65"/>
      <c r="B73" s="66"/>
      <c r="C73" s="81"/>
      <c r="D73" s="82"/>
      <c r="E73" s="92"/>
      <c r="F73" s="86"/>
      <c r="G73" s="66"/>
      <c r="H73" s="81"/>
      <c r="I73" s="81"/>
      <c r="J73" s="81"/>
      <c r="K73" s="43"/>
      <c r="L73" s="40"/>
      <c r="M73" s="94"/>
      <c r="N73" s="94"/>
      <c r="O73" s="94"/>
      <c r="P73" s="94"/>
      <c r="Q73" s="94"/>
      <c r="R73" s="38"/>
    </row>
    <row r="74" spans="1:18" s="39" customFormat="1" ht="31.5" customHeight="1" x14ac:dyDescent="0.55000000000000004">
      <c r="A74" s="65"/>
      <c r="B74" s="66"/>
      <c r="C74" s="81"/>
      <c r="D74" s="82"/>
      <c r="E74" s="92"/>
      <c r="F74" s="86"/>
      <c r="G74" s="66"/>
      <c r="H74" s="81"/>
      <c r="I74" s="81"/>
      <c r="J74" s="81"/>
      <c r="K74" s="43"/>
      <c r="L74" s="40"/>
      <c r="M74" s="94"/>
      <c r="N74" s="94"/>
      <c r="O74" s="94"/>
      <c r="P74" s="94"/>
      <c r="Q74" s="94"/>
      <c r="R74" s="38"/>
    </row>
    <row r="75" spans="1:18" s="39" customFormat="1" ht="31.5" customHeight="1" x14ac:dyDescent="0.55000000000000004">
      <c r="A75" s="91"/>
      <c r="B75" s="76"/>
      <c r="C75" s="69"/>
      <c r="D75" s="70"/>
      <c r="E75" s="72"/>
      <c r="F75" s="74"/>
      <c r="G75" s="76"/>
      <c r="H75" s="69"/>
      <c r="I75" s="69"/>
      <c r="J75" s="69"/>
      <c r="K75" s="43"/>
      <c r="L75" s="40"/>
      <c r="M75" s="94"/>
      <c r="N75" s="94"/>
      <c r="O75" s="94"/>
      <c r="P75" s="94"/>
      <c r="Q75" s="94"/>
      <c r="R75" s="38"/>
    </row>
    <row r="76" spans="1:18" s="39" customFormat="1" ht="31.5" customHeight="1" x14ac:dyDescent="0.55000000000000004">
      <c r="A76" s="77" t="s">
        <v>137</v>
      </c>
      <c r="B76" s="78"/>
      <c r="C76" s="67"/>
      <c r="D76" s="68"/>
      <c r="E76" s="83" t="s">
        <v>173</v>
      </c>
      <c r="F76" s="73"/>
      <c r="G76" s="78" t="s">
        <v>173</v>
      </c>
      <c r="H76" s="67"/>
      <c r="I76" s="67"/>
      <c r="J76" s="67"/>
      <c r="K76" s="43"/>
      <c r="L76" s="40"/>
      <c r="M76" s="94"/>
      <c r="N76" s="94"/>
      <c r="O76" s="94"/>
      <c r="P76" s="94"/>
      <c r="Q76" s="94"/>
      <c r="R76" s="38"/>
    </row>
    <row r="77" spans="1:18" s="39" customFormat="1" ht="31.5" customHeight="1" x14ac:dyDescent="0.55000000000000004">
      <c r="A77" s="79"/>
      <c r="B77" s="80"/>
      <c r="C77" s="81"/>
      <c r="D77" s="82"/>
      <c r="E77" s="84"/>
      <c r="F77" s="86"/>
      <c r="G77" s="80"/>
      <c r="H77" s="81"/>
      <c r="I77" s="81"/>
      <c r="J77" s="81"/>
      <c r="K77" s="43"/>
      <c r="L77" s="40"/>
      <c r="M77" s="94"/>
      <c r="N77" s="94"/>
      <c r="O77" s="94"/>
      <c r="P77" s="94"/>
      <c r="Q77" s="94"/>
      <c r="R77" s="38"/>
    </row>
    <row r="78" spans="1:18" s="39" customFormat="1" ht="31.5" customHeight="1" x14ac:dyDescent="0.55000000000000004">
      <c r="A78" s="79"/>
      <c r="B78" s="80"/>
      <c r="C78" s="69"/>
      <c r="D78" s="70"/>
      <c r="E78" s="85"/>
      <c r="F78" s="74"/>
      <c r="G78" s="87"/>
      <c r="H78" s="69"/>
      <c r="I78" s="69"/>
      <c r="J78" s="69"/>
      <c r="K78" s="43"/>
      <c r="L78" s="40"/>
      <c r="M78" s="94"/>
      <c r="N78" s="94"/>
      <c r="O78" s="94"/>
      <c r="P78" s="94"/>
      <c r="Q78" s="94"/>
      <c r="R78" s="38"/>
    </row>
    <row r="79" spans="1:18" s="39" customFormat="1" ht="31.5" customHeight="1" x14ac:dyDescent="0.55000000000000004">
      <c r="A79" s="65" t="s">
        <v>138</v>
      </c>
      <c r="B79" s="66"/>
      <c r="C79" s="67"/>
      <c r="D79" s="68"/>
      <c r="E79" s="71" t="s">
        <v>174</v>
      </c>
      <c r="F79" s="73"/>
      <c r="G79" s="75" t="s">
        <v>174</v>
      </c>
      <c r="H79" s="67"/>
      <c r="I79" s="67"/>
      <c r="J79" s="67"/>
      <c r="K79" s="43"/>
      <c r="L79" s="40"/>
      <c r="M79" s="94"/>
      <c r="N79" s="94"/>
      <c r="O79" s="94"/>
      <c r="P79" s="94"/>
      <c r="Q79" s="94"/>
      <c r="R79" s="38"/>
    </row>
    <row r="80" spans="1:18" s="39" customFormat="1" ht="31.5" customHeight="1" x14ac:dyDescent="0.55000000000000004">
      <c r="A80" s="65"/>
      <c r="B80" s="66"/>
      <c r="C80" s="69"/>
      <c r="D80" s="70"/>
      <c r="E80" s="72"/>
      <c r="F80" s="74"/>
      <c r="G80" s="76"/>
      <c r="H80" s="69"/>
      <c r="I80" s="69"/>
      <c r="J80" s="69"/>
      <c r="K80" s="43"/>
      <c r="L80" s="40"/>
      <c r="M80" s="94"/>
      <c r="N80" s="94"/>
      <c r="O80" s="94"/>
      <c r="P80" s="94"/>
      <c r="Q80" s="94"/>
      <c r="R80" s="38"/>
    </row>
    <row r="81" spans="1:18" s="39" customFormat="1" ht="31.5" customHeight="1" thickBot="1" x14ac:dyDescent="0.6">
      <c r="A81" s="52"/>
      <c r="B81" s="53"/>
      <c r="C81" s="53"/>
      <c r="D81" s="53"/>
      <c r="E81" s="53"/>
      <c r="F81" s="53"/>
      <c r="G81" s="53"/>
      <c r="H81" s="53"/>
      <c r="I81" s="53"/>
      <c r="J81" s="53"/>
      <c r="K81" s="44"/>
      <c r="L81" s="45"/>
      <c r="M81" s="95"/>
      <c r="N81" s="95"/>
      <c r="O81" s="95"/>
      <c r="P81" s="95"/>
      <c r="Q81" s="95"/>
      <c r="R81" s="46"/>
    </row>
  </sheetData>
  <mergeCells count="115">
    <mergeCell ref="A81:J81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9:B80"/>
    <mergeCell ref="C79:D80"/>
    <mergeCell ref="E79:E80"/>
    <mergeCell ref="F79:F80"/>
    <mergeCell ref="G79:G80"/>
    <mergeCell ref="H79:J80"/>
    <mergeCell ref="A76:B78"/>
    <mergeCell ref="C76:D78"/>
    <mergeCell ref="E76:E78"/>
    <mergeCell ref="F76:F78"/>
    <mergeCell ref="G76:G78"/>
    <mergeCell ref="H76:J78"/>
    <mergeCell ref="B69:R69"/>
    <mergeCell ref="B70:G70"/>
    <mergeCell ref="B71:R71"/>
    <mergeCell ref="A72:B75"/>
    <mergeCell ref="C72:D75"/>
    <mergeCell ref="E72:E75"/>
    <mergeCell ref="F72:F75"/>
    <mergeCell ref="G72:G75"/>
    <mergeCell ref="H72:J75"/>
    <mergeCell ref="M72:Q81"/>
    <mergeCell ref="L66:N66"/>
    <mergeCell ref="O66:P66"/>
    <mergeCell ref="C67:K67"/>
    <mergeCell ref="L67:N67"/>
    <mergeCell ref="O67:P67"/>
    <mergeCell ref="B68:G68"/>
    <mergeCell ref="O63:P63"/>
    <mergeCell ref="Q63:R63"/>
    <mergeCell ref="C64:K64"/>
    <mergeCell ref="L64:N64"/>
    <mergeCell ref="O64:P64"/>
    <mergeCell ref="Q64:R67"/>
    <mergeCell ref="C65:K65"/>
    <mergeCell ref="L65:N65"/>
    <mergeCell ref="O65:P65"/>
    <mergeCell ref="C66:K66"/>
    <mergeCell ref="A58:G58"/>
    <mergeCell ref="C59:G59"/>
    <mergeCell ref="C60:G60"/>
    <mergeCell ref="C61:G61"/>
    <mergeCell ref="B62:D62"/>
    <mergeCell ref="B63:B67"/>
    <mergeCell ref="F63:J63"/>
    <mergeCell ref="C52:G52"/>
    <mergeCell ref="C53:G53"/>
    <mergeCell ref="C54:G54"/>
    <mergeCell ref="C55:G55"/>
    <mergeCell ref="C56:G56"/>
    <mergeCell ref="C57:G57"/>
    <mergeCell ref="C49:G49"/>
    <mergeCell ref="N49:O49"/>
    <mergeCell ref="C50:G50"/>
    <mergeCell ref="N50:O50"/>
    <mergeCell ref="C51:G51"/>
    <mergeCell ref="N51:O51"/>
    <mergeCell ref="C46:G46"/>
    <mergeCell ref="N46:O46"/>
    <mergeCell ref="C47:G47"/>
    <mergeCell ref="N47:O47"/>
    <mergeCell ref="C48:G48"/>
    <mergeCell ref="N48:O48"/>
    <mergeCell ref="R17:R18"/>
    <mergeCell ref="I43:Q43"/>
    <mergeCell ref="A44:G44"/>
    <mergeCell ref="H44:K44"/>
    <mergeCell ref="L44:L45"/>
    <mergeCell ref="C45:G45"/>
    <mergeCell ref="A38:A39"/>
    <mergeCell ref="B38:B39"/>
    <mergeCell ref="C38:C39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7941E4A9-32AD-4ADE-ABB0-749D96792B8D}"/>
  </hyperlinks>
  <pageMargins left="0.7" right="0.7" top="0.75" bottom="0.75" header="0.3" footer="0.3"/>
  <pageSetup scale="14" fitToHeight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766E1-7467-4623-9C44-2106D8605009}">
  <sheetPr>
    <pageSetUpPr fitToPage="1"/>
  </sheetPr>
  <dimension ref="A1:R81"/>
  <sheetViews>
    <sheetView topLeftCell="H5" zoomScale="30" zoomScaleNormal="30" workbookViewId="0">
      <selection activeCell="A19" sqref="A19:O41"/>
    </sheetView>
  </sheetViews>
  <sheetFormatPr defaultRowHeight="31.5" customHeight="1" x14ac:dyDescent="0.55000000000000004"/>
  <cols>
    <col min="1" max="1" width="15.5703125" style="47" bestFit="1" customWidth="1"/>
    <col min="2" max="2" width="85.42578125" style="1" bestFit="1" customWidth="1"/>
    <col min="3" max="3" width="39.5703125" style="1" bestFit="1" customWidth="1"/>
    <col min="4" max="4" width="114.85546875" style="1" customWidth="1"/>
    <col min="5" max="5" width="64.7109375" style="47" bestFit="1" customWidth="1"/>
    <col min="6" max="6" width="42" style="47" customWidth="1"/>
    <col min="7" max="7" width="255.7109375" style="1" bestFit="1" customWidth="1"/>
    <col min="8" max="8" width="33" style="47" customWidth="1"/>
    <col min="9" max="9" width="62.42578125" style="47" customWidth="1"/>
    <col min="10" max="10" width="45.140625" style="47" customWidth="1"/>
    <col min="11" max="13" width="35.28515625" style="47" bestFit="1" customWidth="1"/>
    <col min="14" max="14" width="40.7109375" style="47" bestFit="1" customWidth="1"/>
    <col min="15" max="15" width="36.85546875" style="47" bestFit="1" customWidth="1"/>
    <col min="16" max="17" width="36.85546875" style="48" customWidth="1"/>
    <col min="18" max="18" width="36.85546875" style="49" customWidth="1"/>
    <col min="19" max="16384" width="9.140625" style="1"/>
  </cols>
  <sheetData>
    <row r="1" spans="1:18" ht="31.5" customHeight="1" x14ac:dyDescent="0.25">
      <c r="A1" s="107" t="s">
        <v>139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9"/>
    </row>
    <row r="2" spans="1:18" ht="31.5" customHeight="1" x14ac:dyDescent="0.25">
      <c r="A2" s="1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2"/>
    </row>
    <row r="3" spans="1:18" ht="31.5" customHeight="1" thickBot="1" x14ac:dyDescent="0.3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2"/>
    </row>
    <row r="4" spans="1:18" s="2" customFormat="1" ht="45.75" x14ac:dyDescent="0.25">
      <c r="A4" s="113" t="s">
        <v>0</v>
      </c>
      <c r="B4" s="114"/>
      <c r="C4" s="114"/>
      <c r="D4" s="114"/>
      <c r="E4" s="114"/>
      <c r="F4" s="114"/>
      <c r="G4" s="114"/>
      <c r="H4" s="114"/>
      <c r="I4" s="114"/>
      <c r="J4" s="114"/>
      <c r="K4" s="115"/>
      <c r="L4" s="116"/>
      <c r="M4" s="116"/>
      <c r="N4" s="116"/>
      <c r="O4" s="116"/>
      <c r="P4" s="116"/>
      <c r="Q4" s="116"/>
      <c r="R4" s="117"/>
    </row>
    <row r="5" spans="1:18" s="9" customFormat="1" ht="32.25" x14ac:dyDescent="0.5">
      <c r="A5" s="3" t="s">
        <v>1</v>
      </c>
      <c r="B5" s="4" t="s">
        <v>175</v>
      </c>
      <c r="C5" s="5" t="s">
        <v>2</v>
      </c>
      <c r="D5" s="6" t="s">
        <v>176</v>
      </c>
      <c r="E5" s="124"/>
      <c r="F5" s="124"/>
      <c r="G5" s="124"/>
      <c r="H5" s="124"/>
      <c r="I5" s="7"/>
      <c r="J5" s="8"/>
      <c r="K5" s="118"/>
      <c r="L5" s="119"/>
      <c r="M5" s="119"/>
      <c r="N5" s="119"/>
      <c r="O5" s="119"/>
      <c r="P5" s="119"/>
      <c r="Q5" s="119"/>
      <c r="R5" s="120"/>
    </row>
    <row r="6" spans="1:18" s="12" customFormat="1" ht="38.25" customHeight="1" x14ac:dyDescent="0.55000000000000004">
      <c r="A6" s="125" t="s">
        <v>3</v>
      </c>
      <c r="B6" s="126"/>
      <c r="C6" s="126"/>
      <c r="D6" s="126"/>
      <c r="E6" s="126"/>
      <c r="F6" s="126"/>
      <c r="G6" s="126"/>
      <c r="H6" s="126"/>
      <c r="I6" s="10"/>
      <c r="J6" s="11"/>
      <c r="K6" s="118"/>
      <c r="L6" s="119"/>
      <c r="M6" s="119"/>
      <c r="N6" s="119"/>
      <c r="O6" s="119"/>
      <c r="P6" s="119"/>
      <c r="Q6" s="119"/>
      <c r="R6" s="120"/>
    </row>
    <row r="7" spans="1:18" s="134" customFormat="1" ht="39" x14ac:dyDescent="0.6">
      <c r="A7" s="127" t="s">
        <v>4</v>
      </c>
      <c r="B7" s="128"/>
      <c r="C7" s="129" t="s">
        <v>181</v>
      </c>
      <c r="D7" s="130" t="s">
        <v>5</v>
      </c>
      <c r="E7" s="129" t="s">
        <v>182</v>
      </c>
      <c r="F7" s="130" t="s">
        <v>6</v>
      </c>
      <c r="G7" s="131"/>
      <c r="H7" s="130" t="s">
        <v>7</v>
      </c>
      <c r="I7" s="132" t="s">
        <v>183</v>
      </c>
      <c r="J7" s="133"/>
      <c r="K7" s="118"/>
      <c r="L7" s="119"/>
      <c r="M7" s="119"/>
      <c r="N7" s="119"/>
      <c r="O7" s="119"/>
      <c r="P7" s="119"/>
      <c r="Q7" s="119"/>
      <c r="R7" s="120"/>
    </row>
    <row r="8" spans="1:18" s="134" customFormat="1" ht="39" x14ac:dyDescent="0.6">
      <c r="A8" s="135" t="s">
        <v>8</v>
      </c>
      <c r="B8" s="136"/>
      <c r="C8" s="137">
        <v>359823</v>
      </c>
      <c r="D8" s="138" t="s">
        <v>9</v>
      </c>
      <c r="E8" s="139" t="s">
        <v>184</v>
      </c>
      <c r="F8" s="138" t="s">
        <v>10</v>
      </c>
      <c r="G8" s="140" t="s">
        <v>185</v>
      </c>
      <c r="H8" s="138" t="s">
        <v>11</v>
      </c>
      <c r="I8" s="141" t="s">
        <v>186</v>
      </c>
      <c r="J8" s="142"/>
      <c r="K8" s="118"/>
      <c r="L8" s="119"/>
      <c r="M8" s="119"/>
      <c r="N8" s="119"/>
      <c r="O8" s="119"/>
      <c r="P8" s="119"/>
      <c r="Q8" s="119"/>
      <c r="R8" s="120"/>
    </row>
    <row r="9" spans="1:18" s="14" customFormat="1" ht="62.25" customHeight="1" x14ac:dyDescent="0.6">
      <c r="A9" s="102" t="s">
        <v>12</v>
      </c>
      <c r="B9" s="102"/>
      <c r="C9" s="102"/>
      <c r="D9" s="102"/>
      <c r="E9" s="102"/>
      <c r="F9" s="102"/>
      <c r="G9" s="102"/>
      <c r="H9" s="102"/>
      <c r="I9" s="102"/>
      <c r="J9" s="13"/>
      <c r="K9" s="118"/>
      <c r="L9" s="119"/>
      <c r="M9" s="119"/>
      <c r="N9" s="119"/>
      <c r="O9" s="119"/>
      <c r="P9" s="119"/>
      <c r="Q9" s="119"/>
      <c r="R9" s="120"/>
    </row>
    <row r="10" spans="1:18" s="150" customFormat="1" ht="39" x14ac:dyDescent="0.6">
      <c r="A10" s="143" t="s">
        <v>4</v>
      </c>
      <c r="B10" s="144"/>
      <c r="C10" s="145" t="s">
        <v>187</v>
      </c>
      <c r="D10" s="146" t="s">
        <v>5</v>
      </c>
      <c r="E10" s="145" t="s">
        <v>188</v>
      </c>
      <c r="F10" s="146" t="s">
        <v>6</v>
      </c>
      <c r="G10" s="147"/>
      <c r="H10" s="146" t="s">
        <v>7</v>
      </c>
      <c r="I10" s="148" t="s">
        <v>189</v>
      </c>
      <c r="J10" s="149"/>
      <c r="K10" s="118"/>
      <c r="L10" s="119"/>
      <c r="M10" s="119"/>
      <c r="N10" s="119"/>
      <c r="O10" s="119"/>
      <c r="P10" s="119"/>
      <c r="Q10" s="119"/>
      <c r="R10" s="120"/>
    </row>
    <row r="11" spans="1:18" s="150" customFormat="1" ht="39" x14ac:dyDescent="0.6">
      <c r="A11" s="151" t="s">
        <v>8</v>
      </c>
      <c r="B11" s="152"/>
      <c r="C11" s="153">
        <v>168083</v>
      </c>
      <c r="D11" s="154" t="s">
        <v>9</v>
      </c>
      <c r="E11" s="155" t="s">
        <v>190</v>
      </c>
      <c r="F11" s="154" t="s">
        <v>10</v>
      </c>
      <c r="G11" s="156"/>
      <c r="H11" s="154" t="s">
        <v>11</v>
      </c>
      <c r="I11" s="157" t="s">
        <v>186</v>
      </c>
      <c r="J11" s="158"/>
      <c r="K11" s="118"/>
      <c r="L11" s="119"/>
      <c r="M11" s="119"/>
      <c r="N11" s="119"/>
      <c r="O11" s="119"/>
      <c r="P11" s="119"/>
      <c r="Q11" s="119"/>
      <c r="R11" s="120"/>
    </row>
    <row r="12" spans="1:18" s="14" customFormat="1" ht="39" x14ac:dyDescent="0.6">
      <c r="A12" s="102" t="s">
        <v>13</v>
      </c>
      <c r="B12" s="102"/>
      <c r="C12" s="102"/>
      <c r="D12" s="102"/>
      <c r="E12" s="102"/>
      <c r="F12" s="102"/>
      <c r="G12" s="102"/>
      <c r="H12" s="102"/>
      <c r="I12" s="102"/>
      <c r="J12" s="13"/>
      <c r="K12" s="118"/>
      <c r="L12" s="119"/>
      <c r="M12" s="119"/>
      <c r="N12" s="119"/>
      <c r="O12" s="119"/>
      <c r="P12" s="119"/>
      <c r="Q12" s="119"/>
      <c r="R12" s="120"/>
    </row>
    <row r="13" spans="1:18" s="19" customFormat="1" ht="39" x14ac:dyDescent="0.6">
      <c r="A13" s="103" t="s">
        <v>4</v>
      </c>
      <c r="B13" s="104"/>
      <c r="C13" s="15" t="s">
        <v>14</v>
      </c>
      <c r="D13" s="16" t="s">
        <v>5</v>
      </c>
      <c r="E13" s="15" t="s">
        <v>15</v>
      </c>
      <c r="F13" s="17" t="s">
        <v>6</v>
      </c>
      <c r="G13" s="18" t="s">
        <v>16</v>
      </c>
      <c r="H13" s="16" t="s">
        <v>7</v>
      </c>
      <c r="I13" s="105" t="s">
        <v>17</v>
      </c>
      <c r="J13" s="106"/>
      <c r="K13" s="118"/>
      <c r="L13" s="119"/>
      <c r="M13" s="119"/>
      <c r="N13" s="119"/>
      <c r="O13" s="119"/>
      <c r="P13" s="119"/>
      <c r="Q13" s="119"/>
      <c r="R13" s="120"/>
    </row>
    <row r="14" spans="1:18" s="19" customFormat="1" ht="39" x14ac:dyDescent="0.6">
      <c r="A14" s="96" t="s">
        <v>8</v>
      </c>
      <c r="B14" s="97"/>
      <c r="C14" s="20">
        <v>60529</v>
      </c>
      <c r="D14" s="21" t="s">
        <v>9</v>
      </c>
      <c r="E14" s="159" t="s">
        <v>18</v>
      </c>
      <c r="F14" s="22" t="s">
        <v>10</v>
      </c>
      <c r="G14" s="160"/>
      <c r="H14" s="21" t="s">
        <v>11</v>
      </c>
      <c r="I14" s="98" t="s">
        <v>19</v>
      </c>
      <c r="J14" s="99"/>
      <c r="K14" s="118"/>
      <c r="L14" s="119"/>
      <c r="M14" s="119"/>
      <c r="N14" s="119"/>
      <c r="O14" s="119"/>
      <c r="P14" s="119"/>
      <c r="Q14" s="119"/>
      <c r="R14" s="120"/>
    </row>
    <row r="15" spans="1:18" s="24" customFormat="1" ht="20.25" customHeight="1" thickBot="1" x14ac:dyDescent="0.75">
      <c r="A15" s="100"/>
      <c r="B15" s="101"/>
      <c r="C15" s="101"/>
      <c r="D15" s="101"/>
      <c r="E15" s="101"/>
      <c r="F15" s="101"/>
      <c r="G15" s="101"/>
      <c r="H15" s="101"/>
      <c r="I15" s="101"/>
      <c r="J15" s="23"/>
      <c r="K15" s="121"/>
      <c r="L15" s="122"/>
      <c r="M15" s="122"/>
      <c r="N15" s="122"/>
      <c r="O15" s="122"/>
      <c r="P15" s="122"/>
      <c r="Q15" s="122"/>
      <c r="R15" s="123"/>
    </row>
    <row r="16" spans="1:18" s="24" customFormat="1" ht="47.25" x14ac:dyDescent="0.7">
      <c r="A16" s="161" t="s">
        <v>20</v>
      </c>
      <c r="B16" s="162"/>
      <c r="C16" s="162"/>
      <c r="D16" s="162"/>
      <c r="E16" s="162"/>
      <c r="F16" s="162"/>
      <c r="G16" s="162"/>
      <c r="H16" s="162"/>
      <c r="I16" s="162"/>
      <c r="J16" s="163"/>
      <c r="K16" s="164"/>
      <c r="L16" s="165"/>
      <c r="M16" s="165"/>
      <c r="N16" s="165"/>
      <c r="O16" s="165"/>
      <c r="P16" s="166"/>
      <c r="Q16" s="166"/>
      <c r="R16" s="167"/>
    </row>
    <row r="17" spans="1:18" s="25" customFormat="1" ht="31.5" customHeight="1" x14ac:dyDescent="0.25">
      <c r="A17" s="168" t="s">
        <v>21</v>
      </c>
      <c r="B17" s="169" t="s">
        <v>22</v>
      </c>
      <c r="C17" s="170" t="s">
        <v>23</v>
      </c>
      <c r="D17" s="170" t="s">
        <v>24</v>
      </c>
      <c r="E17" s="170" t="s">
        <v>23</v>
      </c>
      <c r="F17" s="171" t="s">
        <v>25</v>
      </c>
      <c r="G17" s="171" t="s">
        <v>26</v>
      </c>
      <c r="H17" s="172" t="s">
        <v>27</v>
      </c>
      <c r="I17" s="171" t="s">
        <v>28</v>
      </c>
      <c r="J17" s="173" t="s">
        <v>29</v>
      </c>
      <c r="K17" s="174"/>
      <c r="L17" s="174"/>
      <c r="M17" s="174"/>
      <c r="N17" s="174"/>
      <c r="O17" s="175"/>
      <c r="P17" s="176" t="s">
        <v>142</v>
      </c>
      <c r="Q17" s="176" t="s">
        <v>143</v>
      </c>
      <c r="R17" s="177" t="s">
        <v>144</v>
      </c>
    </row>
    <row r="18" spans="1:18" s="25" customFormat="1" ht="36" x14ac:dyDescent="0.25">
      <c r="A18" s="178"/>
      <c r="B18" s="169"/>
      <c r="C18" s="169"/>
      <c r="D18" s="169"/>
      <c r="E18" s="169"/>
      <c r="F18" s="179"/>
      <c r="G18" s="179"/>
      <c r="H18" s="180"/>
      <c r="I18" s="179"/>
      <c r="J18" s="181" t="s">
        <v>145</v>
      </c>
      <c r="K18" s="182" t="s">
        <v>146</v>
      </c>
      <c r="L18" s="182" t="s">
        <v>147</v>
      </c>
      <c r="M18" s="181" t="s">
        <v>148</v>
      </c>
      <c r="N18" s="181" t="s">
        <v>149</v>
      </c>
      <c r="O18" s="181" t="s">
        <v>150</v>
      </c>
      <c r="P18" s="183"/>
      <c r="Q18" s="183"/>
      <c r="R18" s="184"/>
    </row>
    <row r="19" spans="1:18" s="33" customFormat="1" ht="147" customHeight="1" x14ac:dyDescent="0.25">
      <c r="A19" s="54">
        <v>1</v>
      </c>
      <c r="B19" s="57" t="s">
        <v>36</v>
      </c>
      <c r="C19" s="60">
        <f>0.25 *1.28791886111175</f>
        <v>0.32197971527793751</v>
      </c>
      <c r="D19" s="26" t="s">
        <v>37</v>
      </c>
      <c r="E19" s="27">
        <f>C19/5</f>
        <v>6.4395943055587504E-2</v>
      </c>
      <c r="F19" s="27">
        <f>E19/$E$42* 100</f>
        <v>0.33958946059852668</v>
      </c>
      <c r="G19" s="28" t="s">
        <v>38</v>
      </c>
      <c r="H19" s="29">
        <v>1</v>
      </c>
      <c r="I19" s="30" t="s">
        <v>39</v>
      </c>
      <c r="J19" s="31">
        <v>100</v>
      </c>
      <c r="K19" s="32">
        <v>95</v>
      </c>
      <c r="L19" s="32">
        <v>90</v>
      </c>
      <c r="M19" s="32">
        <v>85</v>
      </c>
      <c r="N19" s="32">
        <v>80</v>
      </c>
      <c r="O19" s="32" t="s">
        <v>40</v>
      </c>
      <c r="P19" s="185"/>
      <c r="Q19" s="186">
        <f t="shared" ref="Q19:Q41" si="0">IF(OR(TRIM(P19)="",P19=0),0,
IF(P19&lt;N19,50,
IF(P19&lt;M19,60,
IF(P19&lt;L19,70,
IF(P19&lt;K19,80,
IF(ISNUMBER(J19),
    IF(P19&lt;J19,IF(P19&gt;=K19,90,80),100),
    IF(P19=K19,90,100)
))))))</f>
        <v>0</v>
      </c>
      <c r="R19" s="187">
        <f t="shared" ref="R19:R41" si="1">F19*Q19/100</f>
        <v>0</v>
      </c>
    </row>
    <row r="20" spans="1:18" s="33" customFormat="1" ht="147" customHeight="1" x14ac:dyDescent="0.25">
      <c r="A20" s="55"/>
      <c r="B20" s="58"/>
      <c r="C20" s="61"/>
      <c r="D20" s="26" t="s">
        <v>41</v>
      </c>
      <c r="E20" s="27">
        <f>C19/5</f>
        <v>6.4395943055587504E-2</v>
      </c>
      <c r="F20" s="27">
        <f t="shared" ref="F20:F41" si="2">E20/$E$42* 100</f>
        <v>0.33958946059852668</v>
      </c>
      <c r="G20" s="28" t="s">
        <v>42</v>
      </c>
      <c r="H20" s="29">
        <v>1</v>
      </c>
      <c r="I20" s="30" t="s">
        <v>39</v>
      </c>
      <c r="J20" s="31">
        <v>100</v>
      </c>
      <c r="K20" s="32">
        <v>95</v>
      </c>
      <c r="L20" s="32">
        <v>90</v>
      </c>
      <c r="M20" s="32">
        <v>85</v>
      </c>
      <c r="N20" s="32">
        <v>80</v>
      </c>
      <c r="O20" s="32" t="s">
        <v>40</v>
      </c>
      <c r="P20" s="185"/>
      <c r="Q20" s="186">
        <f t="shared" ref="Q20:Q41" si="3">IF(OR(TRIM(P20)="",P20=0),0,
IF(P20&lt;N20,50,
IF(P20&lt;M20,60,
IF(P20&lt;L20,70,
IF(P20&lt;K20,80,
IF(ISNUMBER(J20),
    IF(P20&lt;J20,IF(P20&gt;=K20,90,80),100),
    IF(P20=K20,90,100)
))))))</f>
        <v>0</v>
      </c>
      <c r="R20" s="187">
        <f t="shared" ref="R20:R41" si="4">F20*Q20/100</f>
        <v>0</v>
      </c>
    </row>
    <row r="21" spans="1:18" s="33" customFormat="1" ht="147" customHeight="1" x14ac:dyDescent="0.25">
      <c r="A21" s="55"/>
      <c r="B21" s="58"/>
      <c r="C21" s="61"/>
      <c r="D21" s="26" t="s">
        <v>43</v>
      </c>
      <c r="E21" s="27">
        <f>C19/5</f>
        <v>6.4395943055587504E-2</v>
      </c>
      <c r="F21" s="27">
        <f t="shared" si="2"/>
        <v>0.33958946059852668</v>
      </c>
      <c r="G21" s="28" t="s">
        <v>44</v>
      </c>
      <c r="H21" s="29">
        <v>1</v>
      </c>
      <c r="I21" s="30" t="s">
        <v>39</v>
      </c>
      <c r="J21" s="31">
        <v>100</v>
      </c>
      <c r="K21" s="32">
        <v>95</v>
      </c>
      <c r="L21" s="32">
        <v>90</v>
      </c>
      <c r="M21" s="32">
        <v>85</v>
      </c>
      <c r="N21" s="32">
        <v>80</v>
      </c>
      <c r="O21" s="32" t="s">
        <v>40</v>
      </c>
      <c r="P21" s="185"/>
      <c r="Q21" s="186">
        <f t="shared" si="3"/>
        <v>0</v>
      </c>
      <c r="R21" s="187">
        <f t="shared" si="4"/>
        <v>0</v>
      </c>
    </row>
    <row r="22" spans="1:18" s="33" customFormat="1" ht="147" customHeight="1" x14ac:dyDescent="0.25">
      <c r="A22" s="55"/>
      <c r="B22" s="58"/>
      <c r="C22" s="61"/>
      <c r="D22" s="26" t="s">
        <v>45</v>
      </c>
      <c r="E22" s="27">
        <f>C19/5</f>
        <v>6.4395943055587504E-2</v>
      </c>
      <c r="F22" s="27">
        <f t="shared" si="2"/>
        <v>0.33958946059852668</v>
      </c>
      <c r="G22" s="28" t="s">
        <v>46</v>
      </c>
      <c r="H22" s="34">
        <v>5</v>
      </c>
      <c r="I22" s="30" t="s">
        <v>47</v>
      </c>
      <c r="J22" s="31" t="s">
        <v>48</v>
      </c>
      <c r="K22" s="32">
        <v>5</v>
      </c>
      <c r="L22" s="32">
        <v>4</v>
      </c>
      <c r="M22" s="32">
        <v>3</v>
      </c>
      <c r="N22" s="32">
        <v>2</v>
      </c>
      <c r="O22" s="32">
        <v>1</v>
      </c>
      <c r="P22" s="185"/>
      <c r="Q22" s="186">
        <f t="shared" si="3"/>
        <v>0</v>
      </c>
      <c r="R22" s="187">
        <f t="shared" si="4"/>
        <v>0</v>
      </c>
    </row>
    <row r="23" spans="1:18" s="33" customFormat="1" ht="147" customHeight="1" x14ac:dyDescent="0.25">
      <c r="A23" s="56"/>
      <c r="B23" s="59"/>
      <c r="C23" s="62"/>
      <c r="D23" s="26" t="s">
        <v>49</v>
      </c>
      <c r="E23" s="27">
        <f>C19/5</f>
        <v>6.4395943055587504E-2</v>
      </c>
      <c r="F23" s="27">
        <f t="shared" si="2"/>
        <v>0.33958946059852668</v>
      </c>
      <c r="G23" s="28" t="s">
        <v>50</v>
      </c>
      <c r="H23" s="29">
        <v>1</v>
      </c>
      <c r="I23" s="30" t="s">
        <v>39</v>
      </c>
      <c r="J23" s="31">
        <v>100</v>
      </c>
      <c r="K23" s="32">
        <v>95</v>
      </c>
      <c r="L23" s="32">
        <v>90</v>
      </c>
      <c r="M23" s="32">
        <v>85</v>
      </c>
      <c r="N23" s="32">
        <v>80</v>
      </c>
      <c r="O23" s="32" t="s">
        <v>40</v>
      </c>
      <c r="P23" s="185"/>
      <c r="Q23" s="186">
        <f t="shared" si="3"/>
        <v>0</v>
      </c>
      <c r="R23" s="187">
        <f t="shared" si="4"/>
        <v>0</v>
      </c>
    </row>
    <row r="24" spans="1:18" s="33" customFormat="1" ht="147" customHeight="1" x14ac:dyDescent="0.25">
      <c r="A24" s="34">
        <v>2</v>
      </c>
      <c r="B24" s="26" t="s">
        <v>51</v>
      </c>
      <c r="C24" s="51">
        <f>0.25 *0.77275131666705</f>
        <v>0.1931878291667625</v>
      </c>
      <c r="D24" s="26" t="s">
        <v>52</v>
      </c>
      <c r="E24" s="27">
        <f>C24</f>
        <v>0.1931878291667625</v>
      </c>
      <c r="F24" s="27">
        <f t="shared" si="2"/>
        <v>1.0187683817955799</v>
      </c>
      <c r="G24" s="28" t="s">
        <v>53</v>
      </c>
      <c r="H24" s="29">
        <v>0.5</v>
      </c>
      <c r="I24" s="30" t="s">
        <v>39</v>
      </c>
      <c r="J24" s="31" t="s">
        <v>54</v>
      </c>
      <c r="K24" s="32">
        <v>50</v>
      </c>
      <c r="L24" s="32">
        <v>45</v>
      </c>
      <c r="M24" s="32">
        <v>40</v>
      </c>
      <c r="N24" s="32">
        <v>25</v>
      </c>
      <c r="O24" s="32" t="s">
        <v>55</v>
      </c>
      <c r="P24" s="185"/>
      <c r="Q24" s="186">
        <f t="shared" si="3"/>
        <v>0</v>
      </c>
      <c r="R24" s="187">
        <f t="shared" si="4"/>
        <v>0</v>
      </c>
    </row>
    <row r="25" spans="1:18" s="33" customFormat="1" ht="147" customHeight="1" x14ac:dyDescent="0.25">
      <c r="A25" s="54">
        <v>3</v>
      </c>
      <c r="B25" s="57" t="s">
        <v>56</v>
      </c>
      <c r="C25" s="60">
        <f>0.25 *68.7196706607483</f>
        <v>17.179917665187077</v>
      </c>
      <c r="D25" s="26" t="s">
        <v>57</v>
      </c>
      <c r="E25" s="27">
        <f>C25/10</f>
        <v>1.7179917665187077</v>
      </c>
      <c r="F25" s="27">
        <f t="shared" si="2"/>
        <v>9.0597616809678279</v>
      </c>
      <c r="G25" s="26" t="s">
        <v>58</v>
      </c>
      <c r="H25" s="34">
        <v>80</v>
      </c>
      <c r="I25" s="34" t="s">
        <v>39</v>
      </c>
      <c r="J25" s="31" t="s">
        <v>59</v>
      </c>
      <c r="K25" s="32">
        <v>80</v>
      </c>
      <c r="L25" s="32">
        <v>75</v>
      </c>
      <c r="M25" s="32">
        <v>70</v>
      </c>
      <c r="N25" s="32">
        <v>50</v>
      </c>
      <c r="O25" s="32" t="s">
        <v>60</v>
      </c>
      <c r="P25" s="185"/>
      <c r="Q25" s="186">
        <f t="shared" si="3"/>
        <v>0</v>
      </c>
      <c r="R25" s="187">
        <f t="shared" si="4"/>
        <v>0</v>
      </c>
    </row>
    <row r="26" spans="1:18" s="33" customFormat="1" ht="147" customHeight="1" x14ac:dyDescent="0.25">
      <c r="A26" s="55"/>
      <c r="B26" s="58"/>
      <c r="C26" s="61"/>
      <c r="D26" s="26" t="s">
        <v>61</v>
      </c>
      <c r="E26" s="27">
        <f>C25/10</f>
        <v>1.7179917665187077</v>
      </c>
      <c r="F26" s="27">
        <f t="shared" si="2"/>
        <v>9.0597616809678279</v>
      </c>
      <c r="G26" s="26" t="s">
        <v>62</v>
      </c>
      <c r="H26" s="34">
        <v>80</v>
      </c>
      <c r="I26" s="34" t="s">
        <v>39</v>
      </c>
      <c r="J26" s="31" t="s">
        <v>59</v>
      </c>
      <c r="K26" s="32">
        <v>80</v>
      </c>
      <c r="L26" s="32">
        <v>75</v>
      </c>
      <c r="M26" s="32">
        <v>70</v>
      </c>
      <c r="N26" s="32">
        <v>50</v>
      </c>
      <c r="O26" s="32" t="s">
        <v>60</v>
      </c>
      <c r="P26" s="185"/>
      <c r="Q26" s="186">
        <f t="shared" si="3"/>
        <v>0</v>
      </c>
      <c r="R26" s="187">
        <f t="shared" si="4"/>
        <v>0</v>
      </c>
    </row>
    <row r="27" spans="1:18" s="33" customFormat="1" ht="147" customHeight="1" x14ac:dyDescent="0.25">
      <c r="A27" s="55"/>
      <c r="B27" s="58"/>
      <c r="C27" s="61"/>
      <c r="D27" s="26" t="s">
        <v>63</v>
      </c>
      <c r="E27" s="27">
        <f>C25/10</f>
        <v>1.7179917665187077</v>
      </c>
      <c r="F27" s="27">
        <f t="shared" si="2"/>
        <v>9.0597616809678279</v>
      </c>
      <c r="G27" s="26" t="s">
        <v>64</v>
      </c>
      <c r="H27" s="35">
        <v>0.9</v>
      </c>
      <c r="I27" s="34" t="s">
        <v>39</v>
      </c>
      <c r="J27" s="31" t="s">
        <v>65</v>
      </c>
      <c r="K27" s="32">
        <v>90</v>
      </c>
      <c r="L27" s="32">
        <v>80</v>
      </c>
      <c r="M27" s="32">
        <v>70</v>
      </c>
      <c r="N27" s="32">
        <v>50</v>
      </c>
      <c r="O27" s="32" t="s">
        <v>60</v>
      </c>
      <c r="P27" s="185"/>
      <c r="Q27" s="186">
        <f t="shared" si="3"/>
        <v>0</v>
      </c>
      <c r="R27" s="187">
        <f t="shared" si="4"/>
        <v>0</v>
      </c>
    </row>
    <row r="28" spans="1:18" s="33" customFormat="1" ht="147" customHeight="1" x14ac:dyDescent="0.25">
      <c r="A28" s="55"/>
      <c r="B28" s="58"/>
      <c r="C28" s="61"/>
      <c r="D28" s="26" t="s">
        <v>66</v>
      </c>
      <c r="E28" s="27">
        <f>C25/10</f>
        <v>1.7179917665187077</v>
      </c>
      <c r="F28" s="27">
        <f t="shared" si="2"/>
        <v>9.0597616809678279</v>
      </c>
      <c r="G28" s="26" t="s">
        <v>67</v>
      </c>
      <c r="H28" s="34">
        <v>80</v>
      </c>
      <c r="I28" s="34" t="s">
        <v>39</v>
      </c>
      <c r="J28" s="31" t="s">
        <v>59</v>
      </c>
      <c r="K28" s="32">
        <v>80</v>
      </c>
      <c r="L28" s="32">
        <v>75</v>
      </c>
      <c r="M28" s="32">
        <v>70</v>
      </c>
      <c r="N28" s="32">
        <v>50</v>
      </c>
      <c r="O28" s="32" t="s">
        <v>60</v>
      </c>
      <c r="P28" s="185"/>
      <c r="Q28" s="186">
        <f t="shared" si="3"/>
        <v>0</v>
      </c>
      <c r="R28" s="187">
        <f t="shared" si="4"/>
        <v>0</v>
      </c>
    </row>
    <row r="29" spans="1:18" s="33" customFormat="1" ht="147" customHeight="1" x14ac:dyDescent="0.25">
      <c r="A29" s="55"/>
      <c r="B29" s="58"/>
      <c r="C29" s="61"/>
      <c r="D29" s="26" t="s">
        <v>68</v>
      </c>
      <c r="E29" s="27">
        <f>C25/10</f>
        <v>1.7179917665187077</v>
      </c>
      <c r="F29" s="27">
        <f t="shared" si="2"/>
        <v>9.0597616809678279</v>
      </c>
      <c r="G29" s="26" t="s">
        <v>69</v>
      </c>
      <c r="H29" s="35">
        <v>0.9</v>
      </c>
      <c r="I29" s="34" t="s">
        <v>39</v>
      </c>
      <c r="J29" s="31" t="s">
        <v>65</v>
      </c>
      <c r="K29" s="32">
        <v>90</v>
      </c>
      <c r="L29" s="32">
        <v>80</v>
      </c>
      <c r="M29" s="32">
        <v>70</v>
      </c>
      <c r="N29" s="32">
        <v>50</v>
      </c>
      <c r="O29" s="32" t="s">
        <v>60</v>
      </c>
      <c r="P29" s="185"/>
      <c r="Q29" s="186">
        <f t="shared" si="3"/>
        <v>0</v>
      </c>
      <c r="R29" s="187">
        <f t="shared" si="4"/>
        <v>0</v>
      </c>
    </row>
    <row r="30" spans="1:18" s="33" customFormat="1" ht="147" customHeight="1" x14ac:dyDescent="0.25">
      <c r="A30" s="55"/>
      <c r="B30" s="58"/>
      <c r="C30" s="61"/>
      <c r="D30" s="26" t="s">
        <v>70</v>
      </c>
      <c r="E30" s="27">
        <f>C25/10</f>
        <v>1.7179917665187077</v>
      </c>
      <c r="F30" s="27">
        <f t="shared" si="2"/>
        <v>9.0597616809678279</v>
      </c>
      <c r="G30" s="26" t="s">
        <v>71</v>
      </c>
      <c r="H30" s="35">
        <v>0.8</v>
      </c>
      <c r="I30" s="34" t="s">
        <v>39</v>
      </c>
      <c r="J30" s="31" t="s">
        <v>59</v>
      </c>
      <c r="K30" s="32">
        <v>80</v>
      </c>
      <c r="L30" s="32">
        <v>75</v>
      </c>
      <c r="M30" s="32">
        <v>70</v>
      </c>
      <c r="N30" s="32">
        <v>50</v>
      </c>
      <c r="O30" s="32" t="s">
        <v>60</v>
      </c>
      <c r="P30" s="185"/>
      <c r="Q30" s="186">
        <f t="shared" si="3"/>
        <v>0</v>
      </c>
      <c r="R30" s="187">
        <f t="shared" si="4"/>
        <v>0</v>
      </c>
    </row>
    <row r="31" spans="1:18" s="33" customFormat="1" ht="147" customHeight="1" x14ac:dyDescent="0.25">
      <c r="A31" s="55"/>
      <c r="B31" s="58"/>
      <c r="C31" s="61"/>
      <c r="D31" s="26" t="s">
        <v>72</v>
      </c>
      <c r="E31" s="27">
        <f>C25/10</f>
        <v>1.7179917665187077</v>
      </c>
      <c r="F31" s="27">
        <f t="shared" si="2"/>
        <v>9.0597616809678279</v>
      </c>
      <c r="G31" s="26" t="s">
        <v>73</v>
      </c>
      <c r="H31" s="35">
        <v>0.9</v>
      </c>
      <c r="I31" s="34" t="s">
        <v>39</v>
      </c>
      <c r="J31" s="31" t="s">
        <v>65</v>
      </c>
      <c r="K31" s="32">
        <v>90</v>
      </c>
      <c r="L31" s="32">
        <v>80</v>
      </c>
      <c r="M31" s="32">
        <v>70</v>
      </c>
      <c r="N31" s="32">
        <v>50</v>
      </c>
      <c r="O31" s="32" t="s">
        <v>60</v>
      </c>
      <c r="P31" s="185"/>
      <c r="Q31" s="186">
        <f t="shared" si="3"/>
        <v>0</v>
      </c>
      <c r="R31" s="187">
        <f t="shared" si="4"/>
        <v>0</v>
      </c>
    </row>
    <row r="32" spans="1:18" s="33" customFormat="1" ht="147" customHeight="1" x14ac:dyDescent="0.25">
      <c r="A32" s="55"/>
      <c r="B32" s="58"/>
      <c r="C32" s="61"/>
      <c r="D32" s="26" t="s">
        <v>74</v>
      </c>
      <c r="E32" s="27">
        <f>C25/10</f>
        <v>1.7179917665187077</v>
      </c>
      <c r="F32" s="27">
        <f t="shared" si="2"/>
        <v>9.0597616809678279</v>
      </c>
      <c r="G32" s="26" t="s">
        <v>75</v>
      </c>
      <c r="H32" s="35">
        <v>0.8</v>
      </c>
      <c r="I32" s="34" t="s">
        <v>39</v>
      </c>
      <c r="J32" s="31" t="s">
        <v>59</v>
      </c>
      <c r="K32" s="32">
        <v>80</v>
      </c>
      <c r="L32" s="32">
        <v>75</v>
      </c>
      <c r="M32" s="32">
        <v>70</v>
      </c>
      <c r="N32" s="32">
        <v>50</v>
      </c>
      <c r="O32" s="32" t="s">
        <v>60</v>
      </c>
      <c r="P32" s="185"/>
      <c r="Q32" s="186">
        <f t="shared" si="3"/>
        <v>0</v>
      </c>
      <c r="R32" s="187">
        <f t="shared" si="4"/>
        <v>0</v>
      </c>
    </row>
    <row r="33" spans="1:18" s="33" customFormat="1" ht="147" customHeight="1" x14ac:dyDescent="0.25">
      <c r="A33" s="55"/>
      <c r="B33" s="58"/>
      <c r="C33" s="61"/>
      <c r="D33" s="26" t="s">
        <v>76</v>
      </c>
      <c r="E33" s="27">
        <f>C25/10</f>
        <v>1.7179917665187077</v>
      </c>
      <c r="F33" s="27">
        <f t="shared" si="2"/>
        <v>9.0597616809678279</v>
      </c>
      <c r="G33" s="26" t="s">
        <v>77</v>
      </c>
      <c r="H33" s="35">
        <v>0.8</v>
      </c>
      <c r="I33" s="34" t="s">
        <v>39</v>
      </c>
      <c r="J33" s="31" t="s">
        <v>59</v>
      </c>
      <c r="K33" s="32">
        <v>80</v>
      </c>
      <c r="L33" s="32">
        <v>75</v>
      </c>
      <c r="M33" s="32">
        <v>70</v>
      </c>
      <c r="N33" s="32">
        <v>50</v>
      </c>
      <c r="O33" s="32" t="s">
        <v>60</v>
      </c>
      <c r="P33" s="185"/>
      <c r="Q33" s="186">
        <f t="shared" si="3"/>
        <v>0</v>
      </c>
      <c r="R33" s="187">
        <f t="shared" si="4"/>
        <v>0</v>
      </c>
    </row>
    <row r="34" spans="1:18" s="33" customFormat="1" ht="147" customHeight="1" x14ac:dyDescent="0.25">
      <c r="A34" s="56"/>
      <c r="B34" s="59"/>
      <c r="C34" s="62"/>
      <c r="D34" s="26" t="s">
        <v>78</v>
      </c>
      <c r="E34" s="27">
        <f>C25/10</f>
        <v>1.7179917665187077</v>
      </c>
      <c r="F34" s="27">
        <f t="shared" si="2"/>
        <v>9.0597616809678279</v>
      </c>
      <c r="G34" s="26" t="s">
        <v>79</v>
      </c>
      <c r="H34" s="35">
        <v>0.9</v>
      </c>
      <c r="I34" s="34" t="s">
        <v>39</v>
      </c>
      <c r="J34" s="31" t="s">
        <v>65</v>
      </c>
      <c r="K34" s="32">
        <v>90</v>
      </c>
      <c r="L34" s="32">
        <v>80</v>
      </c>
      <c r="M34" s="32">
        <v>70</v>
      </c>
      <c r="N34" s="32">
        <v>50</v>
      </c>
      <c r="O34" s="32" t="s">
        <v>60</v>
      </c>
      <c r="P34" s="185"/>
      <c r="Q34" s="186">
        <f t="shared" si="3"/>
        <v>0</v>
      </c>
      <c r="R34" s="187">
        <f t="shared" si="4"/>
        <v>0</v>
      </c>
    </row>
    <row r="35" spans="1:18" s="33" customFormat="1" ht="147" customHeight="1" x14ac:dyDescent="0.25">
      <c r="A35" s="34">
        <v>4</v>
      </c>
      <c r="B35" s="26" t="s">
        <v>80</v>
      </c>
      <c r="C35" s="36">
        <f>0.25 *1.20742393229227</f>
        <v>0.30185598307306749</v>
      </c>
      <c r="D35" s="26" t="s">
        <v>81</v>
      </c>
      <c r="E35" s="27">
        <f>C35</f>
        <v>0.30185598307306749</v>
      </c>
      <c r="F35" s="27">
        <f t="shared" si="2"/>
        <v>1.5918255965555992</v>
      </c>
      <c r="G35" s="28" t="s">
        <v>82</v>
      </c>
      <c r="H35" s="34">
        <v>5</v>
      </c>
      <c r="I35" s="30" t="s">
        <v>47</v>
      </c>
      <c r="J35" s="31" t="s">
        <v>48</v>
      </c>
      <c r="K35" s="32">
        <v>5</v>
      </c>
      <c r="L35" s="32">
        <v>4</v>
      </c>
      <c r="M35" s="32">
        <v>3</v>
      </c>
      <c r="N35" s="32">
        <v>2</v>
      </c>
      <c r="O35" s="32">
        <v>1</v>
      </c>
      <c r="P35" s="185"/>
      <c r="Q35" s="186">
        <f t="shared" si="3"/>
        <v>0</v>
      </c>
      <c r="R35" s="187">
        <f t="shared" si="4"/>
        <v>0</v>
      </c>
    </row>
    <row r="36" spans="1:18" s="33" customFormat="1" ht="147" customHeight="1" x14ac:dyDescent="0.25">
      <c r="A36" s="54">
        <v>5</v>
      </c>
      <c r="B36" s="57" t="s">
        <v>83</v>
      </c>
      <c r="C36" s="63">
        <f>0.25 *2.41484786458453</f>
        <v>0.60371196614613254</v>
      </c>
      <c r="D36" s="26" t="s">
        <v>84</v>
      </c>
      <c r="E36" s="27">
        <f>C36/2</f>
        <v>0.30185598307306627</v>
      </c>
      <c r="F36" s="27">
        <f t="shared" si="2"/>
        <v>1.591825596555593</v>
      </c>
      <c r="G36" s="28" t="s">
        <v>85</v>
      </c>
      <c r="H36" s="34">
        <v>5</v>
      </c>
      <c r="I36" s="34" t="s">
        <v>47</v>
      </c>
      <c r="J36" s="31" t="s">
        <v>48</v>
      </c>
      <c r="K36" s="32">
        <v>5</v>
      </c>
      <c r="L36" s="32">
        <v>4</v>
      </c>
      <c r="M36" s="32">
        <v>3</v>
      </c>
      <c r="N36" s="32">
        <v>2</v>
      </c>
      <c r="O36" s="32">
        <v>1</v>
      </c>
      <c r="P36" s="185"/>
      <c r="Q36" s="186">
        <f t="shared" si="3"/>
        <v>0</v>
      </c>
      <c r="R36" s="187">
        <f t="shared" si="4"/>
        <v>0</v>
      </c>
    </row>
    <row r="37" spans="1:18" s="33" customFormat="1" ht="147" customHeight="1" x14ac:dyDescent="0.25">
      <c r="A37" s="56"/>
      <c r="B37" s="59"/>
      <c r="C37" s="64"/>
      <c r="D37" s="26" t="s">
        <v>86</v>
      </c>
      <c r="E37" s="27">
        <f>C36/2</f>
        <v>0.30185598307306627</v>
      </c>
      <c r="F37" s="27">
        <f t="shared" si="2"/>
        <v>1.591825596555593</v>
      </c>
      <c r="G37" s="28" t="s">
        <v>87</v>
      </c>
      <c r="H37" s="35">
        <v>0.8</v>
      </c>
      <c r="I37" s="34" t="s">
        <v>39</v>
      </c>
      <c r="J37" s="31" t="s">
        <v>59</v>
      </c>
      <c r="K37" s="32">
        <v>80</v>
      </c>
      <c r="L37" s="32">
        <v>75</v>
      </c>
      <c r="M37" s="32">
        <v>70</v>
      </c>
      <c r="N37" s="32">
        <v>50</v>
      </c>
      <c r="O37" s="32" t="s">
        <v>60</v>
      </c>
      <c r="P37" s="185"/>
      <c r="Q37" s="186">
        <f t="shared" si="3"/>
        <v>0</v>
      </c>
      <c r="R37" s="187">
        <f t="shared" si="4"/>
        <v>0</v>
      </c>
    </row>
    <row r="38" spans="1:18" s="33" customFormat="1" ht="147" customHeight="1" x14ac:dyDescent="0.25">
      <c r="A38" s="54">
        <v>6</v>
      </c>
      <c r="B38" s="57" t="s">
        <v>88</v>
      </c>
      <c r="C38" s="63">
        <f>0.25 *0.804949288194844</f>
        <v>0.201237322048711</v>
      </c>
      <c r="D38" s="26" t="s">
        <v>89</v>
      </c>
      <c r="E38" s="27">
        <f>C38/2</f>
        <v>0.1006186610243555</v>
      </c>
      <c r="F38" s="27">
        <f t="shared" si="2"/>
        <v>0.53060853218519799</v>
      </c>
      <c r="G38" s="28" t="s">
        <v>90</v>
      </c>
      <c r="H38" s="34">
        <v>5</v>
      </c>
      <c r="I38" s="34" t="s">
        <v>47</v>
      </c>
      <c r="J38" s="31" t="s">
        <v>48</v>
      </c>
      <c r="K38" s="32">
        <v>5</v>
      </c>
      <c r="L38" s="32">
        <v>4</v>
      </c>
      <c r="M38" s="32">
        <v>3</v>
      </c>
      <c r="N38" s="32">
        <v>2</v>
      </c>
      <c r="O38" s="32">
        <v>1</v>
      </c>
      <c r="P38" s="185"/>
      <c r="Q38" s="186">
        <f t="shared" si="3"/>
        <v>0</v>
      </c>
      <c r="R38" s="187">
        <f t="shared" si="4"/>
        <v>0</v>
      </c>
    </row>
    <row r="39" spans="1:18" s="33" customFormat="1" ht="147" customHeight="1" x14ac:dyDescent="0.25">
      <c r="A39" s="56"/>
      <c r="B39" s="59"/>
      <c r="C39" s="64"/>
      <c r="D39" s="26" t="s">
        <v>91</v>
      </c>
      <c r="E39" s="27">
        <f>C38/2</f>
        <v>0.1006186610243555</v>
      </c>
      <c r="F39" s="27">
        <f t="shared" si="2"/>
        <v>0.53060853218519799</v>
      </c>
      <c r="G39" s="28" t="s">
        <v>92</v>
      </c>
      <c r="H39" s="35">
        <v>0.8</v>
      </c>
      <c r="I39" s="34" t="s">
        <v>39</v>
      </c>
      <c r="J39" s="31" t="s">
        <v>59</v>
      </c>
      <c r="K39" s="32">
        <v>80</v>
      </c>
      <c r="L39" s="32">
        <v>75</v>
      </c>
      <c r="M39" s="32">
        <v>70</v>
      </c>
      <c r="N39" s="32">
        <v>50</v>
      </c>
      <c r="O39" s="32" t="s">
        <v>60</v>
      </c>
      <c r="P39" s="185"/>
      <c r="Q39" s="186">
        <f t="shared" si="3"/>
        <v>0</v>
      </c>
      <c r="R39" s="187">
        <f t="shared" si="4"/>
        <v>0</v>
      </c>
    </row>
    <row r="40" spans="1:18" s="33" customFormat="1" ht="147" customHeight="1" x14ac:dyDescent="0.25">
      <c r="A40" s="34">
        <v>7</v>
      </c>
      <c r="B40" s="26" t="s">
        <v>93</v>
      </c>
      <c r="C40" s="36">
        <f>0.25 *0.321979715277938</f>
        <v>8.0494928819484501E-2</v>
      </c>
      <c r="D40" s="50" t="s">
        <v>94</v>
      </c>
      <c r="E40" s="27">
        <f>C40</f>
        <v>8.0494928819484501E-2</v>
      </c>
      <c r="F40" s="27">
        <f t="shared" si="2"/>
        <v>0.42448682574815894</v>
      </c>
      <c r="G40" s="28" t="s">
        <v>95</v>
      </c>
      <c r="H40" s="29">
        <v>0.7</v>
      </c>
      <c r="I40" s="34" t="s">
        <v>39</v>
      </c>
      <c r="J40" s="31" t="s">
        <v>96</v>
      </c>
      <c r="K40" s="32">
        <v>70</v>
      </c>
      <c r="L40" s="32">
        <v>60</v>
      </c>
      <c r="M40" s="32">
        <v>50</v>
      </c>
      <c r="N40" s="32">
        <v>40</v>
      </c>
      <c r="O40" s="32" t="s">
        <v>97</v>
      </c>
      <c r="P40" s="185"/>
      <c r="Q40" s="186">
        <f t="shared" si="3"/>
        <v>0</v>
      </c>
      <c r="R40" s="187">
        <f t="shared" si="4"/>
        <v>0</v>
      </c>
    </row>
    <row r="41" spans="1:18" s="33" customFormat="1" ht="147" customHeight="1" x14ac:dyDescent="0.25">
      <c r="A41" s="34">
        <v>8</v>
      </c>
      <c r="B41" s="26" t="s">
        <v>98</v>
      </c>
      <c r="C41" s="36">
        <f>0.25 *0.321979715277938</f>
        <v>8.0494928819484501E-2</v>
      </c>
      <c r="D41" s="28" t="s">
        <v>99</v>
      </c>
      <c r="E41" s="27">
        <f>C41</f>
        <v>8.0494928819484501E-2</v>
      </c>
      <c r="F41" s="27">
        <f t="shared" si="2"/>
        <v>0.42448682574815894</v>
      </c>
      <c r="G41" s="28" t="s">
        <v>100</v>
      </c>
      <c r="H41" s="29">
        <v>0.5</v>
      </c>
      <c r="I41" s="30" t="s">
        <v>39</v>
      </c>
      <c r="J41" s="31" t="s">
        <v>54</v>
      </c>
      <c r="K41" s="32">
        <v>50</v>
      </c>
      <c r="L41" s="32">
        <v>45</v>
      </c>
      <c r="M41" s="32">
        <v>40</v>
      </c>
      <c r="N41" s="32">
        <v>25</v>
      </c>
      <c r="O41" s="32" t="s">
        <v>55</v>
      </c>
      <c r="P41" s="185"/>
      <c r="Q41" s="186">
        <f t="shared" si="3"/>
        <v>0</v>
      </c>
      <c r="R41" s="187">
        <f t="shared" si="4"/>
        <v>0</v>
      </c>
    </row>
    <row r="42" spans="1:18" s="198" customFormat="1" ht="44.25" x14ac:dyDescent="0.25">
      <c r="A42" s="188"/>
      <c r="B42" s="189" t="s">
        <v>101</v>
      </c>
      <c r="C42" s="190">
        <f>SUM(C19:C41)</f>
        <v>18.962880338538657</v>
      </c>
      <c r="D42" s="189"/>
      <c r="E42" s="190">
        <f>SUM(E19:E41)</f>
        <v>18.96288033853866</v>
      </c>
      <c r="F42" s="190">
        <f>SUM(F19:F41)</f>
        <v>99.999999999999972</v>
      </c>
      <c r="G42" s="191"/>
      <c r="H42" s="192"/>
      <c r="I42" s="193"/>
      <c r="J42" s="194"/>
      <c r="K42" s="194"/>
      <c r="L42" s="194"/>
      <c r="M42" s="194"/>
      <c r="N42" s="194"/>
      <c r="O42" s="194"/>
      <c r="P42" s="195"/>
      <c r="Q42" s="196"/>
      <c r="R42" s="197">
        <f>SUM(R19:R41)</f>
        <v>0</v>
      </c>
    </row>
    <row r="43" spans="1:18" s="37" customFormat="1" ht="66" customHeight="1" x14ac:dyDescent="0.7">
      <c r="A43" s="199"/>
      <c r="G43" s="200"/>
      <c r="H43" s="200"/>
      <c r="I43" s="201" t="s">
        <v>151</v>
      </c>
      <c r="J43" s="202"/>
      <c r="K43" s="202"/>
      <c r="L43" s="202"/>
      <c r="M43" s="202"/>
      <c r="N43" s="202"/>
      <c r="O43" s="202"/>
      <c r="P43" s="202"/>
      <c r="Q43" s="203"/>
      <c r="R43" s="204">
        <f>R42/100 * 70</f>
        <v>0</v>
      </c>
    </row>
    <row r="44" spans="1:18" s="39" customFormat="1" ht="36" x14ac:dyDescent="0.55000000000000004">
      <c r="A44" s="205" t="s">
        <v>102</v>
      </c>
      <c r="B44" s="206"/>
      <c r="C44" s="206"/>
      <c r="D44" s="206"/>
      <c r="E44" s="206"/>
      <c r="F44" s="206"/>
      <c r="G44" s="207"/>
      <c r="H44" s="208"/>
      <c r="I44" s="208"/>
      <c r="J44" s="208"/>
      <c r="K44" s="208"/>
      <c r="L44" s="176" t="s">
        <v>107</v>
      </c>
      <c r="M44" s="209" t="s">
        <v>103</v>
      </c>
      <c r="N44" s="209"/>
      <c r="O44" s="209"/>
      <c r="P44" s="210"/>
      <c r="Q44" s="211"/>
      <c r="R44" s="38"/>
    </row>
    <row r="45" spans="1:18" s="39" customFormat="1" ht="31.5" customHeight="1" x14ac:dyDescent="0.55000000000000004">
      <c r="A45" s="212"/>
      <c r="B45" s="213"/>
      <c r="C45" s="214" t="s">
        <v>104</v>
      </c>
      <c r="D45" s="214"/>
      <c r="E45" s="214"/>
      <c r="F45" s="214"/>
      <c r="G45" s="214"/>
      <c r="H45" s="215" t="s">
        <v>152</v>
      </c>
      <c r="I45" s="215" t="s">
        <v>153</v>
      </c>
      <c r="J45" s="215"/>
      <c r="K45" s="216"/>
      <c r="L45" s="183"/>
      <c r="M45" s="217"/>
      <c r="N45" s="217"/>
      <c r="O45" s="217"/>
      <c r="P45" s="218"/>
      <c r="Q45" s="211"/>
      <c r="R45" s="38"/>
    </row>
    <row r="46" spans="1:18" s="39" customFormat="1" ht="36" customHeight="1" x14ac:dyDescent="0.55000000000000004">
      <c r="A46" s="219">
        <v>1</v>
      </c>
      <c r="B46" s="220" t="s">
        <v>108</v>
      </c>
      <c r="C46" s="221"/>
      <c r="D46" s="222"/>
      <c r="E46" s="222"/>
      <c r="F46" s="222"/>
      <c r="G46" s="223"/>
      <c r="H46" s="224"/>
      <c r="I46" s="224"/>
      <c r="J46" s="224"/>
      <c r="K46" s="224"/>
      <c r="L46" s="40"/>
      <c r="M46" s="225" t="s">
        <v>30</v>
      </c>
      <c r="N46" s="226" t="s">
        <v>109</v>
      </c>
      <c r="O46" s="227"/>
      <c r="P46" s="218"/>
      <c r="Q46" s="211"/>
      <c r="R46" s="38"/>
    </row>
    <row r="47" spans="1:18" s="39" customFormat="1" ht="84.75" customHeight="1" x14ac:dyDescent="0.55000000000000004">
      <c r="A47" s="228" t="s">
        <v>110</v>
      </c>
      <c r="B47" s="229" t="s">
        <v>154</v>
      </c>
      <c r="C47" s="230"/>
      <c r="D47" s="231"/>
      <c r="E47" s="231"/>
      <c r="F47" s="231"/>
      <c r="G47" s="232"/>
      <c r="H47" s="233">
        <v>4</v>
      </c>
      <c r="I47" s="234"/>
      <c r="J47" s="233"/>
      <c r="K47" s="233"/>
      <c r="L47" s="40"/>
      <c r="M47" s="225" t="s">
        <v>31</v>
      </c>
      <c r="N47" s="226" t="s">
        <v>111</v>
      </c>
      <c r="O47" s="227"/>
      <c r="P47" s="218"/>
      <c r="Q47" s="211"/>
      <c r="R47" s="38"/>
    </row>
    <row r="48" spans="1:18" s="39" customFormat="1" ht="82.5" customHeight="1" x14ac:dyDescent="0.55000000000000004">
      <c r="A48" s="228" t="s">
        <v>112</v>
      </c>
      <c r="B48" s="229" t="s">
        <v>155</v>
      </c>
      <c r="C48" s="230"/>
      <c r="D48" s="231"/>
      <c r="E48" s="231"/>
      <c r="F48" s="231"/>
      <c r="G48" s="232"/>
      <c r="H48" s="233">
        <v>2</v>
      </c>
      <c r="I48" s="234"/>
      <c r="J48" s="233"/>
      <c r="K48" s="233"/>
      <c r="L48" s="40"/>
      <c r="M48" s="225" t="s">
        <v>32</v>
      </c>
      <c r="N48" s="226" t="s">
        <v>113</v>
      </c>
      <c r="O48" s="227"/>
      <c r="P48" s="218"/>
      <c r="Q48" s="211"/>
      <c r="R48" s="38"/>
    </row>
    <row r="49" spans="1:18" s="39" customFormat="1" ht="78.75" customHeight="1" x14ac:dyDescent="0.55000000000000004">
      <c r="A49" s="228" t="s">
        <v>114</v>
      </c>
      <c r="B49" s="229" t="s">
        <v>115</v>
      </c>
      <c r="C49" s="230"/>
      <c r="D49" s="231"/>
      <c r="E49" s="231"/>
      <c r="F49" s="231"/>
      <c r="G49" s="232"/>
      <c r="H49" s="233">
        <v>2</v>
      </c>
      <c r="I49" s="234"/>
      <c r="J49" s="233"/>
      <c r="K49" s="233"/>
      <c r="L49" s="40"/>
      <c r="M49" s="225" t="s">
        <v>33</v>
      </c>
      <c r="N49" s="226" t="s">
        <v>116</v>
      </c>
      <c r="O49" s="227"/>
      <c r="P49" s="218"/>
      <c r="Q49" s="211"/>
      <c r="R49" s="38"/>
    </row>
    <row r="50" spans="1:18" s="39" customFormat="1" ht="36" x14ac:dyDescent="0.55000000000000004">
      <c r="A50" s="235">
        <v>2</v>
      </c>
      <c r="B50" s="236" t="s">
        <v>117</v>
      </c>
      <c r="C50" s="237"/>
      <c r="D50" s="238"/>
      <c r="E50" s="238"/>
      <c r="F50" s="238"/>
      <c r="G50" s="239"/>
      <c r="H50" s="233"/>
      <c r="I50" s="234"/>
      <c r="J50" s="233"/>
      <c r="K50" s="233"/>
      <c r="L50" s="40"/>
      <c r="M50" s="225" t="s">
        <v>34</v>
      </c>
      <c r="N50" s="226" t="s">
        <v>118</v>
      </c>
      <c r="O50" s="227"/>
      <c r="P50" s="218"/>
      <c r="Q50" s="211"/>
      <c r="R50" s="38"/>
    </row>
    <row r="51" spans="1:18" s="39" customFormat="1" ht="82.5" customHeight="1" x14ac:dyDescent="0.55000000000000004">
      <c r="A51" s="228" t="s">
        <v>110</v>
      </c>
      <c r="B51" s="240" t="s">
        <v>156</v>
      </c>
      <c r="C51" s="241"/>
      <c r="D51" s="242"/>
      <c r="E51" s="242"/>
      <c r="F51" s="242"/>
      <c r="G51" s="243"/>
      <c r="H51" s="233">
        <v>2</v>
      </c>
      <c r="I51" s="234"/>
      <c r="J51" s="233"/>
      <c r="K51" s="233"/>
      <c r="L51" s="40"/>
      <c r="M51" s="225" t="s">
        <v>35</v>
      </c>
      <c r="N51" s="226" t="s">
        <v>119</v>
      </c>
      <c r="O51" s="227"/>
      <c r="P51" s="244"/>
      <c r="Q51" s="211"/>
      <c r="R51" s="38"/>
    </row>
    <row r="52" spans="1:18" s="39" customFormat="1" ht="114.75" customHeight="1" x14ac:dyDescent="0.55000000000000004">
      <c r="A52" s="228" t="s">
        <v>112</v>
      </c>
      <c r="B52" s="240" t="s">
        <v>157</v>
      </c>
      <c r="C52" s="241"/>
      <c r="D52" s="242"/>
      <c r="E52" s="242"/>
      <c r="F52" s="242"/>
      <c r="G52" s="243"/>
      <c r="H52" s="233">
        <v>2</v>
      </c>
      <c r="I52" s="234"/>
      <c r="J52" s="233"/>
      <c r="K52" s="233"/>
      <c r="L52" s="40"/>
      <c r="M52" s="218" t="s">
        <v>107</v>
      </c>
      <c r="N52" s="245" t="s">
        <v>120</v>
      </c>
      <c r="O52" s="246"/>
      <c r="P52" s="244"/>
      <c r="Q52" s="211"/>
      <c r="R52" s="38"/>
    </row>
    <row r="53" spans="1:18" s="39" customFormat="1" ht="72" customHeight="1" x14ac:dyDescent="0.55000000000000004">
      <c r="A53" s="228" t="s">
        <v>114</v>
      </c>
      <c r="B53" s="240" t="s">
        <v>158</v>
      </c>
      <c r="C53" s="241"/>
      <c r="D53" s="242"/>
      <c r="E53" s="242"/>
      <c r="F53" s="242"/>
      <c r="G53" s="243"/>
      <c r="H53" s="233">
        <v>2</v>
      </c>
      <c r="I53" s="234"/>
      <c r="J53" s="233"/>
      <c r="K53" s="233"/>
      <c r="L53" s="40"/>
      <c r="M53" s="218" t="s">
        <v>121</v>
      </c>
      <c r="N53" s="245" t="s">
        <v>122</v>
      </c>
      <c r="O53" s="246"/>
      <c r="P53" s="244"/>
      <c r="Q53" s="211"/>
      <c r="R53" s="38"/>
    </row>
    <row r="54" spans="1:18" s="39" customFormat="1" ht="66" customHeight="1" x14ac:dyDescent="0.55000000000000004">
      <c r="A54" s="235">
        <v>3</v>
      </c>
      <c r="B54" s="236" t="s">
        <v>123</v>
      </c>
      <c r="C54" s="237"/>
      <c r="D54" s="238"/>
      <c r="E54" s="238"/>
      <c r="F54" s="238"/>
      <c r="G54" s="239"/>
      <c r="H54" s="233"/>
      <c r="I54" s="234"/>
      <c r="J54" s="233"/>
      <c r="K54" s="233"/>
      <c r="L54" s="40"/>
      <c r="M54" s="218" t="s">
        <v>105</v>
      </c>
      <c r="N54" s="245" t="s">
        <v>124</v>
      </c>
      <c r="O54" s="246"/>
      <c r="P54" s="244"/>
      <c r="Q54" s="211"/>
      <c r="R54" s="38"/>
    </row>
    <row r="55" spans="1:18" s="39" customFormat="1" ht="72" customHeight="1" x14ac:dyDescent="0.55000000000000004">
      <c r="A55" s="228" t="s">
        <v>110</v>
      </c>
      <c r="B55" s="240" t="s">
        <v>125</v>
      </c>
      <c r="C55" s="247"/>
      <c r="D55" s="248"/>
      <c r="E55" s="248"/>
      <c r="F55" s="248"/>
      <c r="G55" s="249"/>
      <c r="H55" s="233">
        <v>2</v>
      </c>
      <c r="I55" s="234"/>
      <c r="J55" s="233"/>
      <c r="K55" s="233"/>
      <c r="L55" s="40"/>
      <c r="M55" s="218" t="s">
        <v>106</v>
      </c>
      <c r="N55" s="245" t="s">
        <v>126</v>
      </c>
      <c r="O55" s="246"/>
      <c r="P55" s="244"/>
      <c r="Q55" s="211"/>
      <c r="R55" s="38"/>
    </row>
    <row r="56" spans="1:18" s="39" customFormat="1" ht="72" customHeight="1" x14ac:dyDescent="0.55000000000000004">
      <c r="A56" s="228" t="s">
        <v>112</v>
      </c>
      <c r="B56" s="240" t="s">
        <v>159</v>
      </c>
      <c r="C56" s="247"/>
      <c r="D56" s="248"/>
      <c r="E56" s="248"/>
      <c r="F56" s="248"/>
      <c r="G56" s="249"/>
      <c r="H56" s="233">
        <v>2</v>
      </c>
      <c r="I56" s="234"/>
      <c r="J56" s="233"/>
      <c r="K56" s="233"/>
      <c r="L56" s="40"/>
      <c r="M56" s="218" t="s">
        <v>127</v>
      </c>
      <c r="N56" s="245" t="s">
        <v>128</v>
      </c>
      <c r="O56" s="246"/>
      <c r="P56" s="244"/>
      <c r="Q56" s="211"/>
      <c r="R56" s="38"/>
    </row>
    <row r="57" spans="1:18" s="39" customFormat="1" ht="44.25" customHeight="1" x14ac:dyDescent="0.55000000000000004">
      <c r="A57" s="228" t="s">
        <v>114</v>
      </c>
      <c r="B57" s="240" t="s">
        <v>160</v>
      </c>
      <c r="C57" s="247"/>
      <c r="D57" s="248"/>
      <c r="E57" s="248"/>
      <c r="F57" s="248"/>
      <c r="G57" s="249"/>
      <c r="H57" s="233">
        <v>2</v>
      </c>
      <c r="I57" s="234"/>
      <c r="J57" s="233"/>
      <c r="K57" s="233"/>
      <c r="L57" s="40"/>
      <c r="M57" s="250"/>
      <c r="N57" s="250"/>
      <c r="O57" s="250"/>
      <c r="P57" s="251"/>
      <c r="Q57" s="211"/>
      <c r="R57" s="38"/>
    </row>
    <row r="58" spans="1:18" s="39" customFormat="1" ht="31.5" customHeight="1" x14ac:dyDescent="0.55000000000000004">
      <c r="A58" s="252" t="s">
        <v>129</v>
      </c>
      <c r="B58" s="253"/>
      <c r="C58" s="253"/>
      <c r="D58" s="253"/>
      <c r="E58" s="253"/>
      <c r="F58" s="253"/>
      <c r="G58" s="253"/>
      <c r="H58" s="254">
        <f>SUM(H47:H57)</f>
        <v>20</v>
      </c>
      <c r="I58" s="254">
        <f>SUM(I47:I57)</f>
        <v>0</v>
      </c>
      <c r="J58" s="254"/>
      <c r="K58" s="255"/>
      <c r="L58" s="40"/>
      <c r="M58" s="250"/>
      <c r="N58" s="250"/>
      <c r="O58" s="250"/>
      <c r="P58" s="251"/>
      <c r="Q58" s="211"/>
      <c r="R58" s="38"/>
    </row>
    <row r="59" spans="1:18" s="39" customFormat="1" ht="36" customHeight="1" x14ac:dyDescent="0.55000000000000004">
      <c r="A59" s="256" t="s">
        <v>110</v>
      </c>
      <c r="B59" s="257" t="s">
        <v>130</v>
      </c>
      <c r="C59" s="241" t="s">
        <v>131</v>
      </c>
      <c r="D59" s="242"/>
      <c r="E59" s="242"/>
      <c r="F59" s="242"/>
      <c r="G59" s="243"/>
      <c r="H59" s="258">
        <v>4</v>
      </c>
      <c r="I59" s="259"/>
      <c r="J59" s="258"/>
      <c r="K59" s="260"/>
      <c r="L59" s="40"/>
      <c r="M59" s="250"/>
      <c r="N59" s="250"/>
      <c r="O59" s="250"/>
      <c r="P59" s="251"/>
      <c r="Q59" s="211"/>
      <c r="R59" s="38"/>
    </row>
    <row r="60" spans="1:18" s="39" customFormat="1" ht="129" customHeight="1" x14ac:dyDescent="0.55000000000000004">
      <c r="A60" s="256" t="s">
        <v>112</v>
      </c>
      <c r="B60" s="257" t="s">
        <v>132</v>
      </c>
      <c r="C60" s="241" t="s">
        <v>133</v>
      </c>
      <c r="D60" s="242"/>
      <c r="E60" s="242"/>
      <c r="F60" s="242"/>
      <c r="G60" s="243"/>
      <c r="H60" s="258">
        <v>3</v>
      </c>
      <c r="I60" s="259"/>
      <c r="J60" s="258"/>
      <c r="K60" s="260"/>
      <c r="L60" s="40"/>
      <c r="M60" s="250"/>
      <c r="N60" s="250"/>
      <c r="O60" s="250"/>
      <c r="P60" s="251"/>
      <c r="Q60" s="211"/>
      <c r="R60" s="38"/>
    </row>
    <row r="61" spans="1:18" s="39" customFormat="1" ht="69" customHeight="1" x14ac:dyDescent="0.55000000000000004">
      <c r="A61" s="256" t="s">
        <v>112</v>
      </c>
      <c r="B61" s="257" t="s">
        <v>134</v>
      </c>
      <c r="C61" s="241" t="s">
        <v>135</v>
      </c>
      <c r="D61" s="242"/>
      <c r="E61" s="242"/>
      <c r="F61" s="242"/>
      <c r="G61" s="243"/>
      <c r="H61" s="258">
        <v>3</v>
      </c>
      <c r="I61" s="259"/>
      <c r="J61" s="258"/>
      <c r="K61" s="260"/>
      <c r="L61" s="40"/>
      <c r="M61" s="250"/>
      <c r="N61" s="250"/>
      <c r="O61" s="250"/>
      <c r="P61" s="251"/>
      <c r="Q61" s="211"/>
      <c r="R61" s="38"/>
    </row>
    <row r="62" spans="1:18" s="39" customFormat="1" ht="46.5" customHeight="1" x14ac:dyDescent="0.55000000000000004">
      <c r="A62" s="261"/>
      <c r="B62" s="262" t="s">
        <v>136</v>
      </c>
      <c r="C62" s="262"/>
      <c r="D62" s="262"/>
      <c r="E62" s="263"/>
      <c r="F62" s="263"/>
      <c r="G62" s="263"/>
      <c r="H62" s="254">
        <f>SUM(H59:H61)</f>
        <v>10</v>
      </c>
      <c r="I62" s="254">
        <f>SUM(I59:I61)</f>
        <v>0</v>
      </c>
      <c r="J62" s="263"/>
      <c r="K62" s="264"/>
      <c r="L62" s="250"/>
      <c r="M62" s="250"/>
      <c r="N62" s="250"/>
      <c r="O62" s="250"/>
      <c r="P62" s="251"/>
      <c r="Q62" s="211"/>
      <c r="R62" s="38"/>
    </row>
    <row r="63" spans="1:18" s="42" customFormat="1" ht="45" customHeight="1" x14ac:dyDescent="0.7">
      <c r="A63" s="41"/>
      <c r="B63" s="265"/>
      <c r="C63" s="266"/>
      <c r="D63" s="266"/>
      <c r="E63" s="266"/>
      <c r="F63" s="267"/>
      <c r="G63" s="267"/>
      <c r="H63" s="267"/>
      <c r="I63" s="267"/>
      <c r="J63" s="267"/>
      <c r="K63" s="266"/>
      <c r="L63" s="266"/>
      <c r="M63" s="266"/>
      <c r="N63" s="266"/>
      <c r="O63" s="268" t="s">
        <v>161</v>
      </c>
      <c r="P63" s="269"/>
      <c r="Q63" s="268" t="s">
        <v>162</v>
      </c>
      <c r="R63" s="270"/>
    </row>
    <row r="64" spans="1:18" s="42" customFormat="1" ht="45" customHeight="1" x14ac:dyDescent="0.7">
      <c r="A64" s="41"/>
      <c r="B64" s="271"/>
      <c r="C64" s="272" t="s">
        <v>163</v>
      </c>
      <c r="D64" s="273"/>
      <c r="E64" s="273"/>
      <c r="F64" s="273"/>
      <c r="G64" s="273"/>
      <c r="H64" s="273"/>
      <c r="I64" s="273"/>
      <c r="J64" s="273"/>
      <c r="K64" s="274"/>
      <c r="L64" s="275"/>
      <c r="M64" s="276"/>
      <c r="N64" s="277"/>
      <c r="O64" s="278">
        <f>R43</f>
        <v>0</v>
      </c>
      <c r="P64" s="279"/>
      <c r="Q64" s="280">
        <f>O67/100 * 20</f>
        <v>0</v>
      </c>
      <c r="R64" s="281"/>
    </row>
    <row r="65" spans="1:18" s="42" customFormat="1" ht="45" customHeight="1" x14ac:dyDescent="0.7">
      <c r="A65" s="41"/>
      <c r="B65" s="271"/>
      <c r="C65" s="273" t="s">
        <v>164</v>
      </c>
      <c r="D65" s="273"/>
      <c r="E65" s="273"/>
      <c r="F65" s="273"/>
      <c r="G65" s="273"/>
      <c r="H65" s="273"/>
      <c r="I65" s="273"/>
      <c r="J65" s="273"/>
      <c r="K65" s="273"/>
      <c r="L65" s="276"/>
      <c r="M65" s="276"/>
      <c r="N65" s="277"/>
      <c r="O65" s="278">
        <f>I58</f>
        <v>0</v>
      </c>
      <c r="P65" s="279"/>
      <c r="Q65" s="282"/>
      <c r="R65" s="283"/>
    </row>
    <row r="66" spans="1:18" s="42" customFormat="1" ht="45" customHeight="1" x14ac:dyDescent="0.7">
      <c r="A66" s="41"/>
      <c r="B66" s="271"/>
      <c r="C66" s="272" t="s">
        <v>165</v>
      </c>
      <c r="D66" s="273"/>
      <c r="E66" s="273"/>
      <c r="F66" s="273"/>
      <c r="G66" s="273"/>
      <c r="H66" s="273"/>
      <c r="I66" s="273"/>
      <c r="J66" s="273"/>
      <c r="K66" s="274"/>
      <c r="L66" s="275"/>
      <c r="M66" s="276"/>
      <c r="N66" s="277"/>
      <c r="O66" s="278">
        <f>I62</f>
        <v>0</v>
      </c>
      <c r="P66" s="279"/>
      <c r="Q66" s="282"/>
      <c r="R66" s="283"/>
    </row>
    <row r="67" spans="1:18" s="42" customFormat="1" ht="45" customHeight="1" x14ac:dyDescent="0.7">
      <c r="A67" s="41"/>
      <c r="B67" s="284"/>
      <c r="C67" s="272" t="s">
        <v>166</v>
      </c>
      <c r="D67" s="273"/>
      <c r="E67" s="273"/>
      <c r="F67" s="273"/>
      <c r="G67" s="273"/>
      <c r="H67" s="273"/>
      <c r="I67" s="273"/>
      <c r="J67" s="273"/>
      <c r="K67" s="274"/>
      <c r="L67" s="275"/>
      <c r="M67" s="276"/>
      <c r="N67" s="277"/>
      <c r="O67" s="278">
        <f>SUM(O64:P66)</f>
        <v>0</v>
      </c>
      <c r="P67" s="279"/>
      <c r="Q67" s="285"/>
      <c r="R67" s="286"/>
    </row>
    <row r="68" spans="1:18" s="42" customFormat="1" ht="64.900000000000006" customHeight="1" x14ac:dyDescent="0.7">
      <c r="A68" s="41"/>
      <c r="B68" s="287" t="s">
        <v>167</v>
      </c>
      <c r="C68" s="287"/>
      <c r="D68" s="287"/>
      <c r="E68" s="287"/>
      <c r="F68" s="287"/>
      <c r="G68" s="287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9"/>
    </row>
    <row r="69" spans="1:18" s="42" customFormat="1" ht="64.900000000000006" customHeight="1" x14ac:dyDescent="0.7">
      <c r="A69" s="41"/>
      <c r="B69" s="88" t="s">
        <v>168</v>
      </c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9"/>
    </row>
    <row r="70" spans="1:18" s="42" customFormat="1" ht="48.75" customHeight="1" x14ac:dyDescent="0.7">
      <c r="A70" s="41"/>
      <c r="B70" s="290" t="s">
        <v>169</v>
      </c>
      <c r="C70" s="290"/>
      <c r="D70" s="290"/>
      <c r="E70" s="290"/>
      <c r="F70" s="290"/>
      <c r="G70" s="290"/>
      <c r="H70" s="291"/>
      <c r="I70" s="291"/>
      <c r="J70" s="291"/>
      <c r="K70" s="291"/>
      <c r="L70" s="291"/>
      <c r="M70" s="291"/>
      <c r="N70" s="291"/>
      <c r="O70" s="291"/>
      <c r="P70" s="291"/>
      <c r="Q70" s="291"/>
      <c r="R70" s="292"/>
    </row>
    <row r="71" spans="1:18" s="42" customFormat="1" ht="45.75" x14ac:dyDescent="0.7">
      <c r="A71" s="41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9"/>
    </row>
    <row r="72" spans="1:18" s="39" customFormat="1" ht="31.5" customHeight="1" x14ac:dyDescent="0.55000000000000004">
      <c r="A72" s="90" t="s">
        <v>170</v>
      </c>
      <c r="B72" s="75"/>
      <c r="C72" s="67"/>
      <c r="D72" s="68"/>
      <c r="E72" s="71" t="s">
        <v>171</v>
      </c>
      <c r="F72" s="73"/>
      <c r="G72" s="75" t="s">
        <v>172</v>
      </c>
      <c r="H72" s="67"/>
      <c r="I72" s="67"/>
      <c r="J72" s="67"/>
      <c r="K72" s="43"/>
      <c r="L72" s="40"/>
      <c r="M72" s="93"/>
      <c r="N72" s="93"/>
      <c r="O72" s="93"/>
      <c r="P72" s="93"/>
      <c r="Q72" s="93"/>
      <c r="R72" s="38"/>
    </row>
    <row r="73" spans="1:18" s="39" customFormat="1" ht="31.5" customHeight="1" x14ac:dyDescent="0.55000000000000004">
      <c r="A73" s="65"/>
      <c r="B73" s="66"/>
      <c r="C73" s="81"/>
      <c r="D73" s="82"/>
      <c r="E73" s="92"/>
      <c r="F73" s="86"/>
      <c r="G73" s="66"/>
      <c r="H73" s="81"/>
      <c r="I73" s="81"/>
      <c r="J73" s="81"/>
      <c r="K73" s="43"/>
      <c r="L73" s="40"/>
      <c r="M73" s="94"/>
      <c r="N73" s="94"/>
      <c r="O73" s="94"/>
      <c r="P73" s="94"/>
      <c r="Q73" s="94"/>
      <c r="R73" s="38"/>
    </row>
    <row r="74" spans="1:18" s="39" customFormat="1" ht="31.5" customHeight="1" x14ac:dyDescent="0.55000000000000004">
      <c r="A74" s="65"/>
      <c r="B74" s="66"/>
      <c r="C74" s="81"/>
      <c r="D74" s="82"/>
      <c r="E74" s="92"/>
      <c r="F74" s="86"/>
      <c r="G74" s="66"/>
      <c r="H74" s="81"/>
      <c r="I74" s="81"/>
      <c r="J74" s="81"/>
      <c r="K74" s="43"/>
      <c r="L74" s="40"/>
      <c r="M74" s="94"/>
      <c r="N74" s="94"/>
      <c r="O74" s="94"/>
      <c r="P74" s="94"/>
      <c r="Q74" s="94"/>
      <c r="R74" s="38"/>
    </row>
    <row r="75" spans="1:18" s="39" customFormat="1" ht="31.5" customHeight="1" x14ac:dyDescent="0.55000000000000004">
      <c r="A75" s="91"/>
      <c r="B75" s="76"/>
      <c r="C75" s="69"/>
      <c r="D75" s="70"/>
      <c r="E75" s="72"/>
      <c r="F75" s="74"/>
      <c r="G75" s="76"/>
      <c r="H75" s="69"/>
      <c r="I75" s="69"/>
      <c r="J75" s="69"/>
      <c r="K75" s="43"/>
      <c r="L75" s="40"/>
      <c r="M75" s="94"/>
      <c r="N75" s="94"/>
      <c r="O75" s="94"/>
      <c r="P75" s="94"/>
      <c r="Q75" s="94"/>
      <c r="R75" s="38"/>
    </row>
    <row r="76" spans="1:18" s="39" customFormat="1" ht="31.5" customHeight="1" x14ac:dyDescent="0.55000000000000004">
      <c r="A76" s="77" t="s">
        <v>137</v>
      </c>
      <c r="B76" s="78"/>
      <c r="C76" s="67"/>
      <c r="D76" s="68"/>
      <c r="E76" s="83" t="s">
        <v>173</v>
      </c>
      <c r="F76" s="73"/>
      <c r="G76" s="78" t="s">
        <v>173</v>
      </c>
      <c r="H76" s="67"/>
      <c r="I76" s="67"/>
      <c r="J76" s="67"/>
      <c r="K76" s="43"/>
      <c r="L76" s="40"/>
      <c r="M76" s="94"/>
      <c r="N76" s="94"/>
      <c r="O76" s="94"/>
      <c r="P76" s="94"/>
      <c r="Q76" s="94"/>
      <c r="R76" s="38"/>
    </row>
    <row r="77" spans="1:18" s="39" customFormat="1" ht="31.5" customHeight="1" x14ac:dyDescent="0.55000000000000004">
      <c r="A77" s="79"/>
      <c r="B77" s="80"/>
      <c r="C77" s="81"/>
      <c r="D77" s="82"/>
      <c r="E77" s="84"/>
      <c r="F77" s="86"/>
      <c r="G77" s="80"/>
      <c r="H77" s="81"/>
      <c r="I77" s="81"/>
      <c r="J77" s="81"/>
      <c r="K77" s="43"/>
      <c r="L77" s="40"/>
      <c r="M77" s="94"/>
      <c r="N77" s="94"/>
      <c r="O77" s="94"/>
      <c r="P77" s="94"/>
      <c r="Q77" s="94"/>
      <c r="R77" s="38"/>
    </row>
    <row r="78" spans="1:18" s="39" customFormat="1" ht="31.5" customHeight="1" x14ac:dyDescent="0.55000000000000004">
      <c r="A78" s="79"/>
      <c r="B78" s="80"/>
      <c r="C78" s="69"/>
      <c r="D78" s="70"/>
      <c r="E78" s="85"/>
      <c r="F78" s="74"/>
      <c r="G78" s="87"/>
      <c r="H78" s="69"/>
      <c r="I78" s="69"/>
      <c r="J78" s="69"/>
      <c r="K78" s="43"/>
      <c r="L78" s="40"/>
      <c r="M78" s="94"/>
      <c r="N78" s="94"/>
      <c r="O78" s="94"/>
      <c r="P78" s="94"/>
      <c r="Q78" s="94"/>
      <c r="R78" s="38"/>
    </row>
    <row r="79" spans="1:18" s="39" customFormat="1" ht="31.5" customHeight="1" x14ac:dyDescent="0.55000000000000004">
      <c r="A79" s="65" t="s">
        <v>138</v>
      </c>
      <c r="B79" s="66"/>
      <c r="C79" s="67"/>
      <c r="D79" s="68"/>
      <c r="E79" s="71" t="s">
        <v>174</v>
      </c>
      <c r="F79" s="73"/>
      <c r="G79" s="75" t="s">
        <v>174</v>
      </c>
      <c r="H79" s="67"/>
      <c r="I79" s="67"/>
      <c r="J79" s="67"/>
      <c r="K79" s="43"/>
      <c r="L79" s="40"/>
      <c r="M79" s="94"/>
      <c r="N79" s="94"/>
      <c r="O79" s="94"/>
      <c r="P79" s="94"/>
      <c r="Q79" s="94"/>
      <c r="R79" s="38"/>
    </row>
    <row r="80" spans="1:18" s="39" customFormat="1" ht="31.5" customHeight="1" x14ac:dyDescent="0.55000000000000004">
      <c r="A80" s="65"/>
      <c r="B80" s="66"/>
      <c r="C80" s="69"/>
      <c r="D80" s="70"/>
      <c r="E80" s="72"/>
      <c r="F80" s="74"/>
      <c r="G80" s="76"/>
      <c r="H80" s="69"/>
      <c r="I80" s="69"/>
      <c r="J80" s="69"/>
      <c r="K80" s="43"/>
      <c r="L80" s="40"/>
      <c r="M80" s="94"/>
      <c r="N80" s="94"/>
      <c r="O80" s="94"/>
      <c r="P80" s="94"/>
      <c r="Q80" s="94"/>
      <c r="R80" s="38"/>
    </row>
    <row r="81" spans="1:18" s="39" customFormat="1" ht="31.5" customHeight="1" thickBot="1" x14ac:dyDescent="0.6">
      <c r="A81" s="52"/>
      <c r="B81" s="53"/>
      <c r="C81" s="53"/>
      <c r="D81" s="53"/>
      <c r="E81" s="53"/>
      <c r="F81" s="53"/>
      <c r="G81" s="53"/>
      <c r="H81" s="53"/>
      <c r="I81" s="53"/>
      <c r="J81" s="53"/>
      <c r="K81" s="44"/>
      <c r="L81" s="45"/>
      <c r="M81" s="95"/>
      <c r="N81" s="95"/>
      <c r="O81" s="95"/>
      <c r="P81" s="95"/>
      <c r="Q81" s="95"/>
      <c r="R81" s="46"/>
    </row>
  </sheetData>
  <mergeCells count="115">
    <mergeCell ref="A81:J81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9:B80"/>
    <mergeCell ref="C79:D80"/>
    <mergeCell ref="E79:E80"/>
    <mergeCell ref="F79:F80"/>
    <mergeCell ref="G79:G80"/>
    <mergeCell ref="H79:J80"/>
    <mergeCell ref="A76:B78"/>
    <mergeCell ref="C76:D78"/>
    <mergeCell ref="E76:E78"/>
    <mergeCell ref="F76:F78"/>
    <mergeCell ref="G76:G78"/>
    <mergeCell ref="H76:J78"/>
    <mergeCell ref="B69:R69"/>
    <mergeCell ref="B70:G70"/>
    <mergeCell ref="B71:R71"/>
    <mergeCell ref="A72:B75"/>
    <mergeCell ref="C72:D75"/>
    <mergeCell ref="E72:E75"/>
    <mergeCell ref="F72:F75"/>
    <mergeCell ref="G72:G75"/>
    <mergeCell ref="H72:J75"/>
    <mergeCell ref="M72:Q81"/>
    <mergeCell ref="L66:N66"/>
    <mergeCell ref="O66:P66"/>
    <mergeCell ref="C67:K67"/>
    <mergeCell ref="L67:N67"/>
    <mergeCell ref="O67:P67"/>
    <mergeCell ref="B68:G68"/>
    <mergeCell ref="O63:P63"/>
    <mergeCell ref="Q63:R63"/>
    <mergeCell ref="C64:K64"/>
    <mergeCell ref="L64:N64"/>
    <mergeCell ref="O64:P64"/>
    <mergeCell ref="Q64:R67"/>
    <mergeCell ref="C65:K65"/>
    <mergeCell ref="L65:N65"/>
    <mergeCell ref="O65:P65"/>
    <mergeCell ref="C66:K66"/>
    <mergeCell ref="A58:G58"/>
    <mergeCell ref="C59:G59"/>
    <mergeCell ref="C60:G60"/>
    <mergeCell ref="C61:G61"/>
    <mergeCell ref="B62:D62"/>
    <mergeCell ref="B63:B67"/>
    <mergeCell ref="F63:J63"/>
    <mergeCell ref="C52:G52"/>
    <mergeCell ref="C53:G53"/>
    <mergeCell ref="C54:G54"/>
    <mergeCell ref="C55:G55"/>
    <mergeCell ref="C56:G56"/>
    <mergeCell ref="C57:G57"/>
    <mergeCell ref="C49:G49"/>
    <mergeCell ref="N49:O49"/>
    <mergeCell ref="C50:G50"/>
    <mergeCell ref="N50:O50"/>
    <mergeCell ref="C51:G51"/>
    <mergeCell ref="N51:O51"/>
    <mergeCell ref="C46:G46"/>
    <mergeCell ref="N46:O46"/>
    <mergeCell ref="C47:G47"/>
    <mergeCell ref="N47:O47"/>
    <mergeCell ref="C48:G48"/>
    <mergeCell ref="N48:O48"/>
    <mergeCell ref="R17:R18"/>
    <mergeCell ref="I43:Q43"/>
    <mergeCell ref="A44:G44"/>
    <mergeCell ref="H44:K44"/>
    <mergeCell ref="L44:L45"/>
    <mergeCell ref="C45:G45"/>
    <mergeCell ref="A38:A39"/>
    <mergeCell ref="B38:B39"/>
    <mergeCell ref="C38:C39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78B38A40-AAB7-41C1-8B7D-2726472272DE}"/>
  </hyperlinks>
  <pageMargins left="0.7" right="0.7" top="0.75" bottom="0.75" header="0.3" footer="0.3"/>
  <pageSetup scale="14" fitToHeight="0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20D4A-1F8D-4979-A64F-05C059A1FE21}">
  <sheetPr>
    <pageSetUpPr fitToPage="1"/>
  </sheetPr>
  <dimension ref="A1:R81"/>
  <sheetViews>
    <sheetView zoomScale="30" zoomScaleNormal="30" workbookViewId="0">
      <selection activeCell="A19" sqref="A19:O41"/>
    </sheetView>
  </sheetViews>
  <sheetFormatPr defaultRowHeight="31.5" customHeight="1" x14ac:dyDescent="0.55000000000000004"/>
  <cols>
    <col min="1" max="1" width="15.5703125" style="47" bestFit="1" customWidth="1"/>
    <col min="2" max="2" width="85.42578125" style="1" bestFit="1" customWidth="1"/>
    <col min="3" max="3" width="39.5703125" style="1" bestFit="1" customWidth="1"/>
    <col min="4" max="4" width="114.85546875" style="1" customWidth="1"/>
    <col min="5" max="5" width="64.7109375" style="47" bestFit="1" customWidth="1"/>
    <col min="6" max="6" width="42" style="47" customWidth="1"/>
    <col min="7" max="7" width="255.7109375" style="1" bestFit="1" customWidth="1"/>
    <col min="8" max="8" width="33" style="47" customWidth="1"/>
    <col min="9" max="9" width="62.42578125" style="47" customWidth="1"/>
    <col min="10" max="10" width="45.140625" style="47" customWidth="1"/>
    <col min="11" max="13" width="35.28515625" style="47" bestFit="1" customWidth="1"/>
    <col min="14" max="14" width="40.7109375" style="47" bestFit="1" customWidth="1"/>
    <col min="15" max="15" width="36.85546875" style="47" bestFit="1" customWidth="1"/>
    <col min="16" max="17" width="36.85546875" style="48" customWidth="1"/>
    <col min="18" max="18" width="36.85546875" style="49" customWidth="1"/>
    <col min="19" max="16384" width="9.140625" style="1"/>
  </cols>
  <sheetData>
    <row r="1" spans="1:18" ht="31.5" customHeight="1" x14ac:dyDescent="0.25">
      <c r="A1" s="107" t="s">
        <v>139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9"/>
    </row>
    <row r="2" spans="1:18" ht="31.5" customHeight="1" x14ac:dyDescent="0.25">
      <c r="A2" s="1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2"/>
    </row>
    <row r="3" spans="1:18" ht="31.5" customHeight="1" thickBot="1" x14ac:dyDescent="0.3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2"/>
    </row>
    <row r="4" spans="1:18" s="2" customFormat="1" ht="45.75" x14ac:dyDescent="0.25">
      <c r="A4" s="113" t="s">
        <v>0</v>
      </c>
      <c r="B4" s="114"/>
      <c r="C4" s="114"/>
      <c r="D4" s="114"/>
      <c r="E4" s="114"/>
      <c r="F4" s="114"/>
      <c r="G4" s="114"/>
      <c r="H4" s="114"/>
      <c r="I4" s="114"/>
      <c r="J4" s="114"/>
      <c r="K4" s="115"/>
      <c r="L4" s="116"/>
      <c r="M4" s="116"/>
      <c r="N4" s="116"/>
      <c r="O4" s="116"/>
      <c r="P4" s="116"/>
      <c r="Q4" s="116"/>
      <c r="R4" s="117"/>
    </row>
    <row r="5" spans="1:18" s="9" customFormat="1" ht="32.25" x14ac:dyDescent="0.5">
      <c r="A5" s="3" t="s">
        <v>1</v>
      </c>
      <c r="B5" s="4" t="s">
        <v>177</v>
      </c>
      <c r="C5" s="5" t="s">
        <v>2</v>
      </c>
      <c r="D5" s="6" t="s">
        <v>178</v>
      </c>
      <c r="E5" s="124"/>
      <c r="F5" s="124"/>
      <c r="G5" s="124"/>
      <c r="H5" s="124"/>
      <c r="I5" s="7"/>
      <c r="J5" s="8"/>
      <c r="K5" s="118"/>
      <c r="L5" s="119"/>
      <c r="M5" s="119"/>
      <c r="N5" s="119"/>
      <c r="O5" s="119"/>
      <c r="P5" s="119"/>
      <c r="Q5" s="119"/>
      <c r="R5" s="120"/>
    </row>
    <row r="6" spans="1:18" s="12" customFormat="1" ht="38.25" customHeight="1" x14ac:dyDescent="0.55000000000000004">
      <c r="A6" s="125" t="s">
        <v>3</v>
      </c>
      <c r="B6" s="126"/>
      <c r="C6" s="126"/>
      <c r="D6" s="126"/>
      <c r="E6" s="126"/>
      <c r="F6" s="126"/>
      <c r="G6" s="126"/>
      <c r="H6" s="126"/>
      <c r="I6" s="10"/>
      <c r="J6" s="11"/>
      <c r="K6" s="118"/>
      <c r="L6" s="119"/>
      <c r="M6" s="119"/>
      <c r="N6" s="119"/>
      <c r="O6" s="119"/>
      <c r="P6" s="119"/>
      <c r="Q6" s="119"/>
      <c r="R6" s="120"/>
    </row>
    <row r="7" spans="1:18" s="134" customFormat="1" ht="39" x14ac:dyDescent="0.6">
      <c r="A7" s="127" t="s">
        <v>4</v>
      </c>
      <c r="B7" s="128"/>
      <c r="C7" s="129" t="s">
        <v>181</v>
      </c>
      <c r="D7" s="130" t="s">
        <v>5</v>
      </c>
      <c r="E7" s="129" t="s">
        <v>182</v>
      </c>
      <c r="F7" s="130" t="s">
        <v>6</v>
      </c>
      <c r="G7" s="131"/>
      <c r="H7" s="130" t="s">
        <v>7</v>
      </c>
      <c r="I7" s="132" t="s">
        <v>183</v>
      </c>
      <c r="J7" s="133"/>
      <c r="K7" s="118"/>
      <c r="L7" s="119"/>
      <c r="M7" s="119"/>
      <c r="N7" s="119"/>
      <c r="O7" s="119"/>
      <c r="P7" s="119"/>
      <c r="Q7" s="119"/>
      <c r="R7" s="120"/>
    </row>
    <row r="8" spans="1:18" s="134" customFormat="1" ht="39" x14ac:dyDescent="0.6">
      <c r="A8" s="135" t="s">
        <v>8</v>
      </c>
      <c r="B8" s="136"/>
      <c r="C8" s="137">
        <v>359823</v>
      </c>
      <c r="D8" s="138" t="s">
        <v>9</v>
      </c>
      <c r="E8" s="139" t="s">
        <v>184</v>
      </c>
      <c r="F8" s="138" t="s">
        <v>10</v>
      </c>
      <c r="G8" s="140" t="s">
        <v>185</v>
      </c>
      <c r="H8" s="138" t="s">
        <v>11</v>
      </c>
      <c r="I8" s="141" t="s">
        <v>186</v>
      </c>
      <c r="J8" s="142"/>
      <c r="K8" s="118"/>
      <c r="L8" s="119"/>
      <c r="M8" s="119"/>
      <c r="N8" s="119"/>
      <c r="O8" s="119"/>
      <c r="P8" s="119"/>
      <c r="Q8" s="119"/>
      <c r="R8" s="120"/>
    </row>
    <row r="9" spans="1:18" s="14" customFormat="1" ht="62.25" customHeight="1" x14ac:dyDescent="0.6">
      <c r="A9" s="102" t="s">
        <v>12</v>
      </c>
      <c r="B9" s="102"/>
      <c r="C9" s="102"/>
      <c r="D9" s="102"/>
      <c r="E9" s="102"/>
      <c r="F9" s="102"/>
      <c r="G9" s="102"/>
      <c r="H9" s="102"/>
      <c r="I9" s="102"/>
      <c r="J9" s="13"/>
      <c r="K9" s="118"/>
      <c r="L9" s="119"/>
      <c r="M9" s="119"/>
      <c r="N9" s="119"/>
      <c r="O9" s="119"/>
      <c r="P9" s="119"/>
      <c r="Q9" s="119"/>
      <c r="R9" s="120"/>
    </row>
    <row r="10" spans="1:18" s="150" customFormat="1" ht="39" x14ac:dyDescent="0.6">
      <c r="A10" s="143" t="s">
        <v>4</v>
      </c>
      <c r="B10" s="144"/>
      <c r="C10" s="145" t="s">
        <v>187</v>
      </c>
      <c r="D10" s="146" t="s">
        <v>5</v>
      </c>
      <c r="E10" s="145" t="s">
        <v>188</v>
      </c>
      <c r="F10" s="146" t="s">
        <v>6</v>
      </c>
      <c r="G10" s="147"/>
      <c r="H10" s="146" t="s">
        <v>7</v>
      </c>
      <c r="I10" s="148" t="s">
        <v>189</v>
      </c>
      <c r="J10" s="149"/>
      <c r="K10" s="118"/>
      <c r="L10" s="119"/>
      <c r="M10" s="119"/>
      <c r="N10" s="119"/>
      <c r="O10" s="119"/>
      <c r="P10" s="119"/>
      <c r="Q10" s="119"/>
      <c r="R10" s="120"/>
    </row>
    <row r="11" spans="1:18" s="150" customFormat="1" ht="39" x14ac:dyDescent="0.6">
      <c r="A11" s="151" t="s">
        <v>8</v>
      </c>
      <c r="B11" s="152"/>
      <c r="C11" s="153">
        <v>168083</v>
      </c>
      <c r="D11" s="154" t="s">
        <v>9</v>
      </c>
      <c r="E11" s="155" t="s">
        <v>190</v>
      </c>
      <c r="F11" s="154" t="s">
        <v>10</v>
      </c>
      <c r="G11" s="156"/>
      <c r="H11" s="154" t="s">
        <v>11</v>
      </c>
      <c r="I11" s="157" t="s">
        <v>186</v>
      </c>
      <c r="J11" s="158"/>
      <c r="K11" s="118"/>
      <c r="L11" s="119"/>
      <c r="M11" s="119"/>
      <c r="N11" s="119"/>
      <c r="O11" s="119"/>
      <c r="P11" s="119"/>
      <c r="Q11" s="119"/>
      <c r="R11" s="120"/>
    </row>
    <row r="12" spans="1:18" s="14" customFormat="1" ht="39" x14ac:dyDescent="0.6">
      <c r="A12" s="102" t="s">
        <v>13</v>
      </c>
      <c r="B12" s="102"/>
      <c r="C12" s="102"/>
      <c r="D12" s="102"/>
      <c r="E12" s="102"/>
      <c r="F12" s="102"/>
      <c r="G12" s="102"/>
      <c r="H12" s="102"/>
      <c r="I12" s="102"/>
      <c r="J12" s="13"/>
      <c r="K12" s="118"/>
      <c r="L12" s="119"/>
      <c r="M12" s="119"/>
      <c r="N12" s="119"/>
      <c r="O12" s="119"/>
      <c r="P12" s="119"/>
      <c r="Q12" s="119"/>
      <c r="R12" s="120"/>
    </row>
    <row r="13" spans="1:18" s="19" customFormat="1" ht="39" x14ac:dyDescent="0.6">
      <c r="A13" s="103" t="s">
        <v>4</v>
      </c>
      <c r="B13" s="104"/>
      <c r="C13" s="15" t="s">
        <v>14</v>
      </c>
      <c r="D13" s="16" t="s">
        <v>5</v>
      </c>
      <c r="E13" s="15" t="s">
        <v>15</v>
      </c>
      <c r="F13" s="17" t="s">
        <v>6</v>
      </c>
      <c r="G13" s="18" t="s">
        <v>16</v>
      </c>
      <c r="H13" s="16" t="s">
        <v>7</v>
      </c>
      <c r="I13" s="105" t="s">
        <v>17</v>
      </c>
      <c r="J13" s="106"/>
      <c r="K13" s="118"/>
      <c r="L13" s="119"/>
      <c r="M13" s="119"/>
      <c r="N13" s="119"/>
      <c r="O13" s="119"/>
      <c r="P13" s="119"/>
      <c r="Q13" s="119"/>
      <c r="R13" s="120"/>
    </row>
    <row r="14" spans="1:18" s="19" customFormat="1" ht="39" x14ac:dyDescent="0.6">
      <c r="A14" s="96" t="s">
        <v>8</v>
      </c>
      <c r="B14" s="97"/>
      <c r="C14" s="20">
        <v>60529</v>
      </c>
      <c r="D14" s="21" t="s">
        <v>9</v>
      </c>
      <c r="E14" s="159" t="s">
        <v>18</v>
      </c>
      <c r="F14" s="22" t="s">
        <v>10</v>
      </c>
      <c r="G14" s="160"/>
      <c r="H14" s="21" t="s">
        <v>11</v>
      </c>
      <c r="I14" s="98" t="s">
        <v>19</v>
      </c>
      <c r="J14" s="99"/>
      <c r="K14" s="118"/>
      <c r="L14" s="119"/>
      <c r="M14" s="119"/>
      <c r="N14" s="119"/>
      <c r="O14" s="119"/>
      <c r="P14" s="119"/>
      <c r="Q14" s="119"/>
      <c r="R14" s="120"/>
    </row>
    <row r="15" spans="1:18" s="24" customFormat="1" ht="20.25" customHeight="1" thickBot="1" x14ac:dyDescent="0.75">
      <c r="A15" s="100"/>
      <c r="B15" s="101"/>
      <c r="C15" s="101"/>
      <c r="D15" s="101"/>
      <c r="E15" s="101"/>
      <c r="F15" s="101"/>
      <c r="G15" s="101"/>
      <c r="H15" s="101"/>
      <c r="I15" s="101"/>
      <c r="J15" s="23"/>
      <c r="K15" s="121"/>
      <c r="L15" s="122"/>
      <c r="M15" s="122"/>
      <c r="N15" s="122"/>
      <c r="O15" s="122"/>
      <c r="P15" s="122"/>
      <c r="Q15" s="122"/>
      <c r="R15" s="123"/>
    </row>
    <row r="16" spans="1:18" s="24" customFormat="1" ht="47.25" x14ac:dyDescent="0.7">
      <c r="A16" s="161" t="s">
        <v>20</v>
      </c>
      <c r="B16" s="162"/>
      <c r="C16" s="162"/>
      <c r="D16" s="162"/>
      <c r="E16" s="162"/>
      <c r="F16" s="162"/>
      <c r="G16" s="162"/>
      <c r="H16" s="162"/>
      <c r="I16" s="162"/>
      <c r="J16" s="163"/>
      <c r="K16" s="164"/>
      <c r="L16" s="165"/>
      <c r="M16" s="165"/>
      <c r="N16" s="165"/>
      <c r="O16" s="165"/>
      <c r="P16" s="166"/>
      <c r="Q16" s="166"/>
      <c r="R16" s="167"/>
    </row>
    <row r="17" spans="1:18" s="25" customFormat="1" ht="31.5" customHeight="1" x14ac:dyDescent="0.25">
      <c r="A17" s="168" t="s">
        <v>21</v>
      </c>
      <c r="B17" s="169" t="s">
        <v>22</v>
      </c>
      <c r="C17" s="170" t="s">
        <v>23</v>
      </c>
      <c r="D17" s="170" t="s">
        <v>24</v>
      </c>
      <c r="E17" s="170" t="s">
        <v>23</v>
      </c>
      <c r="F17" s="171" t="s">
        <v>25</v>
      </c>
      <c r="G17" s="171" t="s">
        <v>26</v>
      </c>
      <c r="H17" s="172" t="s">
        <v>27</v>
      </c>
      <c r="I17" s="171" t="s">
        <v>28</v>
      </c>
      <c r="J17" s="173" t="s">
        <v>29</v>
      </c>
      <c r="K17" s="174"/>
      <c r="L17" s="174"/>
      <c r="M17" s="174"/>
      <c r="N17" s="174"/>
      <c r="O17" s="175"/>
      <c r="P17" s="176" t="s">
        <v>142</v>
      </c>
      <c r="Q17" s="176" t="s">
        <v>143</v>
      </c>
      <c r="R17" s="177" t="s">
        <v>144</v>
      </c>
    </row>
    <row r="18" spans="1:18" s="25" customFormat="1" ht="36" x14ac:dyDescent="0.25">
      <c r="A18" s="178"/>
      <c r="B18" s="169"/>
      <c r="C18" s="169"/>
      <c r="D18" s="169"/>
      <c r="E18" s="169"/>
      <c r="F18" s="179"/>
      <c r="G18" s="179"/>
      <c r="H18" s="180"/>
      <c r="I18" s="179"/>
      <c r="J18" s="181" t="s">
        <v>145</v>
      </c>
      <c r="K18" s="182" t="s">
        <v>146</v>
      </c>
      <c r="L18" s="182" t="s">
        <v>147</v>
      </c>
      <c r="M18" s="181" t="s">
        <v>148</v>
      </c>
      <c r="N18" s="181" t="s">
        <v>149</v>
      </c>
      <c r="O18" s="181" t="s">
        <v>150</v>
      </c>
      <c r="P18" s="183"/>
      <c r="Q18" s="183"/>
      <c r="R18" s="184"/>
    </row>
    <row r="19" spans="1:18" s="33" customFormat="1" ht="147" customHeight="1" x14ac:dyDescent="0.25">
      <c r="A19" s="54">
        <v>1</v>
      </c>
      <c r="B19" s="57" t="s">
        <v>36</v>
      </c>
      <c r="C19" s="60">
        <f>0.25 *1.28791886111175</f>
        <v>0.32197971527793751</v>
      </c>
      <c r="D19" s="26" t="s">
        <v>37</v>
      </c>
      <c r="E19" s="27">
        <f>C19/5</f>
        <v>6.4395943055587504E-2</v>
      </c>
      <c r="F19" s="27">
        <f>E19/$E$42* 100</f>
        <v>0.33958946059852668</v>
      </c>
      <c r="G19" s="28" t="s">
        <v>38</v>
      </c>
      <c r="H19" s="29">
        <v>1</v>
      </c>
      <c r="I19" s="30" t="s">
        <v>39</v>
      </c>
      <c r="J19" s="31">
        <v>100</v>
      </c>
      <c r="K19" s="32">
        <v>95</v>
      </c>
      <c r="L19" s="32">
        <v>90</v>
      </c>
      <c r="M19" s="32">
        <v>85</v>
      </c>
      <c r="N19" s="32">
        <v>80</v>
      </c>
      <c r="O19" s="32" t="s">
        <v>40</v>
      </c>
      <c r="P19" s="185"/>
      <c r="Q19" s="186">
        <f t="shared" ref="Q19:Q41" si="0">IF(OR(TRIM(P19)="",P19=0),0,
IF(P19&lt;N19,50,
IF(P19&lt;M19,60,
IF(P19&lt;L19,70,
IF(P19&lt;K19,80,
IF(ISNUMBER(J19),
    IF(P19&lt;J19,IF(P19&gt;=K19,90,80),100),
    IF(P19=K19,90,100)
))))))</f>
        <v>0</v>
      </c>
      <c r="R19" s="187">
        <f t="shared" ref="R19:R41" si="1">F19*Q19/100</f>
        <v>0</v>
      </c>
    </row>
    <row r="20" spans="1:18" s="33" customFormat="1" ht="147" customHeight="1" x14ac:dyDescent="0.25">
      <c r="A20" s="55"/>
      <c r="B20" s="58"/>
      <c r="C20" s="61"/>
      <c r="D20" s="26" t="s">
        <v>41</v>
      </c>
      <c r="E20" s="27">
        <f>C19/5</f>
        <v>6.4395943055587504E-2</v>
      </c>
      <c r="F20" s="27">
        <f t="shared" ref="F20:F41" si="2">E20/$E$42* 100</f>
        <v>0.33958946059852668</v>
      </c>
      <c r="G20" s="28" t="s">
        <v>42</v>
      </c>
      <c r="H20" s="29">
        <v>1</v>
      </c>
      <c r="I20" s="30" t="s">
        <v>39</v>
      </c>
      <c r="J20" s="31">
        <v>100</v>
      </c>
      <c r="K20" s="32">
        <v>95</v>
      </c>
      <c r="L20" s="32">
        <v>90</v>
      </c>
      <c r="M20" s="32">
        <v>85</v>
      </c>
      <c r="N20" s="32">
        <v>80</v>
      </c>
      <c r="O20" s="32" t="s">
        <v>40</v>
      </c>
      <c r="P20" s="185"/>
      <c r="Q20" s="186">
        <f t="shared" ref="Q20:Q41" si="3">IF(OR(TRIM(P20)="",P20=0),0,
IF(P20&lt;N20,50,
IF(P20&lt;M20,60,
IF(P20&lt;L20,70,
IF(P20&lt;K20,80,
IF(ISNUMBER(J20),
    IF(P20&lt;J20,IF(P20&gt;=K20,90,80),100),
    IF(P20=K20,90,100)
))))))</f>
        <v>0</v>
      </c>
      <c r="R20" s="187">
        <f t="shared" ref="R20:R41" si="4">F20*Q20/100</f>
        <v>0</v>
      </c>
    </row>
    <row r="21" spans="1:18" s="33" customFormat="1" ht="147" customHeight="1" x14ac:dyDescent="0.25">
      <c r="A21" s="55"/>
      <c r="B21" s="58"/>
      <c r="C21" s="61"/>
      <c r="D21" s="26" t="s">
        <v>43</v>
      </c>
      <c r="E21" s="27">
        <f>C19/5</f>
        <v>6.4395943055587504E-2</v>
      </c>
      <c r="F21" s="27">
        <f t="shared" si="2"/>
        <v>0.33958946059852668</v>
      </c>
      <c r="G21" s="28" t="s">
        <v>44</v>
      </c>
      <c r="H21" s="29">
        <v>1</v>
      </c>
      <c r="I21" s="30" t="s">
        <v>39</v>
      </c>
      <c r="J21" s="31">
        <v>100</v>
      </c>
      <c r="K21" s="32">
        <v>95</v>
      </c>
      <c r="L21" s="32">
        <v>90</v>
      </c>
      <c r="M21" s="32">
        <v>85</v>
      </c>
      <c r="N21" s="32">
        <v>80</v>
      </c>
      <c r="O21" s="32" t="s">
        <v>40</v>
      </c>
      <c r="P21" s="185"/>
      <c r="Q21" s="186">
        <f t="shared" si="3"/>
        <v>0</v>
      </c>
      <c r="R21" s="187">
        <f t="shared" si="4"/>
        <v>0</v>
      </c>
    </row>
    <row r="22" spans="1:18" s="33" customFormat="1" ht="147" customHeight="1" x14ac:dyDescent="0.25">
      <c r="A22" s="55"/>
      <c r="B22" s="58"/>
      <c r="C22" s="61"/>
      <c r="D22" s="26" t="s">
        <v>45</v>
      </c>
      <c r="E22" s="27">
        <f>C19/5</f>
        <v>6.4395943055587504E-2</v>
      </c>
      <c r="F22" s="27">
        <f t="shared" si="2"/>
        <v>0.33958946059852668</v>
      </c>
      <c r="G22" s="28" t="s">
        <v>46</v>
      </c>
      <c r="H22" s="34">
        <v>5</v>
      </c>
      <c r="I22" s="30" t="s">
        <v>47</v>
      </c>
      <c r="J22" s="31" t="s">
        <v>48</v>
      </c>
      <c r="K22" s="32">
        <v>5</v>
      </c>
      <c r="L22" s="32">
        <v>4</v>
      </c>
      <c r="M22" s="32">
        <v>3</v>
      </c>
      <c r="N22" s="32">
        <v>2</v>
      </c>
      <c r="O22" s="32">
        <v>1</v>
      </c>
      <c r="P22" s="185"/>
      <c r="Q22" s="186">
        <f t="shared" si="3"/>
        <v>0</v>
      </c>
      <c r="R22" s="187">
        <f t="shared" si="4"/>
        <v>0</v>
      </c>
    </row>
    <row r="23" spans="1:18" s="33" customFormat="1" ht="147" customHeight="1" x14ac:dyDescent="0.25">
      <c r="A23" s="56"/>
      <c r="B23" s="59"/>
      <c r="C23" s="62"/>
      <c r="D23" s="26" t="s">
        <v>49</v>
      </c>
      <c r="E23" s="27">
        <f>C19/5</f>
        <v>6.4395943055587504E-2</v>
      </c>
      <c r="F23" s="27">
        <f t="shared" si="2"/>
        <v>0.33958946059852668</v>
      </c>
      <c r="G23" s="28" t="s">
        <v>50</v>
      </c>
      <c r="H23" s="29">
        <v>1</v>
      </c>
      <c r="I23" s="30" t="s">
        <v>39</v>
      </c>
      <c r="J23" s="31">
        <v>100</v>
      </c>
      <c r="K23" s="32">
        <v>95</v>
      </c>
      <c r="L23" s="32">
        <v>90</v>
      </c>
      <c r="M23" s="32">
        <v>85</v>
      </c>
      <c r="N23" s="32">
        <v>80</v>
      </c>
      <c r="O23" s="32" t="s">
        <v>40</v>
      </c>
      <c r="P23" s="185"/>
      <c r="Q23" s="186">
        <f t="shared" si="3"/>
        <v>0</v>
      </c>
      <c r="R23" s="187">
        <f t="shared" si="4"/>
        <v>0</v>
      </c>
    </row>
    <row r="24" spans="1:18" s="33" customFormat="1" ht="147" customHeight="1" x14ac:dyDescent="0.25">
      <c r="A24" s="34">
        <v>2</v>
      </c>
      <c r="B24" s="26" t="s">
        <v>51</v>
      </c>
      <c r="C24" s="51">
        <f>0.25 *0.77275131666705</f>
        <v>0.1931878291667625</v>
      </c>
      <c r="D24" s="26" t="s">
        <v>52</v>
      </c>
      <c r="E24" s="27">
        <f>C24</f>
        <v>0.1931878291667625</v>
      </c>
      <c r="F24" s="27">
        <f t="shared" si="2"/>
        <v>1.0187683817955799</v>
      </c>
      <c r="G24" s="28" t="s">
        <v>53</v>
      </c>
      <c r="H24" s="29">
        <v>0.5</v>
      </c>
      <c r="I24" s="30" t="s">
        <v>39</v>
      </c>
      <c r="J24" s="31" t="s">
        <v>54</v>
      </c>
      <c r="K24" s="32">
        <v>50</v>
      </c>
      <c r="L24" s="32">
        <v>45</v>
      </c>
      <c r="M24" s="32">
        <v>40</v>
      </c>
      <c r="N24" s="32">
        <v>25</v>
      </c>
      <c r="O24" s="32" t="s">
        <v>55</v>
      </c>
      <c r="P24" s="185"/>
      <c r="Q24" s="186">
        <f t="shared" si="3"/>
        <v>0</v>
      </c>
      <c r="R24" s="187">
        <f t="shared" si="4"/>
        <v>0</v>
      </c>
    </row>
    <row r="25" spans="1:18" s="33" customFormat="1" ht="147" customHeight="1" x14ac:dyDescent="0.25">
      <c r="A25" s="54">
        <v>3</v>
      </c>
      <c r="B25" s="57" t="s">
        <v>56</v>
      </c>
      <c r="C25" s="60">
        <f>0.25 *68.7196706607483</f>
        <v>17.179917665187077</v>
      </c>
      <c r="D25" s="26" t="s">
        <v>57</v>
      </c>
      <c r="E25" s="27">
        <f>C25/10</f>
        <v>1.7179917665187077</v>
      </c>
      <c r="F25" s="27">
        <f t="shared" si="2"/>
        <v>9.0597616809678279</v>
      </c>
      <c r="G25" s="26" t="s">
        <v>58</v>
      </c>
      <c r="H25" s="34">
        <v>80</v>
      </c>
      <c r="I25" s="34" t="s">
        <v>39</v>
      </c>
      <c r="J25" s="31" t="s">
        <v>59</v>
      </c>
      <c r="K25" s="32">
        <v>80</v>
      </c>
      <c r="L25" s="32">
        <v>75</v>
      </c>
      <c r="M25" s="32">
        <v>70</v>
      </c>
      <c r="N25" s="32">
        <v>50</v>
      </c>
      <c r="O25" s="32" t="s">
        <v>60</v>
      </c>
      <c r="P25" s="185"/>
      <c r="Q25" s="186">
        <f t="shared" si="3"/>
        <v>0</v>
      </c>
      <c r="R25" s="187">
        <f t="shared" si="4"/>
        <v>0</v>
      </c>
    </row>
    <row r="26" spans="1:18" s="33" customFormat="1" ht="147" customHeight="1" x14ac:dyDescent="0.25">
      <c r="A26" s="55"/>
      <c r="B26" s="58"/>
      <c r="C26" s="61"/>
      <c r="D26" s="26" t="s">
        <v>61</v>
      </c>
      <c r="E26" s="27">
        <f>C25/10</f>
        <v>1.7179917665187077</v>
      </c>
      <c r="F26" s="27">
        <f t="shared" si="2"/>
        <v>9.0597616809678279</v>
      </c>
      <c r="G26" s="26" t="s">
        <v>62</v>
      </c>
      <c r="H26" s="34">
        <v>80</v>
      </c>
      <c r="I26" s="34" t="s">
        <v>39</v>
      </c>
      <c r="J26" s="31" t="s">
        <v>59</v>
      </c>
      <c r="K26" s="32">
        <v>80</v>
      </c>
      <c r="L26" s="32">
        <v>75</v>
      </c>
      <c r="M26" s="32">
        <v>70</v>
      </c>
      <c r="N26" s="32">
        <v>50</v>
      </c>
      <c r="O26" s="32" t="s">
        <v>60</v>
      </c>
      <c r="P26" s="185"/>
      <c r="Q26" s="186">
        <f t="shared" si="3"/>
        <v>0</v>
      </c>
      <c r="R26" s="187">
        <f t="shared" si="4"/>
        <v>0</v>
      </c>
    </row>
    <row r="27" spans="1:18" s="33" customFormat="1" ht="147" customHeight="1" x14ac:dyDescent="0.25">
      <c r="A27" s="55"/>
      <c r="B27" s="58"/>
      <c r="C27" s="61"/>
      <c r="D27" s="26" t="s">
        <v>63</v>
      </c>
      <c r="E27" s="27">
        <f>C25/10</f>
        <v>1.7179917665187077</v>
      </c>
      <c r="F27" s="27">
        <f t="shared" si="2"/>
        <v>9.0597616809678279</v>
      </c>
      <c r="G27" s="26" t="s">
        <v>64</v>
      </c>
      <c r="H27" s="35">
        <v>0.9</v>
      </c>
      <c r="I27" s="34" t="s">
        <v>39</v>
      </c>
      <c r="J27" s="31" t="s">
        <v>65</v>
      </c>
      <c r="K27" s="32">
        <v>90</v>
      </c>
      <c r="L27" s="32">
        <v>80</v>
      </c>
      <c r="M27" s="32">
        <v>70</v>
      </c>
      <c r="N27" s="32">
        <v>50</v>
      </c>
      <c r="O27" s="32" t="s">
        <v>60</v>
      </c>
      <c r="P27" s="185"/>
      <c r="Q27" s="186">
        <f t="shared" si="3"/>
        <v>0</v>
      </c>
      <c r="R27" s="187">
        <f t="shared" si="4"/>
        <v>0</v>
      </c>
    </row>
    <row r="28" spans="1:18" s="33" customFormat="1" ht="147" customHeight="1" x14ac:dyDescent="0.25">
      <c r="A28" s="55"/>
      <c r="B28" s="58"/>
      <c r="C28" s="61"/>
      <c r="D28" s="26" t="s">
        <v>66</v>
      </c>
      <c r="E28" s="27">
        <f>C25/10</f>
        <v>1.7179917665187077</v>
      </c>
      <c r="F28" s="27">
        <f t="shared" si="2"/>
        <v>9.0597616809678279</v>
      </c>
      <c r="G28" s="26" t="s">
        <v>67</v>
      </c>
      <c r="H28" s="34">
        <v>80</v>
      </c>
      <c r="I28" s="34" t="s">
        <v>39</v>
      </c>
      <c r="J28" s="31" t="s">
        <v>59</v>
      </c>
      <c r="K28" s="32">
        <v>80</v>
      </c>
      <c r="L28" s="32">
        <v>75</v>
      </c>
      <c r="M28" s="32">
        <v>70</v>
      </c>
      <c r="N28" s="32">
        <v>50</v>
      </c>
      <c r="O28" s="32" t="s">
        <v>60</v>
      </c>
      <c r="P28" s="185"/>
      <c r="Q28" s="186">
        <f t="shared" si="3"/>
        <v>0</v>
      </c>
      <c r="R28" s="187">
        <f t="shared" si="4"/>
        <v>0</v>
      </c>
    </row>
    <row r="29" spans="1:18" s="33" customFormat="1" ht="147" customHeight="1" x14ac:dyDescent="0.25">
      <c r="A29" s="55"/>
      <c r="B29" s="58"/>
      <c r="C29" s="61"/>
      <c r="D29" s="26" t="s">
        <v>68</v>
      </c>
      <c r="E29" s="27">
        <f>C25/10</f>
        <v>1.7179917665187077</v>
      </c>
      <c r="F29" s="27">
        <f t="shared" si="2"/>
        <v>9.0597616809678279</v>
      </c>
      <c r="G29" s="26" t="s">
        <v>69</v>
      </c>
      <c r="H29" s="35">
        <v>0.9</v>
      </c>
      <c r="I29" s="34" t="s">
        <v>39</v>
      </c>
      <c r="J29" s="31" t="s">
        <v>65</v>
      </c>
      <c r="K29" s="32">
        <v>90</v>
      </c>
      <c r="L29" s="32">
        <v>80</v>
      </c>
      <c r="M29" s="32">
        <v>70</v>
      </c>
      <c r="N29" s="32">
        <v>50</v>
      </c>
      <c r="O29" s="32" t="s">
        <v>60</v>
      </c>
      <c r="P29" s="185"/>
      <c r="Q29" s="186">
        <f t="shared" si="3"/>
        <v>0</v>
      </c>
      <c r="R29" s="187">
        <f t="shared" si="4"/>
        <v>0</v>
      </c>
    </row>
    <row r="30" spans="1:18" s="33" customFormat="1" ht="147" customHeight="1" x14ac:dyDescent="0.25">
      <c r="A30" s="55"/>
      <c r="B30" s="58"/>
      <c r="C30" s="61"/>
      <c r="D30" s="26" t="s">
        <v>70</v>
      </c>
      <c r="E30" s="27">
        <f>C25/10</f>
        <v>1.7179917665187077</v>
      </c>
      <c r="F30" s="27">
        <f t="shared" si="2"/>
        <v>9.0597616809678279</v>
      </c>
      <c r="G30" s="26" t="s">
        <v>71</v>
      </c>
      <c r="H30" s="35">
        <v>0.8</v>
      </c>
      <c r="I30" s="34" t="s">
        <v>39</v>
      </c>
      <c r="J30" s="31" t="s">
        <v>59</v>
      </c>
      <c r="K30" s="32">
        <v>80</v>
      </c>
      <c r="L30" s="32">
        <v>75</v>
      </c>
      <c r="M30" s="32">
        <v>70</v>
      </c>
      <c r="N30" s="32">
        <v>50</v>
      </c>
      <c r="O30" s="32" t="s">
        <v>60</v>
      </c>
      <c r="P30" s="185"/>
      <c r="Q30" s="186">
        <f t="shared" si="3"/>
        <v>0</v>
      </c>
      <c r="R30" s="187">
        <f t="shared" si="4"/>
        <v>0</v>
      </c>
    </row>
    <row r="31" spans="1:18" s="33" customFormat="1" ht="147" customHeight="1" x14ac:dyDescent="0.25">
      <c r="A31" s="55"/>
      <c r="B31" s="58"/>
      <c r="C31" s="61"/>
      <c r="D31" s="26" t="s">
        <v>72</v>
      </c>
      <c r="E31" s="27">
        <f>C25/10</f>
        <v>1.7179917665187077</v>
      </c>
      <c r="F31" s="27">
        <f t="shared" si="2"/>
        <v>9.0597616809678279</v>
      </c>
      <c r="G31" s="26" t="s">
        <v>73</v>
      </c>
      <c r="H31" s="35">
        <v>0.9</v>
      </c>
      <c r="I31" s="34" t="s">
        <v>39</v>
      </c>
      <c r="J31" s="31" t="s">
        <v>65</v>
      </c>
      <c r="K31" s="32">
        <v>90</v>
      </c>
      <c r="L31" s="32">
        <v>80</v>
      </c>
      <c r="M31" s="32">
        <v>70</v>
      </c>
      <c r="N31" s="32">
        <v>50</v>
      </c>
      <c r="O31" s="32" t="s">
        <v>60</v>
      </c>
      <c r="P31" s="185"/>
      <c r="Q31" s="186">
        <f t="shared" si="3"/>
        <v>0</v>
      </c>
      <c r="R31" s="187">
        <f t="shared" si="4"/>
        <v>0</v>
      </c>
    </row>
    <row r="32" spans="1:18" s="33" customFormat="1" ht="147" customHeight="1" x14ac:dyDescent="0.25">
      <c r="A32" s="55"/>
      <c r="B32" s="58"/>
      <c r="C32" s="61"/>
      <c r="D32" s="26" t="s">
        <v>74</v>
      </c>
      <c r="E32" s="27">
        <f>C25/10</f>
        <v>1.7179917665187077</v>
      </c>
      <c r="F32" s="27">
        <f t="shared" si="2"/>
        <v>9.0597616809678279</v>
      </c>
      <c r="G32" s="26" t="s">
        <v>75</v>
      </c>
      <c r="H32" s="35">
        <v>0.8</v>
      </c>
      <c r="I32" s="34" t="s">
        <v>39</v>
      </c>
      <c r="J32" s="31" t="s">
        <v>59</v>
      </c>
      <c r="K32" s="32">
        <v>80</v>
      </c>
      <c r="L32" s="32">
        <v>75</v>
      </c>
      <c r="M32" s="32">
        <v>70</v>
      </c>
      <c r="N32" s="32">
        <v>50</v>
      </c>
      <c r="O32" s="32" t="s">
        <v>60</v>
      </c>
      <c r="P32" s="185"/>
      <c r="Q32" s="186">
        <f t="shared" si="3"/>
        <v>0</v>
      </c>
      <c r="R32" s="187">
        <f t="shared" si="4"/>
        <v>0</v>
      </c>
    </row>
    <row r="33" spans="1:18" s="33" customFormat="1" ht="147" customHeight="1" x14ac:dyDescent="0.25">
      <c r="A33" s="55"/>
      <c r="B33" s="58"/>
      <c r="C33" s="61"/>
      <c r="D33" s="26" t="s">
        <v>76</v>
      </c>
      <c r="E33" s="27">
        <f>C25/10</f>
        <v>1.7179917665187077</v>
      </c>
      <c r="F33" s="27">
        <f t="shared" si="2"/>
        <v>9.0597616809678279</v>
      </c>
      <c r="G33" s="26" t="s">
        <v>77</v>
      </c>
      <c r="H33" s="35">
        <v>0.8</v>
      </c>
      <c r="I33" s="34" t="s">
        <v>39</v>
      </c>
      <c r="J33" s="31" t="s">
        <v>59</v>
      </c>
      <c r="K33" s="32">
        <v>80</v>
      </c>
      <c r="L33" s="32">
        <v>75</v>
      </c>
      <c r="M33" s="32">
        <v>70</v>
      </c>
      <c r="N33" s="32">
        <v>50</v>
      </c>
      <c r="O33" s="32" t="s">
        <v>60</v>
      </c>
      <c r="P33" s="185"/>
      <c r="Q33" s="186">
        <f t="shared" si="3"/>
        <v>0</v>
      </c>
      <c r="R33" s="187">
        <f t="shared" si="4"/>
        <v>0</v>
      </c>
    </row>
    <row r="34" spans="1:18" s="33" customFormat="1" ht="147" customHeight="1" x14ac:dyDescent="0.25">
      <c r="A34" s="56"/>
      <c r="B34" s="59"/>
      <c r="C34" s="62"/>
      <c r="D34" s="26" t="s">
        <v>78</v>
      </c>
      <c r="E34" s="27">
        <f>C25/10</f>
        <v>1.7179917665187077</v>
      </c>
      <c r="F34" s="27">
        <f t="shared" si="2"/>
        <v>9.0597616809678279</v>
      </c>
      <c r="G34" s="26" t="s">
        <v>79</v>
      </c>
      <c r="H34" s="35">
        <v>0.9</v>
      </c>
      <c r="I34" s="34" t="s">
        <v>39</v>
      </c>
      <c r="J34" s="31" t="s">
        <v>65</v>
      </c>
      <c r="K34" s="32">
        <v>90</v>
      </c>
      <c r="L34" s="32">
        <v>80</v>
      </c>
      <c r="M34" s="32">
        <v>70</v>
      </c>
      <c r="N34" s="32">
        <v>50</v>
      </c>
      <c r="O34" s="32" t="s">
        <v>60</v>
      </c>
      <c r="P34" s="185"/>
      <c r="Q34" s="186">
        <f t="shared" si="3"/>
        <v>0</v>
      </c>
      <c r="R34" s="187">
        <f t="shared" si="4"/>
        <v>0</v>
      </c>
    </row>
    <row r="35" spans="1:18" s="33" customFormat="1" ht="147" customHeight="1" x14ac:dyDescent="0.25">
      <c r="A35" s="34">
        <v>4</v>
      </c>
      <c r="B35" s="26" t="s">
        <v>80</v>
      </c>
      <c r="C35" s="36">
        <f>0.25 *1.20742393229227</f>
        <v>0.30185598307306749</v>
      </c>
      <c r="D35" s="26" t="s">
        <v>81</v>
      </c>
      <c r="E35" s="27">
        <f>C35</f>
        <v>0.30185598307306749</v>
      </c>
      <c r="F35" s="27">
        <f t="shared" si="2"/>
        <v>1.5918255965555992</v>
      </c>
      <c r="G35" s="28" t="s">
        <v>82</v>
      </c>
      <c r="H35" s="34">
        <v>5</v>
      </c>
      <c r="I35" s="30" t="s">
        <v>47</v>
      </c>
      <c r="J35" s="31" t="s">
        <v>48</v>
      </c>
      <c r="K35" s="32">
        <v>5</v>
      </c>
      <c r="L35" s="32">
        <v>4</v>
      </c>
      <c r="M35" s="32">
        <v>3</v>
      </c>
      <c r="N35" s="32">
        <v>2</v>
      </c>
      <c r="O35" s="32">
        <v>1</v>
      </c>
      <c r="P35" s="185"/>
      <c r="Q35" s="186">
        <f t="shared" si="3"/>
        <v>0</v>
      </c>
      <c r="R35" s="187">
        <f t="shared" si="4"/>
        <v>0</v>
      </c>
    </row>
    <row r="36" spans="1:18" s="33" customFormat="1" ht="147" customHeight="1" x14ac:dyDescent="0.25">
      <c r="A36" s="54">
        <v>5</v>
      </c>
      <c r="B36" s="57" t="s">
        <v>83</v>
      </c>
      <c r="C36" s="63">
        <f>0.25 *2.41484786458453</f>
        <v>0.60371196614613254</v>
      </c>
      <c r="D36" s="26" t="s">
        <v>84</v>
      </c>
      <c r="E36" s="27">
        <f>C36/2</f>
        <v>0.30185598307306627</v>
      </c>
      <c r="F36" s="27">
        <f t="shared" si="2"/>
        <v>1.591825596555593</v>
      </c>
      <c r="G36" s="28" t="s">
        <v>85</v>
      </c>
      <c r="H36" s="34">
        <v>5</v>
      </c>
      <c r="I36" s="34" t="s">
        <v>47</v>
      </c>
      <c r="J36" s="31" t="s">
        <v>48</v>
      </c>
      <c r="K36" s="32">
        <v>5</v>
      </c>
      <c r="L36" s="32">
        <v>4</v>
      </c>
      <c r="M36" s="32">
        <v>3</v>
      </c>
      <c r="N36" s="32">
        <v>2</v>
      </c>
      <c r="O36" s="32">
        <v>1</v>
      </c>
      <c r="P36" s="185"/>
      <c r="Q36" s="186">
        <f t="shared" si="3"/>
        <v>0</v>
      </c>
      <c r="R36" s="187">
        <f t="shared" si="4"/>
        <v>0</v>
      </c>
    </row>
    <row r="37" spans="1:18" s="33" customFormat="1" ht="147" customHeight="1" x14ac:dyDescent="0.25">
      <c r="A37" s="56"/>
      <c r="B37" s="59"/>
      <c r="C37" s="64"/>
      <c r="D37" s="26" t="s">
        <v>86</v>
      </c>
      <c r="E37" s="27">
        <f>C36/2</f>
        <v>0.30185598307306627</v>
      </c>
      <c r="F37" s="27">
        <f t="shared" si="2"/>
        <v>1.591825596555593</v>
      </c>
      <c r="G37" s="28" t="s">
        <v>87</v>
      </c>
      <c r="H37" s="35">
        <v>0.8</v>
      </c>
      <c r="I37" s="34" t="s">
        <v>39</v>
      </c>
      <c r="J37" s="31" t="s">
        <v>59</v>
      </c>
      <c r="K37" s="32">
        <v>80</v>
      </c>
      <c r="L37" s="32">
        <v>75</v>
      </c>
      <c r="M37" s="32">
        <v>70</v>
      </c>
      <c r="N37" s="32">
        <v>50</v>
      </c>
      <c r="O37" s="32" t="s">
        <v>60</v>
      </c>
      <c r="P37" s="185"/>
      <c r="Q37" s="186">
        <f t="shared" si="3"/>
        <v>0</v>
      </c>
      <c r="R37" s="187">
        <f t="shared" si="4"/>
        <v>0</v>
      </c>
    </row>
    <row r="38" spans="1:18" s="33" customFormat="1" ht="147" customHeight="1" x14ac:dyDescent="0.25">
      <c r="A38" s="54">
        <v>6</v>
      </c>
      <c r="B38" s="57" t="s">
        <v>88</v>
      </c>
      <c r="C38" s="63">
        <f>0.25 *0.804949288194844</f>
        <v>0.201237322048711</v>
      </c>
      <c r="D38" s="26" t="s">
        <v>89</v>
      </c>
      <c r="E38" s="27">
        <f>C38/2</f>
        <v>0.1006186610243555</v>
      </c>
      <c r="F38" s="27">
        <f t="shared" si="2"/>
        <v>0.53060853218519799</v>
      </c>
      <c r="G38" s="28" t="s">
        <v>90</v>
      </c>
      <c r="H38" s="34">
        <v>5</v>
      </c>
      <c r="I38" s="34" t="s">
        <v>47</v>
      </c>
      <c r="J38" s="31" t="s">
        <v>48</v>
      </c>
      <c r="K38" s="32">
        <v>5</v>
      </c>
      <c r="L38" s="32">
        <v>4</v>
      </c>
      <c r="M38" s="32">
        <v>3</v>
      </c>
      <c r="N38" s="32">
        <v>2</v>
      </c>
      <c r="O38" s="32">
        <v>1</v>
      </c>
      <c r="P38" s="185"/>
      <c r="Q38" s="186">
        <f t="shared" si="3"/>
        <v>0</v>
      </c>
      <c r="R38" s="187">
        <f t="shared" si="4"/>
        <v>0</v>
      </c>
    </row>
    <row r="39" spans="1:18" s="33" customFormat="1" ht="147" customHeight="1" x14ac:dyDescent="0.25">
      <c r="A39" s="56"/>
      <c r="B39" s="59"/>
      <c r="C39" s="64"/>
      <c r="D39" s="26" t="s">
        <v>91</v>
      </c>
      <c r="E39" s="27">
        <f>C38/2</f>
        <v>0.1006186610243555</v>
      </c>
      <c r="F39" s="27">
        <f t="shared" si="2"/>
        <v>0.53060853218519799</v>
      </c>
      <c r="G39" s="28" t="s">
        <v>92</v>
      </c>
      <c r="H39" s="35">
        <v>0.8</v>
      </c>
      <c r="I39" s="34" t="s">
        <v>39</v>
      </c>
      <c r="J39" s="31" t="s">
        <v>59</v>
      </c>
      <c r="K39" s="32">
        <v>80</v>
      </c>
      <c r="L39" s="32">
        <v>75</v>
      </c>
      <c r="M39" s="32">
        <v>70</v>
      </c>
      <c r="N39" s="32">
        <v>50</v>
      </c>
      <c r="O39" s="32" t="s">
        <v>60</v>
      </c>
      <c r="P39" s="185"/>
      <c r="Q39" s="186">
        <f t="shared" si="3"/>
        <v>0</v>
      </c>
      <c r="R39" s="187">
        <f t="shared" si="4"/>
        <v>0</v>
      </c>
    </row>
    <row r="40" spans="1:18" s="33" customFormat="1" ht="147" customHeight="1" x14ac:dyDescent="0.25">
      <c r="A40" s="34">
        <v>7</v>
      </c>
      <c r="B40" s="26" t="s">
        <v>93</v>
      </c>
      <c r="C40" s="36">
        <f>0.25 *0.321979715277938</f>
        <v>8.0494928819484501E-2</v>
      </c>
      <c r="D40" s="50" t="s">
        <v>94</v>
      </c>
      <c r="E40" s="27">
        <f>C40</f>
        <v>8.0494928819484501E-2</v>
      </c>
      <c r="F40" s="27">
        <f t="shared" si="2"/>
        <v>0.42448682574815894</v>
      </c>
      <c r="G40" s="28" t="s">
        <v>95</v>
      </c>
      <c r="H40" s="29">
        <v>0.7</v>
      </c>
      <c r="I40" s="34" t="s">
        <v>39</v>
      </c>
      <c r="J40" s="31" t="s">
        <v>96</v>
      </c>
      <c r="K40" s="32">
        <v>70</v>
      </c>
      <c r="L40" s="32">
        <v>60</v>
      </c>
      <c r="M40" s="32">
        <v>50</v>
      </c>
      <c r="N40" s="32">
        <v>40</v>
      </c>
      <c r="O40" s="32" t="s">
        <v>97</v>
      </c>
      <c r="P40" s="185"/>
      <c r="Q40" s="186">
        <f t="shared" si="3"/>
        <v>0</v>
      </c>
      <c r="R40" s="187">
        <f t="shared" si="4"/>
        <v>0</v>
      </c>
    </row>
    <row r="41" spans="1:18" s="33" customFormat="1" ht="147" customHeight="1" x14ac:dyDescent="0.25">
      <c r="A41" s="34">
        <v>8</v>
      </c>
      <c r="B41" s="26" t="s">
        <v>98</v>
      </c>
      <c r="C41" s="36">
        <f>0.25 *0.321979715277938</f>
        <v>8.0494928819484501E-2</v>
      </c>
      <c r="D41" s="28" t="s">
        <v>99</v>
      </c>
      <c r="E41" s="27">
        <f>C41</f>
        <v>8.0494928819484501E-2</v>
      </c>
      <c r="F41" s="27">
        <f t="shared" si="2"/>
        <v>0.42448682574815894</v>
      </c>
      <c r="G41" s="28" t="s">
        <v>100</v>
      </c>
      <c r="H41" s="29">
        <v>0.5</v>
      </c>
      <c r="I41" s="30" t="s">
        <v>39</v>
      </c>
      <c r="J41" s="31" t="s">
        <v>54</v>
      </c>
      <c r="K41" s="32">
        <v>50</v>
      </c>
      <c r="L41" s="32">
        <v>45</v>
      </c>
      <c r="M41" s="32">
        <v>40</v>
      </c>
      <c r="N41" s="32">
        <v>25</v>
      </c>
      <c r="O41" s="32" t="s">
        <v>55</v>
      </c>
      <c r="P41" s="185"/>
      <c r="Q41" s="186">
        <f t="shared" si="3"/>
        <v>0</v>
      </c>
      <c r="R41" s="187">
        <f t="shared" si="4"/>
        <v>0</v>
      </c>
    </row>
    <row r="42" spans="1:18" s="198" customFormat="1" ht="44.25" x14ac:dyDescent="0.25">
      <c r="A42" s="188"/>
      <c r="B42" s="189" t="s">
        <v>101</v>
      </c>
      <c r="C42" s="190">
        <f>SUM(C19:C41)</f>
        <v>18.962880338538657</v>
      </c>
      <c r="D42" s="189"/>
      <c r="E42" s="190">
        <f>SUM(E19:E41)</f>
        <v>18.96288033853866</v>
      </c>
      <c r="F42" s="190">
        <f>SUM(F19:F41)</f>
        <v>99.999999999999972</v>
      </c>
      <c r="G42" s="191"/>
      <c r="H42" s="192"/>
      <c r="I42" s="193"/>
      <c r="J42" s="194"/>
      <c r="K42" s="194"/>
      <c r="L42" s="194"/>
      <c r="M42" s="194"/>
      <c r="N42" s="194"/>
      <c r="O42" s="194"/>
      <c r="P42" s="195"/>
      <c r="Q42" s="196"/>
      <c r="R42" s="197">
        <f>SUM(R19:R41)</f>
        <v>0</v>
      </c>
    </row>
    <row r="43" spans="1:18" s="37" customFormat="1" ht="66" customHeight="1" x14ac:dyDescent="0.7">
      <c r="A43" s="199"/>
      <c r="G43" s="200"/>
      <c r="H43" s="200"/>
      <c r="I43" s="201" t="s">
        <v>151</v>
      </c>
      <c r="J43" s="202"/>
      <c r="K43" s="202"/>
      <c r="L43" s="202"/>
      <c r="M43" s="202"/>
      <c r="N43" s="202"/>
      <c r="O43" s="202"/>
      <c r="P43" s="202"/>
      <c r="Q43" s="203"/>
      <c r="R43" s="204">
        <f>R42/100 * 70</f>
        <v>0</v>
      </c>
    </row>
    <row r="44" spans="1:18" s="39" customFormat="1" ht="36" x14ac:dyDescent="0.55000000000000004">
      <c r="A44" s="205" t="s">
        <v>102</v>
      </c>
      <c r="B44" s="206"/>
      <c r="C44" s="206"/>
      <c r="D44" s="206"/>
      <c r="E44" s="206"/>
      <c r="F44" s="206"/>
      <c r="G44" s="207"/>
      <c r="H44" s="208"/>
      <c r="I44" s="208"/>
      <c r="J44" s="208"/>
      <c r="K44" s="208"/>
      <c r="L44" s="176" t="s">
        <v>107</v>
      </c>
      <c r="M44" s="209" t="s">
        <v>103</v>
      </c>
      <c r="N44" s="209"/>
      <c r="O44" s="209"/>
      <c r="P44" s="210"/>
      <c r="Q44" s="211"/>
      <c r="R44" s="38"/>
    </row>
    <row r="45" spans="1:18" s="39" customFormat="1" ht="31.5" customHeight="1" x14ac:dyDescent="0.55000000000000004">
      <c r="A45" s="212"/>
      <c r="B45" s="213"/>
      <c r="C45" s="214" t="s">
        <v>104</v>
      </c>
      <c r="D45" s="214"/>
      <c r="E45" s="214"/>
      <c r="F45" s="214"/>
      <c r="G45" s="214"/>
      <c r="H45" s="215" t="s">
        <v>152</v>
      </c>
      <c r="I45" s="215" t="s">
        <v>153</v>
      </c>
      <c r="J45" s="215"/>
      <c r="K45" s="216"/>
      <c r="L45" s="183"/>
      <c r="M45" s="217"/>
      <c r="N45" s="217"/>
      <c r="O45" s="217"/>
      <c r="P45" s="218"/>
      <c r="Q45" s="211"/>
      <c r="R45" s="38"/>
    </row>
    <row r="46" spans="1:18" s="39" customFormat="1" ht="36" customHeight="1" x14ac:dyDescent="0.55000000000000004">
      <c r="A46" s="219">
        <v>1</v>
      </c>
      <c r="B46" s="220" t="s">
        <v>108</v>
      </c>
      <c r="C46" s="221"/>
      <c r="D46" s="222"/>
      <c r="E46" s="222"/>
      <c r="F46" s="222"/>
      <c r="G46" s="223"/>
      <c r="H46" s="224"/>
      <c r="I46" s="224"/>
      <c r="J46" s="224"/>
      <c r="K46" s="224"/>
      <c r="L46" s="40"/>
      <c r="M46" s="225" t="s">
        <v>30</v>
      </c>
      <c r="N46" s="226" t="s">
        <v>109</v>
      </c>
      <c r="O46" s="227"/>
      <c r="P46" s="218"/>
      <c r="Q46" s="211"/>
      <c r="R46" s="38"/>
    </row>
    <row r="47" spans="1:18" s="39" customFormat="1" ht="84.75" customHeight="1" x14ac:dyDescent="0.55000000000000004">
      <c r="A47" s="228" t="s">
        <v>110</v>
      </c>
      <c r="B47" s="229" t="s">
        <v>154</v>
      </c>
      <c r="C47" s="230"/>
      <c r="D47" s="231"/>
      <c r="E47" s="231"/>
      <c r="F47" s="231"/>
      <c r="G47" s="232"/>
      <c r="H47" s="233">
        <v>4</v>
      </c>
      <c r="I47" s="234"/>
      <c r="J47" s="233"/>
      <c r="K47" s="233"/>
      <c r="L47" s="40"/>
      <c r="M47" s="225" t="s">
        <v>31</v>
      </c>
      <c r="N47" s="226" t="s">
        <v>111</v>
      </c>
      <c r="O47" s="227"/>
      <c r="P47" s="218"/>
      <c r="Q47" s="211"/>
      <c r="R47" s="38"/>
    </row>
    <row r="48" spans="1:18" s="39" customFormat="1" ht="82.5" customHeight="1" x14ac:dyDescent="0.55000000000000004">
      <c r="A48" s="228" t="s">
        <v>112</v>
      </c>
      <c r="B48" s="229" t="s">
        <v>155</v>
      </c>
      <c r="C48" s="230"/>
      <c r="D48" s="231"/>
      <c r="E48" s="231"/>
      <c r="F48" s="231"/>
      <c r="G48" s="232"/>
      <c r="H48" s="233">
        <v>2</v>
      </c>
      <c r="I48" s="234"/>
      <c r="J48" s="233"/>
      <c r="K48" s="233"/>
      <c r="L48" s="40"/>
      <c r="M48" s="225" t="s">
        <v>32</v>
      </c>
      <c r="N48" s="226" t="s">
        <v>113</v>
      </c>
      <c r="O48" s="227"/>
      <c r="P48" s="218"/>
      <c r="Q48" s="211"/>
      <c r="R48" s="38"/>
    </row>
    <row r="49" spans="1:18" s="39" customFormat="1" ht="78.75" customHeight="1" x14ac:dyDescent="0.55000000000000004">
      <c r="A49" s="228" t="s">
        <v>114</v>
      </c>
      <c r="B49" s="229" t="s">
        <v>115</v>
      </c>
      <c r="C49" s="230"/>
      <c r="D49" s="231"/>
      <c r="E49" s="231"/>
      <c r="F49" s="231"/>
      <c r="G49" s="232"/>
      <c r="H49" s="233">
        <v>2</v>
      </c>
      <c r="I49" s="234"/>
      <c r="J49" s="233"/>
      <c r="K49" s="233"/>
      <c r="L49" s="40"/>
      <c r="M49" s="225" t="s">
        <v>33</v>
      </c>
      <c r="N49" s="226" t="s">
        <v>116</v>
      </c>
      <c r="O49" s="227"/>
      <c r="P49" s="218"/>
      <c r="Q49" s="211"/>
      <c r="R49" s="38"/>
    </row>
    <row r="50" spans="1:18" s="39" customFormat="1" ht="36" x14ac:dyDescent="0.55000000000000004">
      <c r="A50" s="235">
        <v>2</v>
      </c>
      <c r="B50" s="236" t="s">
        <v>117</v>
      </c>
      <c r="C50" s="237"/>
      <c r="D50" s="238"/>
      <c r="E50" s="238"/>
      <c r="F50" s="238"/>
      <c r="G50" s="239"/>
      <c r="H50" s="233"/>
      <c r="I50" s="234"/>
      <c r="J50" s="233"/>
      <c r="K50" s="233"/>
      <c r="L50" s="40"/>
      <c r="M50" s="225" t="s">
        <v>34</v>
      </c>
      <c r="N50" s="226" t="s">
        <v>118</v>
      </c>
      <c r="O50" s="227"/>
      <c r="P50" s="218"/>
      <c r="Q50" s="211"/>
      <c r="R50" s="38"/>
    </row>
    <row r="51" spans="1:18" s="39" customFormat="1" ht="82.5" customHeight="1" x14ac:dyDescent="0.55000000000000004">
      <c r="A51" s="228" t="s">
        <v>110</v>
      </c>
      <c r="B51" s="240" t="s">
        <v>156</v>
      </c>
      <c r="C51" s="241"/>
      <c r="D51" s="242"/>
      <c r="E51" s="242"/>
      <c r="F51" s="242"/>
      <c r="G51" s="243"/>
      <c r="H51" s="233">
        <v>2</v>
      </c>
      <c r="I51" s="234"/>
      <c r="J51" s="233"/>
      <c r="K51" s="233"/>
      <c r="L51" s="40"/>
      <c r="M51" s="225" t="s">
        <v>35</v>
      </c>
      <c r="N51" s="226" t="s">
        <v>119</v>
      </c>
      <c r="O51" s="227"/>
      <c r="P51" s="244"/>
      <c r="Q51" s="211"/>
      <c r="R51" s="38"/>
    </row>
    <row r="52" spans="1:18" s="39" customFormat="1" ht="114.75" customHeight="1" x14ac:dyDescent="0.55000000000000004">
      <c r="A52" s="228" t="s">
        <v>112</v>
      </c>
      <c r="B52" s="240" t="s">
        <v>157</v>
      </c>
      <c r="C52" s="241"/>
      <c r="D52" s="242"/>
      <c r="E52" s="242"/>
      <c r="F52" s="242"/>
      <c r="G52" s="243"/>
      <c r="H52" s="233">
        <v>2</v>
      </c>
      <c r="I52" s="234"/>
      <c r="J52" s="233"/>
      <c r="K52" s="233"/>
      <c r="L52" s="40"/>
      <c r="M52" s="218" t="s">
        <v>107</v>
      </c>
      <c r="N52" s="245" t="s">
        <v>120</v>
      </c>
      <c r="O52" s="246"/>
      <c r="P52" s="244"/>
      <c r="Q52" s="211"/>
      <c r="R52" s="38"/>
    </row>
    <row r="53" spans="1:18" s="39" customFormat="1" ht="72" customHeight="1" x14ac:dyDescent="0.55000000000000004">
      <c r="A53" s="228" t="s">
        <v>114</v>
      </c>
      <c r="B53" s="240" t="s">
        <v>158</v>
      </c>
      <c r="C53" s="241"/>
      <c r="D53" s="242"/>
      <c r="E53" s="242"/>
      <c r="F53" s="242"/>
      <c r="G53" s="243"/>
      <c r="H53" s="233">
        <v>2</v>
      </c>
      <c r="I53" s="234"/>
      <c r="J53" s="233"/>
      <c r="K53" s="233"/>
      <c r="L53" s="40"/>
      <c r="M53" s="218" t="s">
        <v>121</v>
      </c>
      <c r="N53" s="245" t="s">
        <v>122</v>
      </c>
      <c r="O53" s="246"/>
      <c r="P53" s="244"/>
      <c r="Q53" s="211"/>
      <c r="R53" s="38"/>
    </row>
    <row r="54" spans="1:18" s="39" customFormat="1" ht="66" customHeight="1" x14ac:dyDescent="0.55000000000000004">
      <c r="A54" s="235">
        <v>3</v>
      </c>
      <c r="B54" s="236" t="s">
        <v>123</v>
      </c>
      <c r="C54" s="237"/>
      <c r="D54" s="238"/>
      <c r="E54" s="238"/>
      <c r="F54" s="238"/>
      <c r="G54" s="239"/>
      <c r="H54" s="233"/>
      <c r="I54" s="234"/>
      <c r="J54" s="233"/>
      <c r="K54" s="233"/>
      <c r="L54" s="40"/>
      <c r="M54" s="218" t="s">
        <v>105</v>
      </c>
      <c r="N54" s="245" t="s">
        <v>124</v>
      </c>
      <c r="O54" s="246"/>
      <c r="P54" s="244"/>
      <c r="Q54" s="211"/>
      <c r="R54" s="38"/>
    </row>
    <row r="55" spans="1:18" s="39" customFormat="1" ht="72" customHeight="1" x14ac:dyDescent="0.55000000000000004">
      <c r="A55" s="228" t="s">
        <v>110</v>
      </c>
      <c r="B55" s="240" t="s">
        <v>125</v>
      </c>
      <c r="C55" s="247"/>
      <c r="D55" s="248"/>
      <c r="E55" s="248"/>
      <c r="F55" s="248"/>
      <c r="G55" s="249"/>
      <c r="H55" s="233">
        <v>2</v>
      </c>
      <c r="I55" s="234"/>
      <c r="J55" s="233"/>
      <c r="K55" s="233"/>
      <c r="L55" s="40"/>
      <c r="M55" s="218" t="s">
        <v>106</v>
      </c>
      <c r="N55" s="245" t="s">
        <v>126</v>
      </c>
      <c r="O55" s="246"/>
      <c r="P55" s="244"/>
      <c r="Q55" s="211"/>
      <c r="R55" s="38"/>
    </row>
    <row r="56" spans="1:18" s="39" customFormat="1" ht="72" customHeight="1" x14ac:dyDescent="0.55000000000000004">
      <c r="A56" s="228" t="s">
        <v>112</v>
      </c>
      <c r="B56" s="240" t="s">
        <v>159</v>
      </c>
      <c r="C56" s="247"/>
      <c r="D56" s="248"/>
      <c r="E56" s="248"/>
      <c r="F56" s="248"/>
      <c r="G56" s="249"/>
      <c r="H56" s="233">
        <v>2</v>
      </c>
      <c r="I56" s="234"/>
      <c r="J56" s="233"/>
      <c r="K56" s="233"/>
      <c r="L56" s="40"/>
      <c r="M56" s="218" t="s">
        <v>127</v>
      </c>
      <c r="N56" s="245" t="s">
        <v>128</v>
      </c>
      <c r="O56" s="246"/>
      <c r="P56" s="244"/>
      <c r="Q56" s="211"/>
      <c r="R56" s="38"/>
    </row>
    <row r="57" spans="1:18" s="39" customFormat="1" ht="44.25" customHeight="1" x14ac:dyDescent="0.55000000000000004">
      <c r="A57" s="228" t="s">
        <v>114</v>
      </c>
      <c r="B57" s="240" t="s">
        <v>160</v>
      </c>
      <c r="C57" s="247"/>
      <c r="D57" s="248"/>
      <c r="E57" s="248"/>
      <c r="F57" s="248"/>
      <c r="G57" s="249"/>
      <c r="H57" s="233">
        <v>2</v>
      </c>
      <c r="I57" s="234"/>
      <c r="J57" s="233"/>
      <c r="K57" s="233"/>
      <c r="L57" s="40"/>
      <c r="M57" s="250"/>
      <c r="N57" s="250"/>
      <c r="O57" s="250"/>
      <c r="P57" s="251"/>
      <c r="Q57" s="211"/>
      <c r="R57" s="38"/>
    </row>
    <row r="58" spans="1:18" s="39" customFormat="1" ht="31.5" customHeight="1" x14ac:dyDescent="0.55000000000000004">
      <c r="A58" s="252" t="s">
        <v>129</v>
      </c>
      <c r="B58" s="253"/>
      <c r="C58" s="253"/>
      <c r="D58" s="253"/>
      <c r="E58" s="253"/>
      <c r="F58" s="253"/>
      <c r="G58" s="253"/>
      <c r="H58" s="254">
        <f>SUM(H47:H57)</f>
        <v>20</v>
      </c>
      <c r="I58" s="254">
        <f>SUM(I47:I57)</f>
        <v>0</v>
      </c>
      <c r="J58" s="254"/>
      <c r="K58" s="255"/>
      <c r="L58" s="40"/>
      <c r="M58" s="250"/>
      <c r="N58" s="250"/>
      <c r="O58" s="250"/>
      <c r="P58" s="251"/>
      <c r="Q58" s="211"/>
      <c r="R58" s="38"/>
    </row>
    <row r="59" spans="1:18" s="39" customFormat="1" ht="36" customHeight="1" x14ac:dyDescent="0.55000000000000004">
      <c r="A59" s="256" t="s">
        <v>110</v>
      </c>
      <c r="B59" s="257" t="s">
        <v>130</v>
      </c>
      <c r="C59" s="241" t="s">
        <v>131</v>
      </c>
      <c r="D59" s="242"/>
      <c r="E59" s="242"/>
      <c r="F59" s="242"/>
      <c r="G59" s="243"/>
      <c r="H59" s="258">
        <v>4</v>
      </c>
      <c r="I59" s="259"/>
      <c r="J59" s="258"/>
      <c r="K59" s="260"/>
      <c r="L59" s="40"/>
      <c r="M59" s="250"/>
      <c r="N59" s="250"/>
      <c r="O59" s="250"/>
      <c r="P59" s="251"/>
      <c r="Q59" s="211"/>
      <c r="R59" s="38"/>
    </row>
    <row r="60" spans="1:18" s="39" customFormat="1" ht="129" customHeight="1" x14ac:dyDescent="0.55000000000000004">
      <c r="A60" s="256" t="s">
        <v>112</v>
      </c>
      <c r="B60" s="257" t="s">
        <v>132</v>
      </c>
      <c r="C60" s="241" t="s">
        <v>133</v>
      </c>
      <c r="D60" s="242"/>
      <c r="E60" s="242"/>
      <c r="F60" s="242"/>
      <c r="G60" s="243"/>
      <c r="H60" s="258">
        <v>3</v>
      </c>
      <c r="I60" s="259"/>
      <c r="J60" s="258"/>
      <c r="K60" s="260"/>
      <c r="L60" s="40"/>
      <c r="M60" s="250"/>
      <c r="N60" s="250"/>
      <c r="O60" s="250"/>
      <c r="P60" s="251"/>
      <c r="Q60" s="211"/>
      <c r="R60" s="38"/>
    </row>
    <row r="61" spans="1:18" s="39" customFormat="1" ht="69" customHeight="1" x14ac:dyDescent="0.55000000000000004">
      <c r="A61" s="256" t="s">
        <v>112</v>
      </c>
      <c r="B61" s="257" t="s">
        <v>134</v>
      </c>
      <c r="C61" s="241" t="s">
        <v>135</v>
      </c>
      <c r="D61" s="242"/>
      <c r="E61" s="242"/>
      <c r="F61" s="242"/>
      <c r="G61" s="243"/>
      <c r="H61" s="258">
        <v>3</v>
      </c>
      <c r="I61" s="259"/>
      <c r="J61" s="258"/>
      <c r="K61" s="260"/>
      <c r="L61" s="40"/>
      <c r="M61" s="250"/>
      <c r="N61" s="250"/>
      <c r="O61" s="250"/>
      <c r="P61" s="251"/>
      <c r="Q61" s="211"/>
      <c r="R61" s="38"/>
    </row>
    <row r="62" spans="1:18" s="39" customFormat="1" ht="46.5" customHeight="1" x14ac:dyDescent="0.55000000000000004">
      <c r="A62" s="261"/>
      <c r="B62" s="262" t="s">
        <v>136</v>
      </c>
      <c r="C62" s="262"/>
      <c r="D62" s="262"/>
      <c r="E62" s="263"/>
      <c r="F62" s="263"/>
      <c r="G62" s="263"/>
      <c r="H62" s="254">
        <f>SUM(H59:H61)</f>
        <v>10</v>
      </c>
      <c r="I62" s="254">
        <f>SUM(I59:I61)</f>
        <v>0</v>
      </c>
      <c r="J62" s="263"/>
      <c r="K62" s="264"/>
      <c r="L62" s="250"/>
      <c r="M62" s="250"/>
      <c r="N62" s="250"/>
      <c r="O62" s="250"/>
      <c r="P62" s="251"/>
      <c r="Q62" s="211"/>
      <c r="R62" s="38"/>
    </row>
    <row r="63" spans="1:18" s="42" customFormat="1" ht="45" customHeight="1" x14ac:dyDescent="0.7">
      <c r="A63" s="41"/>
      <c r="B63" s="265"/>
      <c r="C63" s="266"/>
      <c r="D63" s="266"/>
      <c r="E63" s="266"/>
      <c r="F63" s="267"/>
      <c r="G63" s="267"/>
      <c r="H63" s="267"/>
      <c r="I63" s="267"/>
      <c r="J63" s="267"/>
      <c r="K63" s="266"/>
      <c r="L63" s="266"/>
      <c r="M63" s="266"/>
      <c r="N63" s="266"/>
      <c r="O63" s="268" t="s">
        <v>161</v>
      </c>
      <c r="P63" s="269"/>
      <c r="Q63" s="268" t="s">
        <v>162</v>
      </c>
      <c r="R63" s="270"/>
    </row>
    <row r="64" spans="1:18" s="42" customFormat="1" ht="45" customHeight="1" x14ac:dyDescent="0.7">
      <c r="A64" s="41"/>
      <c r="B64" s="271"/>
      <c r="C64" s="272" t="s">
        <v>163</v>
      </c>
      <c r="D64" s="273"/>
      <c r="E64" s="273"/>
      <c r="F64" s="273"/>
      <c r="G64" s="273"/>
      <c r="H64" s="273"/>
      <c r="I64" s="273"/>
      <c r="J64" s="273"/>
      <c r="K64" s="274"/>
      <c r="L64" s="275"/>
      <c r="M64" s="276"/>
      <c r="N64" s="277"/>
      <c r="O64" s="278">
        <f>R43</f>
        <v>0</v>
      </c>
      <c r="P64" s="279"/>
      <c r="Q64" s="280">
        <f>O67/100 * 20</f>
        <v>0</v>
      </c>
      <c r="R64" s="281"/>
    </row>
    <row r="65" spans="1:18" s="42" customFormat="1" ht="45" customHeight="1" x14ac:dyDescent="0.7">
      <c r="A65" s="41"/>
      <c r="B65" s="271"/>
      <c r="C65" s="273" t="s">
        <v>164</v>
      </c>
      <c r="D65" s="273"/>
      <c r="E65" s="273"/>
      <c r="F65" s="273"/>
      <c r="G65" s="273"/>
      <c r="H65" s="273"/>
      <c r="I65" s="273"/>
      <c r="J65" s="273"/>
      <c r="K65" s="273"/>
      <c r="L65" s="276"/>
      <c r="M65" s="276"/>
      <c r="N65" s="277"/>
      <c r="O65" s="278">
        <f>I58</f>
        <v>0</v>
      </c>
      <c r="P65" s="279"/>
      <c r="Q65" s="282"/>
      <c r="R65" s="283"/>
    </row>
    <row r="66" spans="1:18" s="42" customFormat="1" ht="45" customHeight="1" x14ac:dyDescent="0.7">
      <c r="A66" s="41"/>
      <c r="B66" s="271"/>
      <c r="C66" s="272" t="s">
        <v>165</v>
      </c>
      <c r="D66" s="273"/>
      <c r="E66" s="273"/>
      <c r="F66" s="273"/>
      <c r="G66" s="273"/>
      <c r="H66" s="273"/>
      <c r="I66" s="273"/>
      <c r="J66" s="273"/>
      <c r="K66" s="274"/>
      <c r="L66" s="275"/>
      <c r="M66" s="276"/>
      <c r="N66" s="277"/>
      <c r="O66" s="278">
        <f>I62</f>
        <v>0</v>
      </c>
      <c r="P66" s="279"/>
      <c r="Q66" s="282"/>
      <c r="R66" s="283"/>
    </row>
    <row r="67" spans="1:18" s="42" customFormat="1" ht="45" customHeight="1" x14ac:dyDescent="0.7">
      <c r="A67" s="41"/>
      <c r="B67" s="284"/>
      <c r="C67" s="272" t="s">
        <v>166</v>
      </c>
      <c r="D67" s="273"/>
      <c r="E67" s="273"/>
      <c r="F67" s="273"/>
      <c r="G67" s="273"/>
      <c r="H67" s="273"/>
      <c r="I67" s="273"/>
      <c r="J67" s="273"/>
      <c r="K67" s="274"/>
      <c r="L67" s="275"/>
      <c r="M67" s="276"/>
      <c r="N67" s="277"/>
      <c r="O67" s="278">
        <f>SUM(O64:P66)</f>
        <v>0</v>
      </c>
      <c r="P67" s="279"/>
      <c r="Q67" s="285"/>
      <c r="R67" s="286"/>
    </row>
    <row r="68" spans="1:18" s="42" customFormat="1" ht="64.900000000000006" customHeight="1" x14ac:dyDescent="0.7">
      <c r="A68" s="41"/>
      <c r="B68" s="287" t="s">
        <v>167</v>
      </c>
      <c r="C68" s="287"/>
      <c r="D68" s="287"/>
      <c r="E68" s="287"/>
      <c r="F68" s="287"/>
      <c r="G68" s="287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9"/>
    </row>
    <row r="69" spans="1:18" s="42" customFormat="1" ht="64.900000000000006" customHeight="1" x14ac:dyDescent="0.7">
      <c r="A69" s="41"/>
      <c r="B69" s="88" t="s">
        <v>168</v>
      </c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9"/>
    </row>
    <row r="70" spans="1:18" s="42" customFormat="1" ht="48.75" customHeight="1" x14ac:dyDescent="0.7">
      <c r="A70" s="41"/>
      <c r="B70" s="290" t="s">
        <v>169</v>
      </c>
      <c r="C70" s="290"/>
      <c r="D70" s="290"/>
      <c r="E70" s="290"/>
      <c r="F70" s="290"/>
      <c r="G70" s="290"/>
      <c r="H70" s="291"/>
      <c r="I70" s="291"/>
      <c r="J70" s="291"/>
      <c r="K70" s="291"/>
      <c r="L70" s="291"/>
      <c r="M70" s="291"/>
      <c r="N70" s="291"/>
      <c r="O70" s="291"/>
      <c r="P70" s="291"/>
      <c r="Q70" s="291"/>
      <c r="R70" s="292"/>
    </row>
    <row r="71" spans="1:18" s="42" customFormat="1" ht="45.75" x14ac:dyDescent="0.7">
      <c r="A71" s="41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9"/>
    </row>
    <row r="72" spans="1:18" s="39" customFormat="1" ht="31.5" customHeight="1" x14ac:dyDescent="0.55000000000000004">
      <c r="A72" s="90" t="s">
        <v>170</v>
      </c>
      <c r="B72" s="75"/>
      <c r="C72" s="67"/>
      <c r="D72" s="68"/>
      <c r="E72" s="71" t="s">
        <v>171</v>
      </c>
      <c r="F72" s="73"/>
      <c r="G72" s="75" t="s">
        <v>172</v>
      </c>
      <c r="H72" s="67"/>
      <c r="I72" s="67"/>
      <c r="J72" s="67"/>
      <c r="K72" s="43"/>
      <c r="L72" s="40"/>
      <c r="M72" s="93"/>
      <c r="N72" s="93"/>
      <c r="O72" s="93"/>
      <c r="P72" s="93"/>
      <c r="Q72" s="93"/>
      <c r="R72" s="38"/>
    </row>
    <row r="73" spans="1:18" s="39" customFormat="1" ht="31.5" customHeight="1" x14ac:dyDescent="0.55000000000000004">
      <c r="A73" s="65"/>
      <c r="B73" s="66"/>
      <c r="C73" s="81"/>
      <c r="D73" s="82"/>
      <c r="E73" s="92"/>
      <c r="F73" s="86"/>
      <c r="G73" s="66"/>
      <c r="H73" s="81"/>
      <c r="I73" s="81"/>
      <c r="J73" s="81"/>
      <c r="K73" s="43"/>
      <c r="L73" s="40"/>
      <c r="M73" s="94"/>
      <c r="N73" s="94"/>
      <c r="O73" s="94"/>
      <c r="P73" s="94"/>
      <c r="Q73" s="94"/>
      <c r="R73" s="38"/>
    </row>
    <row r="74" spans="1:18" s="39" customFormat="1" ht="31.5" customHeight="1" x14ac:dyDescent="0.55000000000000004">
      <c r="A74" s="65"/>
      <c r="B74" s="66"/>
      <c r="C74" s="81"/>
      <c r="D74" s="82"/>
      <c r="E74" s="92"/>
      <c r="F74" s="86"/>
      <c r="G74" s="66"/>
      <c r="H74" s="81"/>
      <c r="I74" s="81"/>
      <c r="J74" s="81"/>
      <c r="K74" s="43"/>
      <c r="L74" s="40"/>
      <c r="M74" s="94"/>
      <c r="N74" s="94"/>
      <c r="O74" s="94"/>
      <c r="P74" s="94"/>
      <c r="Q74" s="94"/>
      <c r="R74" s="38"/>
    </row>
    <row r="75" spans="1:18" s="39" customFormat="1" ht="31.5" customHeight="1" x14ac:dyDescent="0.55000000000000004">
      <c r="A75" s="91"/>
      <c r="B75" s="76"/>
      <c r="C75" s="69"/>
      <c r="D75" s="70"/>
      <c r="E75" s="72"/>
      <c r="F75" s="74"/>
      <c r="G75" s="76"/>
      <c r="H75" s="69"/>
      <c r="I75" s="69"/>
      <c r="J75" s="69"/>
      <c r="K75" s="43"/>
      <c r="L75" s="40"/>
      <c r="M75" s="94"/>
      <c r="N75" s="94"/>
      <c r="O75" s="94"/>
      <c r="P75" s="94"/>
      <c r="Q75" s="94"/>
      <c r="R75" s="38"/>
    </row>
    <row r="76" spans="1:18" s="39" customFormat="1" ht="31.5" customHeight="1" x14ac:dyDescent="0.55000000000000004">
      <c r="A76" s="77" t="s">
        <v>137</v>
      </c>
      <c r="B76" s="78"/>
      <c r="C76" s="67"/>
      <c r="D76" s="68"/>
      <c r="E76" s="83" t="s">
        <v>173</v>
      </c>
      <c r="F76" s="73"/>
      <c r="G76" s="78" t="s">
        <v>173</v>
      </c>
      <c r="H76" s="67"/>
      <c r="I76" s="67"/>
      <c r="J76" s="67"/>
      <c r="K76" s="43"/>
      <c r="L76" s="40"/>
      <c r="M76" s="94"/>
      <c r="N76" s="94"/>
      <c r="O76" s="94"/>
      <c r="P76" s="94"/>
      <c r="Q76" s="94"/>
      <c r="R76" s="38"/>
    </row>
    <row r="77" spans="1:18" s="39" customFormat="1" ht="31.5" customHeight="1" x14ac:dyDescent="0.55000000000000004">
      <c r="A77" s="79"/>
      <c r="B77" s="80"/>
      <c r="C77" s="81"/>
      <c r="D77" s="82"/>
      <c r="E77" s="84"/>
      <c r="F77" s="86"/>
      <c r="G77" s="80"/>
      <c r="H77" s="81"/>
      <c r="I77" s="81"/>
      <c r="J77" s="81"/>
      <c r="K77" s="43"/>
      <c r="L77" s="40"/>
      <c r="M77" s="94"/>
      <c r="N77" s="94"/>
      <c r="O77" s="94"/>
      <c r="P77" s="94"/>
      <c r="Q77" s="94"/>
      <c r="R77" s="38"/>
    </row>
    <row r="78" spans="1:18" s="39" customFormat="1" ht="31.5" customHeight="1" x14ac:dyDescent="0.55000000000000004">
      <c r="A78" s="79"/>
      <c r="B78" s="80"/>
      <c r="C78" s="69"/>
      <c r="D78" s="70"/>
      <c r="E78" s="85"/>
      <c r="F78" s="74"/>
      <c r="G78" s="87"/>
      <c r="H78" s="69"/>
      <c r="I78" s="69"/>
      <c r="J78" s="69"/>
      <c r="K78" s="43"/>
      <c r="L78" s="40"/>
      <c r="M78" s="94"/>
      <c r="N78" s="94"/>
      <c r="O78" s="94"/>
      <c r="P78" s="94"/>
      <c r="Q78" s="94"/>
      <c r="R78" s="38"/>
    </row>
    <row r="79" spans="1:18" s="39" customFormat="1" ht="31.5" customHeight="1" x14ac:dyDescent="0.55000000000000004">
      <c r="A79" s="65" t="s">
        <v>138</v>
      </c>
      <c r="B79" s="66"/>
      <c r="C79" s="67"/>
      <c r="D79" s="68"/>
      <c r="E79" s="71" t="s">
        <v>174</v>
      </c>
      <c r="F79" s="73"/>
      <c r="G79" s="75" t="s">
        <v>174</v>
      </c>
      <c r="H79" s="67"/>
      <c r="I79" s="67"/>
      <c r="J79" s="67"/>
      <c r="K79" s="43"/>
      <c r="L79" s="40"/>
      <c r="M79" s="94"/>
      <c r="N79" s="94"/>
      <c r="O79" s="94"/>
      <c r="P79" s="94"/>
      <c r="Q79" s="94"/>
      <c r="R79" s="38"/>
    </row>
    <row r="80" spans="1:18" s="39" customFormat="1" ht="31.5" customHeight="1" x14ac:dyDescent="0.55000000000000004">
      <c r="A80" s="65"/>
      <c r="B80" s="66"/>
      <c r="C80" s="69"/>
      <c r="D80" s="70"/>
      <c r="E80" s="72"/>
      <c r="F80" s="74"/>
      <c r="G80" s="76"/>
      <c r="H80" s="69"/>
      <c r="I80" s="69"/>
      <c r="J80" s="69"/>
      <c r="K80" s="43"/>
      <c r="L80" s="40"/>
      <c r="M80" s="94"/>
      <c r="N80" s="94"/>
      <c r="O80" s="94"/>
      <c r="P80" s="94"/>
      <c r="Q80" s="94"/>
      <c r="R80" s="38"/>
    </row>
    <row r="81" spans="1:18" s="39" customFormat="1" ht="31.5" customHeight="1" thickBot="1" x14ac:dyDescent="0.6">
      <c r="A81" s="52"/>
      <c r="B81" s="53"/>
      <c r="C81" s="53"/>
      <c r="D81" s="53"/>
      <c r="E81" s="53"/>
      <c r="F81" s="53"/>
      <c r="G81" s="53"/>
      <c r="H81" s="53"/>
      <c r="I81" s="53"/>
      <c r="J81" s="53"/>
      <c r="K81" s="44"/>
      <c r="L81" s="45"/>
      <c r="M81" s="95"/>
      <c r="N81" s="95"/>
      <c r="O81" s="95"/>
      <c r="P81" s="95"/>
      <c r="Q81" s="95"/>
      <c r="R81" s="46"/>
    </row>
  </sheetData>
  <mergeCells count="115">
    <mergeCell ref="A81:J81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9:B80"/>
    <mergeCell ref="C79:D80"/>
    <mergeCell ref="E79:E80"/>
    <mergeCell ref="F79:F80"/>
    <mergeCell ref="G79:G80"/>
    <mergeCell ref="H79:J80"/>
    <mergeCell ref="A76:B78"/>
    <mergeCell ref="C76:D78"/>
    <mergeCell ref="E76:E78"/>
    <mergeCell ref="F76:F78"/>
    <mergeCell ref="G76:G78"/>
    <mergeCell ref="H76:J78"/>
    <mergeCell ref="B69:R69"/>
    <mergeCell ref="B70:G70"/>
    <mergeCell ref="B71:R71"/>
    <mergeCell ref="A72:B75"/>
    <mergeCell ref="C72:D75"/>
    <mergeCell ref="E72:E75"/>
    <mergeCell ref="F72:F75"/>
    <mergeCell ref="G72:G75"/>
    <mergeCell ref="H72:J75"/>
    <mergeCell ref="M72:Q81"/>
    <mergeCell ref="L66:N66"/>
    <mergeCell ref="O66:P66"/>
    <mergeCell ref="C67:K67"/>
    <mergeCell ref="L67:N67"/>
    <mergeCell ref="O67:P67"/>
    <mergeCell ref="B68:G68"/>
    <mergeCell ref="O63:P63"/>
    <mergeCell ref="Q63:R63"/>
    <mergeCell ref="C64:K64"/>
    <mergeCell ref="L64:N64"/>
    <mergeCell ref="O64:P64"/>
    <mergeCell ref="Q64:R67"/>
    <mergeCell ref="C65:K65"/>
    <mergeCell ref="L65:N65"/>
    <mergeCell ref="O65:P65"/>
    <mergeCell ref="C66:K66"/>
    <mergeCell ref="A58:G58"/>
    <mergeCell ref="C59:G59"/>
    <mergeCell ref="C60:G60"/>
    <mergeCell ref="C61:G61"/>
    <mergeCell ref="B62:D62"/>
    <mergeCell ref="B63:B67"/>
    <mergeCell ref="F63:J63"/>
    <mergeCell ref="C52:G52"/>
    <mergeCell ref="C53:G53"/>
    <mergeCell ref="C54:G54"/>
    <mergeCell ref="C55:G55"/>
    <mergeCell ref="C56:G56"/>
    <mergeCell ref="C57:G57"/>
    <mergeCell ref="C49:G49"/>
    <mergeCell ref="N49:O49"/>
    <mergeCell ref="C50:G50"/>
    <mergeCell ref="N50:O50"/>
    <mergeCell ref="C51:G51"/>
    <mergeCell ref="N51:O51"/>
    <mergeCell ref="C46:G46"/>
    <mergeCell ref="N46:O46"/>
    <mergeCell ref="C47:G47"/>
    <mergeCell ref="N47:O47"/>
    <mergeCell ref="C48:G48"/>
    <mergeCell ref="N48:O48"/>
    <mergeCell ref="R17:R18"/>
    <mergeCell ref="I43:Q43"/>
    <mergeCell ref="A44:G44"/>
    <mergeCell ref="H44:K44"/>
    <mergeCell ref="L44:L45"/>
    <mergeCell ref="C45:G45"/>
    <mergeCell ref="A38:A39"/>
    <mergeCell ref="B38:B39"/>
    <mergeCell ref="C38:C39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0E4096C7-247F-4134-B9DE-0575F5981257}"/>
  </hyperlinks>
  <pageMargins left="0.7" right="0.7" top="0.75" bottom="0.75" header="0.3" footer="0.3"/>
  <pageSetup scale="14" fitToHeight="0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D5C90-028F-4445-A0C4-03C5502DE0A8}">
  <sheetPr>
    <pageSetUpPr fitToPage="1"/>
  </sheetPr>
  <dimension ref="A1:R81"/>
  <sheetViews>
    <sheetView zoomScale="30" zoomScaleNormal="30" workbookViewId="0">
      <selection activeCell="A19" sqref="A19:O41"/>
    </sheetView>
  </sheetViews>
  <sheetFormatPr defaultRowHeight="31.5" customHeight="1" x14ac:dyDescent="0.55000000000000004"/>
  <cols>
    <col min="1" max="1" width="15.5703125" style="47" bestFit="1" customWidth="1"/>
    <col min="2" max="2" width="85.42578125" style="1" bestFit="1" customWidth="1"/>
    <col min="3" max="3" width="39.5703125" style="1" bestFit="1" customWidth="1"/>
    <col min="4" max="4" width="114.85546875" style="1" customWidth="1"/>
    <col min="5" max="5" width="64.7109375" style="47" bestFit="1" customWidth="1"/>
    <col min="6" max="6" width="42" style="47" customWidth="1"/>
    <col min="7" max="7" width="255.7109375" style="1" bestFit="1" customWidth="1"/>
    <col min="8" max="8" width="33" style="47" customWidth="1"/>
    <col min="9" max="9" width="62.42578125" style="47" customWidth="1"/>
    <col min="10" max="10" width="45.140625" style="47" customWidth="1"/>
    <col min="11" max="13" width="35.28515625" style="47" bestFit="1" customWidth="1"/>
    <col min="14" max="14" width="40.7109375" style="47" bestFit="1" customWidth="1"/>
    <col min="15" max="15" width="36.85546875" style="47" bestFit="1" customWidth="1"/>
    <col min="16" max="17" width="36.85546875" style="48" customWidth="1"/>
    <col min="18" max="18" width="36.85546875" style="49" customWidth="1"/>
    <col min="19" max="16384" width="9.140625" style="1"/>
  </cols>
  <sheetData>
    <row r="1" spans="1:18" ht="31.5" customHeight="1" x14ac:dyDescent="0.25">
      <c r="A1" s="107" t="s">
        <v>139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9"/>
    </row>
    <row r="2" spans="1:18" ht="31.5" customHeight="1" x14ac:dyDescent="0.25">
      <c r="A2" s="1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2"/>
    </row>
    <row r="3" spans="1:18" ht="31.5" customHeight="1" thickBot="1" x14ac:dyDescent="0.3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2"/>
    </row>
    <row r="4" spans="1:18" s="2" customFormat="1" ht="45.75" x14ac:dyDescent="0.25">
      <c r="A4" s="113" t="s">
        <v>0</v>
      </c>
      <c r="B4" s="114"/>
      <c r="C4" s="114"/>
      <c r="D4" s="114"/>
      <c r="E4" s="114"/>
      <c r="F4" s="114"/>
      <c r="G4" s="114"/>
      <c r="H4" s="114"/>
      <c r="I4" s="114"/>
      <c r="J4" s="114"/>
      <c r="K4" s="115"/>
      <c r="L4" s="116"/>
      <c r="M4" s="116"/>
      <c r="N4" s="116"/>
      <c r="O4" s="116"/>
      <c r="P4" s="116"/>
      <c r="Q4" s="116"/>
      <c r="R4" s="117"/>
    </row>
    <row r="5" spans="1:18" s="9" customFormat="1" ht="32.25" x14ac:dyDescent="0.5">
      <c r="A5" s="3" t="s">
        <v>1</v>
      </c>
      <c r="B5" s="4" t="s">
        <v>179</v>
      </c>
      <c r="C5" s="5" t="s">
        <v>2</v>
      </c>
      <c r="D5" s="6" t="s">
        <v>180</v>
      </c>
      <c r="E5" s="124"/>
      <c r="F5" s="124"/>
      <c r="G5" s="124"/>
      <c r="H5" s="124"/>
      <c r="I5" s="7"/>
      <c r="J5" s="8"/>
      <c r="K5" s="118"/>
      <c r="L5" s="119"/>
      <c r="M5" s="119"/>
      <c r="N5" s="119"/>
      <c r="O5" s="119"/>
      <c r="P5" s="119"/>
      <c r="Q5" s="119"/>
      <c r="R5" s="120"/>
    </row>
    <row r="6" spans="1:18" s="12" customFormat="1" ht="38.25" customHeight="1" x14ac:dyDescent="0.55000000000000004">
      <c r="A6" s="125" t="s">
        <v>3</v>
      </c>
      <c r="B6" s="126"/>
      <c r="C6" s="126"/>
      <c r="D6" s="126"/>
      <c r="E6" s="126"/>
      <c r="F6" s="126"/>
      <c r="G6" s="126"/>
      <c r="H6" s="126"/>
      <c r="I6" s="10"/>
      <c r="J6" s="11"/>
      <c r="K6" s="118"/>
      <c r="L6" s="119"/>
      <c r="M6" s="119"/>
      <c r="N6" s="119"/>
      <c r="O6" s="119"/>
      <c r="P6" s="119"/>
      <c r="Q6" s="119"/>
      <c r="R6" s="120"/>
    </row>
    <row r="7" spans="1:18" s="134" customFormat="1" ht="39" x14ac:dyDescent="0.6">
      <c r="A7" s="127" t="s">
        <v>4</v>
      </c>
      <c r="B7" s="128"/>
      <c r="C7" s="129" t="s">
        <v>181</v>
      </c>
      <c r="D7" s="130" t="s">
        <v>5</v>
      </c>
      <c r="E7" s="129" t="s">
        <v>182</v>
      </c>
      <c r="F7" s="130" t="s">
        <v>6</v>
      </c>
      <c r="G7" s="131"/>
      <c r="H7" s="130" t="s">
        <v>7</v>
      </c>
      <c r="I7" s="132" t="s">
        <v>183</v>
      </c>
      <c r="J7" s="133"/>
      <c r="K7" s="118"/>
      <c r="L7" s="119"/>
      <c r="M7" s="119"/>
      <c r="N7" s="119"/>
      <c r="O7" s="119"/>
      <c r="P7" s="119"/>
      <c r="Q7" s="119"/>
      <c r="R7" s="120"/>
    </row>
    <row r="8" spans="1:18" s="134" customFormat="1" ht="39" x14ac:dyDescent="0.6">
      <c r="A8" s="135" t="s">
        <v>8</v>
      </c>
      <c r="B8" s="136"/>
      <c r="C8" s="137">
        <v>359823</v>
      </c>
      <c r="D8" s="138" t="s">
        <v>9</v>
      </c>
      <c r="E8" s="139" t="s">
        <v>184</v>
      </c>
      <c r="F8" s="138" t="s">
        <v>10</v>
      </c>
      <c r="G8" s="140" t="s">
        <v>185</v>
      </c>
      <c r="H8" s="138" t="s">
        <v>11</v>
      </c>
      <c r="I8" s="141" t="s">
        <v>186</v>
      </c>
      <c r="J8" s="142"/>
      <c r="K8" s="118"/>
      <c r="L8" s="119"/>
      <c r="M8" s="119"/>
      <c r="N8" s="119"/>
      <c r="O8" s="119"/>
      <c r="P8" s="119"/>
      <c r="Q8" s="119"/>
      <c r="R8" s="120"/>
    </row>
    <row r="9" spans="1:18" s="14" customFormat="1" ht="62.25" customHeight="1" x14ac:dyDescent="0.6">
      <c r="A9" s="102" t="s">
        <v>12</v>
      </c>
      <c r="B9" s="102"/>
      <c r="C9" s="102"/>
      <c r="D9" s="102"/>
      <c r="E9" s="102"/>
      <c r="F9" s="102"/>
      <c r="G9" s="102"/>
      <c r="H9" s="102"/>
      <c r="I9" s="102"/>
      <c r="J9" s="13"/>
      <c r="K9" s="118"/>
      <c r="L9" s="119"/>
      <c r="M9" s="119"/>
      <c r="N9" s="119"/>
      <c r="O9" s="119"/>
      <c r="P9" s="119"/>
      <c r="Q9" s="119"/>
      <c r="R9" s="120"/>
    </row>
    <row r="10" spans="1:18" s="150" customFormat="1" ht="39" x14ac:dyDescent="0.6">
      <c r="A10" s="143" t="s">
        <v>4</v>
      </c>
      <c r="B10" s="144"/>
      <c r="C10" s="145" t="s">
        <v>187</v>
      </c>
      <c r="D10" s="146" t="s">
        <v>5</v>
      </c>
      <c r="E10" s="145" t="s">
        <v>188</v>
      </c>
      <c r="F10" s="146" t="s">
        <v>6</v>
      </c>
      <c r="G10" s="147"/>
      <c r="H10" s="146" t="s">
        <v>7</v>
      </c>
      <c r="I10" s="148" t="s">
        <v>189</v>
      </c>
      <c r="J10" s="149"/>
      <c r="K10" s="118"/>
      <c r="L10" s="119"/>
      <c r="M10" s="119"/>
      <c r="N10" s="119"/>
      <c r="O10" s="119"/>
      <c r="P10" s="119"/>
      <c r="Q10" s="119"/>
      <c r="R10" s="120"/>
    </row>
    <row r="11" spans="1:18" s="150" customFormat="1" ht="39" x14ac:dyDescent="0.6">
      <c r="A11" s="151" t="s">
        <v>8</v>
      </c>
      <c r="B11" s="152"/>
      <c r="C11" s="153">
        <v>168083</v>
      </c>
      <c r="D11" s="154" t="s">
        <v>9</v>
      </c>
      <c r="E11" s="155" t="s">
        <v>190</v>
      </c>
      <c r="F11" s="154" t="s">
        <v>10</v>
      </c>
      <c r="G11" s="156"/>
      <c r="H11" s="154" t="s">
        <v>11</v>
      </c>
      <c r="I11" s="157" t="s">
        <v>186</v>
      </c>
      <c r="J11" s="158"/>
      <c r="K11" s="118"/>
      <c r="L11" s="119"/>
      <c r="M11" s="119"/>
      <c r="N11" s="119"/>
      <c r="O11" s="119"/>
      <c r="P11" s="119"/>
      <c r="Q11" s="119"/>
      <c r="R11" s="120"/>
    </row>
    <row r="12" spans="1:18" s="14" customFormat="1" ht="39" x14ac:dyDescent="0.6">
      <c r="A12" s="102" t="s">
        <v>13</v>
      </c>
      <c r="B12" s="102"/>
      <c r="C12" s="102"/>
      <c r="D12" s="102"/>
      <c r="E12" s="102"/>
      <c r="F12" s="102"/>
      <c r="G12" s="102"/>
      <c r="H12" s="102"/>
      <c r="I12" s="102"/>
      <c r="J12" s="13"/>
      <c r="K12" s="118"/>
      <c r="L12" s="119"/>
      <c r="M12" s="119"/>
      <c r="N12" s="119"/>
      <c r="O12" s="119"/>
      <c r="P12" s="119"/>
      <c r="Q12" s="119"/>
      <c r="R12" s="120"/>
    </row>
    <row r="13" spans="1:18" s="19" customFormat="1" ht="39" x14ac:dyDescent="0.6">
      <c r="A13" s="103" t="s">
        <v>4</v>
      </c>
      <c r="B13" s="104"/>
      <c r="C13" s="15" t="s">
        <v>14</v>
      </c>
      <c r="D13" s="16" t="s">
        <v>5</v>
      </c>
      <c r="E13" s="15" t="s">
        <v>15</v>
      </c>
      <c r="F13" s="17" t="s">
        <v>6</v>
      </c>
      <c r="G13" s="18" t="s">
        <v>16</v>
      </c>
      <c r="H13" s="16" t="s">
        <v>7</v>
      </c>
      <c r="I13" s="105" t="s">
        <v>17</v>
      </c>
      <c r="J13" s="106"/>
      <c r="K13" s="118"/>
      <c r="L13" s="119"/>
      <c r="M13" s="119"/>
      <c r="N13" s="119"/>
      <c r="O13" s="119"/>
      <c r="P13" s="119"/>
      <c r="Q13" s="119"/>
      <c r="R13" s="120"/>
    </row>
    <row r="14" spans="1:18" s="19" customFormat="1" ht="39" x14ac:dyDescent="0.6">
      <c r="A14" s="96" t="s">
        <v>8</v>
      </c>
      <c r="B14" s="97"/>
      <c r="C14" s="20">
        <v>60529</v>
      </c>
      <c r="D14" s="21" t="s">
        <v>9</v>
      </c>
      <c r="E14" s="159" t="s">
        <v>18</v>
      </c>
      <c r="F14" s="22" t="s">
        <v>10</v>
      </c>
      <c r="G14" s="160"/>
      <c r="H14" s="21" t="s">
        <v>11</v>
      </c>
      <c r="I14" s="98" t="s">
        <v>19</v>
      </c>
      <c r="J14" s="99"/>
      <c r="K14" s="118"/>
      <c r="L14" s="119"/>
      <c r="M14" s="119"/>
      <c r="N14" s="119"/>
      <c r="O14" s="119"/>
      <c r="P14" s="119"/>
      <c r="Q14" s="119"/>
      <c r="R14" s="120"/>
    </row>
    <row r="15" spans="1:18" s="24" customFormat="1" ht="20.25" customHeight="1" thickBot="1" x14ac:dyDescent="0.75">
      <c r="A15" s="100"/>
      <c r="B15" s="101"/>
      <c r="C15" s="101"/>
      <c r="D15" s="101"/>
      <c r="E15" s="101"/>
      <c r="F15" s="101"/>
      <c r="G15" s="101"/>
      <c r="H15" s="101"/>
      <c r="I15" s="101"/>
      <c r="J15" s="23"/>
      <c r="K15" s="121"/>
      <c r="L15" s="122"/>
      <c r="M15" s="122"/>
      <c r="N15" s="122"/>
      <c r="O15" s="122"/>
      <c r="P15" s="122"/>
      <c r="Q15" s="122"/>
      <c r="R15" s="123"/>
    </row>
    <row r="16" spans="1:18" s="24" customFormat="1" ht="47.25" x14ac:dyDescent="0.7">
      <c r="A16" s="161" t="s">
        <v>20</v>
      </c>
      <c r="B16" s="162"/>
      <c r="C16" s="162"/>
      <c r="D16" s="162"/>
      <c r="E16" s="162"/>
      <c r="F16" s="162"/>
      <c r="G16" s="162"/>
      <c r="H16" s="162"/>
      <c r="I16" s="162"/>
      <c r="J16" s="163"/>
      <c r="K16" s="164"/>
      <c r="L16" s="165"/>
      <c r="M16" s="165"/>
      <c r="N16" s="165"/>
      <c r="O16" s="165"/>
      <c r="P16" s="166"/>
      <c r="Q16" s="166"/>
      <c r="R16" s="167"/>
    </row>
    <row r="17" spans="1:18" s="25" customFormat="1" ht="31.5" customHeight="1" x14ac:dyDescent="0.25">
      <c r="A17" s="168" t="s">
        <v>21</v>
      </c>
      <c r="B17" s="169" t="s">
        <v>22</v>
      </c>
      <c r="C17" s="170" t="s">
        <v>23</v>
      </c>
      <c r="D17" s="170" t="s">
        <v>24</v>
      </c>
      <c r="E17" s="170" t="s">
        <v>23</v>
      </c>
      <c r="F17" s="171" t="s">
        <v>25</v>
      </c>
      <c r="G17" s="171" t="s">
        <v>26</v>
      </c>
      <c r="H17" s="172" t="s">
        <v>27</v>
      </c>
      <c r="I17" s="171" t="s">
        <v>28</v>
      </c>
      <c r="J17" s="173" t="s">
        <v>29</v>
      </c>
      <c r="K17" s="174"/>
      <c r="L17" s="174"/>
      <c r="M17" s="174"/>
      <c r="N17" s="174"/>
      <c r="O17" s="175"/>
      <c r="P17" s="176" t="s">
        <v>142</v>
      </c>
      <c r="Q17" s="176" t="s">
        <v>143</v>
      </c>
      <c r="R17" s="177" t="s">
        <v>144</v>
      </c>
    </row>
    <row r="18" spans="1:18" s="25" customFormat="1" ht="36" x14ac:dyDescent="0.25">
      <c r="A18" s="178"/>
      <c r="B18" s="169"/>
      <c r="C18" s="169"/>
      <c r="D18" s="169"/>
      <c r="E18" s="169"/>
      <c r="F18" s="179"/>
      <c r="G18" s="179"/>
      <c r="H18" s="180"/>
      <c r="I18" s="179"/>
      <c r="J18" s="181" t="s">
        <v>145</v>
      </c>
      <c r="K18" s="182" t="s">
        <v>146</v>
      </c>
      <c r="L18" s="182" t="s">
        <v>147</v>
      </c>
      <c r="M18" s="181" t="s">
        <v>148</v>
      </c>
      <c r="N18" s="181" t="s">
        <v>149</v>
      </c>
      <c r="O18" s="181" t="s">
        <v>150</v>
      </c>
      <c r="P18" s="183"/>
      <c r="Q18" s="183"/>
      <c r="R18" s="184"/>
    </row>
    <row r="19" spans="1:18" s="33" customFormat="1" ht="147" customHeight="1" x14ac:dyDescent="0.25">
      <c r="A19" s="54">
        <v>1</v>
      </c>
      <c r="B19" s="57" t="s">
        <v>36</v>
      </c>
      <c r="C19" s="60">
        <f>0.25 *1.28791886111175</f>
        <v>0.32197971527793751</v>
      </c>
      <c r="D19" s="26" t="s">
        <v>37</v>
      </c>
      <c r="E19" s="27">
        <f>C19/5</f>
        <v>6.4395943055587504E-2</v>
      </c>
      <c r="F19" s="27">
        <f>E19/$E$42* 100</f>
        <v>0.33958946059852668</v>
      </c>
      <c r="G19" s="28" t="s">
        <v>38</v>
      </c>
      <c r="H19" s="29">
        <v>1</v>
      </c>
      <c r="I19" s="30" t="s">
        <v>39</v>
      </c>
      <c r="J19" s="31">
        <v>100</v>
      </c>
      <c r="K19" s="32">
        <v>95</v>
      </c>
      <c r="L19" s="32">
        <v>90</v>
      </c>
      <c r="M19" s="32">
        <v>85</v>
      </c>
      <c r="N19" s="32">
        <v>80</v>
      </c>
      <c r="O19" s="32" t="s">
        <v>40</v>
      </c>
      <c r="P19" s="185"/>
      <c r="Q19" s="186">
        <f t="shared" ref="Q19:Q41" si="0">IF(OR(TRIM(P19)="",P19=0),0,
IF(P19&lt;N19,50,
IF(P19&lt;M19,60,
IF(P19&lt;L19,70,
IF(P19&lt;K19,80,
IF(ISNUMBER(J19),
    IF(P19&lt;J19,IF(P19&gt;=K19,90,80),100),
    IF(P19=K19,90,100)
))))))</f>
        <v>0</v>
      </c>
      <c r="R19" s="187">
        <f t="shared" ref="R19:R41" si="1">F19*Q19/100</f>
        <v>0</v>
      </c>
    </row>
    <row r="20" spans="1:18" s="33" customFormat="1" ht="147" customHeight="1" x14ac:dyDescent="0.25">
      <c r="A20" s="55"/>
      <c r="B20" s="58"/>
      <c r="C20" s="61"/>
      <c r="D20" s="26" t="s">
        <v>41</v>
      </c>
      <c r="E20" s="27">
        <f>C19/5</f>
        <v>6.4395943055587504E-2</v>
      </c>
      <c r="F20" s="27">
        <f t="shared" ref="F20:F41" si="2">E20/$E$42* 100</f>
        <v>0.33958946059852668</v>
      </c>
      <c r="G20" s="28" t="s">
        <v>42</v>
      </c>
      <c r="H20" s="29">
        <v>1</v>
      </c>
      <c r="I20" s="30" t="s">
        <v>39</v>
      </c>
      <c r="J20" s="31">
        <v>100</v>
      </c>
      <c r="K20" s="32">
        <v>95</v>
      </c>
      <c r="L20" s="32">
        <v>90</v>
      </c>
      <c r="M20" s="32">
        <v>85</v>
      </c>
      <c r="N20" s="32">
        <v>80</v>
      </c>
      <c r="O20" s="32" t="s">
        <v>40</v>
      </c>
      <c r="P20" s="185"/>
      <c r="Q20" s="186">
        <f t="shared" ref="Q20:Q41" si="3">IF(OR(TRIM(P20)="",P20=0),0,
IF(P20&lt;N20,50,
IF(P20&lt;M20,60,
IF(P20&lt;L20,70,
IF(P20&lt;K20,80,
IF(ISNUMBER(J20),
    IF(P20&lt;J20,IF(P20&gt;=K20,90,80),100),
    IF(P20=K20,90,100)
))))))</f>
        <v>0</v>
      </c>
      <c r="R20" s="187">
        <f t="shared" ref="R20:R41" si="4">F20*Q20/100</f>
        <v>0</v>
      </c>
    </row>
    <row r="21" spans="1:18" s="33" customFormat="1" ht="147" customHeight="1" x14ac:dyDescent="0.25">
      <c r="A21" s="55"/>
      <c r="B21" s="58"/>
      <c r="C21" s="61"/>
      <c r="D21" s="26" t="s">
        <v>43</v>
      </c>
      <c r="E21" s="27">
        <f>C19/5</f>
        <v>6.4395943055587504E-2</v>
      </c>
      <c r="F21" s="27">
        <f t="shared" si="2"/>
        <v>0.33958946059852668</v>
      </c>
      <c r="G21" s="28" t="s">
        <v>44</v>
      </c>
      <c r="H21" s="29">
        <v>1</v>
      </c>
      <c r="I21" s="30" t="s">
        <v>39</v>
      </c>
      <c r="J21" s="31">
        <v>100</v>
      </c>
      <c r="K21" s="32">
        <v>95</v>
      </c>
      <c r="L21" s="32">
        <v>90</v>
      </c>
      <c r="M21" s="32">
        <v>85</v>
      </c>
      <c r="N21" s="32">
        <v>80</v>
      </c>
      <c r="O21" s="32" t="s">
        <v>40</v>
      </c>
      <c r="P21" s="185"/>
      <c r="Q21" s="186">
        <f t="shared" si="3"/>
        <v>0</v>
      </c>
      <c r="R21" s="187">
        <f t="shared" si="4"/>
        <v>0</v>
      </c>
    </row>
    <row r="22" spans="1:18" s="33" customFormat="1" ht="147" customHeight="1" x14ac:dyDescent="0.25">
      <c r="A22" s="55"/>
      <c r="B22" s="58"/>
      <c r="C22" s="61"/>
      <c r="D22" s="26" t="s">
        <v>45</v>
      </c>
      <c r="E22" s="27">
        <f>C19/5</f>
        <v>6.4395943055587504E-2</v>
      </c>
      <c r="F22" s="27">
        <f t="shared" si="2"/>
        <v>0.33958946059852668</v>
      </c>
      <c r="G22" s="28" t="s">
        <v>46</v>
      </c>
      <c r="H22" s="34">
        <v>5</v>
      </c>
      <c r="I22" s="30" t="s">
        <v>47</v>
      </c>
      <c r="J22" s="31" t="s">
        <v>48</v>
      </c>
      <c r="K22" s="32">
        <v>5</v>
      </c>
      <c r="L22" s="32">
        <v>4</v>
      </c>
      <c r="M22" s="32">
        <v>3</v>
      </c>
      <c r="N22" s="32">
        <v>2</v>
      </c>
      <c r="O22" s="32">
        <v>1</v>
      </c>
      <c r="P22" s="185"/>
      <c r="Q22" s="186">
        <f t="shared" si="3"/>
        <v>0</v>
      </c>
      <c r="R22" s="187">
        <f t="shared" si="4"/>
        <v>0</v>
      </c>
    </row>
    <row r="23" spans="1:18" s="33" customFormat="1" ht="147" customHeight="1" x14ac:dyDescent="0.25">
      <c r="A23" s="56"/>
      <c r="B23" s="59"/>
      <c r="C23" s="62"/>
      <c r="D23" s="26" t="s">
        <v>49</v>
      </c>
      <c r="E23" s="27">
        <f>C19/5</f>
        <v>6.4395943055587504E-2</v>
      </c>
      <c r="F23" s="27">
        <f t="shared" si="2"/>
        <v>0.33958946059852668</v>
      </c>
      <c r="G23" s="28" t="s">
        <v>50</v>
      </c>
      <c r="H23" s="29">
        <v>1</v>
      </c>
      <c r="I23" s="30" t="s">
        <v>39</v>
      </c>
      <c r="J23" s="31">
        <v>100</v>
      </c>
      <c r="K23" s="32">
        <v>95</v>
      </c>
      <c r="L23" s="32">
        <v>90</v>
      </c>
      <c r="M23" s="32">
        <v>85</v>
      </c>
      <c r="N23" s="32">
        <v>80</v>
      </c>
      <c r="O23" s="32" t="s">
        <v>40</v>
      </c>
      <c r="P23" s="185"/>
      <c r="Q23" s="186">
        <f t="shared" si="3"/>
        <v>0</v>
      </c>
      <c r="R23" s="187">
        <f t="shared" si="4"/>
        <v>0</v>
      </c>
    </row>
    <row r="24" spans="1:18" s="33" customFormat="1" ht="147" customHeight="1" x14ac:dyDescent="0.25">
      <c r="A24" s="34">
        <v>2</v>
      </c>
      <c r="B24" s="26" t="s">
        <v>51</v>
      </c>
      <c r="C24" s="51">
        <f>0.25 *0.77275131666705</f>
        <v>0.1931878291667625</v>
      </c>
      <c r="D24" s="26" t="s">
        <v>52</v>
      </c>
      <c r="E24" s="27">
        <f>C24</f>
        <v>0.1931878291667625</v>
      </c>
      <c r="F24" s="27">
        <f t="shared" si="2"/>
        <v>1.0187683817955799</v>
      </c>
      <c r="G24" s="28" t="s">
        <v>53</v>
      </c>
      <c r="H24" s="29">
        <v>0.5</v>
      </c>
      <c r="I24" s="30" t="s">
        <v>39</v>
      </c>
      <c r="J24" s="31" t="s">
        <v>54</v>
      </c>
      <c r="K24" s="32">
        <v>50</v>
      </c>
      <c r="L24" s="32">
        <v>45</v>
      </c>
      <c r="M24" s="32">
        <v>40</v>
      </c>
      <c r="N24" s="32">
        <v>25</v>
      </c>
      <c r="O24" s="32" t="s">
        <v>55</v>
      </c>
      <c r="P24" s="185"/>
      <c r="Q24" s="186">
        <f t="shared" si="3"/>
        <v>0</v>
      </c>
      <c r="R24" s="187">
        <f t="shared" si="4"/>
        <v>0</v>
      </c>
    </row>
    <row r="25" spans="1:18" s="33" customFormat="1" ht="147" customHeight="1" x14ac:dyDescent="0.25">
      <c r="A25" s="54">
        <v>3</v>
      </c>
      <c r="B25" s="57" t="s">
        <v>56</v>
      </c>
      <c r="C25" s="60">
        <f>0.25 *68.7196706607483</f>
        <v>17.179917665187077</v>
      </c>
      <c r="D25" s="26" t="s">
        <v>57</v>
      </c>
      <c r="E25" s="27">
        <f>C25/10</f>
        <v>1.7179917665187077</v>
      </c>
      <c r="F25" s="27">
        <f t="shared" si="2"/>
        <v>9.0597616809678279</v>
      </c>
      <c r="G25" s="26" t="s">
        <v>58</v>
      </c>
      <c r="H25" s="34">
        <v>80</v>
      </c>
      <c r="I25" s="34" t="s">
        <v>39</v>
      </c>
      <c r="J25" s="31" t="s">
        <v>59</v>
      </c>
      <c r="K25" s="32">
        <v>80</v>
      </c>
      <c r="L25" s="32">
        <v>75</v>
      </c>
      <c r="M25" s="32">
        <v>70</v>
      </c>
      <c r="N25" s="32">
        <v>50</v>
      </c>
      <c r="O25" s="32" t="s">
        <v>60</v>
      </c>
      <c r="P25" s="185"/>
      <c r="Q25" s="186">
        <f t="shared" si="3"/>
        <v>0</v>
      </c>
      <c r="R25" s="187">
        <f t="shared" si="4"/>
        <v>0</v>
      </c>
    </row>
    <row r="26" spans="1:18" s="33" customFormat="1" ht="147" customHeight="1" x14ac:dyDescent="0.25">
      <c r="A26" s="55"/>
      <c r="B26" s="58"/>
      <c r="C26" s="61"/>
      <c r="D26" s="26" t="s">
        <v>61</v>
      </c>
      <c r="E26" s="27">
        <f>C25/10</f>
        <v>1.7179917665187077</v>
      </c>
      <c r="F26" s="27">
        <f t="shared" si="2"/>
        <v>9.0597616809678279</v>
      </c>
      <c r="G26" s="26" t="s">
        <v>62</v>
      </c>
      <c r="H26" s="34">
        <v>80</v>
      </c>
      <c r="I26" s="34" t="s">
        <v>39</v>
      </c>
      <c r="J26" s="31" t="s">
        <v>59</v>
      </c>
      <c r="K26" s="32">
        <v>80</v>
      </c>
      <c r="L26" s="32">
        <v>75</v>
      </c>
      <c r="M26" s="32">
        <v>70</v>
      </c>
      <c r="N26" s="32">
        <v>50</v>
      </c>
      <c r="O26" s="32" t="s">
        <v>60</v>
      </c>
      <c r="P26" s="185"/>
      <c r="Q26" s="186">
        <f t="shared" si="3"/>
        <v>0</v>
      </c>
      <c r="R26" s="187">
        <f t="shared" si="4"/>
        <v>0</v>
      </c>
    </row>
    <row r="27" spans="1:18" s="33" customFormat="1" ht="147" customHeight="1" x14ac:dyDescent="0.25">
      <c r="A27" s="55"/>
      <c r="B27" s="58"/>
      <c r="C27" s="61"/>
      <c r="D27" s="26" t="s">
        <v>63</v>
      </c>
      <c r="E27" s="27">
        <f>C25/10</f>
        <v>1.7179917665187077</v>
      </c>
      <c r="F27" s="27">
        <f t="shared" si="2"/>
        <v>9.0597616809678279</v>
      </c>
      <c r="G27" s="26" t="s">
        <v>64</v>
      </c>
      <c r="H27" s="35">
        <v>0.9</v>
      </c>
      <c r="I27" s="34" t="s">
        <v>39</v>
      </c>
      <c r="J27" s="31" t="s">
        <v>65</v>
      </c>
      <c r="K27" s="32">
        <v>90</v>
      </c>
      <c r="L27" s="32">
        <v>80</v>
      </c>
      <c r="M27" s="32">
        <v>70</v>
      </c>
      <c r="N27" s="32">
        <v>50</v>
      </c>
      <c r="O27" s="32" t="s">
        <v>60</v>
      </c>
      <c r="P27" s="185"/>
      <c r="Q27" s="186">
        <f t="shared" si="3"/>
        <v>0</v>
      </c>
      <c r="R27" s="187">
        <f t="shared" si="4"/>
        <v>0</v>
      </c>
    </row>
    <row r="28" spans="1:18" s="33" customFormat="1" ht="147" customHeight="1" x14ac:dyDescent="0.25">
      <c r="A28" s="55"/>
      <c r="B28" s="58"/>
      <c r="C28" s="61"/>
      <c r="D28" s="26" t="s">
        <v>66</v>
      </c>
      <c r="E28" s="27">
        <f>C25/10</f>
        <v>1.7179917665187077</v>
      </c>
      <c r="F28" s="27">
        <f t="shared" si="2"/>
        <v>9.0597616809678279</v>
      </c>
      <c r="G28" s="26" t="s">
        <v>67</v>
      </c>
      <c r="H28" s="34">
        <v>80</v>
      </c>
      <c r="I28" s="34" t="s">
        <v>39</v>
      </c>
      <c r="J28" s="31" t="s">
        <v>59</v>
      </c>
      <c r="K28" s="32">
        <v>80</v>
      </c>
      <c r="L28" s="32">
        <v>75</v>
      </c>
      <c r="M28" s="32">
        <v>70</v>
      </c>
      <c r="N28" s="32">
        <v>50</v>
      </c>
      <c r="O28" s="32" t="s">
        <v>60</v>
      </c>
      <c r="P28" s="185"/>
      <c r="Q28" s="186">
        <f t="shared" si="3"/>
        <v>0</v>
      </c>
      <c r="R28" s="187">
        <f t="shared" si="4"/>
        <v>0</v>
      </c>
    </row>
    <row r="29" spans="1:18" s="33" customFormat="1" ht="147" customHeight="1" x14ac:dyDescent="0.25">
      <c r="A29" s="55"/>
      <c r="B29" s="58"/>
      <c r="C29" s="61"/>
      <c r="D29" s="26" t="s">
        <v>68</v>
      </c>
      <c r="E29" s="27">
        <f>C25/10</f>
        <v>1.7179917665187077</v>
      </c>
      <c r="F29" s="27">
        <f t="shared" si="2"/>
        <v>9.0597616809678279</v>
      </c>
      <c r="G29" s="26" t="s">
        <v>69</v>
      </c>
      <c r="H29" s="35">
        <v>0.9</v>
      </c>
      <c r="I29" s="34" t="s">
        <v>39</v>
      </c>
      <c r="J29" s="31" t="s">
        <v>65</v>
      </c>
      <c r="K29" s="32">
        <v>90</v>
      </c>
      <c r="L29" s="32">
        <v>80</v>
      </c>
      <c r="M29" s="32">
        <v>70</v>
      </c>
      <c r="N29" s="32">
        <v>50</v>
      </c>
      <c r="O29" s="32" t="s">
        <v>60</v>
      </c>
      <c r="P29" s="185"/>
      <c r="Q29" s="186">
        <f t="shared" si="3"/>
        <v>0</v>
      </c>
      <c r="R29" s="187">
        <f t="shared" si="4"/>
        <v>0</v>
      </c>
    </row>
    <row r="30" spans="1:18" s="33" customFormat="1" ht="147" customHeight="1" x14ac:dyDescent="0.25">
      <c r="A30" s="55"/>
      <c r="B30" s="58"/>
      <c r="C30" s="61"/>
      <c r="D30" s="26" t="s">
        <v>70</v>
      </c>
      <c r="E30" s="27">
        <f>C25/10</f>
        <v>1.7179917665187077</v>
      </c>
      <c r="F30" s="27">
        <f t="shared" si="2"/>
        <v>9.0597616809678279</v>
      </c>
      <c r="G30" s="26" t="s">
        <v>71</v>
      </c>
      <c r="H30" s="35">
        <v>0.8</v>
      </c>
      <c r="I30" s="34" t="s">
        <v>39</v>
      </c>
      <c r="J30" s="31" t="s">
        <v>59</v>
      </c>
      <c r="K30" s="32">
        <v>80</v>
      </c>
      <c r="L30" s="32">
        <v>75</v>
      </c>
      <c r="M30" s="32">
        <v>70</v>
      </c>
      <c r="N30" s="32">
        <v>50</v>
      </c>
      <c r="O30" s="32" t="s">
        <v>60</v>
      </c>
      <c r="P30" s="185"/>
      <c r="Q30" s="186">
        <f t="shared" si="3"/>
        <v>0</v>
      </c>
      <c r="R30" s="187">
        <f t="shared" si="4"/>
        <v>0</v>
      </c>
    </row>
    <row r="31" spans="1:18" s="33" customFormat="1" ht="147" customHeight="1" x14ac:dyDescent="0.25">
      <c r="A31" s="55"/>
      <c r="B31" s="58"/>
      <c r="C31" s="61"/>
      <c r="D31" s="26" t="s">
        <v>72</v>
      </c>
      <c r="E31" s="27">
        <f>C25/10</f>
        <v>1.7179917665187077</v>
      </c>
      <c r="F31" s="27">
        <f t="shared" si="2"/>
        <v>9.0597616809678279</v>
      </c>
      <c r="G31" s="26" t="s">
        <v>73</v>
      </c>
      <c r="H31" s="35">
        <v>0.9</v>
      </c>
      <c r="I31" s="34" t="s">
        <v>39</v>
      </c>
      <c r="J31" s="31" t="s">
        <v>65</v>
      </c>
      <c r="K31" s="32">
        <v>90</v>
      </c>
      <c r="L31" s="32">
        <v>80</v>
      </c>
      <c r="M31" s="32">
        <v>70</v>
      </c>
      <c r="N31" s="32">
        <v>50</v>
      </c>
      <c r="O31" s="32" t="s">
        <v>60</v>
      </c>
      <c r="P31" s="185"/>
      <c r="Q31" s="186">
        <f t="shared" si="3"/>
        <v>0</v>
      </c>
      <c r="R31" s="187">
        <f t="shared" si="4"/>
        <v>0</v>
      </c>
    </row>
    <row r="32" spans="1:18" s="33" customFormat="1" ht="147" customHeight="1" x14ac:dyDescent="0.25">
      <c r="A32" s="55"/>
      <c r="B32" s="58"/>
      <c r="C32" s="61"/>
      <c r="D32" s="26" t="s">
        <v>74</v>
      </c>
      <c r="E32" s="27">
        <f>C25/10</f>
        <v>1.7179917665187077</v>
      </c>
      <c r="F32" s="27">
        <f t="shared" si="2"/>
        <v>9.0597616809678279</v>
      </c>
      <c r="G32" s="26" t="s">
        <v>75</v>
      </c>
      <c r="H32" s="35">
        <v>0.8</v>
      </c>
      <c r="I32" s="34" t="s">
        <v>39</v>
      </c>
      <c r="J32" s="31" t="s">
        <v>59</v>
      </c>
      <c r="K32" s="32">
        <v>80</v>
      </c>
      <c r="L32" s="32">
        <v>75</v>
      </c>
      <c r="M32" s="32">
        <v>70</v>
      </c>
      <c r="N32" s="32">
        <v>50</v>
      </c>
      <c r="O32" s="32" t="s">
        <v>60</v>
      </c>
      <c r="P32" s="185"/>
      <c r="Q32" s="186">
        <f t="shared" si="3"/>
        <v>0</v>
      </c>
      <c r="R32" s="187">
        <f t="shared" si="4"/>
        <v>0</v>
      </c>
    </row>
    <row r="33" spans="1:18" s="33" customFormat="1" ht="147" customHeight="1" x14ac:dyDescent="0.25">
      <c r="A33" s="55"/>
      <c r="B33" s="58"/>
      <c r="C33" s="61"/>
      <c r="D33" s="26" t="s">
        <v>76</v>
      </c>
      <c r="E33" s="27">
        <f>C25/10</f>
        <v>1.7179917665187077</v>
      </c>
      <c r="F33" s="27">
        <f t="shared" si="2"/>
        <v>9.0597616809678279</v>
      </c>
      <c r="G33" s="26" t="s">
        <v>77</v>
      </c>
      <c r="H33" s="35">
        <v>0.8</v>
      </c>
      <c r="I33" s="34" t="s">
        <v>39</v>
      </c>
      <c r="J33" s="31" t="s">
        <v>59</v>
      </c>
      <c r="K33" s="32">
        <v>80</v>
      </c>
      <c r="L33" s="32">
        <v>75</v>
      </c>
      <c r="M33" s="32">
        <v>70</v>
      </c>
      <c r="N33" s="32">
        <v>50</v>
      </c>
      <c r="O33" s="32" t="s">
        <v>60</v>
      </c>
      <c r="P33" s="185"/>
      <c r="Q33" s="186">
        <f t="shared" si="3"/>
        <v>0</v>
      </c>
      <c r="R33" s="187">
        <f t="shared" si="4"/>
        <v>0</v>
      </c>
    </row>
    <row r="34" spans="1:18" s="33" customFormat="1" ht="147" customHeight="1" x14ac:dyDescent="0.25">
      <c r="A34" s="56"/>
      <c r="B34" s="59"/>
      <c r="C34" s="62"/>
      <c r="D34" s="26" t="s">
        <v>78</v>
      </c>
      <c r="E34" s="27">
        <f>C25/10</f>
        <v>1.7179917665187077</v>
      </c>
      <c r="F34" s="27">
        <f t="shared" si="2"/>
        <v>9.0597616809678279</v>
      </c>
      <c r="G34" s="26" t="s">
        <v>79</v>
      </c>
      <c r="H34" s="35">
        <v>0.9</v>
      </c>
      <c r="I34" s="34" t="s">
        <v>39</v>
      </c>
      <c r="J34" s="31" t="s">
        <v>65</v>
      </c>
      <c r="K34" s="32">
        <v>90</v>
      </c>
      <c r="L34" s="32">
        <v>80</v>
      </c>
      <c r="M34" s="32">
        <v>70</v>
      </c>
      <c r="N34" s="32">
        <v>50</v>
      </c>
      <c r="O34" s="32" t="s">
        <v>60</v>
      </c>
      <c r="P34" s="185"/>
      <c r="Q34" s="186">
        <f t="shared" si="3"/>
        <v>0</v>
      </c>
      <c r="R34" s="187">
        <f t="shared" si="4"/>
        <v>0</v>
      </c>
    </row>
    <row r="35" spans="1:18" s="33" customFormat="1" ht="147" customHeight="1" x14ac:dyDescent="0.25">
      <c r="A35" s="34">
        <v>4</v>
      </c>
      <c r="B35" s="26" t="s">
        <v>80</v>
      </c>
      <c r="C35" s="36">
        <f>0.25 *1.20742393229227</f>
        <v>0.30185598307306749</v>
      </c>
      <c r="D35" s="26" t="s">
        <v>81</v>
      </c>
      <c r="E35" s="27">
        <f>C35</f>
        <v>0.30185598307306749</v>
      </c>
      <c r="F35" s="27">
        <f t="shared" si="2"/>
        <v>1.5918255965555992</v>
      </c>
      <c r="G35" s="28" t="s">
        <v>82</v>
      </c>
      <c r="H35" s="34">
        <v>5</v>
      </c>
      <c r="I35" s="30" t="s">
        <v>47</v>
      </c>
      <c r="J35" s="31" t="s">
        <v>48</v>
      </c>
      <c r="K35" s="32">
        <v>5</v>
      </c>
      <c r="L35" s="32">
        <v>4</v>
      </c>
      <c r="M35" s="32">
        <v>3</v>
      </c>
      <c r="N35" s="32">
        <v>2</v>
      </c>
      <c r="O35" s="32">
        <v>1</v>
      </c>
      <c r="P35" s="185"/>
      <c r="Q35" s="186">
        <f t="shared" si="3"/>
        <v>0</v>
      </c>
      <c r="R35" s="187">
        <f t="shared" si="4"/>
        <v>0</v>
      </c>
    </row>
    <row r="36" spans="1:18" s="33" customFormat="1" ht="147" customHeight="1" x14ac:dyDescent="0.25">
      <c r="A36" s="54">
        <v>5</v>
      </c>
      <c r="B36" s="57" t="s">
        <v>83</v>
      </c>
      <c r="C36" s="63">
        <f>0.25 *2.41484786458453</f>
        <v>0.60371196614613254</v>
      </c>
      <c r="D36" s="26" t="s">
        <v>84</v>
      </c>
      <c r="E36" s="27">
        <f>C36/2</f>
        <v>0.30185598307306627</v>
      </c>
      <c r="F36" s="27">
        <f t="shared" si="2"/>
        <v>1.591825596555593</v>
      </c>
      <c r="G36" s="28" t="s">
        <v>85</v>
      </c>
      <c r="H36" s="34">
        <v>5</v>
      </c>
      <c r="I36" s="34" t="s">
        <v>47</v>
      </c>
      <c r="J36" s="31" t="s">
        <v>48</v>
      </c>
      <c r="K36" s="32">
        <v>5</v>
      </c>
      <c r="L36" s="32">
        <v>4</v>
      </c>
      <c r="M36" s="32">
        <v>3</v>
      </c>
      <c r="N36" s="32">
        <v>2</v>
      </c>
      <c r="O36" s="32">
        <v>1</v>
      </c>
      <c r="P36" s="185"/>
      <c r="Q36" s="186">
        <f t="shared" si="3"/>
        <v>0</v>
      </c>
      <c r="R36" s="187">
        <f t="shared" si="4"/>
        <v>0</v>
      </c>
    </row>
    <row r="37" spans="1:18" s="33" customFormat="1" ht="147" customHeight="1" x14ac:dyDescent="0.25">
      <c r="A37" s="56"/>
      <c r="B37" s="59"/>
      <c r="C37" s="64"/>
      <c r="D37" s="26" t="s">
        <v>86</v>
      </c>
      <c r="E37" s="27">
        <f>C36/2</f>
        <v>0.30185598307306627</v>
      </c>
      <c r="F37" s="27">
        <f t="shared" si="2"/>
        <v>1.591825596555593</v>
      </c>
      <c r="G37" s="28" t="s">
        <v>87</v>
      </c>
      <c r="H37" s="35">
        <v>0.8</v>
      </c>
      <c r="I37" s="34" t="s">
        <v>39</v>
      </c>
      <c r="J37" s="31" t="s">
        <v>59</v>
      </c>
      <c r="K37" s="32">
        <v>80</v>
      </c>
      <c r="L37" s="32">
        <v>75</v>
      </c>
      <c r="M37" s="32">
        <v>70</v>
      </c>
      <c r="N37" s="32">
        <v>50</v>
      </c>
      <c r="O37" s="32" t="s">
        <v>60</v>
      </c>
      <c r="P37" s="185"/>
      <c r="Q37" s="186">
        <f t="shared" si="3"/>
        <v>0</v>
      </c>
      <c r="R37" s="187">
        <f t="shared" si="4"/>
        <v>0</v>
      </c>
    </row>
    <row r="38" spans="1:18" s="33" customFormat="1" ht="147" customHeight="1" x14ac:dyDescent="0.25">
      <c r="A38" s="54">
        <v>6</v>
      </c>
      <c r="B38" s="57" t="s">
        <v>88</v>
      </c>
      <c r="C38" s="63">
        <f>0.25 *0.804949288194844</f>
        <v>0.201237322048711</v>
      </c>
      <c r="D38" s="26" t="s">
        <v>89</v>
      </c>
      <c r="E38" s="27">
        <f>C38/2</f>
        <v>0.1006186610243555</v>
      </c>
      <c r="F38" s="27">
        <f t="shared" si="2"/>
        <v>0.53060853218519799</v>
      </c>
      <c r="G38" s="28" t="s">
        <v>90</v>
      </c>
      <c r="H38" s="34">
        <v>5</v>
      </c>
      <c r="I38" s="34" t="s">
        <v>47</v>
      </c>
      <c r="J38" s="31" t="s">
        <v>48</v>
      </c>
      <c r="K38" s="32">
        <v>5</v>
      </c>
      <c r="L38" s="32">
        <v>4</v>
      </c>
      <c r="M38" s="32">
        <v>3</v>
      </c>
      <c r="N38" s="32">
        <v>2</v>
      </c>
      <c r="O38" s="32">
        <v>1</v>
      </c>
      <c r="P38" s="185"/>
      <c r="Q38" s="186">
        <f t="shared" si="3"/>
        <v>0</v>
      </c>
      <c r="R38" s="187">
        <f t="shared" si="4"/>
        <v>0</v>
      </c>
    </row>
    <row r="39" spans="1:18" s="33" customFormat="1" ht="147" customHeight="1" x14ac:dyDescent="0.25">
      <c r="A39" s="56"/>
      <c r="B39" s="59"/>
      <c r="C39" s="64"/>
      <c r="D39" s="26" t="s">
        <v>91</v>
      </c>
      <c r="E39" s="27">
        <f>C38/2</f>
        <v>0.1006186610243555</v>
      </c>
      <c r="F39" s="27">
        <f t="shared" si="2"/>
        <v>0.53060853218519799</v>
      </c>
      <c r="G39" s="28" t="s">
        <v>92</v>
      </c>
      <c r="H39" s="35">
        <v>0.8</v>
      </c>
      <c r="I39" s="34" t="s">
        <v>39</v>
      </c>
      <c r="J39" s="31" t="s">
        <v>59</v>
      </c>
      <c r="K39" s="32">
        <v>80</v>
      </c>
      <c r="L39" s="32">
        <v>75</v>
      </c>
      <c r="M39" s="32">
        <v>70</v>
      </c>
      <c r="N39" s="32">
        <v>50</v>
      </c>
      <c r="O39" s="32" t="s">
        <v>60</v>
      </c>
      <c r="P39" s="185"/>
      <c r="Q39" s="186">
        <f t="shared" si="3"/>
        <v>0</v>
      </c>
      <c r="R39" s="187">
        <f t="shared" si="4"/>
        <v>0</v>
      </c>
    </row>
    <row r="40" spans="1:18" s="33" customFormat="1" ht="147" customHeight="1" x14ac:dyDescent="0.25">
      <c r="A40" s="34">
        <v>7</v>
      </c>
      <c r="B40" s="26" t="s">
        <v>93</v>
      </c>
      <c r="C40" s="36">
        <f>0.25 *0.321979715277938</f>
        <v>8.0494928819484501E-2</v>
      </c>
      <c r="D40" s="50" t="s">
        <v>94</v>
      </c>
      <c r="E40" s="27">
        <f>C40</f>
        <v>8.0494928819484501E-2</v>
      </c>
      <c r="F40" s="27">
        <f t="shared" si="2"/>
        <v>0.42448682574815894</v>
      </c>
      <c r="G40" s="28" t="s">
        <v>95</v>
      </c>
      <c r="H40" s="29">
        <v>0.7</v>
      </c>
      <c r="I40" s="34" t="s">
        <v>39</v>
      </c>
      <c r="J40" s="31" t="s">
        <v>96</v>
      </c>
      <c r="K40" s="32">
        <v>70</v>
      </c>
      <c r="L40" s="32">
        <v>60</v>
      </c>
      <c r="M40" s="32">
        <v>50</v>
      </c>
      <c r="N40" s="32">
        <v>40</v>
      </c>
      <c r="O40" s="32" t="s">
        <v>97</v>
      </c>
      <c r="P40" s="185"/>
      <c r="Q40" s="186">
        <f t="shared" si="3"/>
        <v>0</v>
      </c>
      <c r="R40" s="187">
        <f t="shared" si="4"/>
        <v>0</v>
      </c>
    </row>
    <row r="41" spans="1:18" s="33" customFormat="1" ht="147" customHeight="1" x14ac:dyDescent="0.25">
      <c r="A41" s="34">
        <v>8</v>
      </c>
      <c r="B41" s="26" t="s">
        <v>98</v>
      </c>
      <c r="C41" s="36">
        <f>0.25 *0.321979715277938</f>
        <v>8.0494928819484501E-2</v>
      </c>
      <c r="D41" s="28" t="s">
        <v>99</v>
      </c>
      <c r="E41" s="27">
        <f>C41</f>
        <v>8.0494928819484501E-2</v>
      </c>
      <c r="F41" s="27">
        <f t="shared" si="2"/>
        <v>0.42448682574815894</v>
      </c>
      <c r="G41" s="28" t="s">
        <v>100</v>
      </c>
      <c r="H41" s="29">
        <v>0.5</v>
      </c>
      <c r="I41" s="30" t="s">
        <v>39</v>
      </c>
      <c r="J41" s="31" t="s">
        <v>54</v>
      </c>
      <c r="K41" s="32">
        <v>50</v>
      </c>
      <c r="L41" s="32">
        <v>45</v>
      </c>
      <c r="M41" s="32">
        <v>40</v>
      </c>
      <c r="N41" s="32">
        <v>25</v>
      </c>
      <c r="O41" s="32" t="s">
        <v>55</v>
      </c>
      <c r="P41" s="185"/>
      <c r="Q41" s="186">
        <f t="shared" si="3"/>
        <v>0</v>
      </c>
      <c r="R41" s="187">
        <f t="shared" si="4"/>
        <v>0</v>
      </c>
    </row>
    <row r="42" spans="1:18" s="198" customFormat="1" ht="44.25" x14ac:dyDescent="0.25">
      <c r="A42" s="188"/>
      <c r="B42" s="189" t="s">
        <v>101</v>
      </c>
      <c r="C42" s="190">
        <f>SUM(C19:C41)</f>
        <v>18.962880338538657</v>
      </c>
      <c r="D42" s="189"/>
      <c r="E42" s="190">
        <f>SUM(E19:E41)</f>
        <v>18.96288033853866</v>
      </c>
      <c r="F42" s="190">
        <f>SUM(F19:F41)</f>
        <v>99.999999999999972</v>
      </c>
      <c r="G42" s="191"/>
      <c r="H42" s="192"/>
      <c r="I42" s="193"/>
      <c r="J42" s="194"/>
      <c r="K42" s="194"/>
      <c r="L42" s="194"/>
      <c r="M42" s="194"/>
      <c r="N42" s="194"/>
      <c r="O42" s="194"/>
      <c r="P42" s="195"/>
      <c r="Q42" s="196"/>
      <c r="R42" s="197">
        <f>SUM(R19:R41)</f>
        <v>0</v>
      </c>
    </row>
    <row r="43" spans="1:18" s="37" customFormat="1" ht="66" customHeight="1" x14ac:dyDescent="0.7">
      <c r="A43" s="199"/>
      <c r="G43" s="200"/>
      <c r="H43" s="200"/>
      <c r="I43" s="201" t="s">
        <v>151</v>
      </c>
      <c r="J43" s="202"/>
      <c r="K43" s="202"/>
      <c r="L43" s="202"/>
      <c r="M43" s="202"/>
      <c r="N43" s="202"/>
      <c r="O43" s="202"/>
      <c r="P43" s="202"/>
      <c r="Q43" s="203"/>
      <c r="R43" s="204">
        <f>R42/100 * 70</f>
        <v>0</v>
      </c>
    </row>
    <row r="44" spans="1:18" s="39" customFormat="1" ht="36" x14ac:dyDescent="0.55000000000000004">
      <c r="A44" s="205" t="s">
        <v>102</v>
      </c>
      <c r="B44" s="206"/>
      <c r="C44" s="206"/>
      <c r="D44" s="206"/>
      <c r="E44" s="206"/>
      <c r="F44" s="206"/>
      <c r="G44" s="207"/>
      <c r="H44" s="208"/>
      <c r="I44" s="208"/>
      <c r="J44" s="208"/>
      <c r="K44" s="208"/>
      <c r="L44" s="176" t="s">
        <v>107</v>
      </c>
      <c r="M44" s="209" t="s">
        <v>103</v>
      </c>
      <c r="N44" s="209"/>
      <c r="O44" s="209"/>
      <c r="P44" s="210"/>
      <c r="Q44" s="211"/>
      <c r="R44" s="38"/>
    </row>
    <row r="45" spans="1:18" s="39" customFormat="1" ht="31.5" customHeight="1" x14ac:dyDescent="0.55000000000000004">
      <c r="A45" s="212"/>
      <c r="B45" s="213"/>
      <c r="C45" s="214" t="s">
        <v>104</v>
      </c>
      <c r="D45" s="214"/>
      <c r="E45" s="214"/>
      <c r="F45" s="214"/>
      <c r="G45" s="214"/>
      <c r="H45" s="215" t="s">
        <v>152</v>
      </c>
      <c r="I45" s="215" t="s">
        <v>153</v>
      </c>
      <c r="J45" s="215"/>
      <c r="K45" s="216"/>
      <c r="L45" s="183"/>
      <c r="M45" s="217"/>
      <c r="N45" s="217"/>
      <c r="O45" s="217"/>
      <c r="P45" s="218"/>
      <c r="Q45" s="211"/>
      <c r="R45" s="38"/>
    </row>
    <row r="46" spans="1:18" s="39" customFormat="1" ht="36" customHeight="1" x14ac:dyDescent="0.55000000000000004">
      <c r="A46" s="219">
        <v>1</v>
      </c>
      <c r="B46" s="220" t="s">
        <v>108</v>
      </c>
      <c r="C46" s="221"/>
      <c r="D46" s="222"/>
      <c r="E46" s="222"/>
      <c r="F46" s="222"/>
      <c r="G46" s="223"/>
      <c r="H46" s="224"/>
      <c r="I46" s="224"/>
      <c r="J46" s="224"/>
      <c r="K46" s="224"/>
      <c r="L46" s="40"/>
      <c r="M46" s="225" t="s">
        <v>30</v>
      </c>
      <c r="N46" s="226" t="s">
        <v>109</v>
      </c>
      <c r="O46" s="227"/>
      <c r="P46" s="218"/>
      <c r="Q46" s="211"/>
      <c r="R46" s="38"/>
    </row>
    <row r="47" spans="1:18" s="39" customFormat="1" ht="84.75" customHeight="1" x14ac:dyDescent="0.55000000000000004">
      <c r="A47" s="228" t="s">
        <v>110</v>
      </c>
      <c r="B47" s="229" t="s">
        <v>154</v>
      </c>
      <c r="C47" s="230"/>
      <c r="D47" s="231"/>
      <c r="E47" s="231"/>
      <c r="F47" s="231"/>
      <c r="G47" s="232"/>
      <c r="H47" s="233">
        <v>4</v>
      </c>
      <c r="I47" s="234"/>
      <c r="J47" s="233"/>
      <c r="K47" s="233"/>
      <c r="L47" s="40"/>
      <c r="M47" s="225" t="s">
        <v>31</v>
      </c>
      <c r="N47" s="226" t="s">
        <v>111</v>
      </c>
      <c r="O47" s="227"/>
      <c r="P47" s="218"/>
      <c r="Q47" s="211"/>
      <c r="R47" s="38"/>
    </row>
    <row r="48" spans="1:18" s="39" customFormat="1" ht="82.5" customHeight="1" x14ac:dyDescent="0.55000000000000004">
      <c r="A48" s="228" t="s">
        <v>112</v>
      </c>
      <c r="B48" s="229" t="s">
        <v>155</v>
      </c>
      <c r="C48" s="230"/>
      <c r="D48" s="231"/>
      <c r="E48" s="231"/>
      <c r="F48" s="231"/>
      <c r="G48" s="232"/>
      <c r="H48" s="233">
        <v>2</v>
      </c>
      <c r="I48" s="234"/>
      <c r="J48" s="233"/>
      <c r="K48" s="233"/>
      <c r="L48" s="40"/>
      <c r="M48" s="225" t="s">
        <v>32</v>
      </c>
      <c r="N48" s="226" t="s">
        <v>113</v>
      </c>
      <c r="O48" s="227"/>
      <c r="P48" s="218"/>
      <c r="Q48" s="211"/>
      <c r="R48" s="38"/>
    </row>
    <row r="49" spans="1:18" s="39" customFormat="1" ht="78.75" customHeight="1" x14ac:dyDescent="0.55000000000000004">
      <c r="A49" s="228" t="s">
        <v>114</v>
      </c>
      <c r="B49" s="229" t="s">
        <v>115</v>
      </c>
      <c r="C49" s="230"/>
      <c r="D49" s="231"/>
      <c r="E49" s="231"/>
      <c r="F49" s="231"/>
      <c r="G49" s="232"/>
      <c r="H49" s="233">
        <v>2</v>
      </c>
      <c r="I49" s="234"/>
      <c r="J49" s="233"/>
      <c r="K49" s="233"/>
      <c r="L49" s="40"/>
      <c r="M49" s="225" t="s">
        <v>33</v>
      </c>
      <c r="N49" s="226" t="s">
        <v>116</v>
      </c>
      <c r="O49" s="227"/>
      <c r="P49" s="218"/>
      <c r="Q49" s="211"/>
      <c r="R49" s="38"/>
    </row>
    <row r="50" spans="1:18" s="39" customFormat="1" ht="36" x14ac:dyDescent="0.55000000000000004">
      <c r="A50" s="235">
        <v>2</v>
      </c>
      <c r="B50" s="236" t="s">
        <v>117</v>
      </c>
      <c r="C50" s="237"/>
      <c r="D50" s="238"/>
      <c r="E50" s="238"/>
      <c r="F50" s="238"/>
      <c r="G50" s="239"/>
      <c r="H50" s="233"/>
      <c r="I50" s="234"/>
      <c r="J50" s="233"/>
      <c r="K50" s="233"/>
      <c r="L50" s="40"/>
      <c r="M50" s="225" t="s">
        <v>34</v>
      </c>
      <c r="N50" s="226" t="s">
        <v>118</v>
      </c>
      <c r="O50" s="227"/>
      <c r="P50" s="218"/>
      <c r="Q50" s="211"/>
      <c r="R50" s="38"/>
    </row>
    <row r="51" spans="1:18" s="39" customFormat="1" ht="82.5" customHeight="1" x14ac:dyDescent="0.55000000000000004">
      <c r="A51" s="228" t="s">
        <v>110</v>
      </c>
      <c r="B51" s="240" t="s">
        <v>156</v>
      </c>
      <c r="C51" s="241"/>
      <c r="D51" s="242"/>
      <c r="E51" s="242"/>
      <c r="F51" s="242"/>
      <c r="G51" s="243"/>
      <c r="H51" s="233">
        <v>2</v>
      </c>
      <c r="I51" s="234"/>
      <c r="J51" s="233"/>
      <c r="K51" s="233"/>
      <c r="L51" s="40"/>
      <c r="M51" s="225" t="s">
        <v>35</v>
      </c>
      <c r="N51" s="226" t="s">
        <v>119</v>
      </c>
      <c r="O51" s="227"/>
      <c r="P51" s="244"/>
      <c r="Q51" s="211"/>
      <c r="R51" s="38"/>
    </row>
    <row r="52" spans="1:18" s="39" customFormat="1" ht="114.75" customHeight="1" x14ac:dyDescent="0.55000000000000004">
      <c r="A52" s="228" t="s">
        <v>112</v>
      </c>
      <c r="B52" s="240" t="s">
        <v>157</v>
      </c>
      <c r="C52" s="241"/>
      <c r="D52" s="242"/>
      <c r="E52" s="242"/>
      <c r="F52" s="242"/>
      <c r="G52" s="243"/>
      <c r="H52" s="233">
        <v>2</v>
      </c>
      <c r="I52" s="234"/>
      <c r="J52" s="233"/>
      <c r="K52" s="233"/>
      <c r="L52" s="40"/>
      <c r="M52" s="218" t="s">
        <v>107</v>
      </c>
      <c r="N52" s="245" t="s">
        <v>120</v>
      </c>
      <c r="O52" s="246"/>
      <c r="P52" s="244"/>
      <c r="Q52" s="211"/>
      <c r="R52" s="38"/>
    </row>
    <row r="53" spans="1:18" s="39" customFormat="1" ht="72" customHeight="1" x14ac:dyDescent="0.55000000000000004">
      <c r="A53" s="228" t="s">
        <v>114</v>
      </c>
      <c r="B53" s="240" t="s">
        <v>158</v>
      </c>
      <c r="C53" s="241"/>
      <c r="D53" s="242"/>
      <c r="E53" s="242"/>
      <c r="F53" s="242"/>
      <c r="G53" s="243"/>
      <c r="H53" s="233">
        <v>2</v>
      </c>
      <c r="I53" s="234"/>
      <c r="J53" s="233"/>
      <c r="K53" s="233"/>
      <c r="L53" s="40"/>
      <c r="M53" s="218" t="s">
        <v>121</v>
      </c>
      <c r="N53" s="245" t="s">
        <v>122</v>
      </c>
      <c r="O53" s="246"/>
      <c r="P53" s="244"/>
      <c r="Q53" s="211"/>
      <c r="R53" s="38"/>
    </row>
    <row r="54" spans="1:18" s="39" customFormat="1" ht="66" customHeight="1" x14ac:dyDescent="0.55000000000000004">
      <c r="A54" s="235">
        <v>3</v>
      </c>
      <c r="B54" s="236" t="s">
        <v>123</v>
      </c>
      <c r="C54" s="237"/>
      <c r="D54" s="238"/>
      <c r="E54" s="238"/>
      <c r="F54" s="238"/>
      <c r="G54" s="239"/>
      <c r="H54" s="233"/>
      <c r="I54" s="234"/>
      <c r="J54" s="233"/>
      <c r="K54" s="233"/>
      <c r="L54" s="40"/>
      <c r="M54" s="218" t="s">
        <v>105</v>
      </c>
      <c r="N54" s="245" t="s">
        <v>124</v>
      </c>
      <c r="O54" s="246"/>
      <c r="P54" s="244"/>
      <c r="Q54" s="211"/>
      <c r="R54" s="38"/>
    </row>
    <row r="55" spans="1:18" s="39" customFormat="1" ht="72" customHeight="1" x14ac:dyDescent="0.55000000000000004">
      <c r="A55" s="228" t="s">
        <v>110</v>
      </c>
      <c r="B55" s="240" t="s">
        <v>125</v>
      </c>
      <c r="C55" s="247"/>
      <c r="D55" s="248"/>
      <c r="E55" s="248"/>
      <c r="F55" s="248"/>
      <c r="G55" s="249"/>
      <c r="H55" s="233">
        <v>2</v>
      </c>
      <c r="I55" s="234"/>
      <c r="J55" s="233"/>
      <c r="K55" s="233"/>
      <c r="L55" s="40"/>
      <c r="M55" s="218" t="s">
        <v>106</v>
      </c>
      <c r="N55" s="245" t="s">
        <v>126</v>
      </c>
      <c r="O55" s="246"/>
      <c r="P55" s="244"/>
      <c r="Q55" s="211"/>
      <c r="R55" s="38"/>
    </row>
    <row r="56" spans="1:18" s="39" customFormat="1" ht="72" customHeight="1" x14ac:dyDescent="0.55000000000000004">
      <c r="A56" s="228" t="s">
        <v>112</v>
      </c>
      <c r="B56" s="240" t="s">
        <v>159</v>
      </c>
      <c r="C56" s="247"/>
      <c r="D56" s="248"/>
      <c r="E56" s="248"/>
      <c r="F56" s="248"/>
      <c r="G56" s="249"/>
      <c r="H56" s="233">
        <v>2</v>
      </c>
      <c r="I56" s="234"/>
      <c r="J56" s="233"/>
      <c r="K56" s="233"/>
      <c r="L56" s="40"/>
      <c r="M56" s="218" t="s">
        <v>127</v>
      </c>
      <c r="N56" s="245" t="s">
        <v>128</v>
      </c>
      <c r="O56" s="246"/>
      <c r="P56" s="244"/>
      <c r="Q56" s="211"/>
      <c r="R56" s="38"/>
    </row>
    <row r="57" spans="1:18" s="39" customFormat="1" ht="44.25" customHeight="1" x14ac:dyDescent="0.55000000000000004">
      <c r="A57" s="228" t="s">
        <v>114</v>
      </c>
      <c r="B57" s="240" t="s">
        <v>160</v>
      </c>
      <c r="C57" s="247"/>
      <c r="D57" s="248"/>
      <c r="E57" s="248"/>
      <c r="F57" s="248"/>
      <c r="G57" s="249"/>
      <c r="H57" s="233">
        <v>2</v>
      </c>
      <c r="I57" s="234"/>
      <c r="J57" s="233"/>
      <c r="K57" s="233"/>
      <c r="L57" s="40"/>
      <c r="M57" s="250"/>
      <c r="N57" s="250"/>
      <c r="O57" s="250"/>
      <c r="P57" s="251"/>
      <c r="Q57" s="211"/>
      <c r="R57" s="38"/>
    </row>
    <row r="58" spans="1:18" s="39" customFormat="1" ht="31.5" customHeight="1" x14ac:dyDescent="0.55000000000000004">
      <c r="A58" s="252" t="s">
        <v>129</v>
      </c>
      <c r="B58" s="253"/>
      <c r="C58" s="253"/>
      <c r="D58" s="253"/>
      <c r="E58" s="253"/>
      <c r="F58" s="253"/>
      <c r="G58" s="253"/>
      <c r="H58" s="254">
        <f>SUM(H47:H57)</f>
        <v>20</v>
      </c>
      <c r="I58" s="254">
        <f>SUM(I47:I57)</f>
        <v>0</v>
      </c>
      <c r="J58" s="254"/>
      <c r="K58" s="255"/>
      <c r="L58" s="40"/>
      <c r="M58" s="250"/>
      <c r="N58" s="250"/>
      <c r="O58" s="250"/>
      <c r="P58" s="251"/>
      <c r="Q58" s="211"/>
      <c r="R58" s="38"/>
    </row>
    <row r="59" spans="1:18" s="39" customFormat="1" ht="36" customHeight="1" x14ac:dyDescent="0.55000000000000004">
      <c r="A59" s="256" t="s">
        <v>110</v>
      </c>
      <c r="B59" s="257" t="s">
        <v>130</v>
      </c>
      <c r="C59" s="241" t="s">
        <v>131</v>
      </c>
      <c r="D59" s="242"/>
      <c r="E59" s="242"/>
      <c r="F59" s="242"/>
      <c r="G59" s="243"/>
      <c r="H59" s="258">
        <v>4</v>
      </c>
      <c r="I59" s="259"/>
      <c r="J59" s="258"/>
      <c r="K59" s="260"/>
      <c r="L59" s="40"/>
      <c r="M59" s="250"/>
      <c r="N59" s="250"/>
      <c r="O59" s="250"/>
      <c r="P59" s="251"/>
      <c r="Q59" s="211"/>
      <c r="R59" s="38"/>
    </row>
    <row r="60" spans="1:18" s="39" customFormat="1" ht="129" customHeight="1" x14ac:dyDescent="0.55000000000000004">
      <c r="A60" s="256" t="s">
        <v>112</v>
      </c>
      <c r="B60" s="257" t="s">
        <v>132</v>
      </c>
      <c r="C60" s="241" t="s">
        <v>133</v>
      </c>
      <c r="D60" s="242"/>
      <c r="E60" s="242"/>
      <c r="F60" s="242"/>
      <c r="G60" s="243"/>
      <c r="H60" s="258">
        <v>3</v>
      </c>
      <c r="I60" s="259"/>
      <c r="J60" s="258"/>
      <c r="K60" s="260"/>
      <c r="L60" s="40"/>
      <c r="M60" s="250"/>
      <c r="N60" s="250"/>
      <c r="O60" s="250"/>
      <c r="P60" s="251"/>
      <c r="Q60" s="211"/>
      <c r="R60" s="38"/>
    </row>
    <row r="61" spans="1:18" s="39" customFormat="1" ht="69" customHeight="1" x14ac:dyDescent="0.55000000000000004">
      <c r="A61" s="256" t="s">
        <v>112</v>
      </c>
      <c r="B61" s="257" t="s">
        <v>134</v>
      </c>
      <c r="C61" s="241" t="s">
        <v>135</v>
      </c>
      <c r="D61" s="242"/>
      <c r="E61" s="242"/>
      <c r="F61" s="242"/>
      <c r="G61" s="243"/>
      <c r="H61" s="258">
        <v>3</v>
      </c>
      <c r="I61" s="259"/>
      <c r="J61" s="258"/>
      <c r="K61" s="260"/>
      <c r="L61" s="40"/>
      <c r="M61" s="250"/>
      <c r="N61" s="250"/>
      <c r="O61" s="250"/>
      <c r="P61" s="251"/>
      <c r="Q61" s="211"/>
      <c r="R61" s="38"/>
    </row>
    <row r="62" spans="1:18" s="39" customFormat="1" ht="46.5" customHeight="1" x14ac:dyDescent="0.55000000000000004">
      <c r="A62" s="261"/>
      <c r="B62" s="262" t="s">
        <v>136</v>
      </c>
      <c r="C62" s="262"/>
      <c r="D62" s="262"/>
      <c r="E62" s="263"/>
      <c r="F62" s="263"/>
      <c r="G62" s="263"/>
      <c r="H62" s="254">
        <f>SUM(H59:H61)</f>
        <v>10</v>
      </c>
      <c r="I62" s="254">
        <f>SUM(I59:I61)</f>
        <v>0</v>
      </c>
      <c r="J62" s="263"/>
      <c r="K62" s="264"/>
      <c r="L62" s="250"/>
      <c r="M62" s="250"/>
      <c r="N62" s="250"/>
      <c r="O62" s="250"/>
      <c r="P62" s="251"/>
      <c r="Q62" s="211"/>
      <c r="R62" s="38"/>
    </row>
    <row r="63" spans="1:18" s="42" customFormat="1" ht="45" customHeight="1" x14ac:dyDescent="0.7">
      <c r="A63" s="41"/>
      <c r="B63" s="265"/>
      <c r="C63" s="266"/>
      <c r="D63" s="266"/>
      <c r="E63" s="266"/>
      <c r="F63" s="267"/>
      <c r="G63" s="267"/>
      <c r="H63" s="267"/>
      <c r="I63" s="267"/>
      <c r="J63" s="267"/>
      <c r="K63" s="266"/>
      <c r="L63" s="266"/>
      <c r="M63" s="266"/>
      <c r="N63" s="266"/>
      <c r="O63" s="268" t="s">
        <v>161</v>
      </c>
      <c r="P63" s="269"/>
      <c r="Q63" s="268" t="s">
        <v>162</v>
      </c>
      <c r="R63" s="270"/>
    </row>
    <row r="64" spans="1:18" s="42" customFormat="1" ht="45" customHeight="1" x14ac:dyDescent="0.7">
      <c r="A64" s="41"/>
      <c r="B64" s="271"/>
      <c r="C64" s="272" t="s">
        <v>163</v>
      </c>
      <c r="D64" s="273"/>
      <c r="E64" s="273"/>
      <c r="F64" s="273"/>
      <c r="G64" s="273"/>
      <c r="H64" s="273"/>
      <c r="I64" s="273"/>
      <c r="J64" s="273"/>
      <c r="K64" s="274"/>
      <c r="L64" s="275"/>
      <c r="M64" s="276"/>
      <c r="N64" s="277"/>
      <c r="O64" s="278">
        <f>R43</f>
        <v>0</v>
      </c>
      <c r="P64" s="279"/>
      <c r="Q64" s="280">
        <f>O67/100 * 20</f>
        <v>0</v>
      </c>
      <c r="R64" s="281"/>
    </row>
    <row r="65" spans="1:18" s="42" customFormat="1" ht="45" customHeight="1" x14ac:dyDescent="0.7">
      <c r="A65" s="41"/>
      <c r="B65" s="271"/>
      <c r="C65" s="273" t="s">
        <v>164</v>
      </c>
      <c r="D65" s="273"/>
      <c r="E65" s="273"/>
      <c r="F65" s="273"/>
      <c r="G65" s="273"/>
      <c r="H65" s="273"/>
      <c r="I65" s="273"/>
      <c r="J65" s="273"/>
      <c r="K65" s="273"/>
      <c r="L65" s="276"/>
      <c r="M65" s="276"/>
      <c r="N65" s="277"/>
      <c r="O65" s="278">
        <f>I58</f>
        <v>0</v>
      </c>
      <c r="P65" s="279"/>
      <c r="Q65" s="282"/>
      <c r="R65" s="283"/>
    </row>
    <row r="66" spans="1:18" s="42" customFormat="1" ht="45" customHeight="1" x14ac:dyDescent="0.7">
      <c r="A66" s="41"/>
      <c r="B66" s="271"/>
      <c r="C66" s="272" t="s">
        <v>165</v>
      </c>
      <c r="D66" s="273"/>
      <c r="E66" s="273"/>
      <c r="F66" s="273"/>
      <c r="G66" s="273"/>
      <c r="H66" s="273"/>
      <c r="I66" s="273"/>
      <c r="J66" s="273"/>
      <c r="K66" s="274"/>
      <c r="L66" s="275"/>
      <c r="M66" s="276"/>
      <c r="N66" s="277"/>
      <c r="O66" s="278">
        <f>I62</f>
        <v>0</v>
      </c>
      <c r="P66" s="279"/>
      <c r="Q66" s="282"/>
      <c r="R66" s="283"/>
    </row>
    <row r="67" spans="1:18" s="42" customFormat="1" ht="45" customHeight="1" x14ac:dyDescent="0.7">
      <c r="A67" s="41"/>
      <c r="B67" s="284"/>
      <c r="C67" s="272" t="s">
        <v>166</v>
      </c>
      <c r="D67" s="273"/>
      <c r="E67" s="273"/>
      <c r="F67" s="273"/>
      <c r="G67" s="273"/>
      <c r="H67" s="273"/>
      <c r="I67" s="273"/>
      <c r="J67" s="273"/>
      <c r="K67" s="274"/>
      <c r="L67" s="275"/>
      <c r="M67" s="276"/>
      <c r="N67" s="277"/>
      <c r="O67" s="278">
        <f>SUM(O64:P66)</f>
        <v>0</v>
      </c>
      <c r="P67" s="279"/>
      <c r="Q67" s="285"/>
      <c r="R67" s="286"/>
    </row>
    <row r="68" spans="1:18" s="42" customFormat="1" ht="64.900000000000006" customHeight="1" x14ac:dyDescent="0.7">
      <c r="A68" s="41"/>
      <c r="B68" s="287" t="s">
        <v>167</v>
      </c>
      <c r="C68" s="287"/>
      <c r="D68" s="287"/>
      <c r="E68" s="287"/>
      <c r="F68" s="287"/>
      <c r="G68" s="287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9"/>
    </row>
    <row r="69" spans="1:18" s="42" customFormat="1" ht="64.900000000000006" customHeight="1" x14ac:dyDescent="0.7">
      <c r="A69" s="41"/>
      <c r="B69" s="88" t="s">
        <v>168</v>
      </c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9"/>
    </row>
    <row r="70" spans="1:18" s="42" customFormat="1" ht="48.75" customHeight="1" x14ac:dyDescent="0.7">
      <c r="A70" s="41"/>
      <c r="B70" s="290" t="s">
        <v>169</v>
      </c>
      <c r="C70" s="290"/>
      <c r="D70" s="290"/>
      <c r="E70" s="290"/>
      <c r="F70" s="290"/>
      <c r="G70" s="290"/>
      <c r="H70" s="291"/>
      <c r="I70" s="291"/>
      <c r="J70" s="291"/>
      <c r="K70" s="291"/>
      <c r="L70" s="291"/>
      <c r="M70" s="291"/>
      <c r="N70" s="291"/>
      <c r="O70" s="291"/>
      <c r="P70" s="291"/>
      <c r="Q70" s="291"/>
      <c r="R70" s="292"/>
    </row>
    <row r="71" spans="1:18" s="42" customFormat="1" ht="45.75" x14ac:dyDescent="0.7">
      <c r="A71" s="41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9"/>
    </row>
    <row r="72" spans="1:18" s="39" customFormat="1" ht="31.5" customHeight="1" x14ac:dyDescent="0.55000000000000004">
      <c r="A72" s="90" t="s">
        <v>170</v>
      </c>
      <c r="B72" s="75"/>
      <c r="C72" s="67"/>
      <c r="D72" s="68"/>
      <c r="E72" s="71" t="s">
        <v>171</v>
      </c>
      <c r="F72" s="73"/>
      <c r="G72" s="75" t="s">
        <v>172</v>
      </c>
      <c r="H72" s="67"/>
      <c r="I72" s="67"/>
      <c r="J72" s="67"/>
      <c r="K72" s="43"/>
      <c r="L72" s="40"/>
      <c r="M72" s="93"/>
      <c r="N72" s="93"/>
      <c r="O72" s="93"/>
      <c r="P72" s="93"/>
      <c r="Q72" s="93"/>
      <c r="R72" s="38"/>
    </row>
    <row r="73" spans="1:18" s="39" customFormat="1" ht="31.5" customHeight="1" x14ac:dyDescent="0.55000000000000004">
      <c r="A73" s="65"/>
      <c r="B73" s="66"/>
      <c r="C73" s="81"/>
      <c r="D73" s="82"/>
      <c r="E73" s="92"/>
      <c r="F73" s="86"/>
      <c r="G73" s="66"/>
      <c r="H73" s="81"/>
      <c r="I73" s="81"/>
      <c r="J73" s="81"/>
      <c r="K73" s="43"/>
      <c r="L73" s="40"/>
      <c r="M73" s="94"/>
      <c r="N73" s="94"/>
      <c r="O73" s="94"/>
      <c r="P73" s="94"/>
      <c r="Q73" s="94"/>
      <c r="R73" s="38"/>
    </row>
    <row r="74" spans="1:18" s="39" customFormat="1" ht="31.5" customHeight="1" x14ac:dyDescent="0.55000000000000004">
      <c r="A74" s="65"/>
      <c r="B74" s="66"/>
      <c r="C74" s="81"/>
      <c r="D74" s="82"/>
      <c r="E74" s="92"/>
      <c r="F74" s="86"/>
      <c r="G74" s="66"/>
      <c r="H74" s="81"/>
      <c r="I74" s="81"/>
      <c r="J74" s="81"/>
      <c r="K74" s="43"/>
      <c r="L74" s="40"/>
      <c r="M74" s="94"/>
      <c r="N74" s="94"/>
      <c r="O74" s="94"/>
      <c r="P74" s="94"/>
      <c r="Q74" s="94"/>
      <c r="R74" s="38"/>
    </row>
    <row r="75" spans="1:18" s="39" customFormat="1" ht="31.5" customHeight="1" x14ac:dyDescent="0.55000000000000004">
      <c r="A75" s="91"/>
      <c r="B75" s="76"/>
      <c r="C75" s="69"/>
      <c r="D75" s="70"/>
      <c r="E75" s="72"/>
      <c r="F75" s="74"/>
      <c r="G75" s="76"/>
      <c r="H75" s="69"/>
      <c r="I75" s="69"/>
      <c r="J75" s="69"/>
      <c r="K75" s="43"/>
      <c r="L75" s="40"/>
      <c r="M75" s="94"/>
      <c r="N75" s="94"/>
      <c r="O75" s="94"/>
      <c r="P75" s="94"/>
      <c r="Q75" s="94"/>
      <c r="R75" s="38"/>
    </row>
    <row r="76" spans="1:18" s="39" customFormat="1" ht="31.5" customHeight="1" x14ac:dyDescent="0.55000000000000004">
      <c r="A76" s="77" t="s">
        <v>137</v>
      </c>
      <c r="B76" s="78"/>
      <c r="C76" s="67"/>
      <c r="D76" s="68"/>
      <c r="E76" s="83" t="s">
        <v>173</v>
      </c>
      <c r="F76" s="73"/>
      <c r="G76" s="78" t="s">
        <v>173</v>
      </c>
      <c r="H76" s="67"/>
      <c r="I76" s="67"/>
      <c r="J76" s="67"/>
      <c r="K76" s="43"/>
      <c r="L76" s="40"/>
      <c r="M76" s="94"/>
      <c r="N76" s="94"/>
      <c r="O76" s="94"/>
      <c r="P76" s="94"/>
      <c r="Q76" s="94"/>
      <c r="R76" s="38"/>
    </row>
    <row r="77" spans="1:18" s="39" customFormat="1" ht="31.5" customHeight="1" x14ac:dyDescent="0.55000000000000004">
      <c r="A77" s="79"/>
      <c r="B77" s="80"/>
      <c r="C77" s="81"/>
      <c r="D77" s="82"/>
      <c r="E77" s="84"/>
      <c r="F77" s="86"/>
      <c r="G77" s="80"/>
      <c r="H77" s="81"/>
      <c r="I77" s="81"/>
      <c r="J77" s="81"/>
      <c r="K77" s="43"/>
      <c r="L77" s="40"/>
      <c r="M77" s="94"/>
      <c r="N77" s="94"/>
      <c r="O77" s="94"/>
      <c r="P77" s="94"/>
      <c r="Q77" s="94"/>
      <c r="R77" s="38"/>
    </row>
    <row r="78" spans="1:18" s="39" customFormat="1" ht="31.5" customHeight="1" x14ac:dyDescent="0.55000000000000004">
      <c r="A78" s="79"/>
      <c r="B78" s="80"/>
      <c r="C78" s="69"/>
      <c r="D78" s="70"/>
      <c r="E78" s="85"/>
      <c r="F78" s="74"/>
      <c r="G78" s="87"/>
      <c r="H78" s="69"/>
      <c r="I78" s="69"/>
      <c r="J78" s="69"/>
      <c r="K78" s="43"/>
      <c r="L78" s="40"/>
      <c r="M78" s="94"/>
      <c r="N78" s="94"/>
      <c r="O78" s="94"/>
      <c r="P78" s="94"/>
      <c r="Q78" s="94"/>
      <c r="R78" s="38"/>
    </row>
    <row r="79" spans="1:18" s="39" customFormat="1" ht="31.5" customHeight="1" x14ac:dyDescent="0.55000000000000004">
      <c r="A79" s="65" t="s">
        <v>138</v>
      </c>
      <c r="B79" s="66"/>
      <c r="C79" s="67"/>
      <c r="D79" s="68"/>
      <c r="E79" s="71" t="s">
        <v>174</v>
      </c>
      <c r="F79" s="73"/>
      <c r="G79" s="75" t="s">
        <v>174</v>
      </c>
      <c r="H79" s="67"/>
      <c r="I79" s="67"/>
      <c r="J79" s="67"/>
      <c r="K79" s="43"/>
      <c r="L79" s="40"/>
      <c r="M79" s="94"/>
      <c r="N79" s="94"/>
      <c r="O79" s="94"/>
      <c r="P79" s="94"/>
      <c r="Q79" s="94"/>
      <c r="R79" s="38"/>
    </row>
    <row r="80" spans="1:18" s="39" customFormat="1" ht="31.5" customHeight="1" x14ac:dyDescent="0.55000000000000004">
      <c r="A80" s="65"/>
      <c r="B80" s="66"/>
      <c r="C80" s="69"/>
      <c r="D80" s="70"/>
      <c r="E80" s="72"/>
      <c r="F80" s="74"/>
      <c r="G80" s="76"/>
      <c r="H80" s="69"/>
      <c r="I80" s="69"/>
      <c r="J80" s="69"/>
      <c r="K80" s="43"/>
      <c r="L80" s="40"/>
      <c r="M80" s="94"/>
      <c r="N80" s="94"/>
      <c r="O80" s="94"/>
      <c r="P80" s="94"/>
      <c r="Q80" s="94"/>
      <c r="R80" s="38"/>
    </row>
    <row r="81" spans="1:18" s="39" customFormat="1" ht="31.5" customHeight="1" thickBot="1" x14ac:dyDescent="0.6">
      <c r="A81" s="52"/>
      <c r="B81" s="53"/>
      <c r="C81" s="53"/>
      <c r="D81" s="53"/>
      <c r="E81" s="53"/>
      <c r="F81" s="53"/>
      <c r="G81" s="53"/>
      <c r="H81" s="53"/>
      <c r="I81" s="53"/>
      <c r="J81" s="53"/>
      <c r="K81" s="44"/>
      <c r="L81" s="45"/>
      <c r="M81" s="95"/>
      <c r="N81" s="95"/>
      <c r="O81" s="95"/>
      <c r="P81" s="95"/>
      <c r="Q81" s="95"/>
      <c r="R81" s="46"/>
    </row>
  </sheetData>
  <mergeCells count="115">
    <mergeCell ref="A81:J81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9:B80"/>
    <mergeCell ref="C79:D80"/>
    <mergeCell ref="E79:E80"/>
    <mergeCell ref="F79:F80"/>
    <mergeCell ref="G79:G80"/>
    <mergeCell ref="H79:J80"/>
    <mergeCell ref="A76:B78"/>
    <mergeCell ref="C76:D78"/>
    <mergeCell ref="E76:E78"/>
    <mergeCell ref="F76:F78"/>
    <mergeCell ref="G76:G78"/>
    <mergeCell ref="H76:J78"/>
    <mergeCell ref="B69:R69"/>
    <mergeCell ref="B70:G70"/>
    <mergeCell ref="B71:R71"/>
    <mergeCell ref="A72:B75"/>
    <mergeCell ref="C72:D75"/>
    <mergeCell ref="E72:E75"/>
    <mergeCell ref="F72:F75"/>
    <mergeCell ref="G72:G75"/>
    <mergeCell ref="H72:J75"/>
    <mergeCell ref="M72:Q81"/>
    <mergeCell ref="L66:N66"/>
    <mergeCell ref="O66:P66"/>
    <mergeCell ref="C67:K67"/>
    <mergeCell ref="L67:N67"/>
    <mergeCell ref="O67:P67"/>
    <mergeCell ref="B68:G68"/>
    <mergeCell ref="O63:P63"/>
    <mergeCell ref="Q63:R63"/>
    <mergeCell ref="C64:K64"/>
    <mergeCell ref="L64:N64"/>
    <mergeCell ref="O64:P64"/>
    <mergeCell ref="Q64:R67"/>
    <mergeCell ref="C65:K65"/>
    <mergeCell ref="L65:N65"/>
    <mergeCell ref="O65:P65"/>
    <mergeCell ref="C66:K66"/>
    <mergeCell ref="A58:G58"/>
    <mergeCell ref="C59:G59"/>
    <mergeCell ref="C60:G60"/>
    <mergeCell ref="C61:G61"/>
    <mergeCell ref="B62:D62"/>
    <mergeCell ref="B63:B67"/>
    <mergeCell ref="F63:J63"/>
    <mergeCell ref="C52:G52"/>
    <mergeCell ref="C53:G53"/>
    <mergeCell ref="C54:G54"/>
    <mergeCell ref="C55:G55"/>
    <mergeCell ref="C56:G56"/>
    <mergeCell ref="C57:G57"/>
    <mergeCell ref="C49:G49"/>
    <mergeCell ref="N49:O49"/>
    <mergeCell ref="C50:G50"/>
    <mergeCell ref="N50:O50"/>
    <mergeCell ref="C51:G51"/>
    <mergeCell ref="N51:O51"/>
    <mergeCell ref="C46:G46"/>
    <mergeCell ref="N46:O46"/>
    <mergeCell ref="C47:G47"/>
    <mergeCell ref="N47:O47"/>
    <mergeCell ref="C48:G48"/>
    <mergeCell ref="N48:O48"/>
    <mergeCell ref="R17:R18"/>
    <mergeCell ref="I43:Q43"/>
    <mergeCell ref="A44:G44"/>
    <mergeCell ref="H44:K44"/>
    <mergeCell ref="L44:L45"/>
    <mergeCell ref="C45:G45"/>
    <mergeCell ref="A38:A39"/>
    <mergeCell ref="B38:B39"/>
    <mergeCell ref="C38:C39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847CB3F3-5264-43D5-B46E-0104CA340099}"/>
  </hyperlinks>
  <pageMargins left="0.7" right="0.7" top="0.75" bottom="0.75" header="0.3" footer="0.3"/>
  <pageSetup scale="14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FIRST QUARTER</vt:lpstr>
      <vt:lpstr>SECOND QUARTER</vt:lpstr>
      <vt:lpstr>THIRD QUARTER</vt:lpstr>
      <vt:lpstr>FOURTH QUARTER</vt:lpstr>
      <vt:lpstr>'FIRST QUARTER'!Print_Area</vt:lpstr>
      <vt:lpstr>'FOURTH QUARTER'!Print_Area</vt:lpstr>
      <vt:lpstr>'SECOND QUARTER'!Print_Area</vt:lpstr>
      <vt:lpstr>'THIRD QUARTER'!Print_Area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2026-04-09T13:38:05Z</dcterms:created>
  <dcterms:modified xsi:type="dcterms:W3CDTF">2026-04-09T21:19:00Z</dcterms:modified>
</cp:coreProperties>
</file>