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OPERATIONS\B\"/>
    </mc:Choice>
  </mc:AlternateContent>
  <xr:revisionPtr revIDLastSave="0" documentId="13_ncr:1_{BEFFBE13-55F4-468B-AB9B-DF38E5C56DB8}" xr6:coauthVersionLast="47" xr6:coauthVersionMax="47" xr10:uidLastSave="{00000000-0000-0000-0000-000000000000}"/>
  <bookViews>
    <workbookView xWindow="-120" yWindow="-120" windowWidth="20730" windowHeight="11040" xr2:uid="{AA9CA86E-782E-49E4-AF45-F99D9C975079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QUARTER'!$A$1:$R$80</definedName>
    <definedName name="_xlnm.Print_Area" localSheetId="3">'FOURTH QUARTER'!$A$1:$R$80</definedName>
    <definedName name="_xlnm.Print_Area" localSheetId="1">'SECOND QUARTER'!$A$1:$R$80</definedName>
    <definedName name="_xlnm.Print_Area" localSheetId="2">'THIRD QUARTER'!$A$1:$R$80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3" l="1"/>
  <c r="C40" i="3"/>
  <c r="C39" i="3"/>
  <c r="E39" i="3" s="1"/>
  <c r="E38" i="3"/>
  <c r="C38" i="3"/>
  <c r="C36" i="3"/>
  <c r="E36" i="3" s="1"/>
  <c r="E35" i="3"/>
  <c r="C35" i="3"/>
  <c r="C25" i="3"/>
  <c r="E33" i="3" s="1"/>
  <c r="E24" i="3"/>
  <c r="C24" i="3"/>
  <c r="C19" i="3"/>
  <c r="E22" i="3" s="1"/>
  <c r="E40" i="4"/>
  <c r="C40" i="4"/>
  <c r="C39" i="4"/>
  <c r="E39" i="4" s="1"/>
  <c r="E38" i="4"/>
  <c r="C38" i="4"/>
  <c r="C36" i="4"/>
  <c r="E36" i="4" s="1"/>
  <c r="E35" i="4"/>
  <c r="C35" i="4"/>
  <c r="C25" i="4"/>
  <c r="E33" i="4" s="1"/>
  <c r="E24" i="4"/>
  <c r="C24" i="4"/>
  <c r="C19" i="4"/>
  <c r="E22" i="4" s="1"/>
  <c r="E40" i="5"/>
  <c r="C40" i="5"/>
  <c r="C39" i="5"/>
  <c r="E39" i="5" s="1"/>
  <c r="E38" i="5"/>
  <c r="C38" i="5"/>
  <c r="C36" i="5"/>
  <c r="E36" i="5" s="1"/>
  <c r="E35" i="5"/>
  <c r="C35" i="5"/>
  <c r="C25" i="5"/>
  <c r="E33" i="5" s="1"/>
  <c r="E24" i="5"/>
  <c r="C24" i="5"/>
  <c r="C19" i="5"/>
  <c r="E22" i="5" s="1"/>
  <c r="E40" i="2"/>
  <c r="C40" i="2"/>
  <c r="C39" i="2"/>
  <c r="E39" i="2" s="1"/>
  <c r="E38" i="2"/>
  <c r="C38" i="2"/>
  <c r="C36" i="2"/>
  <c r="E36" i="2" s="1"/>
  <c r="E35" i="2"/>
  <c r="C35" i="2"/>
  <c r="C25" i="2"/>
  <c r="E33" i="2" s="1"/>
  <c r="E24" i="2"/>
  <c r="C24" i="2"/>
  <c r="C19" i="2"/>
  <c r="I61" i="5"/>
  <c r="O65" i="5" s="1"/>
  <c r="H61" i="5"/>
  <c r="I57" i="5"/>
  <c r="O64" i="5" s="1"/>
  <c r="H57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I61" i="4"/>
  <c r="O65" i="4" s="1"/>
  <c r="H61" i="4"/>
  <c r="I57" i="4"/>
  <c r="O64" i="4" s="1"/>
  <c r="H57" i="4"/>
  <c r="C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I61" i="3"/>
  <c r="O65" i="3" s="1"/>
  <c r="H61" i="3"/>
  <c r="I57" i="3"/>
  <c r="O64" i="3" s="1"/>
  <c r="H57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I61" i="2"/>
  <c r="O65" i="2" s="1"/>
  <c r="H61" i="2"/>
  <c r="I57" i="2"/>
  <c r="O64" i="2" s="1"/>
  <c r="H57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E22" i="2" l="1"/>
  <c r="E20" i="2"/>
  <c r="C41" i="2"/>
  <c r="E23" i="2"/>
  <c r="E21" i="2"/>
  <c r="E19" i="2"/>
  <c r="C41" i="5"/>
  <c r="E26" i="2"/>
  <c r="E28" i="2"/>
  <c r="E30" i="2"/>
  <c r="E32" i="2"/>
  <c r="E34" i="2"/>
  <c r="E37" i="2"/>
  <c r="E19" i="5"/>
  <c r="E21" i="5"/>
  <c r="E23" i="5"/>
  <c r="E26" i="5"/>
  <c r="E28" i="5"/>
  <c r="E30" i="5"/>
  <c r="E32" i="5"/>
  <c r="E34" i="5"/>
  <c r="E37" i="5"/>
  <c r="E19" i="4"/>
  <c r="E21" i="4"/>
  <c r="E23" i="4"/>
  <c r="E26" i="4"/>
  <c r="E28" i="4"/>
  <c r="E30" i="4"/>
  <c r="E32" i="4"/>
  <c r="E34" i="4"/>
  <c r="E37" i="4"/>
  <c r="E19" i="3"/>
  <c r="E21" i="3"/>
  <c r="E23" i="3"/>
  <c r="E26" i="3"/>
  <c r="E28" i="3"/>
  <c r="E30" i="3"/>
  <c r="E32" i="3"/>
  <c r="E34" i="3"/>
  <c r="E37" i="3"/>
  <c r="C41" i="3"/>
  <c r="E25" i="2"/>
  <c r="E27" i="2"/>
  <c r="E29" i="2"/>
  <c r="E31" i="2"/>
  <c r="E20" i="5"/>
  <c r="E25" i="5"/>
  <c r="E27" i="5"/>
  <c r="E29" i="5"/>
  <c r="E31" i="5"/>
  <c r="E20" i="4"/>
  <c r="E25" i="4"/>
  <c r="E27" i="4"/>
  <c r="E29" i="4"/>
  <c r="E31" i="4"/>
  <c r="E20" i="3"/>
  <c r="E25" i="3"/>
  <c r="E27" i="3"/>
  <c r="E29" i="3"/>
  <c r="E31" i="3"/>
  <c r="F31" i="2" l="1"/>
  <c r="R31" i="2" s="1"/>
  <c r="F32" i="4"/>
  <c r="R32" i="4" s="1"/>
  <c r="F23" i="4"/>
  <c r="R23" i="4" s="1"/>
  <c r="F37" i="2"/>
  <c r="R37" i="2" s="1"/>
  <c r="F28" i="2"/>
  <c r="R28" i="2" s="1"/>
  <c r="F37" i="3"/>
  <c r="R37" i="3" s="1"/>
  <c r="E41" i="3"/>
  <c r="F30" i="4"/>
  <c r="R30" i="4" s="1"/>
  <c r="F21" i="4"/>
  <c r="R21" i="4" s="1"/>
  <c r="F34" i="2"/>
  <c r="R34" i="2" s="1"/>
  <c r="F26" i="2"/>
  <c r="R26" i="2" s="1"/>
  <c r="E41" i="2"/>
  <c r="F19" i="2"/>
  <c r="F20" i="2"/>
  <c r="R20" i="2" s="1"/>
  <c r="F29" i="3"/>
  <c r="R29" i="3" s="1"/>
  <c r="F27" i="2"/>
  <c r="R27" i="2" s="1"/>
  <c r="F26" i="3"/>
  <c r="R26" i="3" s="1"/>
  <c r="F37" i="4"/>
  <c r="R37" i="4" s="1"/>
  <c r="F28" i="4"/>
  <c r="R28" i="4" s="1"/>
  <c r="E41" i="4"/>
  <c r="F21" i="5"/>
  <c r="R21" i="5" s="1"/>
  <c r="F32" i="2"/>
  <c r="R32" i="2" s="1"/>
  <c r="F21" i="2"/>
  <c r="R21" i="2" s="1"/>
  <c r="F22" i="2"/>
  <c r="R22" i="2" s="1"/>
  <c r="F20" i="3"/>
  <c r="R20" i="3" s="1"/>
  <c r="F29" i="2"/>
  <c r="R29" i="2" s="1"/>
  <c r="F28" i="3"/>
  <c r="R28" i="3" s="1"/>
  <c r="F27" i="3"/>
  <c r="R27" i="3" s="1"/>
  <c r="F29" i="4"/>
  <c r="R29" i="4" s="1"/>
  <c r="F25" i="2"/>
  <c r="R25" i="2" s="1"/>
  <c r="F32" i="3"/>
  <c r="R32" i="3" s="1"/>
  <c r="F34" i="4"/>
  <c r="R34" i="4" s="1"/>
  <c r="F26" i="4"/>
  <c r="R26" i="4" s="1"/>
  <c r="F37" i="5"/>
  <c r="R37" i="5" s="1"/>
  <c r="E41" i="5"/>
  <c r="F30" i="2"/>
  <c r="R30" i="2" s="1"/>
  <c r="F23" i="2"/>
  <c r="R23" i="2" s="1"/>
  <c r="F36" i="5" l="1"/>
  <c r="R36" i="5" s="1"/>
  <c r="F22" i="5"/>
  <c r="R22" i="5" s="1"/>
  <c r="F39" i="5"/>
  <c r="R39" i="5" s="1"/>
  <c r="F35" i="5"/>
  <c r="R35" i="5" s="1"/>
  <c r="F33" i="5"/>
  <c r="R33" i="5" s="1"/>
  <c r="F38" i="5"/>
  <c r="R38" i="5" s="1"/>
  <c r="F40" i="5"/>
  <c r="R40" i="5" s="1"/>
  <c r="F24" i="5"/>
  <c r="R24" i="5" s="1"/>
  <c r="F30" i="5"/>
  <c r="R30" i="5" s="1"/>
  <c r="F25" i="5"/>
  <c r="R25" i="5" s="1"/>
  <c r="F27" i="5"/>
  <c r="R27" i="5" s="1"/>
  <c r="F29" i="5"/>
  <c r="R29" i="5" s="1"/>
  <c r="F19" i="5"/>
  <c r="F20" i="5"/>
  <c r="R20" i="5" s="1"/>
  <c r="F40" i="4"/>
  <c r="R40" i="4" s="1"/>
  <c r="F24" i="4"/>
  <c r="R24" i="4" s="1"/>
  <c r="F22" i="4"/>
  <c r="R22" i="4" s="1"/>
  <c r="F39" i="4"/>
  <c r="R39" i="4" s="1"/>
  <c r="F36" i="4"/>
  <c r="R36" i="4" s="1"/>
  <c r="F35" i="4"/>
  <c r="R35" i="4" s="1"/>
  <c r="F38" i="4"/>
  <c r="R38" i="4" s="1"/>
  <c r="F33" i="4"/>
  <c r="R33" i="4" s="1"/>
  <c r="F20" i="4"/>
  <c r="R20" i="4" s="1"/>
  <c r="R19" i="2"/>
  <c r="F23" i="5"/>
  <c r="R23" i="5" s="1"/>
  <c r="F39" i="3"/>
  <c r="R39" i="3" s="1"/>
  <c r="F36" i="3"/>
  <c r="R36" i="3" s="1"/>
  <c r="F33" i="3"/>
  <c r="R33" i="3" s="1"/>
  <c r="F22" i="3"/>
  <c r="R22" i="3" s="1"/>
  <c r="F40" i="3"/>
  <c r="R40" i="3" s="1"/>
  <c r="F35" i="3"/>
  <c r="R35" i="3" s="1"/>
  <c r="F24" i="3"/>
  <c r="R24" i="3" s="1"/>
  <c r="F38" i="3"/>
  <c r="R38" i="3" s="1"/>
  <c r="F25" i="4"/>
  <c r="R25" i="4" s="1"/>
  <c r="F26" i="5"/>
  <c r="R26" i="5" s="1"/>
  <c r="F21" i="3"/>
  <c r="R21" i="3" s="1"/>
  <c r="F27" i="4"/>
  <c r="R27" i="4" s="1"/>
  <c r="F28" i="5"/>
  <c r="R28" i="5" s="1"/>
  <c r="F23" i="3"/>
  <c r="R23" i="3" s="1"/>
  <c r="F31" i="5"/>
  <c r="R31" i="5" s="1"/>
  <c r="F19" i="4"/>
  <c r="F34" i="3"/>
  <c r="R34" i="3" s="1"/>
  <c r="F31" i="4"/>
  <c r="R31" i="4" s="1"/>
  <c r="F39" i="2"/>
  <c r="R39" i="2" s="1"/>
  <c r="F35" i="2"/>
  <c r="R35" i="2" s="1"/>
  <c r="F40" i="2"/>
  <c r="R40" i="2" s="1"/>
  <c r="F38" i="2"/>
  <c r="R38" i="2" s="1"/>
  <c r="F36" i="2"/>
  <c r="R36" i="2" s="1"/>
  <c r="F33" i="2"/>
  <c r="R33" i="2" s="1"/>
  <c r="F24" i="2"/>
  <c r="R24" i="2" s="1"/>
  <c r="F32" i="5"/>
  <c r="R32" i="5" s="1"/>
  <c r="F19" i="3"/>
  <c r="F31" i="3"/>
  <c r="R31" i="3" s="1"/>
  <c r="F34" i="5"/>
  <c r="R34" i="5" s="1"/>
  <c r="F30" i="3"/>
  <c r="R30" i="3" s="1"/>
  <c r="F25" i="3"/>
  <c r="R25" i="3" s="1"/>
  <c r="F41" i="2" l="1"/>
  <c r="F41" i="4"/>
  <c r="R19" i="4"/>
  <c r="R41" i="4" s="1"/>
  <c r="R42" i="4" s="1"/>
  <c r="O63" i="4" s="1"/>
  <c r="O66" i="4" s="1"/>
  <c r="Q63" i="4" s="1"/>
  <c r="F41" i="3"/>
  <c r="R19" i="3"/>
  <c r="R41" i="3" s="1"/>
  <c r="R42" i="3" s="1"/>
  <c r="O63" i="3" s="1"/>
  <c r="O66" i="3" s="1"/>
  <c r="Q63" i="3" s="1"/>
  <c r="R41" i="2"/>
  <c r="R42" i="2" s="1"/>
  <c r="O63" i="2" s="1"/>
  <c r="O66" i="2" s="1"/>
  <c r="Q63" i="2" s="1"/>
  <c r="F41" i="5"/>
  <c r="R19" i="5"/>
  <c r="R41" i="5" s="1"/>
  <c r="R42" i="5" s="1"/>
  <c r="O63" i="5" s="1"/>
  <c r="O66" i="5" s="1"/>
  <c r="Q63" i="5" s="1"/>
</calcChain>
</file>

<file path=xl/sharedStrings.xml><?xml version="1.0" encoding="utf-8"?>
<sst xmlns="http://schemas.openxmlformats.org/spreadsheetml/2006/main" count="1036" uniqueCount="186">
  <si>
    <t>PERFORMANCE APPRAISAL PERIOD:</t>
  </si>
  <si>
    <t>FROM</t>
  </si>
  <si>
    <t>To</t>
  </si>
  <si>
    <t>SECTION 1: EMPLOYEE INFORMATION</t>
  </si>
  <si>
    <t>Surname:</t>
  </si>
  <si>
    <t>SESUGH</t>
  </si>
  <si>
    <t>Firstname</t>
  </si>
  <si>
    <t>DURUBA</t>
  </si>
  <si>
    <t>Othername</t>
  </si>
  <si>
    <t>Designation</t>
  </si>
  <si>
    <t>ASST. CHIEF PROG ANALYST</t>
  </si>
  <si>
    <t>IPPIS No.</t>
  </si>
  <si>
    <t>Email</t>
  </si>
  <si>
    <t>Phone No.</t>
  </si>
  <si>
    <t>Department</t>
  </si>
  <si>
    <t>OPERATIONS UNIT</t>
  </si>
  <si>
    <t>SECTION 2: SUPERVISOR INFORMATION</t>
  </si>
  <si>
    <t>ONCHE</t>
  </si>
  <si>
    <t>BEN</t>
  </si>
  <si>
    <t>OLOFO</t>
  </si>
  <si>
    <t>CHIEF ADMIN OFFICER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</si>
  <si>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</si>
  <si>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</si>
  <si>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</si>
  <si>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</si>
  <si>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</si>
  <si>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</si>
  <si>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</si>
  <si>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</si>
  <si>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</si>
  <si>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</si>
  <si>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</si>
  <si>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</si>
  <si>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</si>
  <si>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</si>
  <si>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</si>
  <si>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</si>
  <si>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</si>
  <si>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</si>
  <si>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</si>
  <si>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</si>
  <si>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</si>
  <si>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</si>
  <si>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</si>
  <si>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</si>
  <si>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</si>
  <si>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</si>
  <si>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</si>
  <si>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</si>
  <si>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</si>
  <si>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</si>
  <si>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</si>
  <si>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</si>
  <si>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</si>
  <si>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</si>
  <si>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</si>
  <si>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</si>
  <si>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</si>
  <si>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</si>
  <si>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</si>
  <si>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</si>
  <si>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</si>
  <si>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</si>
  <si>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</si>
  <si>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Participate in SERVICOM Compliance Evaluations (SCE)</t>
  </si>
  <si>
    <t>Percentage  of assigned evaluations completed</t>
  </si>
  <si>
    <t>&gt;80</t>
  </si>
  <si>
    <t>&lt;50</t>
  </si>
  <si>
    <t>Collect and document data during evaluations</t>
  </si>
  <si>
    <t>Percentage  of data collected accurately and completely</t>
  </si>
  <si>
    <t>Support analysis of service delivery performance in MDAs</t>
  </si>
  <si>
    <t>Percentage  of analysis completed and submitted on time</t>
  </si>
  <si>
    <t>&gt;90</t>
  </si>
  <si>
    <t>Assist in preparation of evaluation reports</t>
  </si>
  <si>
    <t>Percentage  of reports prepared without errors</t>
  </si>
  <si>
    <t>Assist in assessing SERVICOM structures in MDAs</t>
  </si>
  <si>
    <t>Percentage  of assessments conducted as assigned</t>
  </si>
  <si>
    <t>Support development of Service Charters</t>
  </si>
  <si>
    <t>Percentage  of charter documents supported and completed</t>
  </si>
  <si>
    <t>Track implementation of recommendations by MDAs</t>
  </si>
  <si>
    <t>Percentage  of follow-up activities completed</t>
  </si>
  <si>
    <t>Maintain proper documentation of evaluation activities</t>
  </si>
  <si>
    <t>Percentage  of records properly filed and retrievable</t>
  </si>
  <si>
    <t>Provide field reports and feedback to Team Lead</t>
  </si>
  <si>
    <t>Percentage  of reports submitted on time</t>
  </si>
  <si>
    <t>Support year-end review and lessons learned documentation</t>
  </si>
  <si>
    <t>Percentage  of inputs submitted as required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</si>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</sst>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30"/>
      <name val="Century Gothic"/>
      <family val="2"/>
    </font>
    <font>
      <u/>
      <sz val="30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61">
    <xf numFmtId="0" fontId="0" fillId="0" borderId="0" xfId="0"/>
    <xf numFmtId="0" fontId="1" fillId="0" borderId="0" xfId="5" applyAlignment="1">
      <alignment vertical="top"/>
    </xf>
    <xf numFmtId="0" fontId="11" fillId="0" borderId="0" xfId="5" applyFont="1" applyAlignment="1">
      <alignment vertical="top"/>
    </xf>
    <xf numFmtId="0" fontId="12" fillId="3" borderId="19" xfId="1" applyFont="1" applyFill="1" applyBorder="1" applyAlignment="1">
      <alignment vertical="center"/>
    </xf>
    <xf numFmtId="49" fontId="12" fillId="4" borderId="0" xfId="1" applyNumberFormat="1" applyFont="1" applyFill="1" applyAlignment="1">
      <alignment vertical="center"/>
    </xf>
    <xf numFmtId="0" fontId="12" fillId="3" borderId="0" xfId="1" applyFont="1" applyFill="1" applyAlignment="1">
      <alignment horizontal="center" vertical="center"/>
    </xf>
    <xf numFmtId="49" fontId="12" fillId="0" borderId="9" xfId="1" applyNumberFormat="1" applyFont="1" applyBorder="1" applyAlignment="1">
      <alignment horizontal="center"/>
    </xf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4" fillId="0" borderId="0" xfId="1" applyFont="1"/>
    <xf numFmtId="0" fontId="15" fillId="2" borderId="0" xfId="6" applyFont="1" applyFill="1" applyAlignment="1">
      <alignment horizontal="left"/>
    </xf>
    <xf numFmtId="0" fontId="2" fillId="2" borderId="0" xfId="6" applyFont="1" applyFill="1"/>
    <xf numFmtId="0" fontId="2" fillId="0" borderId="0" xfId="6" applyFont="1"/>
    <xf numFmtId="0" fontId="18" fillId="2" borderId="0" xfId="1" applyFont="1" applyFill="1" applyAlignment="1">
      <alignment horizontal="left"/>
    </xf>
    <xf numFmtId="0" fontId="19" fillId="0" borderId="0" xfId="1" applyFont="1" applyAlignment="1">
      <alignment horizontal="left"/>
    </xf>
    <xf numFmtId="0" fontId="21" fillId="2" borderId="0" xfId="1" applyFont="1" applyFill="1" applyAlignment="1">
      <alignment horizontal="center"/>
    </xf>
    <xf numFmtId="0" fontId="11" fillId="0" borderId="0" xfId="1" applyFont="1"/>
    <xf numFmtId="0" fontId="9" fillId="3" borderId="0" xfId="1" applyFont="1" applyFill="1" applyAlignment="1">
      <alignment horizontal="left"/>
    </xf>
    <xf numFmtId="0" fontId="21" fillId="3" borderId="0" xfId="1" applyFont="1" applyFill="1"/>
    <xf numFmtId="0" fontId="22" fillId="3" borderId="0" xfId="1" applyFont="1" applyFill="1"/>
    <xf numFmtId="0" fontId="11" fillId="3" borderId="0" xfId="1" applyFont="1" applyFill="1"/>
    <xf numFmtId="0" fontId="11" fillId="3" borderId="20" xfId="1" applyFont="1" applyFill="1" applyBorder="1"/>
    <xf numFmtId="0" fontId="23" fillId="2" borderId="14" xfId="5" applyFont="1" applyFill="1" applyBorder="1" applyAlignment="1">
      <alignment horizontal="center" vertical="center" wrapText="1"/>
    </xf>
    <xf numFmtId="0" fontId="24" fillId="0" borderId="0" xfId="5" applyFont="1" applyAlignment="1">
      <alignment vertical="top"/>
    </xf>
    <xf numFmtId="0" fontId="23" fillId="2" borderId="14" xfId="5" applyFont="1" applyFill="1" applyBorder="1" applyAlignment="1">
      <alignment horizontal="center" vertical="center"/>
    </xf>
    <xf numFmtId="0" fontId="25" fillId="0" borderId="12" xfId="1" applyFont="1" applyBorder="1" applyAlignment="1">
      <alignment vertical="center" wrapText="1"/>
    </xf>
    <xf numFmtId="2" fontId="25" fillId="0" borderId="12" xfId="0" applyNumberFormat="1" applyFont="1" applyBorder="1" applyAlignment="1">
      <alignment horizontal="center" vertical="center"/>
    </xf>
    <xf numFmtId="0" fontId="25" fillId="0" borderId="12" xfId="1" applyFont="1" applyBorder="1" applyAlignment="1">
      <alignment horizontal="left" vertical="center" wrapText="1"/>
    </xf>
    <xf numFmtId="9" fontId="25" fillId="0" borderId="12" xfId="1" applyNumberFormat="1" applyFont="1" applyBorder="1" applyAlignment="1">
      <alignment horizontal="center" vertical="center" wrapText="1"/>
    </xf>
    <xf numFmtId="0" fontId="25" fillId="0" borderId="12" xfId="4" applyFont="1" applyBorder="1" applyAlignment="1">
      <alignment horizontal="center" vertical="center" wrapText="1"/>
    </xf>
    <xf numFmtId="0" fontId="25" fillId="0" borderId="12" xfId="5" applyFont="1" applyBorder="1" applyAlignment="1">
      <alignment horizontal="center" vertical="center" wrapText="1"/>
    </xf>
    <xf numFmtId="0" fontId="17" fillId="0" borderId="12" xfId="5" applyFont="1" applyBorder="1" applyAlignment="1">
      <alignment horizontal="center" vertical="center"/>
    </xf>
    <xf numFmtId="0" fontId="27" fillId="0" borderId="12" xfId="10" applyFont="1" applyBorder="1" applyAlignment="1">
      <alignment horizontal="center" vertical="center"/>
    </xf>
    <xf numFmtId="0" fontId="4" fillId="2" borderId="12" xfId="5" applyFont="1" applyFill="1" applyBorder="1" applyAlignment="1">
      <alignment horizontal="center" vertical="center"/>
    </xf>
    <xf numFmtId="2" fontId="4" fillId="2" borderId="12" xfId="5" applyNumberFormat="1" applyFont="1" applyFill="1" applyBorder="1" applyAlignment="1">
      <alignment horizontal="center" vertical="center"/>
    </xf>
    <xf numFmtId="0" fontId="28" fillId="0" borderId="0" xfId="5" applyFont="1" applyAlignment="1">
      <alignment horizontal="left" vertical="top" wrapText="1"/>
    </xf>
    <xf numFmtId="0" fontId="25" fillId="0" borderId="12" xfId="1" applyFont="1" applyBorder="1" applyAlignment="1">
      <alignment horizontal="center" vertical="center"/>
    </xf>
    <xf numFmtId="9" fontId="25" fillId="0" borderId="12" xfId="1" applyNumberFormat="1" applyFont="1" applyBorder="1" applyAlignment="1">
      <alignment horizontal="center" vertical="center"/>
    </xf>
    <xf numFmtId="2" fontId="25" fillId="0" borderId="12" xfId="1" applyNumberFormat="1" applyFont="1" applyBorder="1" applyAlignment="1">
      <alignment horizontal="center" vertical="center" wrapText="1"/>
    </xf>
    <xf numFmtId="0" fontId="29" fillId="0" borderId="29" xfId="11" applyFont="1" applyBorder="1" applyAlignment="1">
      <alignment horizontal="center" vertical="center"/>
    </xf>
    <xf numFmtId="0" fontId="30" fillId="0" borderId="10" xfId="5" applyFont="1" applyBorder="1" applyAlignment="1">
      <alignment horizontal="center" vertical="center" wrapText="1"/>
    </xf>
    <xf numFmtId="2" fontId="30" fillId="0" borderId="10" xfId="5" applyNumberFormat="1" applyFont="1" applyBorder="1" applyAlignment="1">
      <alignment horizontal="center" vertical="center" wrapText="1"/>
    </xf>
    <xf numFmtId="2" fontId="29" fillId="0" borderId="10" xfId="11" applyNumberFormat="1" applyFont="1" applyBorder="1" applyAlignment="1">
      <alignment horizontal="left" vertical="center" wrapText="1"/>
    </xf>
    <xf numFmtId="9" fontId="29" fillId="0" borderId="10" xfId="11" applyNumberFormat="1" applyFont="1" applyBorder="1" applyAlignment="1">
      <alignment horizontal="center" vertical="center"/>
    </xf>
    <xf numFmtId="0" fontId="31" fillId="0" borderId="6" xfId="6" applyFont="1" applyBorder="1" applyAlignment="1">
      <alignment vertical="center"/>
    </xf>
    <xf numFmtId="49" fontId="31" fillId="0" borderId="7" xfId="6" applyNumberFormat="1" applyFont="1" applyBorder="1" applyAlignment="1">
      <alignment horizontal="center" vertical="center"/>
    </xf>
    <xf numFmtId="0" fontId="30" fillId="0" borderId="13" xfId="5" applyFont="1" applyBorder="1" applyAlignment="1" applyProtection="1">
      <alignment horizontal="center" vertical="center"/>
      <protection locked="0"/>
    </xf>
    <xf numFmtId="2" fontId="32" fillId="2" borderId="12" xfId="5" applyNumberFormat="1" applyFont="1" applyFill="1" applyBorder="1" applyAlignment="1">
      <alignment horizontal="center" vertical="center"/>
    </xf>
    <xf numFmtId="2" fontId="32" fillId="2" borderId="30" xfId="5" applyNumberFormat="1" applyFont="1" applyFill="1" applyBorder="1" applyAlignment="1">
      <alignment horizontal="center" vertical="center"/>
    </xf>
    <xf numFmtId="0" fontId="28" fillId="0" borderId="0" xfId="12" applyFont="1" applyAlignment="1">
      <alignment horizontal="left" vertical="top" wrapText="1"/>
    </xf>
    <xf numFmtId="0" fontId="33" fillId="0" borderId="31" xfId="5" applyFont="1" applyBorder="1" applyAlignment="1">
      <alignment vertical="center" wrapText="1"/>
    </xf>
    <xf numFmtId="0" fontId="34" fillId="0" borderId="0" xfId="5" applyFont="1" applyAlignment="1">
      <alignment vertical="top" wrapText="1"/>
    </xf>
    <xf numFmtId="0" fontId="35" fillId="0" borderId="10" xfId="5" applyFont="1" applyBorder="1" applyAlignment="1">
      <alignment horizontal="center" vertical="center" wrapText="1"/>
    </xf>
    <xf numFmtId="2" fontId="37" fillId="6" borderId="30" xfId="13" applyNumberFormat="1" applyFont="1" applyFill="1" applyBorder="1" applyAlignment="1" applyProtection="1">
      <alignment horizontal="center"/>
    </xf>
    <xf numFmtId="0" fontId="23" fillId="2" borderId="2" xfId="5" applyFont="1" applyFill="1" applyBorder="1" applyAlignment="1">
      <alignment horizontal="center" vertical="top" wrapText="1"/>
    </xf>
    <xf numFmtId="0" fontId="23" fillId="2" borderId="8" xfId="5" applyFont="1" applyFill="1" applyBorder="1" applyAlignment="1">
      <alignment horizontal="center" vertical="top" wrapText="1"/>
    </xf>
    <xf numFmtId="0" fontId="2" fillId="3" borderId="0" xfId="5" applyFont="1" applyFill="1" applyAlignment="1">
      <alignment horizontal="center"/>
    </xf>
    <xf numFmtId="2" fontId="2" fillId="3" borderId="20" xfId="5" applyNumberFormat="1" applyFont="1" applyFill="1" applyBorder="1" applyAlignment="1">
      <alignment horizontal="center"/>
    </xf>
    <xf numFmtId="0" fontId="28" fillId="0" borderId="0" xfId="5" applyFont="1" applyAlignment="1">
      <alignment vertical="top" wrapText="1"/>
    </xf>
    <xf numFmtId="0" fontId="2" fillId="2" borderId="19" xfId="5" applyFont="1" applyFill="1" applyBorder="1" applyAlignment="1">
      <alignment horizontal="right" vertical="top" wrapText="1"/>
    </xf>
    <xf numFmtId="0" fontId="38" fillId="2" borderId="0" xfId="5" applyFont="1" applyFill="1" applyAlignment="1">
      <alignment horizontal="right" vertical="top" wrapText="1"/>
    </xf>
    <xf numFmtId="0" fontId="15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top" wrapText="1"/>
    </xf>
    <xf numFmtId="0" fontId="23" fillId="2" borderId="7" xfId="5" applyFont="1" applyFill="1" applyBorder="1" applyAlignment="1">
      <alignment horizontal="center" vertical="top" wrapText="1"/>
    </xf>
    <xf numFmtId="0" fontId="39" fillId="2" borderId="12" xfId="5" applyFont="1" applyFill="1" applyBorder="1" applyAlignment="1">
      <alignment horizontal="center" vertical="top" wrapText="1"/>
    </xf>
    <xf numFmtId="0" fontId="5" fillId="0" borderId="29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/>
    </xf>
    <xf numFmtId="0" fontId="40" fillId="0" borderId="10" xfId="5" applyFont="1" applyBorder="1" applyAlignment="1">
      <alignment horizontal="center" vertical="top" wrapText="1"/>
    </xf>
    <xf numFmtId="0" fontId="2" fillId="3" borderId="0" xfId="5" applyFont="1" applyFill="1" applyAlignment="1">
      <alignment horizontal="center" vertical="top" wrapText="1"/>
    </xf>
    <xf numFmtId="0" fontId="41" fillId="2" borderId="12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31" xfId="1" applyFont="1" applyBorder="1" applyAlignment="1">
      <alignment horizontal="center" vertical="center"/>
    </xf>
    <xf numFmtId="0" fontId="6" fillId="0" borderId="12" xfId="1" applyFont="1" applyBorder="1" applyAlignment="1">
      <alignment vertical="center" wrapText="1"/>
    </xf>
    <xf numFmtId="0" fontId="40" fillId="0" borderId="12" xfId="5" applyFont="1" applyBorder="1" applyAlignment="1">
      <alignment horizontal="center" vertical="top" wrapText="1"/>
    </xf>
    <xf numFmtId="0" fontId="40" fillId="0" borderId="12" xfId="5" applyFont="1" applyBorder="1" applyAlignment="1" applyProtection="1">
      <alignment horizontal="center" vertical="top" wrapText="1"/>
      <protection locked="0"/>
    </xf>
    <xf numFmtId="0" fontId="5" fillId="0" borderId="31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0" fontId="39" fillId="2" borderId="11" xfId="5" applyFont="1" applyFill="1" applyBorder="1" applyAlignment="1">
      <alignment horizontal="center" vertical="top" wrapText="1"/>
    </xf>
    <xf numFmtId="0" fontId="2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center" wrapText="1"/>
    </xf>
    <xf numFmtId="0" fontId="15" fillId="2" borderId="13" xfId="5" applyFont="1" applyFill="1" applyBorder="1" applyAlignment="1">
      <alignment horizontal="center" vertical="top" wrapText="1"/>
    </xf>
    <xf numFmtId="0" fontId="15" fillId="2" borderId="11" xfId="5" applyFont="1" applyFill="1" applyBorder="1" applyAlignment="1">
      <alignment horizontal="center" vertical="top" wrapText="1"/>
    </xf>
    <xf numFmtId="0" fontId="6" fillId="0" borderId="31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38" fillId="0" borderId="12" xfId="5" applyFont="1" applyBorder="1" applyAlignment="1">
      <alignment horizontal="center" vertical="top" wrapText="1"/>
    </xf>
    <xf numFmtId="0" fontId="15" fillId="0" borderId="12" xfId="5" applyFont="1" applyBorder="1" applyAlignment="1" applyProtection="1">
      <alignment horizontal="center" vertical="top" wrapText="1"/>
      <protection locked="0"/>
    </xf>
    <xf numFmtId="0" fontId="15" fillId="0" borderId="12" xfId="5" applyFont="1" applyBorder="1" applyAlignment="1">
      <alignment horizontal="center" vertical="top" wrapText="1"/>
    </xf>
    <xf numFmtId="0" fontId="15" fillId="2" borderId="32" xfId="5" applyFont="1" applyFill="1" applyBorder="1" applyAlignment="1">
      <alignment vertical="top" wrapText="1"/>
    </xf>
    <xf numFmtId="0" fontId="15" fillId="2" borderId="13" xfId="5" applyFont="1" applyFill="1" applyBorder="1" applyAlignment="1">
      <alignment vertical="top" wrapText="1"/>
    </xf>
    <xf numFmtId="0" fontId="42" fillId="2" borderId="0" xfId="5" applyFont="1" applyFill="1" applyAlignment="1">
      <alignment horizontal="center" vertical="top" wrapText="1"/>
    </xf>
    <xf numFmtId="0" fontId="11" fillId="7" borderId="19" xfId="5" applyFont="1" applyFill="1" applyBorder="1"/>
    <xf numFmtId="0" fontId="43" fillId="2" borderId="2" xfId="5" applyFont="1" applyFill="1" applyBorder="1" applyAlignment="1">
      <alignment vertical="center" wrapText="1"/>
    </xf>
    <xf numFmtId="0" fontId="11" fillId="0" borderId="0" xfId="5" applyFont="1"/>
    <xf numFmtId="0" fontId="43" fillId="4" borderId="12" xfId="5" applyFont="1" applyFill="1" applyBorder="1" applyAlignment="1">
      <alignment vertical="center" wrapText="1"/>
    </xf>
    <xf numFmtId="0" fontId="43" fillId="4" borderId="30" xfId="5" applyFont="1" applyFill="1" applyBorder="1" applyAlignment="1">
      <alignment vertical="center" wrapText="1"/>
    </xf>
    <xf numFmtId="0" fontId="43" fillId="0" borderId="12" xfId="5" applyFont="1" applyBorder="1" applyAlignment="1">
      <alignment vertical="center" wrapText="1"/>
    </xf>
    <xf numFmtId="0" fontId="43" fillId="0" borderId="30" xfId="5" applyFont="1" applyBorder="1" applyAlignment="1">
      <alignment vertical="center" wrapText="1"/>
    </xf>
    <xf numFmtId="0" fontId="40" fillId="3" borderId="0" xfId="5" applyFont="1" applyFill="1" applyAlignment="1">
      <alignment horizontal="center" vertical="top" wrapText="1"/>
    </xf>
    <xf numFmtId="0" fontId="7" fillId="3" borderId="22" xfId="5" applyFont="1" applyFill="1" applyBorder="1" applyAlignment="1">
      <alignment horizontal="center" vertical="top" wrapText="1"/>
    </xf>
    <xf numFmtId="0" fontId="28" fillId="3" borderId="22" xfId="5" applyFont="1" applyFill="1" applyBorder="1" applyAlignment="1">
      <alignment horizontal="center" vertical="top" wrapText="1"/>
    </xf>
    <xf numFmtId="2" fontId="2" fillId="3" borderId="23" xfId="5" applyNumberFormat="1" applyFont="1" applyFill="1" applyBorder="1" applyAlignment="1">
      <alignment horizontal="center"/>
    </xf>
    <xf numFmtId="0" fontId="1" fillId="0" borderId="0" xfId="5" applyAlignment="1">
      <alignment horizontal="center" vertical="top"/>
    </xf>
    <xf numFmtId="0" fontId="2" fillId="0" borderId="0" xfId="5" applyFont="1" applyAlignment="1">
      <alignment horizontal="center"/>
    </xf>
    <xf numFmtId="2" fontId="2" fillId="0" borderId="0" xfId="5" applyNumberFormat="1" applyFont="1" applyAlignment="1">
      <alignment horizontal="center"/>
    </xf>
    <xf numFmtId="0" fontId="16" fillId="0" borderId="8" xfId="2" applyFont="1" applyBorder="1" applyAlignment="1">
      <alignment horizontal="left"/>
    </xf>
    <xf numFmtId="0" fontId="16" fillId="3" borderId="10" xfId="2" applyFont="1" applyFill="1" applyBorder="1" applyAlignment="1">
      <alignment horizontal="left"/>
    </xf>
    <xf numFmtId="0" fontId="16" fillId="0" borderId="6" xfId="2" applyFont="1" applyBorder="1" applyAlignment="1">
      <alignment horizontal="left"/>
    </xf>
    <xf numFmtId="0" fontId="17" fillId="0" borderId="0" xfId="2" applyFont="1" applyAlignment="1">
      <alignment horizontal="left"/>
    </xf>
    <xf numFmtId="0" fontId="46" fillId="0" borderId="11" xfId="2" applyFont="1" applyBorder="1" applyAlignment="1">
      <alignment horizontal="left"/>
    </xf>
    <xf numFmtId="0" fontId="16" fillId="3" borderId="12" xfId="2" applyFont="1" applyFill="1" applyBorder="1" applyAlignment="1">
      <alignment horizontal="left"/>
    </xf>
    <xf numFmtId="0" fontId="47" fillId="0" borderId="11" xfId="3" applyFont="1" applyBorder="1" applyAlignment="1">
      <alignment horizontal="left"/>
    </xf>
    <xf numFmtId="0" fontId="46" fillId="0" borderId="9" xfId="2" applyFont="1" applyBorder="1" applyAlignment="1">
      <alignment horizontal="left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2" xfId="1" applyNumberFormat="1" applyFont="1" applyBorder="1" applyAlignment="1">
      <alignment horizontal="center" vertical="center"/>
    </xf>
    <xf numFmtId="2" fontId="25" fillId="0" borderId="14" xfId="1" applyNumberFormat="1" applyFont="1" applyBorder="1" applyAlignment="1">
      <alignment horizontal="center" vertical="center" wrapText="1"/>
    </xf>
    <xf numFmtId="0" fontId="28" fillId="3" borderId="21" xfId="5" applyFont="1" applyFill="1" applyBorder="1" applyAlignment="1">
      <alignment vertical="center" wrapText="1"/>
    </xf>
    <xf numFmtId="0" fontId="28" fillId="3" borderId="22" xfId="5" applyFont="1" applyFill="1" applyBorder="1" applyAlignment="1">
      <alignment vertical="center" wrapText="1"/>
    </xf>
    <xf numFmtId="0" fontId="25" fillId="0" borderId="14" xfId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25" fillId="0" borderId="10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0" fontId="25" fillId="0" borderId="15" xfId="1" applyFont="1" applyBorder="1" applyAlignment="1">
      <alignment horizontal="left" vertical="center" wrapText="1"/>
    </xf>
    <xf numFmtId="0" fontId="25" fillId="0" borderId="10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/>
    </xf>
    <xf numFmtId="2" fontId="25" fillId="0" borderId="15" xfId="1" applyNumberFormat="1" applyFont="1" applyBorder="1" applyAlignment="1">
      <alignment horizontal="center" vertical="center"/>
    </xf>
    <xf numFmtId="2" fontId="25" fillId="0" borderId="10" xfId="1" applyNumberFormat="1" applyFont="1" applyBorder="1" applyAlignment="1">
      <alignment horizontal="center" vertical="center"/>
    </xf>
    <xf numFmtId="2" fontId="25" fillId="0" borderId="14" xfId="1" applyNumberFormat="1" applyFont="1" applyBorder="1" applyAlignment="1">
      <alignment horizontal="center" vertical="center" wrapText="1"/>
    </xf>
    <xf numFmtId="2" fontId="25" fillId="0" borderId="10" xfId="1" applyNumberFormat="1" applyFont="1" applyBorder="1" applyAlignment="1">
      <alignment horizontal="center" vertical="center" wrapText="1"/>
    </xf>
    <xf numFmtId="0" fontId="15" fillId="2" borderId="19" xfId="5" applyFont="1" applyFill="1" applyBorder="1" applyAlignment="1">
      <alignment vertical="center" wrapText="1"/>
    </xf>
    <xf numFmtId="0" fontId="15" fillId="2" borderId="5" xfId="5" applyFont="1" applyFill="1" applyBorder="1" applyAlignment="1">
      <alignment vertical="center" wrapText="1"/>
    </xf>
    <xf numFmtId="0" fontId="38" fillId="0" borderId="2" xfId="5" applyFont="1" applyBorder="1" applyAlignment="1">
      <alignment vertical="center" wrapText="1"/>
    </xf>
    <xf numFmtId="0" fontId="38" fillId="0" borderId="3" xfId="5" applyFont="1" applyBorder="1" applyAlignment="1">
      <alignment vertical="center" wrapText="1"/>
    </xf>
    <xf numFmtId="0" fontId="38" fillId="0" borderId="7" xfId="5" applyFont="1" applyBorder="1" applyAlignment="1">
      <alignment vertical="center" wrapText="1"/>
    </xf>
    <xf numFmtId="0" fontId="38" fillId="0" borderId="8" xfId="5" applyFont="1" applyBorder="1" applyAlignment="1">
      <alignment vertical="center" wrapText="1"/>
    </xf>
    <xf numFmtId="0" fontId="15" fillId="2" borderId="1" xfId="5" applyFont="1" applyFill="1" applyBorder="1" applyAlignment="1">
      <alignment vertical="center" wrapText="1"/>
    </xf>
    <xf numFmtId="0" fontId="15" fillId="2" borderId="6" xfId="5" applyFont="1" applyFill="1" applyBorder="1" applyAlignment="1">
      <alignment vertical="center" wrapText="1"/>
    </xf>
    <xf numFmtId="0" fontId="38" fillId="0" borderId="2" xfId="5" applyFont="1" applyBorder="1" applyAlignment="1">
      <alignment horizontal="center" vertical="center" wrapText="1"/>
    </xf>
    <xf numFmtId="0" fontId="38" fillId="0" borderId="7" xfId="5" applyFont="1" applyBorder="1" applyAlignment="1">
      <alignment horizontal="center" vertical="center" wrapText="1"/>
    </xf>
    <xf numFmtId="0" fontId="15" fillId="2" borderId="3" xfId="5" applyFont="1" applyFill="1" applyBorder="1" applyAlignment="1">
      <alignment vertical="center" wrapText="1"/>
    </xf>
    <xf numFmtId="0" fontId="15" fillId="2" borderId="8" xfId="5" applyFont="1" applyFill="1" applyBorder="1" applyAlignment="1">
      <alignment vertical="center" wrapText="1"/>
    </xf>
    <xf numFmtId="0" fontId="15" fillId="3" borderId="24" xfId="5" applyFont="1" applyFill="1" applyBorder="1" applyAlignment="1">
      <alignment vertical="center" wrapText="1"/>
    </xf>
    <xf numFmtId="0" fontId="15" fillId="3" borderId="3" xfId="5" applyFont="1" applyFill="1" applyBorder="1" applyAlignment="1">
      <alignment vertical="center" wrapText="1"/>
    </xf>
    <xf numFmtId="0" fontId="15" fillId="3" borderId="19" xfId="5" applyFont="1" applyFill="1" applyBorder="1" applyAlignment="1">
      <alignment vertical="center" wrapText="1"/>
    </xf>
    <xf numFmtId="0" fontId="15" fillId="3" borderId="5" xfId="5" applyFont="1" applyFill="1" applyBorder="1" applyAlignment="1">
      <alignment vertical="center" wrapText="1"/>
    </xf>
    <xf numFmtId="0" fontId="38" fillId="0" borderId="0" xfId="5" applyFont="1" applyAlignment="1">
      <alignment vertical="center" wrapText="1"/>
    </xf>
    <xf numFmtId="0" fontId="38" fillId="0" borderId="5" xfId="5" applyFont="1" applyBorder="1" applyAlignment="1">
      <alignment vertical="center" wrapText="1"/>
    </xf>
    <xf numFmtId="0" fontId="15" fillId="3" borderId="1" xfId="5" applyFont="1" applyFill="1" applyBorder="1" applyAlignment="1">
      <alignment vertical="center" wrapText="1"/>
    </xf>
    <xf numFmtId="0" fontId="15" fillId="3" borderId="4" xfId="5" applyFont="1" applyFill="1" applyBorder="1" applyAlignment="1">
      <alignment vertical="center" wrapText="1"/>
    </xf>
    <xf numFmtId="0" fontId="15" fillId="3" borderId="6" xfId="5" applyFont="1" applyFill="1" applyBorder="1" applyAlignment="1">
      <alignment vertical="center" wrapText="1"/>
    </xf>
    <xf numFmtId="0" fontId="38" fillId="0" borderId="0" xfId="5" applyFont="1" applyAlignment="1">
      <alignment horizontal="center" vertical="center" wrapText="1"/>
    </xf>
    <xf numFmtId="0" fontId="15" fillId="3" borderId="8" xfId="5" applyFont="1" applyFill="1" applyBorder="1" applyAlignment="1">
      <alignment vertical="center" wrapText="1"/>
    </xf>
    <xf numFmtId="0" fontId="45" fillId="4" borderId="12" xfId="5" applyFont="1" applyFill="1" applyBorder="1" applyAlignment="1">
      <alignment horizontal="center" vertical="center" wrapText="1"/>
    </xf>
    <xf numFmtId="0" fontId="45" fillId="4" borderId="30" xfId="5" applyFont="1" applyFill="1" applyBorder="1" applyAlignment="1">
      <alignment horizontal="center" vertical="center" wrapText="1"/>
    </xf>
    <xf numFmtId="0" fontId="43" fillId="2" borderId="12" xfId="5" applyFont="1" applyFill="1" applyBorder="1" applyAlignment="1">
      <alignment horizontal="left" vertical="center" wrapText="1"/>
    </xf>
    <xf numFmtId="0" fontId="15" fillId="2" borderId="24" xfId="5" applyFont="1" applyFill="1" applyBorder="1" applyAlignment="1">
      <alignment vertical="center" wrapText="1"/>
    </xf>
    <xf numFmtId="0" fontId="15" fillId="2" borderId="36" xfId="5" applyFont="1" applyFill="1" applyBorder="1" applyAlignment="1">
      <alignment vertical="center" wrapText="1"/>
    </xf>
    <xf numFmtId="0" fontId="15" fillId="2" borderId="4" xfId="5" applyFont="1" applyFill="1" applyBorder="1" applyAlignment="1">
      <alignment vertical="center" wrapText="1"/>
    </xf>
    <xf numFmtId="0" fontId="2" fillId="3" borderId="2" xfId="5" applyFont="1" applyFill="1" applyBorder="1" applyAlignment="1">
      <alignment horizontal="center" vertical="top" wrapText="1"/>
    </xf>
    <xf numFmtId="0" fontId="2" fillId="3" borderId="0" xfId="5" applyFont="1" applyFill="1" applyAlignment="1">
      <alignment horizontal="center" vertical="top" wrapText="1"/>
    </xf>
    <xf numFmtId="0" fontId="2" fillId="3" borderId="22" xfId="5" applyFont="1" applyFill="1" applyBorder="1" applyAlignment="1">
      <alignment horizontal="center" vertical="top" wrapText="1"/>
    </xf>
    <xf numFmtId="0" fontId="43" fillId="0" borderId="9" xfId="5" applyFont="1" applyBorder="1" applyAlignment="1">
      <alignment horizontal="center" vertical="center" wrapText="1"/>
    </xf>
    <xf numFmtId="0" fontId="43" fillId="0" borderId="13" xfId="5" applyFont="1" applyBorder="1" applyAlignment="1">
      <alignment horizontal="center" vertical="center" wrapText="1"/>
    </xf>
    <xf numFmtId="0" fontId="43" fillId="0" borderId="11" xfId="5" applyFont="1" applyBorder="1" applyAlignment="1">
      <alignment horizontal="center" vertical="center" wrapText="1"/>
    </xf>
    <xf numFmtId="2" fontId="43" fillId="8" borderId="9" xfId="5" applyNumberFormat="1" applyFont="1" applyFill="1" applyBorder="1" applyAlignment="1">
      <alignment horizontal="center" vertical="center" wrapText="1"/>
    </xf>
    <xf numFmtId="2" fontId="43" fillId="8" borderId="11" xfId="5" applyNumberFormat="1" applyFont="1" applyFill="1" applyBorder="1" applyAlignment="1">
      <alignment horizontal="center" vertical="center" wrapText="1"/>
    </xf>
    <xf numFmtId="0" fontId="43" fillId="0" borderId="9" xfId="5" applyFont="1" applyBorder="1" applyAlignment="1">
      <alignment horizontal="left" vertical="center" wrapText="1"/>
    </xf>
    <xf numFmtId="0" fontId="43" fillId="0" borderId="13" xfId="5" applyFont="1" applyBorder="1" applyAlignment="1">
      <alignment horizontal="left" vertical="center" wrapText="1"/>
    </xf>
    <xf numFmtId="0" fontId="43" fillId="0" borderId="11" xfId="5" applyFont="1" applyBorder="1" applyAlignment="1">
      <alignment horizontal="left" vertical="center" wrapText="1"/>
    </xf>
    <xf numFmtId="0" fontId="43" fillId="2" borderId="12" xfId="5" applyFont="1" applyFill="1" applyBorder="1" applyAlignment="1">
      <alignment horizontal="center" vertical="center" wrapText="1"/>
    </xf>
    <xf numFmtId="0" fontId="43" fillId="8" borderId="9" xfId="5" applyFont="1" applyFill="1" applyBorder="1" applyAlignment="1">
      <alignment horizontal="center" vertical="center" wrapText="1"/>
    </xf>
    <xf numFmtId="0" fontId="43" fillId="8" borderId="11" xfId="5" applyFont="1" applyFill="1" applyBorder="1" applyAlignment="1">
      <alignment horizontal="center" vertical="center" wrapText="1"/>
    </xf>
    <xf numFmtId="0" fontId="43" fillId="8" borderId="33" xfId="5" applyFont="1" applyFill="1" applyBorder="1" applyAlignment="1">
      <alignment horizontal="center" vertical="center" wrapText="1"/>
    </xf>
    <xf numFmtId="2" fontId="44" fillId="2" borderId="1" xfId="13" applyNumberFormat="1" applyFont="1" applyFill="1" applyBorder="1" applyAlignment="1" applyProtection="1">
      <alignment horizontal="center" vertical="center" wrapText="1"/>
    </xf>
    <xf numFmtId="2" fontId="44" fillId="2" borderId="34" xfId="13" applyNumberFormat="1" applyFont="1" applyFill="1" applyBorder="1" applyAlignment="1" applyProtection="1">
      <alignment horizontal="center" vertical="center" wrapText="1"/>
    </xf>
    <xf numFmtId="2" fontId="44" fillId="2" borderId="4" xfId="13" applyNumberFormat="1" applyFont="1" applyFill="1" applyBorder="1" applyAlignment="1" applyProtection="1">
      <alignment horizontal="center" vertical="center" wrapText="1"/>
    </xf>
    <xf numFmtId="2" fontId="44" fillId="2" borderId="20" xfId="13" applyNumberFormat="1" applyFont="1" applyFill="1" applyBorder="1" applyAlignment="1" applyProtection="1">
      <alignment horizontal="center" vertical="center" wrapText="1"/>
    </xf>
    <xf numFmtId="2" fontId="44" fillId="2" borderId="6" xfId="13" applyNumberFormat="1" applyFont="1" applyFill="1" applyBorder="1" applyAlignment="1" applyProtection="1">
      <alignment horizontal="center" vertical="center" wrapText="1"/>
    </xf>
    <xf numFmtId="2" fontId="44" fillId="2" borderId="35" xfId="13" applyNumberFormat="1" applyFont="1" applyFill="1" applyBorder="1" applyAlignment="1" applyProtection="1">
      <alignment horizontal="center" vertical="center" wrapText="1"/>
    </xf>
    <xf numFmtId="0" fontId="5" fillId="2" borderId="32" xfId="1" applyFont="1" applyFill="1" applyBorder="1" applyAlignment="1">
      <alignment horizontal="left" vertical="center"/>
    </xf>
    <xf numFmtId="0" fontId="5" fillId="2" borderId="13" xfId="1" applyFont="1" applyFill="1" applyBorder="1" applyAlignment="1">
      <alignment horizontal="left" vertical="center"/>
    </xf>
    <xf numFmtId="0" fontId="38" fillId="0" borderId="9" xfId="10" applyFont="1" applyBorder="1" applyAlignment="1">
      <alignment vertical="center" wrapText="1"/>
    </xf>
    <xf numFmtId="0" fontId="38" fillId="0" borderId="13" xfId="10" applyFont="1" applyBorder="1" applyAlignment="1">
      <alignment vertical="center" wrapText="1"/>
    </xf>
    <xf numFmtId="0" fontId="38" fillId="0" borderId="11" xfId="10" applyFont="1" applyBorder="1" applyAlignment="1">
      <alignment vertical="center" wrapText="1"/>
    </xf>
    <xf numFmtId="0" fontId="15" fillId="2" borderId="13" xfId="5" applyFont="1" applyFill="1" applyBorder="1" applyAlignment="1">
      <alignment horizontal="left" vertical="top" wrapText="1"/>
    </xf>
    <xf numFmtId="0" fontId="11" fillId="7" borderId="2" xfId="5" applyFont="1" applyFill="1" applyBorder="1" applyAlignment="1">
      <alignment horizontal="center"/>
    </xf>
    <xf numFmtId="0" fontId="11" fillId="7" borderId="0" xfId="5" applyFont="1" applyFill="1" applyAlignment="1">
      <alignment horizontal="center"/>
    </xf>
    <xf numFmtId="0" fontId="11" fillId="7" borderId="7" xfId="5" applyFont="1" applyFill="1" applyBorder="1" applyAlignment="1">
      <alignment horizontal="center"/>
    </xf>
    <xf numFmtId="0" fontId="43" fillId="2" borderId="13" xfId="5" applyFont="1" applyFill="1" applyBorder="1" applyAlignment="1">
      <alignment horizontal="center" vertical="center" wrapText="1"/>
    </xf>
    <xf numFmtId="0" fontId="6" fillId="0" borderId="9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9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38" fillId="0" borderId="9" xfId="10" applyFont="1" applyBorder="1" applyAlignment="1">
      <alignment horizontal="left" vertical="center" wrapText="1"/>
    </xf>
    <xf numFmtId="0" fontId="38" fillId="0" borderId="13" xfId="10" applyFont="1" applyBorder="1" applyAlignment="1">
      <alignment horizontal="left" vertical="center" wrapText="1"/>
    </xf>
    <xf numFmtId="0" fontId="38" fillId="0" borderId="11" xfId="10" applyFont="1" applyBorder="1" applyAlignment="1">
      <alignment horizontal="left" vertical="center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6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2" fontId="23" fillId="2" borderId="26" xfId="5" applyNumberFormat="1" applyFont="1" applyFill="1" applyBorder="1" applyAlignment="1">
      <alignment horizontal="center" vertical="center" wrapText="1"/>
    </xf>
    <xf numFmtId="2" fontId="23" fillId="2" borderId="28" xfId="5" applyNumberFormat="1" applyFont="1" applyFill="1" applyBorder="1" applyAlignment="1">
      <alignment horizontal="center" vertical="center" wrapText="1"/>
    </xf>
    <xf numFmtId="0" fontId="36" fillId="5" borderId="9" xfId="5" applyFont="1" applyFill="1" applyBorder="1" applyAlignment="1">
      <alignment horizontal="center"/>
    </xf>
    <xf numFmtId="0" fontId="36" fillId="5" borderId="13" xfId="5" applyFont="1" applyFill="1" applyBorder="1" applyAlignment="1">
      <alignment horizontal="center"/>
    </xf>
    <xf numFmtId="0" fontId="36" fillId="5" borderId="11" xfId="5" applyFont="1" applyFill="1" applyBorder="1" applyAlignment="1">
      <alignment horizontal="center"/>
    </xf>
    <xf numFmtId="0" fontId="15" fillId="2" borderId="24" xfId="5" applyFont="1" applyFill="1" applyBorder="1" applyAlignment="1">
      <alignment horizontal="right" vertical="top" wrapText="1"/>
    </xf>
    <xf numFmtId="0" fontId="15" fillId="2" borderId="2" xfId="5" applyFont="1" applyFill="1" applyBorder="1" applyAlignment="1">
      <alignment horizontal="right" vertical="top" wrapText="1"/>
    </xf>
    <xf numFmtId="0" fontId="15" fillId="2" borderId="3" xfId="5" applyFont="1" applyFill="1" applyBorder="1" applyAlignment="1">
      <alignment horizontal="right" vertical="top" wrapText="1"/>
    </xf>
    <xf numFmtId="0" fontId="15" fillId="2" borderId="12" xfId="5" applyFont="1" applyFill="1" applyBorder="1" applyAlignment="1">
      <alignment horizontal="center" vertical="top" wrapText="1"/>
    </xf>
    <xf numFmtId="0" fontId="23" fillId="2" borderId="14" xfId="5" applyFont="1" applyFill="1" applyBorder="1" applyAlignment="1">
      <alignment horizontal="center" vertical="center" wrapText="1"/>
    </xf>
    <xf numFmtId="0" fontId="23" fillId="2" borderId="10" xfId="5" applyFont="1" applyFill="1" applyBorder="1" applyAlignment="1">
      <alignment horizontal="center" vertical="center" wrapText="1"/>
    </xf>
    <xf numFmtId="0" fontId="15" fillId="3" borderId="0" xfId="5" applyFont="1" applyFill="1" applyAlignment="1">
      <alignment horizontal="right" vertical="top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23" fillId="2" borderId="9" xfId="5" applyFont="1" applyFill="1" applyBorder="1" applyAlignment="1">
      <alignment horizontal="center" vertical="center" wrapText="1"/>
    </xf>
    <xf numFmtId="0" fontId="23" fillId="2" borderId="13" xfId="5" applyFont="1" applyFill="1" applyBorder="1" applyAlignment="1">
      <alignment horizontal="center" vertical="center" wrapText="1"/>
    </xf>
    <xf numFmtId="0" fontId="23" fillId="2" borderId="11" xfId="5" applyFont="1" applyFill="1" applyBorder="1" applyAlignment="1">
      <alignment horizontal="center" vertical="center" wrapText="1"/>
    </xf>
    <xf numFmtId="0" fontId="16" fillId="3" borderId="0" xfId="2" applyFont="1" applyFill="1" applyAlignment="1">
      <alignment horizontal="left"/>
    </xf>
    <xf numFmtId="0" fontId="16" fillId="3" borderId="5" xfId="2" applyFont="1" applyFill="1" applyBorder="1" applyAlignment="1">
      <alignment horizontal="left"/>
    </xf>
    <xf numFmtId="0" fontId="46" fillId="0" borderId="13" xfId="2" applyFont="1" applyBorder="1" applyAlignment="1">
      <alignment horizontal="left"/>
    </xf>
    <xf numFmtId="0" fontId="46" fillId="0" borderId="11" xfId="2" applyFont="1" applyBorder="1" applyAlignment="1">
      <alignment horizontal="left"/>
    </xf>
    <xf numFmtId="0" fontId="20" fillId="2" borderId="19" xfId="1" applyFont="1" applyFill="1" applyBorder="1"/>
    <xf numFmtId="0" fontId="20" fillId="2" borderId="0" xfId="1" applyFont="1" applyFill="1"/>
    <xf numFmtId="0" fontId="9" fillId="3" borderId="24" xfId="1" applyFont="1" applyFill="1" applyBorder="1" applyAlignment="1">
      <alignment horizontal="left"/>
    </xf>
    <xf numFmtId="0" fontId="9" fillId="3" borderId="2" xfId="1" applyFont="1" applyFill="1" applyBorder="1" applyAlignment="1">
      <alignment horizontal="left"/>
    </xf>
    <xf numFmtId="0" fontId="5" fillId="2" borderId="25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16" fillId="3" borderId="0" xfId="2" applyFont="1" applyFill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0" borderId="7" xfId="2" applyFont="1" applyBorder="1" applyAlignment="1">
      <alignment horizontal="left"/>
    </xf>
    <xf numFmtId="0" fontId="16" fillId="0" borderId="8" xfId="2" applyFont="1" applyBorder="1" applyAlignment="1">
      <alignment horizontal="left"/>
    </xf>
    <xf numFmtId="0" fontId="18" fillId="2" borderId="0" xfId="1" applyFont="1" applyFill="1" applyAlignment="1">
      <alignment horizontal="left"/>
    </xf>
    <xf numFmtId="0" fontId="8" fillId="0" borderId="16" xfId="5" applyFont="1" applyBorder="1" applyAlignment="1">
      <alignment horizontal="center" vertical="center"/>
    </xf>
    <xf numFmtId="0" fontId="8" fillId="0" borderId="17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8" fillId="0" borderId="19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9" fillId="2" borderId="16" xfId="5" applyFont="1" applyFill="1" applyBorder="1" applyAlignment="1">
      <alignment horizontal="left" vertical="top" wrapText="1"/>
    </xf>
    <xf numFmtId="0" fontId="9" fillId="2" borderId="17" xfId="5" applyFont="1" applyFill="1" applyBorder="1" applyAlignment="1">
      <alignment horizontal="left" vertical="top" wrapText="1"/>
    </xf>
    <xf numFmtId="0" fontId="10" fillId="2" borderId="16" xfId="5" applyFont="1" applyFill="1" applyBorder="1" applyAlignment="1">
      <alignment horizontal="center" vertical="top" wrapText="1"/>
    </xf>
    <xf numFmtId="0" fontId="10" fillId="2" borderId="17" xfId="5" applyFont="1" applyFill="1" applyBorder="1" applyAlignment="1">
      <alignment horizontal="center" vertical="top" wrapText="1"/>
    </xf>
    <xf numFmtId="0" fontId="10" fillId="2" borderId="18" xfId="5" applyFont="1" applyFill="1" applyBorder="1" applyAlignment="1">
      <alignment horizontal="center" vertical="top" wrapText="1"/>
    </xf>
    <xf numFmtId="0" fontId="10" fillId="2" borderId="19" xfId="5" applyFont="1" applyFill="1" applyBorder="1" applyAlignment="1">
      <alignment horizontal="center" vertical="top" wrapText="1"/>
    </xf>
    <xf numFmtId="0" fontId="10" fillId="2" borderId="0" xfId="5" applyFont="1" applyFill="1" applyAlignment="1">
      <alignment horizontal="center" vertical="top" wrapText="1"/>
    </xf>
    <xf numFmtId="0" fontId="10" fillId="2" borderId="20" xfId="5" applyFont="1" applyFill="1" applyBorder="1" applyAlignment="1">
      <alignment horizontal="center" vertical="top" wrapText="1"/>
    </xf>
    <xf numFmtId="0" fontId="10" fillId="2" borderId="21" xfId="5" applyFont="1" applyFill="1" applyBorder="1" applyAlignment="1">
      <alignment horizontal="center" vertical="top" wrapText="1"/>
    </xf>
    <xf numFmtId="0" fontId="10" fillId="2" borderId="22" xfId="5" applyFont="1" applyFill="1" applyBorder="1" applyAlignment="1">
      <alignment horizontal="center" vertical="top" wrapText="1"/>
    </xf>
    <xf numFmtId="0" fontId="10" fillId="2" borderId="23" xfId="5" applyFont="1" applyFill="1" applyBorder="1" applyAlignment="1">
      <alignment horizontal="center" vertical="top" wrapText="1"/>
    </xf>
    <xf numFmtId="0" fontId="13" fillId="2" borderId="0" xfId="1" applyFont="1" applyFill="1" applyAlignment="1">
      <alignment horizontal="center"/>
    </xf>
    <xf numFmtId="0" fontId="15" fillId="2" borderId="19" xfId="6" applyFont="1" applyFill="1" applyBorder="1" applyAlignment="1">
      <alignment horizontal="left"/>
    </xf>
    <xf numFmtId="0" fontId="15" fillId="2" borderId="0" xfId="6" applyFont="1" applyFill="1" applyAlignment="1">
      <alignment horizontal="left"/>
    </xf>
  </cellXfs>
  <cellStyles count="14">
    <cellStyle name="Hyperlink 2" xfId="3" xr:uid="{0C7F67DF-486A-4701-B5D0-818EE840D22B}"/>
    <cellStyle name="Normal" xfId="0" builtinId="0"/>
    <cellStyle name="Normal 2 2" xfId="10" xr:uid="{AC46E63D-2426-47B6-AEBA-C20E5FFA7303}"/>
    <cellStyle name="Normal 2 2 3 2" xfId="12" xr:uid="{EBAFD327-93C8-49F4-8800-C0A90B6D7AD2}"/>
    <cellStyle name="Normal 2 3" xfId="1" xr:uid="{215AD958-4DC9-4A72-ABE4-4EC205FC8C93}"/>
    <cellStyle name="Normal 2 3 2" xfId="9" xr:uid="{D70CBC61-9793-4BF8-9A06-630FCE3F5EB1}"/>
    <cellStyle name="Normal 2 3 5" xfId="7" xr:uid="{10C4D59C-73F6-453A-B4C8-E8553D6C37A1}"/>
    <cellStyle name="Normal 2 3 6" xfId="2" xr:uid="{8BDC1E00-1123-4006-8ECD-68C93323C2AE}"/>
    <cellStyle name="Normal 2 4 2" xfId="8" xr:uid="{D620AF89-4611-4178-B59D-AF5F409630E4}"/>
    <cellStyle name="Normal 2 5 2 2" xfId="6" xr:uid="{3C7C153F-5394-4087-962E-5F17E9624D06}"/>
    <cellStyle name="Normal 2 7" xfId="11" xr:uid="{B9D7918A-DDEB-42AC-B61B-AB78988445F6}"/>
    <cellStyle name="Normal 4 2 2 2 2" xfId="5" xr:uid="{220ECA5B-64E3-4C1F-B9EF-BEA6C9308E10}"/>
    <cellStyle name="Normal 5 2 2" xfId="4" xr:uid="{72727AE1-75F5-4A54-8A84-DABE3A95BEF3}"/>
    <cellStyle name="Percent 2 2" xfId="13" xr:uid="{A5E96408-6042-4766-B9EC-0F4E75AE3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C7E928D9-5FD2-4909-848C-961FA7137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93A4A84D-51B1-4996-8FBB-0E537F8DB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EA944DA8-DEBB-4EFD-842B-17307E7F1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40D487C5-D39D-482B-812A-2121CCF9F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akinbodew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kinbodewa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C052-AFFF-48B8-B387-CBDB8DC39E72}">
  <sheetPr>
    <pageSetUpPr fitToPage="1"/>
  </sheetPr>
  <dimension ref="A1:R80"/>
  <sheetViews>
    <sheetView tabSelected="1" topLeftCell="H16" zoomScale="30" zoomScaleNormal="30" workbookViewId="0">
      <selection activeCell="P40" sqref="P40"/>
    </sheetView>
  </sheetViews>
  <sheetFormatPr defaultRowHeight="31.5" customHeight="1" x14ac:dyDescent="0.55000000000000004"/>
  <cols>
    <col min="1" max="1" width="15.5703125" style="103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03" bestFit="1" customWidth="1"/>
    <col min="6" max="6" width="42" style="103" customWidth="1"/>
    <col min="7" max="7" width="255.7109375" style="1" bestFit="1" customWidth="1"/>
    <col min="8" max="8" width="33" style="103" customWidth="1"/>
    <col min="9" max="9" width="62.42578125" style="103" customWidth="1"/>
    <col min="10" max="10" width="45.140625" style="103" customWidth="1"/>
    <col min="11" max="13" width="35.28515625" style="103" bestFit="1" customWidth="1"/>
    <col min="14" max="14" width="40.7109375" style="103" bestFit="1" customWidth="1"/>
    <col min="15" max="15" width="36.85546875" style="103" bestFit="1" customWidth="1"/>
    <col min="16" max="17" width="36.85546875" style="104" customWidth="1"/>
    <col min="18" max="18" width="36.85546875" style="105" customWidth="1"/>
    <col min="19" max="16384" width="9.140625" style="1"/>
  </cols>
  <sheetData>
    <row r="1" spans="1:18" ht="31.5" customHeight="1" x14ac:dyDescent="0.25">
      <c r="A1" s="241" t="s">
        <v>144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3"/>
    </row>
    <row r="2" spans="1:18" ht="31.5" customHeight="1" x14ac:dyDescent="0.25">
      <c r="A2" s="244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6"/>
    </row>
    <row r="3" spans="1:18" ht="31.5" customHeight="1" thickBot="1" x14ac:dyDescent="0.3">
      <c r="A3" s="244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6"/>
    </row>
    <row r="4" spans="1:18" s="2" customFormat="1" ht="45.75" x14ac:dyDescent="0.25">
      <c r="A4" s="247" t="s">
        <v>0</v>
      </c>
      <c r="B4" s="248"/>
      <c r="C4" s="248"/>
      <c r="D4" s="248"/>
      <c r="E4" s="248"/>
      <c r="F4" s="248"/>
      <c r="G4" s="248"/>
      <c r="H4" s="248"/>
      <c r="I4" s="248"/>
      <c r="J4" s="248"/>
      <c r="K4" s="249"/>
      <c r="L4" s="250"/>
      <c r="M4" s="250"/>
      <c r="N4" s="250"/>
      <c r="O4" s="250"/>
      <c r="P4" s="250"/>
      <c r="Q4" s="250"/>
      <c r="R4" s="251"/>
    </row>
    <row r="5" spans="1:18" s="9" customFormat="1" ht="32.25" x14ac:dyDescent="0.5">
      <c r="A5" s="3" t="s">
        <v>1</v>
      </c>
      <c r="B5" s="4" t="s">
        <v>145</v>
      </c>
      <c r="C5" s="5" t="s">
        <v>2</v>
      </c>
      <c r="D5" s="6" t="s">
        <v>146</v>
      </c>
      <c r="E5" s="258"/>
      <c r="F5" s="258"/>
      <c r="G5" s="258"/>
      <c r="H5" s="258"/>
      <c r="I5" s="7"/>
      <c r="J5" s="8"/>
      <c r="K5" s="252"/>
      <c r="L5" s="253"/>
      <c r="M5" s="253"/>
      <c r="N5" s="253"/>
      <c r="O5" s="253"/>
      <c r="P5" s="253"/>
      <c r="Q5" s="253"/>
      <c r="R5" s="254"/>
    </row>
    <row r="6" spans="1:18" s="12" customFormat="1" ht="38.25" customHeight="1" x14ac:dyDescent="0.55000000000000004">
      <c r="A6" s="259" t="s">
        <v>3</v>
      </c>
      <c r="B6" s="260"/>
      <c r="C6" s="260"/>
      <c r="D6" s="260"/>
      <c r="E6" s="260"/>
      <c r="F6" s="260"/>
      <c r="G6" s="260"/>
      <c r="H6" s="260"/>
      <c r="I6" s="10"/>
      <c r="J6" s="11"/>
      <c r="K6" s="252"/>
      <c r="L6" s="253"/>
      <c r="M6" s="253"/>
      <c r="N6" s="253"/>
      <c r="O6" s="253"/>
      <c r="P6" s="253"/>
      <c r="Q6" s="253"/>
      <c r="R6" s="254"/>
    </row>
    <row r="7" spans="1:18" s="109" customFormat="1" ht="39" x14ac:dyDescent="0.6">
      <c r="A7" s="236" t="s">
        <v>4</v>
      </c>
      <c r="B7" s="237"/>
      <c r="C7" s="106" t="s">
        <v>5</v>
      </c>
      <c r="D7" s="107" t="s">
        <v>6</v>
      </c>
      <c r="E7" s="106" t="s">
        <v>7</v>
      </c>
      <c r="F7" s="107" t="s">
        <v>8</v>
      </c>
      <c r="G7" s="108"/>
      <c r="H7" s="107" t="s">
        <v>9</v>
      </c>
      <c r="I7" s="238" t="s">
        <v>10</v>
      </c>
      <c r="J7" s="239"/>
      <c r="K7" s="252"/>
      <c r="L7" s="253"/>
      <c r="M7" s="253"/>
      <c r="N7" s="253"/>
      <c r="O7" s="253"/>
      <c r="P7" s="253"/>
      <c r="Q7" s="253"/>
      <c r="R7" s="254"/>
    </row>
    <row r="8" spans="1:18" s="109" customFormat="1" ht="39.75" x14ac:dyDescent="0.6">
      <c r="A8" s="224" t="s">
        <v>11</v>
      </c>
      <c r="B8" s="225"/>
      <c r="C8" s="110">
        <v>88715</v>
      </c>
      <c r="D8" s="111" t="s">
        <v>12</v>
      </c>
      <c r="E8" s="112"/>
      <c r="F8" s="111" t="s">
        <v>13</v>
      </c>
      <c r="G8" s="113"/>
      <c r="H8" s="111" t="s">
        <v>14</v>
      </c>
      <c r="I8" s="226" t="s">
        <v>15</v>
      </c>
      <c r="J8" s="227"/>
      <c r="K8" s="252"/>
      <c r="L8" s="253"/>
      <c r="M8" s="253"/>
      <c r="N8" s="253"/>
      <c r="O8" s="253"/>
      <c r="P8" s="253"/>
      <c r="Q8" s="253"/>
      <c r="R8" s="254"/>
    </row>
    <row r="9" spans="1:18" s="14" customFormat="1" ht="62.25" customHeight="1" x14ac:dyDescent="0.6">
      <c r="A9" s="240" t="s">
        <v>16</v>
      </c>
      <c r="B9" s="240"/>
      <c r="C9" s="240"/>
      <c r="D9" s="240"/>
      <c r="E9" s="240"/>
      <c r="F9" s="240"/>
      <c r="G9" s="240"/>
      <c r="H9" s="240"/>
      <c r="I9" s="240"/>
      <c r="J9" s="13"/>
      <c r="K9" s="252"/>
      <c r="L9" s="253"/>
      <c r="M9" s="253"/>
      <c r="N9" s="253"/>
      <c r="O9" s="253"/>
      <c r="P9" s="253"/>
      <c r="Q9" s="253"/>
      <c r="R9" s="254"/>
    </row>
    <row r="10" spans="1:18" s="109" customFormat="1" ht="39" x14ac:dyDescent="0.6">
      <c r="A10" s="236" t="s">
        <v>4</v>
      </c>
      <c r="B10" s="237"/>
      <c r="C10" s="106" t="s">
        <v>17</v>
      </c>
      <c r="D10" s="107" t="s">
        <v>6</v>
      </c>
      <c r="E10" s="106" t="s">
        <v>18</v>
      </c>
      <c r="F10" s="107" t="s">
        <v>8</v>
      </c>
      <c r="G10" s="108" t="s">
        <v>19</v>
      </c>
      <c r="H10" s="107" t="s">
        <v>9</v>
      </c>
      <c r="I10" s="238" t="s">
        <v>20</v>
      </c>
      <c r="J10" s="239"/>
      <c r="K10" s="252"/>
      <c r="L10" s="253"/>
      <c r="M10" s="253"/>
      <c r="N10" s="253"/>
      <c r="O10" s="253"/>
      <c r="P10" s="253"/>
      <c r="Q10" s="253"/>
      <c r="R10" s="254"/>
    </row>
    <row r="11" spans="1:18" s="109" customFormat="1" ht="39.75" x14ac:dyDescent="0.6">
      <c r="A11" s="224" t="s">
        <v>11</v>
      </c>
      <c r="B11" s="225"/>
      <c r="C11" s="110">
        <v>88712</v>
      </c>
      <c r="D11" s="111" t="s">
        <v>12</v>
      </c>
      <c r="E11" s="112"/>
      <c r="F11" s="111" t="s">
        <v>13</v>
      </c>
      <c r="G11" s="113"/>
      <c r="H11" s="111" t="s">
        <v>14</v>
      </c>
      <c r="I11" s="226" t="s">
        <v>15</v>
      </c>
      <c r="J11" s="227"/>
      <c r="K11" s="252"/>
      <c r="L11" s="253"/>
      <c r="M11" s="253"/>
      <c r="N11" s="253"/>
      <c r="O11" s="253"/>
      <c r="P11" s="253"/>
      <c r="Q11" s="253"/>
      <c r="R11" s="254"/>
    </row>
    <row r="12" spans="1:18" s="14" customFormat="1" ht="39" x14ac:dyDescent="0.6">
      <c r="A12" s="240" t="s">
        <v>21</v>
      </c>
      <c r="B12" s="240"/>
      <c r="C12" s="240"/>
      <c r="D12" s="240"/>
      <c r="E12" s="240"/>
      <c r="F12" s="240"/>
      <c r="G12" s="240"/>
      <c r="H12" s="240"/>
      <c r="I12" s="240"/>
      <c r="J12" s="13"/>
      <c r="K12" s="252"/>
      <c r="L12" s="253"/>
      <c r="M12" s="253"/>
      <c r="N12" s="253"/>
      <c r="O12" s="253"/>
      <c r="P12" s="253"/>
      <c r="Q12" s="253"/>
      <c r="R12" s="254"/>
    </row>
    <row r="13" spans="1:18" s="109" customFormat="1" ht="39" x14ac:dyDescent="0.6">
      <c r="A13" s="236" t="s">
        <v>4</v>
      </c>
      <c r="B13" s="237"/>
      <c r="C13" s="106" t="s">
        <v>22</v>
      </c>
      <c r="D13" s="107" t="s">
        <v>6</v>
      </c>
      <c r="E13" s="106" t="s">
        <v>23</v>
      </c>
      <c r="F13" s="107" t="s">
        <v>8</v>
      </c>
      <c r="G13" s="108" t="s">
        <v>24</v>
      </c>
      <c r="H13" s="107" t="s">
        <v>9</v>
      </c>
      <c r="I13" s="238" t="s">
        <v>25</v>
      </c>
      <c r="J13" s="239"/>
      <c r="K13" s="252"/>
      <c r="L13" s="253"/>
      <c r="M13" s="253"/>
      <c r="N13" s="253"/>
      <c r="O13" s="253"/>
      <c r="P13" s="253"/>
      <c r="Q13" s="253"/>
      <c r="R13" s="254"/>
    </row>
    <row r="14" spans="1:18" s="109" customFormat="1" ht="39.75" x14ac:dyDescent="0.6">
      <c r="A14" s="224" t="s">
        <v>11</v>
      </c>
      <c r="B14" s="225"/>
      <c r="C14" s="110">
        <v>60694</v>
      </c>
      <c r="D14" s="111" t="s">
        <v>12</v>
      </c>
      <c r="E14" s="112" t="s">
        <v>26</v>
      </c>
      <c r="F14" s="111" t="s">
        <v>13</v>
      </c>
      <c r="G14" s="113"/>
      <c r="H14" s="111" t="s">
        <v>14</v>
      </c>
      <c r="I14" s="226" t="s">
        <v>15</v>
      </c>
      <c r="J14" s="227"/>
      <c r="K14" s="252"/>
      <c r="L14" s="253"/>
      <c r="M14" s="253"/>
      <c r="N14" s="253"/>
      <c r="O14" s="253"/>
      <c r="P14" s="253"/>
      <c r="Q14" s="253"/>
      <c r="R14" s="254"/>
    </row>
    <row r="15" spans="1:18" s="16" customFormat="1" ht="20.25" customHeight="1" thickBot="1" x14ac:dyDescent="0.75">
      <c r="A15" s="228"/>
      <c r="B15" s="229"/>
      <c r="C15" s="229"/>
      <c r="D15" s="229"/>
      <c r="E15" s="229"/>
      <c r="F15" s="229"/>
      <c r="G15" s="229"/>
      <c r="H15" s="229"/>
      <c r="I15" s="229"/>
      <c r="J15" s="15"/>
      <c r="K15" s="255"/>
      <c r="L15" s="256"/>
      <c r="M15" s="256"/>
      <c r="N15" s="256"/>
      <c r="O15" s="256"/>
      <c r="P15" s="256"/>
      <c r="Q15" s="256"/>
      <c r="R15" s="257"/>
    </row>
    <row r="16" spans="1:18" s="16" customFormat="1" ht="47.25" x14ac:dyDescent="0.7">
      <c r="A16" s="230" t="s">
        <v>27</v>
      </c>
      <c r="B16" s="231"/>
      <c r="C16" s="231"/>
      <c r="D16" s="231"/>
      <c r="E16" s="231"/>
      <c r="F16" s="231"/>
      <c r="G16" s="231"/>
      <c r="H16" s="231"/>
      <c r="I16" s="231"/>
      <c r="J16" s="17"/>
      <c r="K16" s="18"/>
      <c r="L16" s="19"/>
      <c r="M16" s="19"/>
      <c r="N16" s="19"/>
      <c r="O16" s="19"/>
      <c r="P16" s="20"/>
      <c r="Q16" s="20"/>
      <c r="R16" s="21"/>
    </row>
    <row r="17" spans="1:18" s="23" customFormat="1" ht="31.5" customHeight="1" x14ac:dyDescent="0.25">
      <c r="A17" s="232" t="s">
        <v>28</v>
      </c>
      <c r="B17" s="234" t="s">
        <v>29</v>
      </c>
      <c r="C17" s="235" t="s">
        <v>30</v>
      </c>
      <c r="D17" s="235" t="s">
        <v>31</v>
      </c>
      <c r="E17" s="235" t="s">
        <v>30</v>
      </c>
      <c r="F17" s="217" t="s">
        <v>32</v>
      </c>
      <c r="G17" s="217" t="s">
        <v>33</v>
      </c>
      <c r="H17" s="219" t="s">
        <v>34</v>
      </c>
      <c r="I17" s="217" t="s">
        <v>35</v>
      </c>
      <c r="J17" s="221" t="s">
        <v>36</v>
      </c>
      <c r="K17" s="222"/>
      <c r="L17" s="222"/>
      <c r="M17" s="222"/>
      <c r="N17" s="222"/>
      <c r="O17" s="223"/>
      <c r="P17" s="214" t="s">
        <v>147</v>
      </c>
      <c r="Q17" s="214" t="s">
        <v>148</v>
      </c>
      <c r="R17" s="205" t="s">
        <v>149</v>
      </c>
    </row>
    <row r="18" spans="1:18" s="23" customFormat="1" ht="36" x14ac:dyDescent="0.25">
      <c r="A18" s="233"/>
      <c r="B18" s="234"/>
      <c r="C18" s="234"/>
      <c r="D18" s="234"/>
      <c r="E18" s="234"/>
      <c r="F18" s="218"/>
      <c r="G18" s="218"/>
      <c r="H18" s="220"/>
      <c r="I18" s="218"/>
      <c r="J18" s="24" t="s">
        <v>150</v>
      </c>
      <c r="K18" s="22" t="s">
        <v>151</v>
      </c>
      <c r="L18" s="22" t="s">
        <v>152</v>
      </c>
      <c r="M18" s="24" t="s">
        <v>153</v>
      </c>
      <c r="N18" s="24" t="s">
        <v>154</v>
      </c>
      <c r="O18" s="24" t="s">
        <v>155</v>
      </c>
      <c r="P18" s="215"/>
      <c r="Q18" s="215"/>
      <c r="R18" s="206"/>
    </row>
    <row r="19" spans="1:18" s="35" customFormat="1" ht="147" customHeight="1" x14ac:dyDescent="0.25">
      <c r="A19" s="120">
        <v>1</v>
      </c>
      <c r="B19" s="123" t="s">
        <v>43</v>
      </c>
      <c r="C19" s="126">
        <f>0.5 *1.69794730299263</f>
        <v>0.84897365149631498</v>
      </c>
      <c r="D19" s="25" t="s">
        <v>44</v>
      </c>
      <c r="E19" s="26">
        <f>C19/5</f>
        <v>0.16979473029926301</v>
      </c>
      <c r="F19" s="26">
        <f t="shared" ref="F19:F40" si="0">E19/$E$41 * 100</f>
        <v>0.33958946059852602</v>
      </c>
      <c r="G19" s="27" t="s">
        <v>45</v>
      </c>
      <c r="H19" s="28">
        <v>1</v>
      </c>
      <c r="I19" s="29" t="s">
        <v>46</v>
      </c>
      <c r="J19" s="30">
        <v>100</v>
      </c>
      <c r="K19" s="31">
        <v>95</v>
      </c>
      <c r="L19" s="31">
        <v>90</v>
      </c>
      <c r="M19" s="31">
        <v>85</v>
      </c>
      <c r="N19" s="31">
        <v>80</v>
      </c>
      <c r="O19" s="31" t="s">
        <v>47</v>
      </c>
      <c r="P19" s="32"/>
      <c r="Q19" s="3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34">
        <f t="shared" ref="R19:R40" si="2">F19*Q19/100</f>
        <v>0</v>
      </c>
    </row>
    <row r="20" spans="1:18" s="35" customFormat="1" ht="147" customHeight="1" x14ac:dyDescent="0.25">
      <c r="A20" s="121"/>
      <c r="B20" s="124"/>
      <c r="C20" s="127"/>
      <c r="D20" s="25" t="s">
        <v>48</v>
      </c>
      <c r="E20" s="26">
        <f>C19/5</f>
        <v>0.16979473029926301</v>
      </c>
      <c r="F20" s="26">
        <f t="shared" si="0"/>
        <v>0.33958946059852602</v>
      </c>
      <c r="G20" s="27" t="s">
        <v>49</v>
      </c>
      <c r="H20" s="28">
        <v>1</v>
      </c>
      <c r="I20" s="29" t="s">
        <v>46</v>
      </c>
      <c r="J20" s="30">
        <v>100</v>
      </c>
      <c r="K20" s="31">
        <v>95</v>
      </c>
      <c r="L20" s="31">
        <v>90</v>
      </c>
      <c r="M20" s="31">
        <v>85</v>
      </c>
      <c r="N20" s="31">
        <v>80</v>
      </c>
      <c r="O20" s="31" t="s">
        <v>47</v>
      </c>
      <c r="P20" s="32"/>
      <c r="Q20" s="33">
        <f t="shared" si="1"/>
        <v>0</v>
      </c>
      <c r="R20" s="34">
        <f t="shared" si="2"/>
        <v>0</v>
      </c>
    </row>
    <row r="21" spans="1:18" s="35" customFormat="1" ht="147" customHeight="1" x14ac:dyDescent="0.25">
      <c r="A21" s="121"/>
      <c r="B21" s="124"/>
      <c r="C21" s="127"/>
      <c r="D21" s="25" t="s">
        <v>50</v>
      </c>
      <c r="E21" s="26">
        <f>C19/5</f>
        <v>0.16979473029926301</v>
      </c>
      <c r="F21" s="26">
        <f t="shared" si="0"/>
        <v>0.33958946059852602</v>
      </c>
      <c r="G21" s="27" t="s">
        <v>51</v>
      </c>
      <c r="H21" s="28">
        <v>1</v>
      </c>
      <c r="I21" s="29" t="s">
        <v>46</v>
      </c>
      <c r="J21" s="30">
        <v>100</v>
      </c>
      <c r="K21" s="31">
        <v>95</v>
      </c>
      <c r="L21" s="31">
        <v>90</v>
      </c>
      <c r="M21" s="31">
        <v>85</v>
      </c>
      <c r="N21" s="31">
        <v>80</v>
      </c>
      <c r="O21" s="31" t="s">
        <v>47</v>
      </c>
      <c r="P21" s="32"/>
      <c r="Q21" s="33">
        <f t="shared" si="1"/>
        <v>0</v>
      </c>
      <c r="R21" s="34">
        <f t="shared" si="2"/>
        <v>0</v>
      </c>
    </row>
    <row r="22" spans="1:18" s="35" customFormat="1" ht="147" customHeight="1" x14ac:dyDescent="0.25">
      <c r="A22" s="121"/>
      <c r="B22" s="124"/>
      <c r="C22" s="127"/>
      <c r="D22" s="25" t="s">
        <v>52</v>
      </c>
      <c r="E22" s="26">
        <f>C19/5</f>
        <v>0.16979473029926301</v>
      </c>
      <c r="F22" s="26">
        <f t="shared" si="0"/>
        <v>0.33958946059852602</v>
      </c>
      <c r="G22" s="27" t="s">
        <v>53</v>
      </c>
      <c r="H22" s="36">
        <v>5</v>
      </c>
      <c r="I22" s="29" t="s">
        <v>54</v>
      </c>
      <c r="J22" s="30" t="s">
        <v>55</v>
      </c>
      <c r="K22" s="31">
        <v>5</v>
      </c>
      <c r="L22" s="31">
        <v>4</v>
      </c>
      <c r="M22" s="31">
        <v>3</v>
      </c>
      <c r="N22" s="31">
        <v>2</v>
      </c>
      <c r="O22" s="31">
        <v>1</v>
      </c>
      <c r="P22" s="32"/>
      <c r="Q22" s="33">
        <f t="shared" si="1"/>
        <v>0</v>
      </c>
      <c r="R22" s="34">
        <f t="shared" si="2"/>
        <v>0</v>
      </c>
    </row>
    <row r="23" spans="1:18" s="35" customFormat="1" ht="147" customHeight="1" x14ac:dyDescent="0.25">
      <c r="A23" s="122"/>
      <c r="B23" s="125"/>
      <c r="C23" s="128"/>
      <c r="D23" s="25" t="s">
        <v>56</v>
      </c>
      <c r="E23" s="26">
        <f>C19/5</f>
        <v>0.16979473029926301</v>
      </c>
      <c r="F23" s="26">
        <f t="shared" si="0"/>
        <v>0.33958946059852602</v>
      </c>
      <c r="G23" s="27" t="s">
        <v>57</v>
      </c>
      <c r="H23" s="28">
        <v>1</v>
      </c>
      <c r="I23" s="29" t="s">
        <v>46</v>
      </c>
      <c r="J23" s="30">
        <v>100</v>
      </c>
      <c r="K23" s="31">
        <v>95</v>
      </c>
      <c r="L23" s="31">
        <v>90</v>
      </c>
      <c r="M23" s="31">
        <v>85</v>
      </c>
      <c r="N23" s="31">
        <v>80</v>
      </c>
      <c r="O23" s="31" t="s">
        <v>47</v>
      </c>
      <c r="P23" s="32"/>
      <c r="Q23" s="33">
        <f t="shared" si="1"/>
        <v>0</v>
      </c>
      <c r="R23" s="34">
        <f t="shared" si="2"/>
        <v>0</v>
      </c>
    </row>
    <row r="24" spans="1:18" s="35" customFormat="1" ht="147" customHeight="1" x14ac:dyDescent="0.25">
      <c r="A24" s="36">
        <v>2</v>
      </c>
      <c r="B24" s="25" t="s">
        <v>58</v>
      </c>
      <c r="C24" s="116">
        <f>0.5 *1.01876838179558</f>
        <v>0.50938419089778997</v>
      </c>
      <c r="D24" s="25" t="s">
        <v>59</v>
      </c>
      <c r="E24" s="26">
        <f>C24</f>
        <v>0.50938419089778997</v>
      </c>
      <c r="F24" s="26">
        <f t="shared" si="0"/>
        <v>1.0187683817955799</v>
      </c>
      <c r="G24" s="27" t="s">
        <v>60</v>
      </c>
      <c r="H24" s="28">
        <v>0.5</v>
      </c>
      <c r="I24" s="29" t="s">
        <v>46</v>
      </c>
      <c r="J24" s="30" t="s">
        <v>61</v>
      </c>
      <c r="K24" s="31">
        <v>50</v>
      </c>
      <c r="L24" s="31">
        <v>45</v>
      </c>
      <c r="M24" s="31">
        <v>40</v>
      </c>
      <c r="N24" s="31">
        <v>25</v>
      </c>
      <c r="O24" s="31" t="s">
        <v>62</v>
      </c>
      <c r="P24" s="32"/>
      <c r="Q24" s="33">
        <f t="shared" si="1"/>
        <v>0</v>
      </c>
      <c r="R24" s="34">
        <f t="shared" si="2"/>
        <v>0</v>
      </c>
    </row>
    <row r="25" spans="1:18" s="35" customFormat="1" ht="147" customHeight="1" x14ac:dyDescent="0.25">
      <c r="A25" s="120">
        <v>3</v>
      </c>
      <c r="B25" s="123" t="s">
        <v>63</v>
      </c>
      <c r="C25" s="126">
        <f>0.5 *90.5976168096783</f>
        <v>45.29880840483915</v>
      </c>
      <c r="D25" s="25" t="s">
        <v>64</v>
      </c>
      <c r="E25" s="26">
        <f>C25/10</f>
        <v>4.5298808404839148</v>
      </c>
      <c r="F25" s="26">
        <f t="shared" si="0"/>
        <v>9.0597616809678296</v>
      </c>
      <c r="G25" s="25" t="s">
        <v>65</v>
      </c>
      <c r="H25" s="37">
        <v>0.8</v>
      </c>
      <c r="I25" s="36" t="s">
        <v>46</v>
      </c>
      <c r="J25" s="30" t="s">
        <v>66</v>
      </c>
      <c r="K25" s="31">
        <v>80</v>
      </c>
      <c r="L25" s="31">
        <v>75</v>
      </c>
      <c r="M25" s="31">
        <v>70</v>
      </c>
      <c r="N25" s="31">
        <v>50</v>
      </c>
      <c r="O25" s="31" t="s">
        <v>67</v>
      </c>
      <c r="P25" s="32"/>
      <c r="Q25" s="33">
        <f t="shared" si="1"/>
        <v>0</v>
      </c>
      <c r="R25" s="34">
        <f t="shared" si="2"/>
        <v>0</v>
      </c>
    </row>
    <row r="26" spans="1:18" s="35" customFormat="1" ht="147" customHeight="1" x14ac:dyDescent="0.25">
      <c r="A26" s="121"/>
      <c r="B26" s="124"/>
      <c r="C26" s="127"/>
      <c r="D26" s="25" t="s">
        <v>68</v>
      </c>
      <c r="E26" s="26">
        <f>C25/10</f>
        <v>4.5298808404839148</v>
      </c>
      <c r="F26" s="26">
        <f t="shared" si="0"/>
        <v>9.0597616809678296</v>
      </c>
      <c r="G26" s="25" t="s">
        <v>69</v>
      </c>
      <c r="H26" s="37">
        <v>1</v>
      </c>
      <c r="I26" s="29" t="s">
        <v>46</v>
      </c>
      <c r="J26" s="30">
        <v>100</v>
      </c>
      <c r="K26" s="31">
        <v>95</v>
      </c>
      <c r="L26" s="31">
        <v>90</v>
      </c>
      <c r="M26" s="31">
        <v>85</v>
      </c>
      <c r="N26" s="31">
        <v>80</v>
      </c>
      <c r="O26" s="31" t="s">
        <v>47</v>
      </c>
      <c r="P26" s="32"/>
      <c r="Q26" s="33">
        <f t="shared" si="1"/>
        <v>0</v>
      </c>
      <c r="R26" s="34">
        <f t="shared" si="2"/>
        <v>0</v>
      </c>
    </row>
    <row r="27" spans="1:18" s="35" customFormat="1" ht="147" customHeight="1" x14ac:dyDescent="0.25">
      <c r="A27" s="121"/>
      <c r="B27" s="124"/>
      <c r="C27" s="127"/>
      <c r="D27" s="25" t="s">
        <v>70</v>
      </c>
      <c r="E27" s="26">
        <f>C25/10</f>
        <v>4.5298808404839148</v>
      </c>
      <c r="F27" s="26">
        <f t="shared" si="0"/>
        <v>9.0597616809678296</v>
      </c>
      <c r="G27" s="25" t="s">
        <v>71</v>
      </c>
      <c r="H27" s="37">
        <v>0.9</v>
      </c>
      <c r="I27" s="36" t="s">
        <v>46</v>
      </c>
      <c r="J27" s="30" t="s">
        <v>72</v>
      </c>
      <c r="K27" s="31">
        <v>90</v>
      </c>
      <c r="L27" s="31">
        <v>80</v>
      </c>
      <c r="M27" s="31">
        <v>70</v>
      </c>
      <c r="N27" s="31">
        <v>50</v>
      </c>
      <c r="O27" s="31" t="s">
        <v>67</v>
      </c>
      <c r="P27" s="32"/>
      <c r="Q27" s="33">
        <f t="shared" si="1"/>
        <v>0</v>
      </c>
      <c r="R27" s="34">
        <f t="shared" si="2"/>
        <v>0</v>
      </c>
    </row>
    <row r="28" spans="1:18" s="35" customFormat="1" ht="147" customHeight="1" x14ac:dyDescent="0.25">
      <c r="A28" s="121"/>
      <c r="B28" s="124"/>
      <c r="C28" s="127"/>
      <c r="D28" s="25" t="s">
        <v>73</v>
      </c>
      <c r="E28" s="26">
        <f>C25/10</f>
        <v>4.5298808404839148</v>
      </c>
      <c r="F28" s="26">
        <f t="shared" si="0"/>
        <v>9.0597616809678296</v>
      </c>
      <c r="G28" s="25" t="s">
        <v>74</v>
      </c>
      <c r="H28" s="37">
        <v>0.8</v>
      </c>
      <c r="I28" s="36" t="s">
        <v>46</v>
      </c>
      <c r="J28" s="30" t="s">
        <v>66</v>
      </c>
      <c r="K28" s="31">
        <v>80</v>
      </c>
      <c r="L28" s="31">
        <v>75</v>
      </c>
      <c r="M28" s="31">
        <v>70</v>
      </c>
      <c r="N28" s="31">
        <v>50</v>
      </c>
      <c r="O28" s="31" t="s">
        <v>67</v>
      </c>
      <c r="P28" s="32"/>
      <c r="Q28" s="33">
        <f t="shared" si="1"/>
        <v>0</v>
      </c>
      <c r="R28" s="34">
        <f t="shared" si="2"/>
        <v>0</v>
      </c>
    </row>
    <row r="29" spans="1:18" s="35" customFormat="1" ht="147" customHeight="1" x14ac:dyDescent="0.25">
      <c r="A29" s="121"/>
      <c r="B29" s="124"/>
      <c r="C29" s="127"/>
      <c r="D29" s="25" t="s">
        <v>75</v>
      </c>
      <c r="E29" s="26">
        <f>C25/10</f>
        <v>4.5298808404839148</v>
      </c>
      <c r="F29" s="26">
        <f t="shared" si="0"/>
        <v>9.0597616809678296</v>
      </c>
      <c r="G29" s="25" t="s">
        <v>76</v>
      </c>
      <c r="H29" s="37">
        <v>0.9</v>
      </c>
      <c r="I29" s="36" t="s">
        <v>46</v>
      </c>
      <c r="J29" s="30" t="s">
        <v>72</v>
      </c>
      <c r="K29" s="31">
        <v>90</v>
      </c>
      <c r="L29" s="31">
        <v>80</v>
      </c>
      <c r="M29" s="31">
        <v>70</v>
      </c>
      <c r="N29" s="31">
        <v>50</v>
      </c>
      <c r="O29" s="31" t="s">
        <v>67</v>
      </c>
      <c r="P29" s="32"/>
      <c r="Q29" s="33">
        <f t="shared" si="1"/>
        <v>0</v>
      </c>
      <c r="R29" s="34">
        <f t="shared" si="2"/>
        <v>0</v>
      </c>
    </row>
    <row r="30" spans="1:18" s="35" customFormat="1" ht="147" customHeight="1" x14ac:dyDescent="0.25">
      <c r="A30" s="121"/>
      <c r="B30" s="124"/>
      <c r="C30" s="127"/>
      <c r="D30" s="25" t="s">
        <v>77</v>
      </c>
      <c r="E30" s="26">
        <f>C25/10</f>
        <v>4.5298808404839148</v>
      </c>
      <c r="F30" s="26">
        <f t="shared" si="0"/>
        <v>9.0597616809678296</v>
      </c>
      <c r="G30" s="25" t="s">
        <v>78</v>
      </c>
      <c r="H30" s="37">
        <v>0.8</v>
      </c>
      <c r="I30" s="36" t="s">
        <v>46</v>
      </c>
      <c r="J30" s="30" t="s">
        <v>66</v>
      </c>
      <c r="K30" s="31">
        <v>80</v>
      </c>
      <c r="L30" s="31">
        <v>75</v>
      </c>
      <c r="M30" s="31">
        <v>70</v>
      </c>
      <c r="N30" s="31">
        <v>50</v>
      </c>
      <c r="O30" s="31" t="s">
        <v>67</v>
      </c>
      <c r="P30" s="32"/>
      <c r="Q30" s="33">
        <f t="shared" si="1"/>
        <v>0</v>
      </c>
      <c r="R30" s="34">
        <f t="shared" si="2"/>
        <v>0</v>
      </c>
    </row>
    <row r="31" spans="1:18" s="35" customFormat="1" ht="147" customHeight="1" x14ac:dyDescent="0.25">
      <c r="A31" s="121"/>
      <c r="B31" s="124"/>
      <c r="C31" s="127"/>
      <c r="D31" s="25" t="s">
        <v>79</v>
      </c>
      <c r="E31" s="26">
        <f>C25/10</f>
        <v>4.5298808404839148</v>
      </c>
      <c r="F31" s="26">
        <f t="shared" si="0"/>
        <v>9.0597616809678296</v>
      </c>
      <c r="G31" s="25" t="s">
        <v>80</v>
      </c>
      <c r="H31" s="37">
        <v>0.9</v>
      </c>
      <c r="I31" s="36" t="s">
        <v>46</v>
      </c>
      <c r="J31" s="30" t="s">
        <v>72</v>
      </c>
      <c r="K31" s="31">
        <v>90</v>
      </c>
      <c r="L31" s="31">
        <v>80</v>
      </c>
      <c r="M31" s="31">
        <v>70</v>
      </c>
      <c r="N31" s="31">
        <v>50</v>
      </c>
      <c r="O31" s="31" t="s">
        <v>67</v>
      </c>
      <c r="P31" s="32"/>
      <c r="Q31" s="33">
        <f t="shared" si="1"/>
        <v>0</v>
      </c>
      <c r="R31" s="34">
        <f t="shared" si="2"/>
        <v>0</v>
      </c>
    </row>
    <row r="32" spans="1:18" s="35" customFormat="1" ht="147" customHeight="1" x14ac:dyDescent="0.25">
      <c r="A32" s="121"/>
      <c r="B32" s="124"/>
      <c r="C32" s="127"/>
      <c r="D32" s="25" t="s">
        <v>81</v>
      </c>
      <c r="E32" s="26">
        <f>C25/10</f>
        <v>4.5298808404839148</v>
      </c>
      <c r="F32" s="26">
        <f t="shared" si="0"/>
        <v>9.0597616809678296</v>
      </c>
      <c r="G32" s="25" t="s">
        <v>82</v>
      </c>
      <c r="H32" s="37">
        <v>0.8</v>
      </c>
      <c r="I32" s="36" t="s">
        <v>46</v>
      </c>
      <c r="J32" s="30" t="s">
        <v>66</v>
      </c>
      <c r="K32" s="31">
        <v>80</v>
      </c>
      <c r="L32" s="31">
        <v>75</v>
      </c>
      <c r="M32" s="31">
        <v>70</v>
      </c>
      <c r="N32" s="31">
        <v>50</v>
      </c>
      <c r="O32" s="31" t="s">
        <v>67</v>
      </c>
      <c r="P32" s="32"/>
      <c r="Q32" s="33">
        <f t="shared" si="1"/>
        <v>0</v>
      </c>
      <c r="R32" s="34">
        <f t="shared" si="2"/>
        <v>0</v>
      </c>
    </row>
    <row r="33" spans="1:18" s="35" customFormat="1" ht="147" customHeight="1" x14ac:dyDescent="0.25">
      <c r="A33" s="121"/>
      <c r="B33" s="124"/>
      <c r="C33" s="127"/>
      <c r="D33" s="25" t="s">
        <v>83</v>
      </c>
      <c r="E33" s="26">
        <f>C25/10</f>
        <v>4.5298808404839148</v>
      </c>
      <c r="F33" s="26">
        <f t="shared" si="0"/>
        <v>9.0597616809678296</v>
      </c>
      <c r="G33" s="25" t="s">
        <v>84</v>
      </c>
      <c r="H33" s="36">
        <v>80</v>
      </c>
      <c r="I33" s="36" t="s">
        <v>46</v>
      </c>
      <c r="J33" s="30" t="s">
        <v>66</v>
      </c>
      <c r="K33" s="31">
        <v>80</v>
      </c>
      <c r="L33" s="31">
        <v>75</v>
      </c>
      <c r="M33" s="31">
        <v>70</v>
      </c>
      <c r="N33" s="31">
        <v>50</v>
      </c>
      <c r="O33" s="31" t="s">
        <v>67</v>
      </c>
      <c r="P33" s="32"/>
      <c r="Q33" s="33">
        <f t="shared" si="1"/>
        <v>0</v>
      </c>
      <c r="R33" s="34">
        <f t="shared" si="2"/>
        <v>0</v>
      </c>
    </row>
    <row r="34" spans="1:18" s="35" customFormat="1" ht="147" customHeight="1" x14ac:dyDescent="0.25">
      <c r="A34" s="122"/>
      <c r="B34" s="125"/>
      <c r="C34" s="128"/>
      <c r="D34" s="25" t="s">
        <v>85</v>
      </c>
      <c r="E34" s="26">
        <f>C25/10</f>
        <v>4.5298808404839148</v>
      </c>
      <c r="F34" s="26">
        <f t="shared" si="0"/>
        <v>9.0597616809678296</v>
      </c>
      <c r="G34" s="25" t="s">
        <v>86</v>
      </c>
      <c r="H34" s="37">
        <v>0.8</v>
      </c>
      <c r="I34" s="36" t="s">
        <v>46</v>
      </c>
      <c r="J34" s="30" t="s">
        <v>66</v>
      </c>
      <c r="K34" s="31">
        <v>80</v>
      </c>
      <c r="L34" s="31">
        <v>75</v>
      </c>
      <c r="M34" s="31">
        <v>70</v>
      </c>
      <c r="N34" s="31">
        <v>50</v>
      </c>
      <c r="O34" s="31" t="s">
        <v>67</v>
      </c>
      <c r="P34" s="32"/>
      <c r="Q34" s="33">
        <f t="shared" si="1"/>
        <v>0</v>
      </c>
      <c r="R34" s="34">
        <f t="shared" si="2"/>
        <v>0</v>
      </c>
    </row>
    <row r="35" spans="1:18" s="35" customFormat="1" ht="147" customHeight="1" x14ac:dyDescent="0.25">
      <c r="A35" s="36">
        <v>4</v>
      </c>
      <c r="B35" s="25" t="s">
        <v>87</v>
      </c>
      <c r="C35" s="38">
        <f>0.5 *1.5918255965556</f>
        <v>0.79591279827780004</v>
      </c>
      <c r="D35" s="25" t="s">
        <v>88</v>
      </c>
      <c r="E35" s="26">
        <f>C35</f>
        <v>0.79591279827780004</v>
      </c>
      <c r="F35" s="26">
        <f t="shared" si="0"/>
        <v>1.5918255965556003</v>
      </c>
      <c r="G35" s="27" t="s">
        <v>89</v>
      </c>
      <c r="H35" s="36">
        <v>5</v>
      </c>
      <c r="I35" s="29" t="s">
        <v>54</v>
      </c>
      <c r="J35" s="30" t="s">
        <v>55</v>
      </c>
      <c r="K35" s="31">
        <v>5</v>
      </c>
      <c r="L35" s="31">
        <v>4</v>
      </c>
      <c r="M35" s="31">
        <v>3</v>
      </c>
      <c r="N35" s="31">
        <v>2</v>
      </c>
      <c r="O35" s="31">
        <v>1</v>
      </c>
      <c r="P35" s="32"/>
      <c r="Q35" s="33">
        <f t="shared" si="1"/>
        <v>0</v>
      </c>
      <c r="R35" s="34">
        <f t="shared" si="2"/>
        <v>0</v>
      </c>
    </row>
    <row r="36" spans="1:18" s="35" customFormat="1" ht="147" customHeight="1" x14ac:dyDescent="0.25">
      <c r="A36" s="120">
        <v>5</v>
      </c>
      <c r="B36" s="123" t="s">
        <v>90</v>
      </c>
      <c r="C36" s="129">
        <f>0.5 *3.18365119311119</f>
        <v>1.591825596555595</v>
      </c>
      <c r="D36" s="25" t="s">
        <v>91</v>
      </c>
      <c r="E36" s="26">
        <f>C36/2</f>
        <v>0.79591279827779748</v>
      </c>
      <c r="F36" s="26">
        <f t="shared" si="0"/>
        <v>1.591825596555595</v>
      </c>
      <c r="G36" s="27" t="s">
        <v>92</v>
      </c>
      <c r="H36" s="37">
        <v>0.8</v>
      </c>
      <c r="I36" s="36" t="s">
        <v>46</v>
      </c>
      <c r="J36" s="30" t="s">
        <v>66</v>
      </c>
      <c r="K36" s="31">
        <v>80</v>
      </c>
      <c r="L36" s="31">
        <v>75</v>
      </c>
      <c r="M36" s="31">
        <v>70</v>
      </c>
      <c r="N36" s="31">
        <v>50</v>
      </c>
      <c r="O36" s="31" t="s">
        <v>67</v>
      </c>
      <c r="P36" s="32"/>
      <c r="Q36" s="33">
        <f t="shared" si="1"/>
        <v>0</v>
      </c>
      <c r="R36" s="34">
        <f t="shared" si="2"/>
        <v>0</v>
      </c>
    </row>
    <row r="37" spans="1:18" s="35" customFormat="1" ht="147" customHeight="1" x14ac:dyDescent="0.25">
      <c r="A37" s="122"/>
      <c r="B37" s="125"/>
      <c r="C37" s="130"/>
      <c r="D37" s="25" t="s">
        <v>93</v>
      </c>
      <c r="E37" s="26">
        <f>C36/2</f>
        <v>0.79591279827779748</v>
      </c>
      <c r="F37" s="26">
        <f t="shared" si="0"/>
        <v>1.591825596555595</v>
      </c>
      <c r="G37" s="27" t="s">
        <v>94</v>
      </c>
      <c r="H37" s="37">
        <v>0.8</v>
      </c>
      <c r="I37" s="36" t="s">
        <v>46</v>
      </c>
      <c r="J37" s="30" t="s">
        <v>66</v>
      </c>
      <c r="K37" s="31">
        <v>80</v>
      </c>
      <c r="L37" s="31">
        <v>75</v>
      </c>
      <c r="M37" s="31">
        <v>70</v>
      </c>
      <c r="N37" s="31">
        <v>50</v>
      </c>
      <c r="O37" s="31" t="s">
        <v>67</v>
      </c>
      <c r="P37" s="32"/>
      <c r="Q37" s="33">
        <f t="shared" si="1"/>
        <v>0</v>
      </c>
      <c r="R37" s="34">
        <f t="shared" si="2"/>
        <v>0</v>
      </c>
    </row>
    <row r="38" spans="1:18" s="35" customFormat="1" ht="147" customHeight="1" x14ac:dyDescent="0.25">
      <c r="A38" s="114">
        <v>6</v>
      </c>
      <c r="B38" s="115" t="s">
        <v>95</v>
      </c>
      <c r="C38" s="117">
        <f>0.5 *1.0612170643704</f>
        <v>0.53060853218519999</v>
      </c>
      <c r="D38" s="25" t="s">
        <v>96</v>
      </c>
      <c r="E38" s="26">
        <f>C38</f>
        <v>0.53060853218519999</v>
      </c>
      <c r="F38" s="26">
        <f t="shared" si="0"/>
        <v>1.0612170643704</v>
      </c>
      <c r="G38" s="27" t="s">
        <v>97</v>
      </c>
      <c r="H38" s="37">
        <v>0.8</v>
      </c>
      <c r="I38" s="36" t="s">
        <v>46</v>
      </c>
      <c r="J38" s="30" t="s">
        <v>66</v>
      </c>
      <c r="K38" s="31">
        <v>80</v>
      </c>
      <c r="L38" s="31">
        <v>75</v>
      </c>
      <c r="M38" s="31">
        <v>70</v>
      </c>
      <c r="N38" s="31">
        <v>50</v>
      </c>
      <c r="O38" s="31" t="s">
        <v>67</v>
      </c>
      <c r="P38" s="32"/>
      <c r="Q38" s="33">
        <f t="shared" si="1"/>
        <v>0</v>
      </c>
      <c r="R38" s="34">
        <f t="shared" si="2"/>
        <v>0</v>
      </c>
    </row>
    <row r="39" spans="1:18" s="35" customFormat="1" ht="147" customHeight="1" x14ac:dyDescent="0.25">
      <c r="A39" s="36">
        <v>7</v>
      </c>
      <c r="B39" s="25" t="s">
        <v>98</v>
      </c>
      <c r="C39" s="38">
        <f>0.5 *0.424486825748159</f>
        <v>0.2122434128740795</v>
      </c>
      <c r="D39" s="115" t="s">
        <v>99</v>
      </c>
      <c r="E39" s="26">
        <f>C39</f>
        <v>0.2122434128740795</v>
      </c>
      <c r="F39" s="26">
        <f t="shared" si="0"/>
        <v>0.42448682574815894</v>
      </c>
      <c r="G39" s="27" t="s">
        <v>100</v>
      </c>
      <c r="H39" s="28">
        <v>0.7</v>
      </c>
      <c r="I39" s="36" t="s">
        <v>46</v>
      </c>
      <c r="J39" s="30" t="s">
        <v>101</v>
      </c>
      <c r="K39" s="31">
        <v>70</v>
      </c>
      <c r="L39" s="31">
        <v>60</v>
      </c>
      <c r="M39" s="31">
        <v>50</v>
      </c>
      <c r="N39" s="31">
        <v>40</v>
      </c>
      <c r="O39" s="31" t="s">
        <v>102</v>
      </c>
      <c r="P39" s="32"/>
      <c r="Q39" s="33">
        <f t="shared" si="1"/>
        <v>0</v>
      </c>
      <c r="R39" s="34">
        <f t="shared" si="2"/>
        <v>0</v>
      </c>
    </row>
    <row r="40" spans="1:18" s="35" customFormat="1" ht="147" customHeight="1" x14ac:dyDescent="0.25">
      <c r="A40" s="36">
        <v>8</v>
      </c>
      <c r="B40" s="25" t="s">
        <v>103</v>
      </c>
      <c r="C40" s="38">
        <f>0.5 *0.424486825748159</f>
        <v>0.2122434128740795</v>
      </c>
      <c r="D40" s="27" t="s">
        <v>104</v>
      </c>
      <c r="E40" s="26">
        <f>C40</f>
        <v>0.2122434128740795</v>
      </c>
      <c r="F40" s="26">
        <f t="shared" si="0"/>
        <v>0.42448682574815894</v>
      </c>
      <c r="G40" s="27" t="s">
        <v>105</v>
      </c>
      <c r="H40" s="28">
        <v>0.5</v>
      </c>
      <c r="I40" s="29" t="s">
        <v>46</v>
      </c>
      <c r="J40" s="30" t="s">
        <v>61</v>
      </c>
      <c r="K40" s="31">
        <v>50</v>
      </c>
      <c r="L40" s="31">
        <v>45</v>
      </c>
      <c r="M40" s="31">
        <v>40</v>
      </c>
      <c r="N40" s="31">
        <v>25</v>
      </c>
      <c r="O40" s="31" t="s">
        <v>62</v>
      </c>
      <c r="P40" s="32"/>
      <c r="Q40" s="33">
        <f t="shared" si="1"/>
        <v>0</v>
      </c>
      <c r="R40" s="34">
        <f t="shared" si="2"/>
        <v>0</v>
      </c>
    </row>
    <row r="41" spans="1:18" s="49" customFormat="1" ht="44.25" x14ac:dyDescent="0.25">
      <c r="A41" s="39"/>
      <c r="B41" s="40" t="s">
        <v>106</v>
      </c>
      <c r="C41" s="41">
        <f>SUM(C19:C40)</f>
        <v>50.000000000000007</v>
      </c>
      <c r="D41" s="40"/>
      <c r="E41" s="41">
        <f>SUM(E19:E40)</f>
        <v>50</v>
      </c>
      <c r="F41" s="41">
        <f>SUM(F19:F40)</f>
        <v>100</v>
      </c>
      <c r="G41" s="42"/>
      <c r="H41" s="43"/>
      <c r="I41" s="44"/>
      <c r="J41" s="45"/>
      <c r="K41" s="45"/>
      <c r="L41" s="45"/>
      <c r="M41" s="45"/>
      <c r="N41" s="45"/>
      <c r="O41" s="45"/>
      <c r="P41" s="46"/>
      <c r="Q41" s="47"/>
      <c r="R41" s="48">
        <f>SUM(R19:R40)</f>
        <v>0</v>
      </c>
    </row>
    <row r="42" spans="1:18" s="51" customFormat="1" ht="66" customHeight="1" x14ac:dyDescent="0.7">
      <c r="A42" s="50"/>
      <c r="G42" s="52"/>
      <c r="H42" s="52"/>
      <c r="I42" s="207" t="s">
        <v>156</v>
      </c>
      <c r="J42" s="208"/>
      <c r="K42" s="208"/>
      <c r="L42" s="208"/>
      <c r="M42" s="208"/>
      <c r="N42" s="208"/>
      <c r="O42" s="208"/>
      <c r="P42" s="208"/>
      <c r="Q42" s="209"/>
      <c r="R42" s="53">
        <f>R41/100 * 70</f>
        <v>0</v>
      </c>
    </row>
    <row r="43" spans="1:18" s="58" customFormat="1" ht="36" x14ac:dyDescent="0.55000000000000004">
      <c r="A43" s="210" t="s">
        <v>107</v>
      </c>
      <c r="B43" s="211"/>
      <c r="C43" s="211"/>
      <c r="D43" s="211"/>
      <c r="E43" s="211"/>
      <c r="F43" s="211"/>
      <c r="G43" s="212"/>
      <c r="H43" s="213"/>
      <c r="I43" s="213"/>
      <c r="J43" s="213"/>
      <c r="K43" s="213"/>
      <c r="L43" s="214" t="s">
        <v>112</v>
      </c>
      <c r="M43" s="54" t="s">
        <v>108</v>
      </c>
      <c r="N43" s="54"/>
      <c r="O43" s="54"/>
      <c r="P43" s="55"/>
      <c r="Q43" s="56"/>
      <c r="R43" s="57"/>
    </row>
    <row r="44" spans="1:18" s="58" customFormat="1" ht="31.5" customHeight="1" x14ac:dyDescent="0.55000000000000004">
      <c r="A44" s="59"/>
      <c r="B44" s="60"/>
      <c r="C44" s="216" t="s">
        <v>109</v>
      </c>
      <c r="D44" s="216"/>
      <c r="E44" s="216"/>
      <c r="F44" s="216"/>
      <c r="G44" s="216"/>
      <c r="H44" s="61" t="s">
        <v>157</v>
      </c>
      <c r="I44" s="61" t="s">
        <v>158</v>
      </c>
      <c r="J44" s="61"/>
      <c r="K44" s="62"/>
      <c r="L44" s="215"/>
      <c r="M44" s="63"/>
      <c r="N44" s="63"/>
      <c r="O44" s="63"/>
      <c r="P44" s="64"/>
      <c r="Q44" s="56"/>
      <c r="R44" s="57"/>
    </row>
    <row r="45" spans="1:18" s="58" customFormat="1" ht="36" customHeight="1" x14ac:dyDescent="0.55000000000000004">
      <c r="A45" s="65">
        <v>1</v>
      </c>
      <c r="B45" s="66" t="s">
        <v>113</v>
      </c>
      <c r="C45" s="202"/>
      <c r="D45" s="203"/>
      <c r="E45" s="203"/>
      <c r="F45" s="203"/>
      <c r="G45" s="204"/>
      <c r="H45" s="67"/>
      <c r="I45" s="67"/>
      <c r="J45" s="67"/>
      <c r="K45" s="67"/>
      <c r="L45" s="68"/>
      <c r="M45" s="69" t="s">
        <v>37</v>
      </c>
      <c r="N45" s="200" t="s">
        <v>114</v>
      </c>
      <c r="O45" s="201"/>
      <c r="P45" s="64"/>
      <c r="Q45" s="56"/>
      <c r="R45" s="57"/>
    </row>
    <row r="46" spans="1:18" s="58" customFormat="1" ht="84.75" customHeight="1" x14ac:dyDescent="0.55000000000000004">
      <c r="A46" s="72" t="s">
        <v>115</v>
      </c>
      <c r="B46" s="73" t="s">
        <v>159</v>
      </c>
      <c r="C46" s="197"/>
      <c r="D46" s="198"/>
      <c r="E46" s="198"/>
      <c r="F46" s="198"/>
      <c r="G46" s="199"/>
      <c r="H46" s="74">
        <v>4</v>
      </c>
      <c r="I46" s="75"/>
      <c r="J46" s="74"/>
      <c r="K46" s="74"/>
      <c r="L46" s="68"/>
      <c r="M46" s="69" t="s">
        <v>38</v>
      </c>
      <c r="N46" s="200" t="s">
        <v>116</v>
      </c>
      <c r="O46" s="201"/>
      <c r="P46" s="64"/>
      <c r="Q46" s="56"/>
      <c r="R46" s="57"/>
    </row>
    <row r="47" spans="1:18" s="58" customFormat="1" ht="82.5" customHeight="1" x14ac:dyDescent="0.55000000000000004">
      <c r="A47" s="72" t="s">
        <v>117</v>
      </c>
      <c r="B47" s="73" t="s">
        <v>160</v>
      </c>
      <c r="C47" s="197"/>
      <c r="D47" s="198"/>
      <c r="E47" s="198"/>
      <c r="F47" s="198"/>
      <c r="G47" s="199"/>
      <c r="H47" s="74">
        <v>2</v>
      </c>
      <c r="I47" s="75"/>
      <c r="J47" s="74"/>
      <c r="K47" s="74"/>
      <c r="L47" s="68"/>
      <c r="M47" s="69" t="s">
        <v>39</v>
      </c>
      <c r="N47" s="200" t="s">
        <v>118</v>
      </c>
      <c r="O47" s="201"/>
      <c r="P47" s="64"/>
      <c r="Q47" s="56"/>
      <c r="R47" s="57"/>
    </row>
    <row r="48" spans="1:18" s="58" customFormat="1" ht="78.75" customHeight="1" x14ac:dyDescent="0.55000000000000004">
      <c r="A48" s="72" t="s">
        <v>119</v>
      </c>
      <c r="B48" s="73" t="s">
        <v>120</v>
      </c>
      <c r="C48" s="197"/>
      <c r="D48" s="198"/>
      <c r="E48" s="198"/>
      <c r="F48" s="198"/>
      <c r="G48" s="199"/>
      <c r="H48" s="74">
        <v>2</v>
      </c>
      <c r="I48" s="75"/>
      <c r="J48" s="74"/>
      <c r="K48" s="74"/>
      <c r="L48" s="68"/>
      <c r="M48" s="69" t="s">
        <v>40</v>
      </c>
      <c r="N48" s="200" t="s">
        <v>121</v>
      </c>
      <c r="O48" s="201"/>
      <c r="P48" s="64"/>
      <c r="Q48" s="56"/>
      <c r="R48" s="57"/>
    </row>
    <row r="49" spans="1:18" s="58" customFormat="1" ht="36" x14ac:dyDescent="0.55000000000000004">
      <c r="A49" s="76">
        <v>2</v>
      </c>
      <c r="B49" s="77" t="s">
        <v>122</v>
      </c>
      <c r="C49" s="191"/>
      <c r="D49" s="192"/>
      <c r="E49" s="192"/>
      <c r="F49" s="192"/>
      <c r="G49" s="193"/>
      <c r="H49" s="74"/>
      <c r="I49" s="75"/>
      <c r="J49" s="74"/>
      <c r="K49" s="74"/>
      <c r="L49" s="68"/>
      <c r="M49" s="69" t="s">
        <v>41</v>
      </c>
      <c r="N49" s="200" t="s">
        <v>123</v>
      </c>
      <c r="O49" s="201"/>
      <c r="P49" s="64"/>
      <c r="Q49" s="56"/>
      <c r="R49" s="57"/>
    </row>
    <row r="50" spans="1:18" s="58" customFormat="1" ht="82.5" customHeight="1" x14ac:dyDescent="0.55000000000000004">
      <c r="A50" s="72" t="s">
        <v>115</v>
      </c>
      <c r="B50" s="78" t="s">
        <v>161</v>
      </c>
      <c r="C50" s="183"/>
      <c r="D50" s="184"/>
      <c r="E50" s="184"/>
      <c r="F50" s="184"/>
      <c r="G50" s="185"/>
      <c r="H50" s="74">
        <v>2</v>
      </c>
      <c r="I50" s="75"/>
      <c r="J50" s="74"/>
      <c r="K50" s="74"/>
      <c r="L50" s="68"/>
      <c r="M50" s="69" t="s">
        <v>42</v>
      </c>
      <c r="N50" s="200" t="s">
        <v>124</v>
      </c>
      <c r="O50" s="201"/>
      <c r="P50" s="79"/>
      <c r="Q50" s="56"/>
      <c r="R50" s="57"/>
    </row>
    <row r="51" spans="1:18" s="58" customFormat="1" ht="114.75" customHeight="1" x14ac:dyDescent="0.55000000000000004">
      <c r="A51" s="72" t="s">
        <v>117</v>
      </c>
      <c r="B51" s="78" t="s">
        <v>162</v>
      </c>
      <c r="C51" s="183"/>
      <c r="D51" s="184"/>
      <c r="E51" s="184"/>
      <c r="F51" s="184"/>
      <c r="G51" s="185"/>
      <c r="H51" s="74">
        <v>2</v>
      </c>
      <c r="I51" s="75"/>
      <c r="J51" s="74"/>
      <c r="K51" s="74"/>
      <c r="L51" s="68"/>
      <c r="M51" s="64" t="s">
        <v>112</v>
      </c>
      <c r="N51" s="70" t="s">
        <v>125</v>
      </c>
      <c r="O51" s="71"/>
      <c r="P51" s="79"/>
      <c r="Q51" s="56"/>
      <c r="R51" s="57"/>
    </row>
    <row r="52" spans="1:18" s="58" customFormat="1" ht="72" customHeight="1" x14ac:dyDescent="0.55000000000000004">
      <c r="A52" s="72" t="s">
        <v>119</v>
      </c>
      <c r="B52" s="78" t="s">
        <v>163</v>
      </c>
      <c r="C52" s="183"/>
      <c r="D52" s="184"/>
      <c r="E52" s="184"/>
      <c r="F52" s="184"/>
      <c r="G52" s="185"/>
      <c r="H52" s="74">
        <v>2</v>
      </c>
      <c r="I52" s="75"/>
      <c r="J52" s="74"/>
      <c r="K52" s="74"/>
      <c r="L52" s="68"/>
      <c r="M52" s="64" t="s">
        <v>126</v>
      </c>
      <c r="N52" s="70" t="s">
        <v>127</v>
      </c>
      <c r="O52" s="71"/>
      <c r="P52" s="79"/>
      <c r="Q52" s="56"/>
      <c r="R52" s="57"/>
    </row>
    <row r="53" spans="1:18" s="58" customFormat="1" ht="66" customHeight="1" x14ac:dyDescent="0.55000000000000004">
      <c r="A53" s="76">
        <v>3</v>
      </c>
      <c r="B53" s="77" t="s">
        <v>128</v>
      </c>
      <c r="C53" s="191"/>
      <c r="D53" s="192"/>
      <c r="E53" s="192"/>
      <c r="F53" s="192"/>
      <c r="G53" s="193"/>
      <c r="H53" s="74"/>
      <c r="I53" s="75"/>
      <c r="J53" s="74"/>
      <c r="K53" s="74"/>
      <c r="L53" s="68"/>
      <c r="M53" s="64" t="s">
        <v>110</v>
      </c>
      <c r="N53" s="70" t="s">
        <v>129</v>
      </c>
      <c r="O53" s="71"/>
      <c r="P53" s="79"/>
      <c r="Q53" s="56"/>
      <c r="R53" s="57"/>
    </row>
    <row r="54" spans="1:18" s="58" customFormat="1" ht="72" customHeight="1" x14ac:dyDescent="0.55000000000000004">
      <c r="A54" s="72" t="s">
        <v>115</v>
      </c>
      <c r="B54" s="78" t="s">
        <v>130</v>
      </c>
      <c r="C54" s="194"/>
      <c r="D54" s="195"/>
      <c r="E54" s="195"/>
      <c r="F54" s="195"/>
      <c r="G54" s="196"/>
      <c r="H54" s="74">
        <v>2</v>
      </c>
      <c r="I54" s="75"/>
      <c r="J54" s="74"/>
      <c r="K54" s="74"/>
      <c r="L54" s="68"/>
      <c r="M54" s="64" t="s">
        <v>111</v>
      </c>
      <c r="N54" s="70" t="s">
        <v>131</v>
      </c>
      <c r="O54" s="71"/>
      <c r="P54" s="79"/>
      <c r="Q54" s="56"/>
      <c r="R54" s="57"/>
    </row>
    <row r="55" spans="1:18" s="58" customFormat="1" ht="72" customHeight="1" x14ac:dyDescent="0.55000000000000004">
      <c r="A55" s="72" t="s">
        <v>117</v>
      </c>
      <c r="B55" s="78" t="s">
        <v>164</v>
      </c>
      <c r="C55" s="194"/>
      <c r="D55" s="195"/>
      <c r="E55" s="195"/>
      <c r="F55" s="195"/>
      <c r="G55" s="196"/>
      <c r="H55" s="74">
        <v>2</v>
      </c>
      <c r="I55" s="75"/>
      <c r="J55" s="74"/>
      <c r="K55" s="74"/>
      <c r="L55" s="68"/>
      <c r="M55" s="64" t="s">
        <v>132</v>
      </c>
      <c r="N55" s="70" t="s">
        <v>133</v>
      </c>
      <c r="O55" s="71"/>
      <c r="P55" s="79"/>
      <c r="Q55" s="56"/>
      <c r="R55" s="57"/>
    </row>
    <row r="56" spans="1:18" s="58" customFormat="1" ht="44.25" customHeight="1" x14ac:dyDescent="0.55000000000000004">
      <c r="A56" s="72" t="s">
        <v>119</v>
      </c>
      <c r="B56" s="78" t="s">
        <v>165</v>
      </c>
      <c r="C56" s="194"/>
      <c r="D56" s="195"/>
      <c r="E56" s="195"/>
      <c r="F56" s="195"/>
      <c r="G56" s="196"/>
      <c r="H56" s="74">
        <v>2</v>
      </c>
      <c r="I56" s="75"/>
      <c r="J56" s="74"/>
      <c r="K56" s="74"/>
      <c r="L56" s="68"/>
      <c r="M56" s="80"/>
      <c r="N56" s="80"/>
      <c r="O56" s="80"/>
      <c r="P56" s="81"/>
      <c r="Q56" s="56"/>
      <c r="R56" s="57"/>
    </row>
    <row r="57" spans="1:18" s="58" customFormat="1" ht="31.5" customHeight="1" x14ac:dyDescent="0.55000000000000004">
      <c r="A57" s="181" t="s">
        <v>134</v>
      </c>
      <c r="B57" s="182"/>
      <c r="C57" s="182"/>
      <c r="D57" s="182"/>
      <c r="E57" s="182"/>
      <c r="F57" s="182"/>
      <c r="G57" s="182"/>
      <c r="H57" s="82">
        <f>SUM(H46:H56)</f>
        <v>20</v>
      </c>
      <c r="I57" s="82">
        <f>SUM(I46:I56)</f>
        <v>0</v>
      </c>
      <c r="J57" s="82"/>
      <c r="K57" s="83"/>
      <c r="L57" s="68"/>
      <c r="M57" s="80"/>
      <c r="N57" s="80"/>
      <c r="O57" s="80"/>
      <c r="P57" s="81"/>
      <c r="Q57" s="56"/>
      <c r="R57" s="57"/>
    </row>
    <row r="58" spans="1:18" s="58" customFormat="1" ht="36" customHeight="1" x14ac:dyDescent="0.55000000000000004">
      <c r="A58" s="84" t="s">
        <v>115</v>
      </c>
      <c r="B58" s="85" t="s">
        <v>135</v>
      </c>
      <c r="C58" s="183" t="s">
        <v>136</v>
      </c>
      <c r="D58" s="184"/>
      <c r="E58" s="184"/>
      <c r="F58" s="184"/>
      <c r="G58" s="185"/>
      <c r="H58" s="86">
        <v>4</v>
      </c>
      <c r="I58" s="87"/>
      <c r="J58" s="86"/>
      <c r="K58" s="88"/>
      <c r="L58" s="68"/>
      <c r="M58" s="80"/>
      <c r="N58" s="80"/>
      <c r="O58" s="80"/>
      <c r="P58" s="81"/>
      <c r="Q58" s="56"/>
      <c r="R58" s="57"/>
    </row>
    <row r="59" spans="1:18" s="58" customFormat="1" ht="129" customHeight="1" x14ac:dyDescent="0.55000000000000004">
      <c r="A59" s="84" t="s">
        <v>117</v>
      </c>
      <c r="B59" s="85" t="s">
        <v>137</v>
      </c>
      <c r="C59" s="183" t="s">
        <v>138</v>
      </c>
      <c r="D59" s="184"/>
      <c r="E59" s="184"/>
      <c r="F59" s="184"/>
      <c r="G59" s="185"/>
      <c r="H59" s="86">
        <v>3</v>
      </c>
      <c r="I59" s="87"/>
      <c r="J59" s="86"/>
      <c r="K59" s="88"/>
      <c r="L59" s="68"/>
      <c r="M59" s="80"/>
      <c r="N59" s="80"/>
      <c r="O59" s="80"/>
      <c r="P59" s="81"/>
      <c r="Q59" s="56"/>
      <c r="R59" s="57"/>
    </row>
    <row r="60" spans="1:18" s="58" customFormat="1" ht="69" customHeight="1" x14ac:dyDescent="0.55000000000000004">
      <c r="A60" s="84" t="s">
        <v>117</v>
      </c>
      <c r="B60" s="85" t="s">
        <v>139</v>
      </c>
      <c r="C60" s="183" t="s">
        <v>140</v>
      </c>
      <c r="D60" s="184"/>
      <c r="E60" s="184"/>
      <c r="F60" s="184"/>
      <c r="G60" s="185"/>
      <c r="H60" s="86">
        <v>3</v>
      </c>
      <c r="I60" s="87"/>
      <c r="J60" s="86"/>
      <c r="K60" s="88"/>
      <c r="L60" s="68"/>
      <c r="M60" s="80"/>
      <c r="N60" s="80"/>
      <c r="O60" s="80"/>
      <c r="P60" s="81"/>
      <c r="Q60" s="56"/>
      <c r="R60" s="57"/>
    </row>
    <row r="61" spans="1:18" s="58" customFormat="1" ht="46.5" customHeight="1" x14ac:dyDescent="0.55000000000000004">
      <c r="A61" s="89"/>
      <c r="B61" s="186" t="s">
        <v>141</v>
      </c>
      <c r="C61" s="186"/>
      <c r="D61" s="186"/>
      <c r="E61" s="90"/>
      <c r="F61" s="90"/>
      <c r="G61" s="90"/>
      <c r="H61" s="82">
        <f>SUM(H58:H60)</f>
        <v>10</v>
      </c>
      <c r="I61" s="82">
        <f>SUM(I58:I60)</f>
        <v>0</v>
      </c>
      <c r="J61" s="90"/>
      <c r="K61" s="91"/>
      <c r="L61" s="80"/>
      <c r="M61" s="80"/>
      <c r="N61" s="80"/>
      <c r="O61" s="80"/>
      <c r="P61" s="81"/>
      <c r="Q61" s="56"/>
      <c r="R61" s="57"/>
    </row>
    <row r="62" spans="1:18" s="94" customFormat="1" ht="45" customHeight="1" x14ac:dyDescent="0.7">
      <c r="A62" s="92"/>
      <c r="B62" s="187"/>
      <c r="C62" s="93"/>
      <c r="D62" s="93"/>
      <c r="E62" s="93"/>
      <c r="F62" s="190"/>
      <c r="G62" s="190"/>
      <c r="H62" s="190"/>
      <c r="I62" s="190"/>
      <c r="J62" s="190"/>
      <c r="K62" s="93"/>
      <c r="L62" s="93"/>
      <c r="M62" s="93"/>
      <c r="N62" s="93"/>
      <c r="O62" s="172" t="s">
        <v>166</v>
      </c>
      <c r="P62" s="173"/>
      <c r="Q62" s="172" t="s">
        <v>167</v>
      </c>
      <c r="R62" s="174"/>
    </row>
    <row r="63" spans="1:18" s="94" customFormat="1" ht="45" customHeight="1" x14ac:dyDescent="0.7">
      <c r="A63" s="92"/>
      <c r="B63" s="188"/>
      <c r="C63" s="168" t="s">
        <v>168</v>
      </c>
      <c r="D63" s="169"/>
      <c r="E63" s="169"/>
      <c r="F63" s="169"/>
      <c r="G63" s="169"/>
      <c r="H63" s="169"/>
      <c r="I63" s="169"/>
      <c r="J63" s="169"/>
      <c r="K63" s="170"/>
      <c r="L63" s="163"/>
      <c r="M63" s="164"/>
      <c r="N63" s="165"/>
      <c r="O63" s="166">
        <f>R42</f>
        <v>0</v>
      </c>
      <c r="P63" s="167"/>
      <c r="Q63" s="175">
        <f>O66/100 * 20</f>
        <v>0</v>
      </c>
      <c r="R63" s="176"/>
    </row>
    <row r="64" spans="1:18" s="94" customFormat="1" ht="45" customHeight="1" x14ac:dyDescent="0.7">
      <c r="A64" s="92"/>
      <c r="B64" s="188"/>
      <c r="C64" s="169" t="s">
        <v>169</v>
      </c>
      <c r="D64" s="169"/>
      <c r="E64" s="169"/>
      <c r="F64" s="169"/>
      <c r="G64" s="169"/>
      <c r="H64" s="169"/>
      <c r="I64" s="169"/>
      <c r="J64" s="169"/>
      <c r="K64" s="169"/>
      <c r="L64" s="164"/>
      <c r="M64" s="164"/>
      <c r="N64" s="165"/>
      <c r="O64" s="166">
        <f>I57</f>
        <v>0</v>
      </c>
      <c r="P64" s="167"/>
      <c r="Q64" s="177"/>
      <c r="R64" s="178"/>
    </row>
    <row r="65" spans="1:18" s="94" customFormat="1" ht="45" customHeight="1" x14ac:dyDescent="0.7">
      <c r="A65" s="92"/>
      <c r="B65" s="188"/>
      <c r="C65" s="168" t="s">
        <v>170</v>
      </c>
      <c r="D65" s="169"/>
      <c r="E65" s="169"/>
      <c r="F65" s="169"/>
      <c r="G65" s="169"/>
      <c r="H65" s="169"/>
      <c r="I65" s="169"/>
      <c r="J65" s="169"/>
      <c r="K65" s="170"/>
      <c r="L65" s="163"/>
      <c r="M65" s="164"/>
      <c r="N65" s="165"/>
      <c r="O65" s="166">
        <f>I61</f>
        <v>0</v>
      </c>
      <c r="P65" s="167"/>
      <c r="Q65" s="177"/>
      <c r="R65" s="178"/>
    </row>
    <row r="66" spans="1:18" s="94" customFormat="1" ht="45" customHeight="1" x14ac:dyDescent="0.7">
      <c r="A66" s="92"/>
      <c r="B66" s="189"/>
      <c r="C66" s="168" t="s">
        <v>171</v>
      </c>
      <c r="D66" s="169"/>
      <c r="E66" s="169"/>
      <c r="F66" s="169"/>
      <c r="G66" s="169"/>
      <c r="H66" s="169"/>
      <c r="I66" s="169"/>
      <c r="J66" s="169"/>
      <c r="K66" s="170"/>
      <c r="L66" s="163"/>
      <c r="M66" s="164"/>
      <c r="N66" s="165"/>
      <c r="O66" s="166">
        <f>SUM(O63:P65)</f>
        <v>0</v>
      </c>
      <c r="P66" s="167"/>
      <c r="Q66" s="179"/>
      <c r="R66" s="180"/>
    </row>
    <row r="67" spans="1:18" s="94" customFormat="1" ht="64.900000000000006" customHeight="1" x14ac:dyDescent="0.7">
      <c r="A67" s="92"/>
      <c r="B67" s="171" t="s">
        <v>172</v>
      </c>
      <c r="C67" s="171"/>
      <c r="D67" s="171"/>
      <c r="E67" s="171"/>
      <c r="F67" s="171"/>
      <c r="G67" s="171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6"/>
    </row>
    <row r="68" spans="1:18" s="94" customFormat="1" ht="64.900000000000006" customHeight="1" x14ac:dyDescent="0.7">
      <c r="A68" s="92"/>
      <c r="B68" s="154" t="s">
        <v>173</v>
      </c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5"/>
    </row>
    <row r="69" spans="1:18" s="94" customFormat="1" ht="48.75" customHeight="1" x14ac:dyDescent="0.7">
      <c r="A69" s="92"/>
      <c r="B69" s="156" t="s">
        <v>174</v>
      </c>
      <c r="C69" s="156"/>
      <c r="D69" s="156"/>
      <c r="E69" s="156"/>
      <c r="F69" s="156"/>
      <c r="G69" s="156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8"/>
    </row>
    <row r="70" spans="1:18" s="94" customFormat="1" ht="45.75" x14ac:dyDescent="0.7">
      <c r="A70" s="92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5"/>
    </row>
    <row r="71" spans="1:18" s="58" customFormat="1" ht="31.5" customHeight="1" x14ac:dyDescent="0.55000000000000004">
      <c r="A71" s="157" t="s">
        <v>175</v>
      </c>
      <c r="B71" s="141"/>
      <c r="C71" s="133"/>
      <c r="D71" s="134"/>
      <c r="E71" s="137" t="s">
        <v>176</v>
      </c>
      <c r="F71" s="139"/>
      <c r="G71" s="141" t="s">
        <v>177</v>
      </c>
      <c r="H71" s="133"/>
      <c r="I71" s="133"/>
      <c r="J71" s="133"/>
      <c r="K71" s="99"/>
      <c r="L71" s="68"/>
      <c r="M71" s="160"/>
      <c r="N71" s="160"/>
      <c r="O71" s="160"/>
      <c r="P71" s="160"/>
      <c r="Q71" s="160"/>
      <c r="R71" s="57"/>
    </row>
    <row r="72" spans="1:18" s="58" customFormat="1" ht="31.5" customHeight="1" x14ac:dyDescent="0.55000000000000004">
      <c r="A72" s="131"/>
      <c r="B72" s="132"/>
      <c r="C72" s="147"/>
      <c r="D72" s="148"/>
      <c r="E72" s="159"/>
      <c r="F72" s="152"/>
      <c r="G72" s="132"/>
      <c r="H72" s="147"/>
      <c r="I72" s="147"/>
      <c r="J72" s="147"/>
      <c r="K72" s="99"/>
      <c r="L72" s="68"/>
      <c r="M72" s="161"/>
      <c r="N72" s="161"/>
      <c r="O72" s="161"/>
      <c r="P72" s="161"/>
      <c r="Q72" s="161"/>
      <c r="R72" s="57"/>
    </row>
    <row r="73" spans="1:18" s="58" customFormat="1" ht="31.5" customHeight="1" x14ac:dyDescent="0.55000000000000004">
      <c r="A73" s="131"/>
      <c r="B73" s="132"/>
      <c r="C73" s="147"/>
      <c r="D73" s="148"/>
      <c r="E73" s="159"/>
      <c r="F73" s="152"/>
      <c r="G73" s="132"/>
      <c r="H73" s="147"/>
      <c r="I73" s="147"/>
      <c r="J73" s="147"/>
      <c r="K73" s="99"/>
      <c r="L73" s="68"/>
      <c r="M73" s="161"/>
      <c r="N73" s="161"/>
      <c r="O73" s="161"/>
      <c r="P73" s="161"/>
      <c r="Q73" s="161"/>
      <c r="R73" s="57"/>
    </row>
    <row r="74" spans="1:18" s="58" customFormat="1" ht="31.5" customHeight="1" x14ac:dyDescent="0.55000000000000004">
      <c r="A74" s="158"/>
      <c r="B74" s="142"/>
      <c r="C74" s="135"/>
      <c r="D74" s="136"/>
      <c r="E74" s="138"/>
      <c r="F74" s="140"/>
      <c r="G74" s="142"/>
      <c r="H74" s="135"/>
      <c r="I74" s="135"/>
      <c r="J74" s="135"/>
      <c r="K74" s="99"/>
      <c r="L74" s="68"/>
      <c r="M74" s="161"/>
      <c r="N74" s="161"/>
      <c r="O74" s="161"/>
      <c r="P74" s="161"/>
      <c r="Q74" s="161"/>
      <c r="R74" s="57"/>
    </row>
    <row r="75" spans="1:18" s="58" customFormat="1" ht="31.5" customHeight="1" x14ac:dyDescent="0.55000000000000004">
      <c r="A75" s="143" t="s">
        <v>142</v>
      </c>
      <c r="B75" s="144"/>
      <c r="C75" s="133"/>
      <c r="D75" s="134"/>
      <c r="E75" s="149" t="s">
        <v>178</v>
      </c>
      <c r="F75" s="139"/>
      <c r="G75" s="144" t="s">
        <v>178</v>
      </c>
      <c r="H75" s="133"/>
      <c r="I75" s="133"/>
      <c r="J75" s="133"/>
      <c r="K75" s="99"/>
      <c r="L75" s="68"/>
      <c r="M75" s="161"/>
      <c r="N75" s="161"/>
      <c r="O75" s="161"/>
      <c r="P75" s="161"/>
      <c r="Q75" s="161"/>
      <c r="R75" s="57"/>
    </row>
    <row r="76" spans="1:18" s="58" customFormat="1" ht="31.5" customHeight="1" x14ac:dyDescent="0.55000000000000004">
      <c r="A76" s="145"/>
      <c r="B76" s="146"/>
      <c r="C76" s="147"/>
      <c r="D76" s="148"/>
      <c r="E76" s="150"/>
      <c r="F76" s="152"/>
      <c r="G76" s="146"/>
      <c r="H76" s="147"/>
      <c r="I76" s="147"/>
      <c r="J76" s="147"/>
      <c r="K76" s="99"/>
      <c r="L76" s="68"/>
      <c r="M76" s="161"/>
      <c r="N76" s="161"/>
      <c r="O76" s="161"/>
      <c r="P76" s="161"/>
      <c r="Q76" s="161"/>
      <c r="R76" s="57"/>
    </row>
    <row r="77" spans="1:18" s="58" customFormat="1" ht="31.5" customHeight="1" x14ac:dyDescent="0.55000000000000004">
      <c r="A77" s="145"/>
      <c r="B77" s="146"/>
      <c r="C77" s="135"/>
      <c r="D77" s="136"/>
      <c r="E77" s="151"/>
      <c r="F77" s="140"/>
      <c r="G77" s="153"/>
      <c r="H77" s="135"/>
      <c r="I77" s="135"/>
      <c r="J77" s="135"/>
      <c r="K77" s="99"/>
      <c r="L77" s="68"/>
      <c r="M77" s="161"/>
      <c r="N77" s="161"/>
      <c r="O77" s="161"/>
      <c r="P77" s="161"/>
      <c r="Q77" s="161"/>
      <c r="R77" s="57"/>
    </row>
    <row r="78" spans="1:18" s="58" customFormat="1" ht="31.5" customHeight="1" x14ac:dyDescent="0.55000000000000004">
      <c r="A78" s="131" t="s">
        <v>143</v>
      </c>
      <c r="B78" s="132"/>
      <c r="C78" s="133"/>
      <c r="D78" s="134"/>
      <c r="E78" s="137" t="s">
        <v>179</v>
      </c>
      <c r="F78" s="139"/>
      <c r="G78" s="141" t="s">
        <v>179</v>
      </c>
      <c r="H78" s="133"/>
      <c r="I78" s="133"/>
      <c r="J78" s="133"/>
      <c r="K78" s="99"/>
      <c r="L78" s="68"/>
      <c r="M78" s="161"/>
      <c r="N78" s="161"/>
      <c r="O78" s="161"/>
      <c r="P78" s="161"/>
      <c r="Q78" s="161"/>
      <c r="R78" s="57"/>
    </row>
    <row r="79" spans="1:18" s="58" customFormat="1" ht="31.5" customHeight="1" x14ac:dyDescent="0.55000000000000004">
      <c r="A79" s="131"/>
      <c r="B79" s="132"/>
      <c r="C79" s="135"/>
      <c r="D79" s="136"/>
      <c r="E79" s="138"/>
      <c r="F79" s="140"/>
      <c r="G79" s="142"/>
      <c r="H79" s="135"/>
      <c r="I79" s="135"/>
      <c r="J79" s="135"/>
      <c r="K79" s="99"/>
      <c r="L79" s="68"/>
      <c r="M79" s="161"/>
      <c r="N79" s="161"/>
      <c r="O79" s="161"/>
      <c r="P79" s="161"/>
      <c r="Q79" s="161"/>
      <c r="R79" s="57"/>
    </row>
    <row r="80" spans="1:18" s="58" customFormat="1" ht="31.5" customHeight="1" thickBot="1" x14ac:dyDescent="0.6">
      <c r="A80" s="118"/>
      <c r="B80" s="119"/>
      <c r="C80" s="119"/>
      <c r="D80" s="119"/>
      <c r="E80" s="119"/>
      <c r="F80" s="119"/>
      <c r="G80" s="119"/>
      <c r="H80" s="119"/>
      <c r="I80" s="119"/>
      <c r="J80" s="119"/>
      <c r="K80" s="100"/>
      <c r="L80" s="101"/>
      <c r="M80" s="162"/>
      <c r="N80" s="162"/>
      <c r="O80" s="162"/>
      <c r="P80" s="162"/>
      <c r="Q80" s="162"/>
      <c r="R80" s="102"/>
    </row>
  </sheetData>
  <mergeCells count="112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</mergeCells>
  <hyperlinks>
    <hyperlink ref="E14" r:id="rId1" xr:uid="{CCA8D18B-7137-4BC3-B23A-77F20955BE01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C3A8-3CE0-435F-B8C2-1861E9C19FA2}">
  <sheetPr>
    <pageSetUpPr fitToPage="1"/>
  </sheetPr>
  <dimension ref="A1:R80"/>
  <sheetViews>
    <sheetView topLeftCell="H5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103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03" bestFit="1" customWidth="1"/>
    <col min="6" max="6" width="42" style="103" customWidth="1"/>
    <col min="7" max="7" width="255.7109375" style="1" bestFit="1" customWidth="1"/>
    <col min="8" max="8" width="33" style="103" customWidth="1"/>
    <col min="9" max="9" width="62.42578125" style="103" customWidth="1"/>
    <col min="10" max="10" width="45.140625" style="103" customWidth="1"/>
    <col min="11" max="13" width="35.28515625" style="103" bestFit="1" customWidth="1"/>
    <col min="14" max="14" width="40.7109375" style="103" bestFit="1" customWidth="1"/>
    <col min="15" max="15" width="36.85546875" style="103" bestFit="1" customWidth="1"/>
    <col min="16" max="17" width="36.85546875" style="104" customWidth="1"/>
    <col min="18" max="18" width="36.85546875" style="105" customWidth="1"/>
    <col min="19" max="16384" width="9.140625" style="1"/>
  </cols>
  <sheetData>
    <row r="1" spans="1:18" ht="31.5" customHeight="1" x14ac:dyDescent="0.25">
      <c r="A1" s="241" t="s">
        <v>144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3"/>
    </row>
    <row r="2" spans="1:18" ht="31.5" customHeight="1" x14ac:dyDescent="0.25">
      <c r="A2" s="244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6"/>
    </row>
    <row r="3" spans="1:18" ht="31.5" customHeight="1" thickBot="1" x14ac:dyDescent="0.3">
      <c r="A3" s="244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6"/>
    </row>
    <row r="4" spans="1:18" s="2" customFormat="1" ht="45.75" x14ac:dyDescent="0.25">
      <c r="A4" s="247" t="s">
        <v>0</v>
      </c>
      <c r="B4" s="248"/>
      <c r="C4" s="248"/>
      <c r="D4" s="248"/>
      <c r="E4" s="248"/>
      <c r="F4" s="248"/>
      <c r="G4" s="248"/>
      <c r="H4" s="248"/>
      <c r="I4" s="248"/>
      <c r="J4" s="248"/>
      <c r="K4" s="249"/>
      <c r="L4" s="250"/>
      <c r="M4" s="250"/>
      <c r="N4" s="250"/>
      <c r="O4" s="250"/>
      <c r="P4" s="250"/>
      <c r="Q4" s="250"/>
      <c r="R4" s="251"/>
    </row>
    <row r="5" spans="1:18" s="9" customFormat="1" ht="32.25" x14ac:dyDescent="0.5">
      <c r="A5" s="3" t="s">
        <v>1</v>
      </c>
      <c r="B5" s="4" t="s">
        <v>180</v>
      </c>
      <c r="C5" s="5" t="s">
        <v>2</v>
      </c>
      <c r="D5" s="6" t="s">
        <v>181</v>
      </c>
      <c r="E5" s="258"/>
      <c r="F5" s="258"/>
      <c r="G5" s="258"/>
      <c r="H5" s="258"/>
      <c r="I5" s="7"/>
      <c r="J5" s="8"/>
      <c r="K5" s="252"/>
      <c r="L5" s="253"/>
      <c r="M5" s="253"/>
      <c r="N5" s="253"/>
      <c r="O5" s="253"/>
      <c r="P5" s="253"/>
      <c r="Q5" s="253"/>
      <c r="R5" s="254"/>
    </row>
    <row r="6" spans="1:18" s="12" customFormat="1" ht="38.25" customHeight="1" x14ac:dyDescent="0.55000000000000004">
      <c r="A6" s="259" t="s">
        <v>3</v>
      </c>
      <c r="B6" s="260"/>
      <c r="C6" s="260"/>
      <c r="D6" s="260"/>
      <c r="E6" s="260"/>
      <c r="F6" s="260"/>
      <c r="G6" s="260"/>
      <c r="H6" s="260"/>
      <c r="I6" s="10"/>
      <c r="J6" s="11"/>
      <c r="K6" s="252"/>
      <c r="L6" s="253"/>
      <c r="M6" s="253"/>
      <c r="N6" s="253"/>
      <c r="O6" s="253"/>
      <c r="P6" s="253"/>
      <c r="Q6" s="253"/>
      <c r="R6" s="254"/>
    </row>
    <row r="7" spans="1:18" s="109" customFormat="1" ht="39" x14ac:dyDescent="0.6">
      <c r="A7" s="236" t="s">
        <v>4</v>
      </c>
      <c r="B7" s="237"/>
      <c r="C7" s="106" t="s">
        <v>5</v>
      </c>
      <c r="D7" s="107" t="s">
        <v>6</v>
      </c>
      <c r="E7" s="106" t="s">
        <v>7</v>
      </c>
      <c r="F7" s="107" t="s">
        <v>8</v>
      </c>
      <c r="G7" s="108"/>
      <c r="H7" s="107" t="s">
        <v>9</v>
      </c>
      <c r="I7" s="238" t="s">
        <v>10</v>
      </c>
      <c r="J7" s="239"/>
      <c r="K7" s="252"/>
      <c r="L7" s="253"/>
      <c r="M7" s="253"/>
      <c r="N7" s="253"/>
      <c r="O7" s="253"/>
      <c r="P7" s="253"/>
      <c r="Q7" s="253"/>
      <c r="R7" s="254"/>
    </row>
    <row r="8" spans="1:18" s="109" customFormat="1" ht="39.75" x14ac:dyDescent="0.6">
      <c r="A8" s="224" t="s">
        <v>11</v>
      </c>
      <c r="B8" s="225"/>
      <c r="C8" s="110">
        <v>88715</v>
      </c>
      <c r="D8" s="111" t="s">
        <v>12</v>
      </c>
      <c r="E8" s="112"/>
      <c r="F8" s="111" t="s">
        <v>13</v>
      </c>
      <c r="G8" s="113"/>
      <c r="H8" s="111" t="s">
        <v>14</v>
      </c>
      <c r="I8" s="226" t="s">
        <v>15</v>
      </c>
      <c r="J8" s="227"/>
      <c r="K8" s="252"/>
      <c r="L8" s="253"/>
      <c r="M8" s="253"/>
      <c r="N8" s="253"/>
      <c r="O8" s="253"/>
      <c r="P8" s="253"/>
      <c r="Q8" s="253"/>
      <c r="R8" s="254"/>
    </row>
    <row r="9" spans="1:18" s="14" customFormat="1" ht="62.25" customHeight="1" x14ac:dyDescent="0.6">
      <c r="A9" s="240" t="s">
        <v>16</v>
      </c>
      <c r="B9" s="240"/>
      <c r="C9" s="240"/>
      <c r="D9" s="240"/>
      <c r="E9" s="240"/>
      <c r="F9" s="240"/>
      <c r="G9" s="240"/>
      <c r="H9" s="240"/>
      <c r="I9" s="240"/>
      <c r="J9" s="13"/>
      <c r="K9" s="252"/>
      <c r="L9" s="253"/>
      <c r="M9" s="253"/>
      <c r="N9" s="253"/>
      <c r="O9" s="253"/>
      <c r="P9" s="253"/>
      <c r="Q9" s="253"/>
      <c r="R9" s="254"/>
    </row>
    <row r="10" spans="1:18" s="109" customFormat="1" ht="39" x14ac:dyDescent="0.6">
      <c r="A10" s="236" t="s">
        <v>4</v>
      </c>
      <c r="B10" s="237"/>
      <c r="C10" s="106" t="s">
        <v>17</v>
      </c>
      <c r="D10" s="107" t="s">
        <v>6</v>
      </c>
      <c r="E10" s="106" t="s">
        <v>18</v>
      </c>
      <c r="F10" s="107" t="s">
        <v>8</v>
      </c>
      <c r="G10" s="108" t="s">
        <v>19</v>
      </c>
      <c r="H10" s="107" t="s">
        <v>9</v>
      </c>
      <c r="I10" s="238" t="s">
        <v>20</v>
      </c>
      <c r="J10" s="239"/>
      <c r="K10" s="252"/>
      <c r="L10" s="253"/>
      <c r="M10" s="253"/>
      <c r="N10" s="253"/>
      <c r="O10" s="253"/>
      <c r="P10" s="253"/>
      <c r="Q10" s="253"/>
      <c r="R10" s="254"/>
    </row>
    <row r="11" spans="1:18" s="109" customFormat="1" ht="39.75" x14ac:dyDescent="0.6">
      <c r="A11" s="224" t="s">
        <v>11</v>
      </c>
      <c r="B11" s="225"/>
      <c r="C11" s="110">
        <v>88712</v>
      </c>
      <c r="D11" s="111" t="s">
        <v>12</v>
      </c>
      <c r="E11" s="112"/>
      <c r="F11" s="111" t="s">
        <v>13</v>
      </c>
      <c r="G11" s="113"/>
      <c r="H11" s="111" t="s">
        <v>14</v>
      </c>
      <c r="I11" s="226" t="s">
        <v>15</v>
      </c>
      <c r="J11" s="227"/>
      <c r="K11" s="252"/>
      <c r="L11" s="253"/>
      <c r="M11" s="253"/>
      <c r="N11" s="253"/>
      <c r="O11" s="253"/>
      <c r="P11" s="253"/>
      <c r="Q11" s="253"/>
      <c r="R11" s="254"/>
    </row>
    <row r="12" spans="1:18" s="14" customFormat="1" ht="39" x14ac:dyDescent="0.6">
      <c r="A12" s="240" t="s">
        <v>21</v>
      </c>
      <c r="B12" s="240"/>
      <c r="C12" s="240"/>
      <c r="D12" s="240"/>
      <c r="E12" s="240"/>
      <c r="F12" s="240"/>
      <c r="G12" s="240"/>
      <c r="H12" s="240"/>
      <c r="I12" s="240"/>
      <c r="J12" s="13"/>
      <c r="K12" s="252"/>
      <c r="L12" s="253"/>
      <c r="M12" s="253"/>
      <c r="N12" s="253"/>
      <c r="O12" s="253"/>
      <c r="P12" s="253"/>
      <c r="Q12" s="253"/>
      <c r="R12" s="254"/>
    </row>
    <row r="13" spans="1:18" s="109" customFormat="1" ht="39" x14ac:dyDescent="0.6">
      <c r="A13" s="236" t="s">
        <v>4</v>
      </c>
      <c r="B13" s="237"/>
      <c r="C13" s="106" t="s">
        <v>22</v>
      </c>
      <c r="D13" s="107" t="s">
        <v>6</v>
      </c>
      <c r="E13" s="106" t="s">
        <v>23</v>
      </c>
      <c r="F13" s="107" t="s">
        <v>8</v>
      </c>
      <c r="G13" s="108" t="s">
        <v>24</v>
      </c>
      <c r="H13" s="107" t="s">
        <v>9</v>
      </c>
      <c r="I13" s="238" t="s">
        <v>25</v>
      </c>
      <c r="J13" s="239"/>
      <c r="K13" s="252"/>
      <c r="L13" s="253"/>
      <c r="M13" s="253"/>
      <c r="N13" s="253"/>
      <c r="O13" s="253"/>
      <c r="P13" s="253"/>
      <c r="Q13" s="253"/>
      <c r="R13" s="254"/>
    </row>
    <row r="14" spans="1:18" s="109" customFormat="1" ht="39.75" x14ac:dyDescent="0.6">
      <c r="A14" s="224" t="s">
        <v>11</v>
      </c>
      <c r="B14" s="225"/>
      <c r="C14" s="110">
        <v>60694</v>
      </c>
      <c r="D14" s="111" t="s">
        <v>12</v>
      </c>
      <c r="E14" s="112" t="s">
        <v>26</v>
      </c>
      <c r="F14" s="111" t="s">
        <v>13</v>
      </c>
      <c r="G14" s="113"/>
      <c r="H14" s="111" t="s">
        <v>14</v>
      </c>
      <c r="I14" s="226" t="s">
        <v>15</v>
      </c>
      <c r="J14" s="227"/>
      <c r="K14" s="252"/>
      <c r="L14" s="253"/>
      <c r="M14" s="253"/>
      <c r="N14" s="253"/>
      <c r="O14" s="253"/>
      <c r="P14" s="253"/>
      <c r="Q14" s="253"/>
      <c r="R14" s="254"/>
    </row>
    <row r="15" spans="1:18" s="16" customFormat="1" ht="20.25" customHeight="1" thickBot="1" x14ac:dyDescent="0.75">
      <c r="A15" s="228"/>
      <c r="B15" s="229"/>
      <c r="C15" s="229"/>
      <c r="D15" s="229"/>
      <c r="E15" s="229"/>
      <c r="F15" s="229"/>
      <c r="G15" s="229"/>
      <c r="H15" s="229"/>
      <c r="I15" s="229"/>
      <c r="J15" s="15"/>
      <c r="K15" s="255"/>
      <c r="L15" s="256"/>
      <c r="M15" s="256"/>
      <c r="N15" s="256"/>
      <c r="O15" s="256"/>
      <c r="P15" s="256"/>
      <c r="Q15" s="256"/>
      <c r="R15" s="257"/>
    </row>
    <row r="16" spans="1:18" s="16" customFormat="1" ht="47.25" x14ac:dyDescent="0.7">
      <c r="A16" s="230" t="s">
        <v>27</v>
      </c>
      <c r="B16" s="231"/>
      <c r="C16" s="231"/>
      <c r="D16" s="231"/>
      <c r="E16" s="231"/>
      <c r="F16" s="231"/>
      <c r="G16" s="231"/>
      <c r="H16" s="231"/>
      <c r="I16" s="231"/>
      <c r="J16" s="17"/>
      <c r="K16" s="18"/>
      <c r="L16" s="19"/>
      <c r="M16" s="19"/>
      <c r="N16" s="19"/>
      <c r="O16" s="19"/>
      <c r="P16" s="20"/>
      <c r="Q16" s="20"/>
      <c r="R16" s="21"/>
    </row>
    <row r="17" spans="1:18" s="23" customFormat="1" ht="31.5" customHeight="1" x14ac:dyDescent="0.25">
      <c r="A17" s="232" t="s">
        <v>28</v>
      </c>
      <c r="B17" s="234" t="s">
        <v>29</v>
      </c>
      <c r="C17" s="235" t="s">
        <v>30</v>
      </c>
      <c r="D17" s="235" t="s">
        <v>31</v>
      </c>
      <c r="E17" s="235" t="s">
        <v>30</v>
      </c>
      <c r="F17" s="217" t="s">
        <v>32</v>
      </c>
      <c r="G17" s="217" t="s">
        <v>33</v>
      </c>
      <c r="H17" s="219" t="s">
        <v>34</v>
      </c>
      <c r="I17" s="217" t="s">
        <v>35</v>
      </c>
      <c r="J17" s="221" t="s">
        <v>36</v>
      </c>
      <c r="K17" s="222"/>
      <c r="L17" s="222"/>
      <c r="M17" s="222"/>
      <c r="N17" s="222"/>
      <c r="O17" s="223"/>
      <c r="P17" s="214" t="s">
        <v>147</v>
      </c>
      <c r="Q17" s="214" t="s">
        <v>148</v>
      </c>
      <c r="R17" s="205" t="s">
        <v>149</v>
      </c>
    </row>
    <row r="18" spans="1:18" s="23" customFormat="1" ht="36" x14ac:dyDescent="0.25">
      <c r="A18" s="233"/>
      <c r="B18" s="234"/>
      <c r="C18" s="234"/>
      <c r="D18" s="234"/>
      <c r="E18" s="234"/>
      <c r="F18" s="218"/>
      <c r="G18" s="218"/>
      <c r="H18" s="220"/>
      <c r="I18" s="218"/>
      <c r="J18" s="24" t="s">
        <v>150</v>
      </c>
      <c r="K18" s="22" t="s">
        <v>151</v>
      </c>
      <c r="L18" s="22" t="s">
        <v>152</v>
      </c>
      <c r="M18" s="24" t="s">
        <v>153</v>
      </c>
      <c r="N18" s="24" t="s">
        <v>154</v>
      </c>
      <c r="O18" s="24" t="s">
        <v>155</v>
      </c>
      <c r="P18" s="215"/>
      <c r="Q18" s="215"/>
      <c r="R18" s="206"/>
    </row>
    <row r="19" spans="1:18" s="35" customFormat="1" ht="147" customHeight="1" x14ac:dyDescent="0.25">
      <c r="A19" s="120">
        <v>1</v>
      </c>
      <c r="B19" s="123" t="s">
        <v>43</v>
      </c>
      <c r="C19" s="126">
        <f>0.5 *1.69794730299263</f>
        <v>0.84897365149631498</v>
      </c>
      <c r="D19" s="25" t="s">
        <v>44</v>
      </c>
      <c r="E19" s="26">
        <f>C19/5</f>
        <v>0.16979473029926301</v>
      </c>
      <c r="F19" s="26">
        <f t="shared" ref="F19:F40" si="0">E19/$E$41 * 100</f>
        <v>0.33958946059852602</v>
      </c>
      <c r="G19" s="27" t="s">
        <v>45</v>
      </c>
      <c r="H19" s="28">
        <v>1</v>
      </c>
      <c r="I19" s="29" t="s">
        <v>46</v>
      </c>
      <c r="J19" s="30">
        <v>100</v>
      </c>
      <c r="K19" s="31">
        <v>95</v>
      </c>
      <c r="L19" s="31">
        <v>90</v>
      </c>
      <c r="M19" s="31">
        <v>85</v>
      </c>
      <c r="N19" s="31">
        <v>80</v>
      </c>
      <c r="O19" s="31" t="s">
        <v>47</v>
      </c>
      <c r="P19" s="32"/>
      <c r="Q19" s="3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34">
        <f t="shared" ref="R19:R40" si="2">F19*Q19/100</f>
        <v>0</v>
      </c>
    </row>
    <row r="20" spans="1:18" s="35" customFormat="1" ht="147" customHeight="1" x14ac:dyDescent="0.25">
      <c r="A20" s="121"/>
      <c r="B20" s="124"/>
      <c r="C20" s="127"/>
      <c r="D20" s="25" t="s">
        <v>48</v>
      </c>
      <c r="E20" s="26">
        <f>C19/5</f>
        <v>0.16979473029926301</v>
      </c>
      <c r="F20" s="26">
        <f t="shared" si="0"/>
        <v>0.33958946059852602</v>
      </c>
      <c r="G20" s="27" t="s">
        <v>49</v>
      </c>
      <c r="H20" s="28">
        <v>1</v>
      </c>
      <c r="I20" s="29" t="s">
        <v>46</v>
      </c>
      <c r="J20" s="30">
        <v>100</v>
      </c>
      <c r="K20" s="31">
        <v>95</v>
      </c>
      <c r="L20" s="31">
        <v>90</v>
      </c>
      <c r="M20" s="31">
        <v>85</v>
      </c>
      <c r="N20" s="31">
        <v>80</v>
      </c>
      <c r="O20" s="31" t="s">
        <v>47</v>
      </c>
      <c r="P20" s="32"/>
      <c r="Q20" s="33">
        <f t="shared" si="1"/>
        <v>0</v>
      </c>
      <c r="R20" s="34">
        <f t="shared" si="2"/>
        <v>0</v>
      </c>
    </row>
    <row r="21" spans="1:18" s="35" customFormat="1" ht="147" customHeight="1" x14ac:dyDescent="0.25">
      <c r="A21" s="121"/>
      <c r="B21" s="124"/>
      <c r="C21" s="127"/>
      <c r="D21" s="25" t="s">
        <v>50</v>
      </c>
      <c r="E21" s="26">
        <f>C19/5</f>
        <v>0.16979473029926301</v>
      </c>
      <c r="F21" s="26">
        <f t="shared" si="0"/>
        <v>0.33958946059852602</v>
      </c>
      <c r="G21" s="27" t="s">
        <v>51</v>
      </c>
      <c r="H21" s="28">
        <v>1</v>
      </c>
      <c r="I21" s="29" t="s">
        <v>46</v>
      </c>
      <c r="J21" s="30">
        <v>100</v>
      </c>
      <c r="K21" s="31">
        <v>95</v>
      </c>
      <c r="L21" s="31">
        <v>90</v>
      </c>
      <c r="M21" s="31">
        <v>85</v>
      </c>
      <c r="N21" s="31">
        <v>80</v>
      </c>
      <c r="O21" s="31" t="s">
        <v>47</v>
      </c>
      <c r="P21" s="32"/>
      <c r="Q21" s="33">
        <f t="shared" si="1"/>
        <v>0</v>
      </c>
      <c r="R21" s="34">
        <f t="shared" si="2"/>
        <v>0</v>
      </c>
    </row>
    <row r="22" spans="1:18" s="35" customFormat="1" ht="147" customHeight="1" x14ac:dyDescent="0.25">
      <c r="A22" s="121"/>
      <c r="B22" s="124"/>
      <c r="C22" s="127"/>
      <c r="D22" s="25" t="s">
        <v>52</v>
      </c>
      <c r="E22" s="26">
        <f>C19/5</f>
        <v>0.16979473029926301</v>
      </c>
      <c r="F22" s="26">
        <f t="shared" si="0"/>
        <v>0.33958946059852602</v>
      </c>
      <c r="G22" s="27" t="s">
        <v>53</v>
      </c>
      <c r="H22" s="36">
        <v>5</v>
      </c>
      <c r="I22" s="29" t="s">
        <v>54</v>
      </c>
      <c r="J22" s="30" t="s">
        <v>55</v>
      </c>
      <c r="K22" s="31">
        <v>5</v>
      </c>
      <c r="L22" s="31">
        <v>4</v>
      </c>
      <c r="M22" s="31">
        <v>3</v>
      </c>
      <c r="N22" s="31">
        <v>2</v>
      </c>
      <c r="O22" s="31">
        <v>1</v>
      </c>
      <c r="P22" s="32"/>
      <c r="Q22" s="33">
        <f t="shared" si="1"/>
        <v>0</v>
      </c>
      <c r="R22" s="34">
        <f t="shared" si="2"/>
        <v>0</v>
      </c>
    </row>
    <row r="23" spans="1:18" s="35" customFormat="1" ht="147" customHeight="1" x14ac:dyDescent="0.25">
      <c r="A23" s="122"/>
      <c r="B23" s="125"/>
      <c r="C23" s="128"/>
      <c r="D23" s="25" t="s">
        <v>56</v>
      </c>
      <c r="E23" s="26">
        <f>C19/5</f>
        <v>0.16979473029926301</v>
      </c>
      <c r="F23" s="26">
        <f t="shared" si="0"/>
        <v>0.33958946059852602</v>
      </c>
      <c r="G23" s="27" t="s">
        <v>57</v>
      </c>
      <c r="H23" s="28">
        <v>1</v>
      </c>
      <c r="I23" s="29" t="s">
        <v>46</v>
      </c>
      <c r="J23" s="30">
        <v>100</v>
      </c>
      <c r="K23" s="31">
        <v>95</v>
      </c>
      <c r="L23" s="31">
        <v>90</v>
      </c>
      <c r="M23" s="31">
        <v>85</v>
      </c>
      <c r="N23" s="31">
        <v>80</v>
      </c>
      <c r="O23" s="31" t="s">
        <v>47</v>
      </c>
      <c r="P23" s="32"/>
      <c r="Q23" s="33">
        <f t="shared" si="1"/>
        <v>0</v>
      </c>
      <c r="R23" s="34">
        <f t="shared" si="2"/>
        <v>0</v>
      </c>
    </row>
    <row r="24" spans="1:18" s="35" customFormat="1" ht="147" customHeight="1" x14ac:dyDescent="0.25">
      <c r="A24" s="36">
        <v>2</v>
      </c>
      <c r="B24" s="25" t="s">
        <v>58</v>
      </c>
      <c r="C24" s="116">
        <f>0.5 *1.01876838179558</f>
        <v>0.50938419089778997</v>
      </c>
      <c r="D24" s="25" t="s">
        <v>59</v>
      </c>
      <c r="E24" s="26">
        <f>C24</f>
        <v>0.50938419089778997</v>
      </c>
      <c r="F24" s="26">
        <f t="shared" si="0"/>
        <v>1.0187683817955799</v>
      </c>
      <c r="G24" s="27" t="s">
        <v>60</v>
      </c>
      <c r="H24" s="28">
        <v>0.5</v>
      </c>
      <c r="I24" s="29" t="s">
        <v>46</v>
      </c>
      <c r="J24" s="30" t="s">
        <v>61</v>
      </c>
      <c r="K24" s="31">
        <v>50</v>
      </c>
      <c r="L24" s="31">
        <v>45</v>
      </c>
      <c r="M24" s="31">
        <v>40</v>
      </c>
      <c r="N24" s="31">
        <v>25</v>
      </c>
      <c r="O24" s="31" t="s">
        <v>62</v>
      </c>
      <c r="P24" s="32"/>
      <c r="Q24" s="33">
        <f t="shared" si="1"/>
        <v>0</v>
      </c>
      <c r="R24" s="34">
        <f t="shared" si="2"/>
        <v>0</v>
      </c>
    </row>
    <row r="25" spans="1:18" s="35" customFormat="1" ht="147" customHeight="1" x14ac:dyDescent="0.25">
      <c r="A25" s="120">
        <v>3</v>
      </c>
      <c r="B25" s="123" t="s">
        <v>63</v>
      </c>
      <c r="C25" s="126">
        <f>0.5 *90.5976168096783</f>
        <v>45.29880840483915</v>
      </c>
      <c r="D25" s="25" t="s">
        <v>64</v>
      </c>
      <c r="E25" s="26">
        <f>C25/10</f>
        <v>4.5298808404839148</v>
      </c>
      <c r="F25" s="26">
        <f t="shared" si="0"/>
        <v>9.0597616809678296</v>
      </c>
      <c r="G25" s="25" t="s">
        <v>65</v>
      </c>
      <c r="H25" s="37">
        <v>0.8</v>
      </c>
      <c r="I25" s="36" t="s">
        <v>46</v>
      </c>
      <c r="J25" s="30" t="s">
        <v>66</v>
      </c>
      <c r="K25" s="31">
        <v>80</v>
      </c>
      <c r="L25" s="31">
        <v>75</v>
      </c>
      <c r="M25" s="31">
        <v>70</v>
      </c>
      <c r="N25" s="31">
        <v>50</v>
      </c>
      <c r="O25" s="31" t="s">
        <v>67</v>
      </c>
      <c r="P25" s="32"/>
      <c r="Q25" s="33">
        <f t="shared" si="1"/>
        <v>0</v>
      </c>
      <c r="R25" s="34">
        <f t="shared" si="2"/>
        <v>0</v>
      </c>
    </row>
    <row r="26" spans="1:18" s="35" customFormat="1" ht="147" customHeight="1" x14ac:dyDescent="0.25">
      <c r="A26" s="121"/>
      <c r="B26" s="124"/>
      <c r="C26" s="127"/>
      <c r="D26" s="25" t="s">
        <v>68</v>
      </c>
      <c r="E26" s="26">
        <f>C25/10</f>
        <v>4.5298808404839148</v>
      </c>
      <c r="F26" s="26">
        <f t="shared" si="0"/>
        <v>9.0597616809678296</v>
      </c>
      <c r="G26" s="25" t="s">
        <v>69</v>
      </c>
      <c r="H26" s="37">
        <v>1</v>
      </c>
      <c r="I26" s="29" t="s">
        <v>46</v>
      </c>
      <c r="J26" s="30">
        <v>100</v>
      </c>
      <c r="K26" s="31">
        <v>95</v>
      </c>
      <c r="L26" s="31">
        <v>90</v>
      </c>
      <c r="M26" s="31">
        <v>85</v>
      </c>
      <c r="N26" s="31">
        <v>80</v>
      </c>
      <c r="O26" s="31" t="s">
        <v>47</v>
      </c>
      <c r="P26" s="32"/>
      <c r="Q26" s="33">
        <f t="shared" si="1"/>
        <v>0</v>
      </c>
      <c r="R26" s="34">
        <f t="shared" si="2"/>
        <v>0</v>
      </c>
    </row>
    <row r="27" spans="1:18" s="35" customFormat="1" ht="147" customHeight="1" x14ac:dyDescent="0.25">
      <c r="A27" s="121"/>
      <c r="B27" s="124"/>
      <c r="C27" s="127"/>
      <c r="D27" s="25" t="s">
        <v>70</v>
      </c>
      <c r="E27" s="26">
        <f>C25/10</f>
        <v>4.5298808404839148</v>
      </c>
      <c r="F27" s="26">
        <f t="shared" si="0"/>
        <v>9.0597616809678296</v>
      </c>
      <c r="G27" s="25" t="s">
        <v>71</v>
      </c>
      <c r="H27" s="37">
        <v>0.9</v>
      </c>
      <c r="I27" s="36" t="s">
        <v>46</v>
      </c>
      <c r="J27" s="30" t="s">
        <v>72</v>
      </c>
      <c r="K27" s="31">
        <v>90</v>
      </c>
      <c r="L27" s="31">
        <v>80</v>
      </c>
      <c r="M27" s="31">
        <v>70</v>
      </c>
      <c r="N27" s="31">
        <v>50</v>
      </c>
      <c r="O27" s="31" t="s">
        <v>67</v>
      </c>
      <c r="P27" s="32"/>
      <c r="Q27" s="33">
        <f t="shared" si="1"/>
        <v>0</v>
      </c>
      <c r="R27" s="34">
        <f t="shared" si="2"/>
        <v>0</v>
      </c>
    </row>
    <row r="28" spans="1:18" s="35" customFormat="1" ht="147" customHeight="1" x14ac:dyDescent="0.25">
      <c r="A28" s="121"/>
      <c r="B28" s="124"/>
      <c r="C28" s="127"/>
      <c r="D28" s="25" t="s">
        <v>73</v>
      </c>
      <c r="E28" s="26">
        <f>C25/10</f>
        <v>4.5298808404839148</v>
      </c>
      <c r="F28" s="26">
        <f t="shared" si="0"/>
        <v>9.0597616809678296</v>
      </c>
      <c r="G28" s="25" t="s">
        <v>74</v>
      </c>
      <c r="H28" s="37">
        <v>0.8</v>
      </c>
      <c r="I28" s="36" t="s">
        <v>46</v>
      </c>
      <c r="J28" s="30" t="s">
        <v>66</v>
      </c>
      <c r="K28" s="31">
        <v>80</v>
      </c>
      <c r="L28" s="31">
        <v>75</v>
      </c>
      <c r="M28" s="31">
        <v>70</v>
      </c>
      <c r="N28" s="31">
        <v>50</v>
      </c>
      <c r="O28" s="31" t="s">
        <v>67</v>
      </c>
      <c r="P28" s="32"/>
      <c r="Q28" s="33">
        <f t="shared" si="1"/>
        <v>0</v>
      </c>
      <c r="R28" s="34">
        <f t="shared" si="2"/>
        <v>0</v>
      </c>
    </row>
    <row r="29" spans="1:18" s="35" customFormat="1" ht="147" customHeight="1" x14ac:dyDescent="0.25">
      <c r="A29" s="121"/>
      <c r="B29" s="124"/>
      <c r="C29" s="127"/>
      <c r="D29" s="25" t="s">
        <v>75</v>
      </c>
      <c r="E29" s="26">
        <f>C25/10</f>
        <v>4.5298808404839148</v>
      </c>
      <c r="F29" s="26">
        <f t="shared" si="0"/>
        <v>9.0597616809678296</v>
      </c>
      <c r="G29" s="25" t="s">
        <v>76</v>
      </c>
      <c r="H29" s="37">
        <v>0.9</v>
      </c>
      <c r="I29" s="36" t="s">
        <v>46</v>
      </c>
      <c r="J29" s="30" t="s">
        <v>72</v>
      </c>
      <c r="K29" s="31">
        <v>90</v>
      </c>
      <c r="L29" s="31">
        <v>80</v>
      </c>
      <c r="M29" s="31">
        <v>70</v>
      </c>
      <c r="N29" s="31">
        <v>50</v>
      </c>
      <c r="O29" s="31" t="s">
        <v>67</v>
      </c>
      <c r="P29" s="32"/>
      <c r="Q29" s="33">
        <f t="shared" si="1"/>
        <v>0</v>
      </c>
      <c r="R29" s="34">
        <f t="shared" si="2"/>
        <v>0</v>
      </c>
    </row>
    <row r="30" spans="1:18" s="35" customFormat="1" ht="147" customHeight="1" x14ac:dyDescent="0.25">
      <c r="A30" s="121"/>
      <c r="B30" s="124"/>
      <c r="C30" s="127"/>
      <c r="D30" s="25" t="s">
        <v>77</v>
      </c>
      <c r="E30" s="26">
        <f>C25/10</f>
        <v>4.5298808404839148</v>
      </c>
      <c r="F30" s="26">
        <f t="shared" si="0"/>
        <v>9.0597616809678296</v>
      </c>
      <c r="G30" s="25" t="s">
        <v>78</v>
      </c>
      <c r="H30" s="37">
        <v>0.8</v>
      </c>
      <c r="I30" s="36" t="s">
        <v>46</v>
      </c>
      <c r="J30" s="30" t="s">
        <v>66</v>
      </c>
      <c r="K30" s="31">
        <v>80</v>
      </c>
      <c r="L30" s="31">
        <v>75</v>
      </c>
      <c r="M30" s="31">
        <v>70</v>
      </c>
      <c r="N30" s="31">
        <v>50</v>
      </c>
      <c r="O30" s="31" t="s">
        <v>67</v>
      </c>
      <c r="P30" s="32"/>
      <c r="Q30" s="33">
        <f t="shared" si="1"/>
        <v>0</v>
      </c>
      <c r="R30" s="34">
        <f t="shared" si="2"/>
        <v>0</v>
      </c>
    </row>
    <row r="31" spans="1:18" s="35" customFormat="1" ht="147" customHeight="1" x14ac:dyDescent="0.25">
      <c r="A31" s="121"/>
      <c r="B31" s="124"/>
      <c r="C31" s="127"/>
      <c r="D31" s="25" t="s">
        <v>79</v>
      </c>
      <c r="E31" s="26">
        <f>C25/10</f>
        <v>4.5298808404839148</v>
      </c>
      <c r="F31" s="26">
        <f t="shared" si="0"/>
        <v>9.0597616809678296</v>
      </c>
      <c r="G31" s="25" t="s">
        <v>80</v>
      </c>
      <c r="H31" s="37">
        <v>0.9</v>
      </c>
      <c r="I31" s="36" t="s">
        <v>46</v>
      </c>
      <c r="J31" s="30" t="s">
        <v>72</v>
      </c>
      <c r="K31" s="31">
        <v>90</v>
      </c>
      <c r="L31" s="31">
        <v>80</v>
      </c>
      <c r="M31" s="31">
        <v>70</v>
      </c>
      <c r="N31" s="31">
        <v>50</v>
      </c>
      <c r="O31" s="31" t="s">
        <v>67</v>
      </c>
      <c r="P31" s="32"/>
      <c r="Q31" s="33">
        <f t="shared" si="1"/>
        <v>0</v>
      </c>
      <c r="R31" s="34">
        <f t="shared" si="2"/>
        <v>0</v>
      </c>
    </row>
    <row r="32" spans="1:18" s="35" customFormat="1" ht="147" customHeight="1" x14ac:dyDescent="0.25">
      <c r="A32" s="121"/>
      <c r="B32" s="124"/>
      <c r="C32" s="127"/>
      <c r="D32" s="25" t="s">
        <v>81</v>
      </c>
      <c r="E32" s="26">
        <f>C25/10</f>
        <v>4.5298808404839148</v>
      </c>
      <c r="F32" s="26">
        <f t="shared" si="0"/>
        <v>9.0597616809678296</v>
      </c>
      <c r="G32" s="25" t="s">
        <v>82</v>
      </c>
      <c r="H32" s="37">
        <v>0.8</v>
      </c>
      <c r="I32" s="36" t="s">
        <v>46</v>
      </c>
      <c r="J32" s="30" t="s">
        <v>66</v>
      </c>
      <c r="K32" s="31">
        <v>80</v>
      </c>
      <c r="L32" s="31">
        <v>75</v>
      </c>
      <c r="M32" s="31">
        <v>70</v>
      </c>
      <c r="N32" s="31">
        <v>50</v>
      </c>
      <c r="O32" s="31" t="s">
        <v>67</v>
      </c>
      <c r="P32" s="32"/>
      <c r="Q32" s="33">
        <f t="shared" si="1"/>
        <v>0</v>
      </c>
      <c r="R32" s="34">
        <f t="shared" si="2"/>
        <v>0</v>
      </c>
    </row>
    <row r="33" spans="1:18" s="35" customFormat="1" ht="147" customHeight="1" x14ac:dyDescent="0.25">
      <c r="A33" s="121"/>
      <c r="B33" s="124"/>
      <c r="C33" s="127"/>
      <c r="D33" s="25" t="s">
        <v>83</v>
      </c>
      <c r="E33" s="26">
        <f>C25/10</f>
        <v>4.5298808404839148</v>
      </c>
      <c r="F33" s="26">
        <f t="shared" si="0"/>
        <v>9.0597616809678296</v>
      </c>
      <c r="G33" s="25" t="s">
        <v>84</v>
      </c>
      <c r="H33" s="36">
        <v>80</v>
      </c>
      <c r="I33" s="36" t="s">
        <v>46</v>
      </c>
      <c r="J33" s="30" t="s">
        <v>66</v>
      </c>
      <c r="K33" s="31">
        <v>80</v>
      </c>
      <c r="L33" s="31">
        <v>75</v>
      </c>
      <c r="M33" s="31">
        <v>70</v>
      </c>
      <c r="N33" s="31">
        <v>50</v>
      </c>
      <c r="O33" s="31" t="s">
        <v>67</v>
      </c>
      <c r="P33" s="32"/>
      <c r="Q33" s="33">
        <f t="shared" si="1"/>
        <v>0</v>
      </c>
      <c r="R33" s="34">
        <f t="shared" si="2"/>
        <v>0</v>
      </c>
    </row>
    <row r="34" spans="1:18" s="35" customFormat="1" ht="147" customHeight="1" x14ac:dyDescent="0.25">
      <c r="A34" s="122"/>
      <c r="B34" s="125"/>
      <c r="C34" s="128"/>
      <c r="D34" s="25" t="s">
        <v>85</v>
      </c>
      <c r="E34" s="26">
        <f>C25/10</f>
        <v>4.5298808404839148</v>
      </c>
      <c r="F34" s="26">
        <f t="shared" si="0"/>
        <v>9.0597616809678296</v>
      </c>
      <c r="G34" s="25" t="s">
        <v>86</v>
      </c>
      <c r="H34" s="37">
        <v>0.8</v>
      </c>
      <c r="I34" s="36" t="s">
        <v>46</v>
      </c>
      <c r="J34" s="30" t="s">
        <v>66</v>
      </c>
      <c r="K34" s="31">
        <v>80</v>
      </c>
      <c r="L34" s="31">
        <v>75</v>
      </c>
      <c r="M34" s="31">
        <v>70</v>
      </c>
      <c r="N34" s="31">
        <v>50</v>
      </c>
      <c r="O34" s="31" t="s">
        <v>67</v>
      </c>
      <c r="P34" s="32"/>
      <c r="Q34" s="33">
        <f t="shared" si="1"/>
        <v>0</v>
      </c>
      <c r="R34" s="34">
        <f t="shared" si="2"/>
        <v>0</v>
      </c>
    </row>
    <row r="35" spans="1:18" s="35" customFormat="1" ht="147" customHeight="1" x14ac:dyDescent="0.25">
      <c r="A35" s="36">
        <v>4</v>
      </c>
      <c r="B35" s="25" t="s">
        <v>87</v>
      </c>
      <c r="C35" s="38">
        <f>0.5 *1.5918255965556</f>
        <v>0.79591279827780004</v>
      </c>
      <c r="D35" s="25" t="s">
        <v>88</v>
      </c>
      <c r="E35" s="26">
        <f>C35</f>
        <v>0.79591279827780004</v>
      </c>
      <c r="F35" s="26">
        <f t="shared" si="0"/>
        <v>1.5918255965556003</v>
      </c>
      <c r="G35" s="27" t="s">
        <v>89</v>
      </c>
      <c r="H35" s="36">
        <v>5</v>
      </c>
      <c r="I35" s="29" t="s">
        <v>54</v>
      </c>
      <c r="J35" s="30" t="s">
        <v>55</v>
      </c>
      <c r="K35" s="31">
        <v>5</v>
      </c>
      <c r="L35" s="31">
        <v>4</v>
      </c>
      <c r="M35" s="31">
        <v>3</v>
      </c>
      <c r="N35" s="31">
        <v>2</v>
      </c>
      <c r="O35" s="31">
        <v>1</v>
      </c>
      <c r="P35" s="32"/>
      <c r="Q35" s="33">
        <f t="shared" si="1"/>
        <v>0</v>
      </c>
      <c r="R35" s="34">
        <f t="shared" si="2"/>
        <v>0</v>
      </c>
    </row>
    <row r="36" spans="1:18" s="35" customFormat="1" ht="147" customHeight="1" x14ac:dyDescent="0.25">
      <c r="A36" s="120">
        <v>5</v>
      </c>
      <c r="B36" s="123" t="s">
        <v>90</v>
      </c>
      <c r="C36" s="129">
        <f>0.5 *3.18365119311119</f>
        <v>1.591825596555595</v>
      </c>
      <c r="D36" s="25" t="s">
        <v>91</v>
      </c>
      <c r="E36" s="26">
        <f>C36/2</f>
        <v>0.79591279827779748</v>
      </c>
      <c r="F36" s="26">
        <f t="shared" si="0"/>
        <v>1.591825596555595</v>
      </c>
      <c r="G36" s="27" t="s">
        <v>92</v>
      </c>
      <c r="H36" s="37">
        <v>0.8</v>
      </c>
      <c r="I36" s="36" t="s">
        <v>46</v>
      </c>
      <c r="J36" s="30" t="s">
        <v>66</v>
      </c>
      <c r="K36" s="31">
        <v>80</v>
      </c>
      <c r="L36" s="31">
        <v>75</v>
      </c>
      <c r="M36" s="31">
        <v>70</v>
      </c>
      <c r="N36" s="31">
        <v>50</v>
      </c>
      <c r="O36" s="31" t="s">
        <v>67</v>
      </c>
      <c r="P36" s="32"/>
      <c r="Q36" s="33">
        <f t="shared" si="1"/>
        <v>0</v>
      </c>
      <c r="R36" s="34">
        <f t="shared" si="2"/>
        <v>0</v>
      </c>
    </row>
    <row r="37" spans="1:18" s="35" customFormat="1" ht="147" customHeight="1" x14ac:dyDescent="0.25">
      <c r="A37" s="122"/>
      <c r="B37" s="125"/>
      <c r="C37" s="130"/>
      <c r="D37" s="25" t="s">
        <v>93</v>
      </c>
      <c r="E37" s="26">
        <f>C36/2</f>
        <v>0.79591279827779748</v>
      </c>
      <c r="F37" s="26">
        <f t="shared" si="0"/>
        <v>1.591825596555595</v>
      </c>
      <c r="G37" s="27" t="s">
        <v>94</v>
      </c>
      <c r="H37" s="37">
        <v>0.8</v>
      </c>
      <c r="I37" s="36" t="s">
        <v>46</v>
      </c>
      <c r="J37" s="30" t="s">
        <v>66</v>
      </c>
      <c r="K37" s="31">
        <v>80</v>
      </c>
      <c r="L37" s="31">
        <v>75</v>
      </c>
      <c r="M37" s="31">
        <v>70</v>
      </c>
      <c r="N37" s="31">
        <v>50</v>
      </c>
      <c r="O37" s="31" t="s">
        <v>67</v>
      </c>
      <c r="P37" s="32"/>
      <c r="Q37" s="33">
        <f t="shared" si="1"/>
        <v>0</v>
      </c>
      <c r="R37" s="34">
        <f t="shared" si="2"/>
        <v>0</v>
      </c>
    </row>
    <row r="38" spans="1:18" s="35" customFormat="1" ht="147" customHeight="1" x14ac:dyDescent="0.25">
      <c r="A38" s="114">
        <v>6</v>
      </c>
      <c r="B38" s="115" t="s">
        <v>95</v>
      </c>
      <c r="C38" s="117">
        <f>0.5 *1.0612170643704</f>
        <v>0.53060853218519999</v>
      </c>
      <c r="D38" s="25" t="s">
        <v>96</v>
      </c>
      <c r="E38" s="26">
        <f>C38</f>
        <v>0.53060853218519999</v>
      </c>
      <c r="F38" s="26">
        <f t="shared" si="0"/>
        <v>1.0612170643704</v>
      </c>
      <c r="G38" s="27" t="s">
        <v>97</v>
      </c>
      <c r="H38" s="37">
        <v>0.8</v>
      </c>
      <c r="I38" s="36" t="s">
        <v>46</v>
      </c>
      <c r="J38" s="30" t="s">
        <v>66</v>
      </c>
      <c r="K38" s="31">
        <v>80</v>
      </c>
      <c r="L38" s="31">
        <v>75</v>
      </c>
      <c r="M38" s="31">
        <v>70</v>
      </c>
      <c r="N38" s="31">
        <v>50</v>
      </c>
      <c r="O38" s="31" t="s">
        <v>67</v>
      </c>
      <c r="P38" s="32"/>
      <c r="Q38" s="33">
        <f t="shared" si="1"/>
        <v>0</v>
      </c>
      <c r="R38" s="34">
        <f t="shared" si="2"/>
        <v>0</v>
      </c>
    </row>
    <row r="39" spans="1:18" s="35" customFormat="1" ht="147" customHeight="1" x14ac:dyDescent="0.25">
      <c r="A39" s="36">
        <v>7</v>
      </c>
      <c r="B39" s="25" t="s">
        <v>98</v>
      </c>
      <c r="C39" s="38">
        <f>0.5 *0.424486825748159</f>
        <v>0.2122434128740795</v>
      </c>
      <c r="D39" s="115" t="s">
        <v>99</v>
      </c>
      <c r="E39" s="26">
        <f>C39</f>
        <v>0.2122434128740795</v>
      </c>
      <c r="F39" s="26">
        <f t="shared" si="0"/>
        <v>0.42448682574815894</v>
      </c>
      <c r="G39" s="27" t="s">
        <v>100</v>
      </c>
      <c r="H39" s="28">
        <v>0.7</v>
      </c>
      <c r="I39" s="36" t="s">
        <v>46</v>
      </c>
      <c r="J39" s="30" t="s">
        <v>101</v>
      </c>
      <c r="K39" s="31">
        <v>70</v>
      </c>
      <c r="L39" s="31">
        <v>60</v>
      </c>
      <c r="M39" s="31">
        <v>50</v>
      </c>
      <c r="N39" s="31">
        <v>40</v>
      </c>
      <c r="O39" s="31" t="s">
        <v>102</v>
      </c>
      <c r="P39" s="32"/>
      <c r="Q39" s="33">
        <f t="shared" si="1"/>
        <v>0</v>
      </c>
      <c r="R39" s="34">
        <f t="shared" si="2"/>
        <v>0</v>
      </c>
    </row>
    <row r="40" spans="1:18" s="35" customFormat="1" ht="147" customHeight="1" x14ac:dyDescent="0.25">
      <c r="A40" s="36">
        <v>8</v>
      </c>
      <c r="B40" s="25" t="s">
        <v>103</v>
      </c>
      <c r="C40" s="38">
        <f>0.5 *0.424486825748159</f>
        <v>0.2122434128740795</v>
      </c>
      <c r="D40" s="27" t="s">
        <v>104</v>
      </c>
      <c r="E40" s="26">
        <f>C40</f>
        <v>0.2122434128740795</v>
      </c>
      <c r="F40" s="26">
        <f t="shared" si="0"/>
        <v>0.42448682574815894</v>
      </c>
      <c r="G40" s="27" t="s">
        <v>105</v>
      </c>
      <c r="H40" s="28">
        <v>0.5</v>
      </c>
      <c r="I40" s="29" t="s">
        <v>46</v>
      </c>
      <c r="J40" s="30" t="s">
        <v>61</v>
      </c>
      <c r="K40" s="31">
        <v>50</v>
      </c>
      <c r="L40" s="31">
        <v>45</v>
      </c>
      <c r="M40" s="31">
        <v>40</v>
      </c>
      <c r="N40" s="31">
        <v>25</v>
      </c>
      <c r="O40" s="31" t="s">
        <v>62</v>
      </c>
      <c r="P40" s="32">
        <v>0</v>
      </c>
      <c r="Q40" s="33">
        <f t="shared" si="1"/>
        <v>0</v>
      </c>
      <c r="R40" s="34">
        <f t="shared" si="2"/>
        <v>0</v>
      </c>
    </row>
    <row r="41" spans="1:18" s="49" customFormat="1" ht="44.25" x14ac:dyDescent="0.25">
      <c r="A41" s="39"/>
      <c r="B41" s="40" t="s">
        <v>106</v>
      </c>
      <c r="C41" s="41">
        <f>SUM(C19:C40)</f>
        <v>50.000000000000007</v>
      </c>
      <c r="D41" s="40"/>
      <c r="E41" s="41">
        <f>SUM(E19:E40)</f>
        <v>50</v>
      </c>
      <c r="F41" s="41">
        <f>SUM(F19:F40)</f>
        <v>100</v>
      </c>
      <c r="G41" s="42"/>
      <c r="H41" s="43"/>
      <c r="I41" s="44"/>
      <c r="J41" s="45"/>
      <c r="K41" s="45"/>
      <c r="L41" s="45"/>
      <c r="M41" s="45"/>
      <c r="N41" s="45"/>
      <c r="O41" s="45"/>
      <c r="P41" s="46"/>
      <c r="Q41" s="47"/>
      <c r="R41" s="48">
        <f>SUM(R19:R40)</f>
        <v>0</v>
      </c>
    </row>
    <row r="42" spans="1:18" s="51" customFormat="1" ht="66" customHeight="1" x14ac:dyDescent="0.7">
      <c r="A42" s="50"/>
      <c r="G42" s="52"/>
      <c r="H42" s="52"/>
      <c r="I42" s="207" t="s">
        <v>156</v>
      </c>
      <c r="J42" s="208"/>
      <c r="K42" s="208"/>
      <c r="L42" s="208"/>
      <c r="M42" s="208"/>
      <c r="N42" s="208"/>
      <c r="O42" s="208"/>
      <c r="P42" s="208"/>
      <c r="Q42" s="209"/>
      <c r="R42" s="53">
        <f>R41/100 * 70</f>
        <v>0</v>
      </c>
    </row>
    <row r="43" spans="1:18" s="58" customFormat="1" ht="36" x14ac:dyDescent="0.55000000000000004">
      <c r="A43" s="210" t="s">
        <v>107</v>
      </c>
      <c r="B43" s="211"/>
      <c r="C43" s="211"/>
      <c r="D43" s="211"/>
      <c r="E43" s="211"/>
      <c r="F43" s="211"/>
      <c r="G43" s="212"/>
      <c r="H43" s="213"/>
      <c r="I43" s="213"/>
      <c r="J43" s="213"/>
      <c r="K43" s="213"/>
      <c r="L43" s="214" t="s">
        <v>112</v>
      </c>
      <c r="M43" s="54" t="s">
        <v>108</v>
      </c>
      <c r="N43" s="54"/>
      <c r="O43" s="54"/>
      <c r="P43" s="55"/>
      <c r="Q43" s="56"/>
      <c r="R43" s="57"/>
    </row>
    <row r="44" spans="1:18" s="58" customFormat="1" ht="31.5" customHeight="1" x14ac:dyDescent="0.55000000000000004">
      <c r="A44" s="59"/>
      <c r="B44" s="60"/>
      <c r="C44" s="216" t="s">
        <v>109</v>
      </c>
      <c r="D44" s="216"/>
      <c r="E44" s="216"/>
      <c r="F44" s="216"/>
      <c r="G44" s="216"/>
      <c r="H44" s="61" t="s">
        <v>157</v>
      </c>
      <c r="I44" s="61" t="s">
        <v>158</v>
      </c>
      <c r="J44" s="61"/>
      <c r="K44" s="62"/>
      <c r="L44" s="215"/>
      <c r="M44" s="63"/>
      <c r="N44" s="63"/>
      <c r="O44" s="63"/>
      <c r="P44" s="64"/>
      <c r="Q44" s="56"/>
      <c r="R44" s="57"/>
    </row>
    <row r="45" spans="1:18" s="58" customFormat="1" ht="36" customHeight="1" x14ac:dyDescent="0.55000000000000004">
      <c r="A45" s="65">
        <v>1</v>
      </c>
      <c r="B45" s="66" t="s">
        <v>113</v>
      </c>
      <c r="C45" s="202"/>
      <c r="D45" s="203"/>
      <c r="E45" s="203"/>
      <c r="F45" s="203"/>
      <c r="G45" s="204"/>
      <c r="H45" s="67"/>
      <c r="I45" s="67"/>
      <c r="J45" s="67"/>
      <c r="K45" s="67"/>
      <c r="L45" s="68"/>
      <c r="M45" s="69" t="s">
        <v>37</v>
      </c>
      <c r="N45" s="200" t="s">
        <v>114</v>
      </c>
      <c r="O45" s="201"/>
      <c r="P45" s="64"/>
      <c r="Q45" s="56"/>
      <c r="R45" s="57"/>
    </row>
    <row r="46" spans="1:18" s="58" customFormat="1" ht="84.75" customHeight="1" x14ac:dyDescent="0.55000000000000004">
      <c r="A46" s="72" t="s">
        <v>115</v>
      </c>
      <c r="B46" s="73" t="s">
        <v>159</v>
      </c>
      <c r="C46" s="197"/>
      <c r="D46" s="198"/>
      <c r="E46" s="198"/>
      <c r="F46" s="198"/>
      <c r="G46" s="199"/>
      <c r="H46" s="74">
        <v>4</v>
      </c>
      <c r="I46" s="75"/>
      <c r="J46" s="74"/>
      <c r="K46" s="74"/>
      <c r="L46" s="68"/>
      <c r="M46" s="69" t="s">
        <v>38</v>
      </c>
      <c r="N46" s="200" t="s">
        <v>116</v>
      </c>
      <c r="O46" s="201"/>
      <c r="P46" s="64"/>
      <c r="Q46" s="56"/>
      <c r="R46" s="57"/>
    </row>
    <row r="47" spans="1:18" s="58" customFormat="1" ht="82.5" customHeight="1" x14ac:dyDescent="0.55000000000000004">
      <c r="A47" s="72" t="s">
        <v>117</v>
      </c>
      <c r="B47" s="73" t="s">
        <v>160</v>
      </c>
      <c r="C47" s="197"/>
      <c r="D47" s="198"/>
      <c r="E47" s="198"/>
      <c r="F47" s="198"/>
      <c r="G47" s="199"/>
      <c r="H47" s="74">
        <v>2</v>
      </c>
      <c r="I47" s="75"/>
      <c r="J47" s="74"/>
      <c r="K47" s="74"/>
      <c r="L47" s="68"/>
      <c r="M47" s="69" t="s">
        <v>39</v>
      </c>
      <c r="N47" s="200" t="s">
        <v>118</v>
      </c>
      <c r="O47" s="201"/>
      <c r="P47" s="64"/>
      <c r="Q47" s="56"/>
      <c r="R47" s="57"/>
    </row>
    <row r="48" spans="1:18" s="58" customFormat="1" ht="78.75" customHeight="1" x14ac:dyDescent="0.55000000000000004">
      <c r="A48" s="72" t="s">
        <v>119</v>
      </c>
      <c r="B48" s="73" t="s">
        <v>120</v>
      </c>
      <c r="C48" s="197"/>
      <c r="D48" s="198"/>
      <c r="E48" s="198"/>
      <c r="F48" s="198"/>
      <c r="G48" s="199"/>
      <c r="H48" s="74">
        <v>2</v>
      </c>
      <c r="I48" s="75"/>
      <c r="J48" s="74"/>
      <c r="K48" s="74"/>
      <c r="L48" s="68"/>
      <c r="M48" s="69" t="s">
        <v>40</v>
      </c>
      <c r="N48" s="200" t="s">
        <v>121</v>
      </c>
      <c r="O48" s="201"/>
      <c r="P48" s="64"/>
      <c r="Q48" s="56"/>
      <c r="R48" s="57"/>
    </row>
    <row r="49" spans="1:18" s="58" customFormat="1" ht="36" x14ac:dyDescent="0.55000000000000004">
      <c r="A49" s="76">
        <v>2</v>
      </c>
      <c r="B49" s="77" t="s">
        <v>122</v>
      </c>
      <c r="C49" s="191"/>
      <c r="D49" s="192"/>
      <c r="E49" s="192"/>
      <c r="F49" s="192"/>
      <c r="G49" s="193"/>
      <c r="H49" s="74"/>
      <c r="I49" s="75"/>
      <c r="J49" s="74"/>
      <c r="K49" s="74"/>
      <c r="L49" s="68"/>
      <c r="M49" s="69" t="s">
        <v>41</v>
      </c>
      <c r="N49" s="200" t="s">
        <v>123</v>
      </c>
      <c r="O49" s="201"/>
      <c r="P49" s="64"/>
      <c r="Q49" s="56"/>
      <c r="R49" s="57"/>
    </row>
    <row r="50" spans="1:18" s="58" customFormat="1" ht="82.5" customHeight="1" x14ac:dyDescent="0.55000000000000004">
      <c r="A50" s="72" t="s">
        <v>115</v>
      </c>
      <c r="B50" s="78" t="s">
        <v>161</v>
      </c>
      <c r="C50" s="183"/>
      <c r="D50" s="184"/>
      <c r="E50" s="184"/>
      <c r="F50" s="184"/>
      <c r="G50" s="185"/>
      <c r="H50" s="74">
        <v>2</v>
      </c>
      <c r="I50" s="75"/>
      <c r="J50" s="74"/>
      <c r="K50" s="74"/>
      <c r="L50" s="68"/>
      <c r="M50" s="69" t="s">
        <v>42</v>
      </c>
      <c r="N50" s="200" t="s">
        <v>124</v>
      </c>
      <c r="O50" s="201"/>
      <c r="P50" s="79"/>
      <c r="Q50" s="56"/>
      <c r="R50" s="57"/>
    </row>
    <row r="51" spans="1:18" s="58" customFormat="1" ht="114.75" customHeight="1" x14ac:dyDescent="0.55000000000000004">
      <c r="A51" s="72" t="s">
        <v>117</v>
      </c>
      <c r="B51" s="78" t="s">
        <v>162</v>
      </c>
      <c r="C51" s="183"/>
      <c r="D51" s="184"/>
      <c r="E51" s="184"/>
      <c r="F51" s="184"/>
      <c r="G51" s="185"/>
      <c r="H51" s="74">
        <v>2</v>
      </c>
      <c r="I51" s="75"/>
      <c r="J51" s="74"/>
      <c r="K51" s="74"/>
      <c r="L51" s="68"/>
      <c r="M51" s="64" t="s">
        <v>112</v>
      </c>
      <c r="N51" s="70" t="s">
        <v>125</v>
      </c>
      <c r="O51" s="71"/>
      <c r="P51" s="79"/>
      <c r="Q51" s="56"/>
      <c r="R51" s="57"/>
    </row>
    <row r="52" spans="1:18" s="58" customFormat="1" ht="72" customHeight="1" x14ac:dyDescent="0.55000000000000004">
      <c r="A52" s="72" t="s">
        <v>119</v>
      </c>
      <c r="B52" s="78" t="s">
        <v>163</v>
      </c>
      <c r="C52" s="183"/>
      <c r="D52" s="184"/>
      <c r="E52" s="184"/>
      <c r="F52" s="184"/>
      <c r="G52" s="185"/>
      <c r="H52" s="74">
        <v>2</v>
      </c>
      <c r="I52" s="75"/>
      <c r="J52" s="74"/>
      <c r="K52" s="74"/>
      <c r="L52" s="68"/>
      <c r="M52" s="64" t="s">
        <v>126</v>
      </c>
      <c r="N52" s="70" t="s">
        <v>127</v>
      </c>
      <c r="O52" s="71"/>
      <c r="P52" s="79"/>
      <c r="Q52" s="56"/>
      <c r="R52" s="57"/>
    </row>
    <row r="53" spans="1:18" s="58" customFormat="1" ht="66" customHeight="1" x14ac:dyDescent="0.55000000000000004">
      <c r="A53" s="76">
        <v>3</v>
      </c>
      <c r="B53" s="77" t="s">
        <v>128</v>
      </c>
      <c r="C53" s="191"/>
      <c r="D53" s="192"/>
      <c r="E53" s="192"/>
      <c r="F53" s="192"/>
      <c r="G53" s="193"/>
      <c r="H53" s="74"/>
      <c r="I53" s="75"/>
      <c r="J53" s="74"/>
      <c r="K53" s="74"/>
      <c r="L53" s="68"/>
      <c r="M53" s="64" t="s">
        <v>110</v>
      </c>
      <c r="N53" s="70" t="s">
        <v>129</v>
      </c>
      <c r="O53" s="71"/>
      <c r="P53" s="79"/>
      <c r="Q53" s="56"/>
      <c r="R53" s="57"/>
    </row>
    <row r="54" spans="1:18" s="58" customFormat="1" ht="72" customHeight="1" x14ac:dyDescent="0.55000000000000004">
      <c r="A54" s="72" t="s">
        <v>115</v>
      </c>
      <c r="B54" s="78" t="s">
        <v>130</v>
      </c>
      <c r="C54" s="194"/>
      <c r="D54" s="195"/>
      <c r="E54" s="195"/>
      <c r="F54" s="195"/>
      <c r="G54" s="196"/>
      <c r="H54" s="74">
        <v>2</v>
      </c>
      <c r="I54" s="75"/>
      <c r="J54" s="74"/>
      <c r="K54" s="74"/>
      <c r="L54" s="68"/>
      <c r="M54" s="64" t="s">
        <v>111</v>
      </c>
      <c r="N54" s="70" t="s">
        <v>131</v>
      </c>
      <c r="O54" s="71"/>
      <c r="P54" s="79"/>
      <c r="Q54" s="56"/>
      <c r="R54" s="57"/>
    </row>
    <row r="55" spans="1:18" s="58" customFormat="1" ht="72" customHeight="1" x14ac:dyDescent="0.55000000000000004">
      <c r="A55" s="72" t="s">
        <v>117</v>
      </c>
      <c r="B55" s="78" t="s">
        <v>164</v>
      </c>
      <c r="C55" s="194"/>
      <c r="D55" s="195"/>
      <c r="E55" s="195"/>
      <c r="F55" s="195"/>
      <c r="G55" s="196"/>
      <c r="H55" s="74">
        <v>2</v>
      </c>
      <c r="I55" s="75"/>
      <c r="J55" s="74"/>
      <c r="K55" s="74"/>
      <c r="L55" s="68"/>
      <c r="M55" s="64" t="s">
        <v>132</v>
      </c>
      <c r="N55" s="70" t="s">
        <v>133</v>
      </c>
      <c r="O55" s="71"/>
      <c r="P55" s="79"/>
      <c r="Q55" s="56"/>
      <c r="R55" s="57"/>
    </row>
    <row r="56" spans="1:18" s="58" customFormat="1" ht="44.25" customHeight="1" x14ac:dyDescent="0.55000000000000004">
      <c r="A56" s="72" t="s">
        <v>119</v>
      </c>
      <c r="B56" s="78" t="s">
        <v>165</v>
      </c>
      <c r="C56" s="194"/>
      <c r="D56" s="195"/>
      <c r="E56" s="195"/>
      <c r="F56" s="195"/>
      <c r="G56" s="196"/>
      <c r="H56" s="74">
        <v>2</v>
      </c>
      <c r="I56" s="75"/>
      <c r="J56" s="74"/>
      <c r="K56" s="74"/>
      <c r="L56" s="68"/>
      <c r="M56" s="80"/>
      <c r="N56" s="80"/>
      <c r="O56" s="80"/>
      <c r="P56" s="81"/>
      <c r="Q56" s="56"/>
      <c r="R56" s="57"/>
    </row>
    <row r="57" spans="1:18" s="58" customFormat="1" ht="31.5" customHeight="1" x14ac:dyDescent="0.55000000000000004">
      <c r="A57" s="181" t="s">
        <v>134</v>
      </c>
      <c r="B57" s="182"/>
      <c r="C57" s="182"/>
      <c r="D57" s="182"/>
      <c r="E57" s="182"/>
      <c r="F57" s="182"/>
      <c r="G57" s="182"/>
      <c r="H57" s="82">
        <f>SUM(H46:H56)</f>
        <v>20</v>
      </c>
      <c r="I57" s="82">
        <f>SUM(I46:I56)</f>
        <v>0</v>
      </c>
      <c r="J57" s="82"/>
      <c r="K57" s="83"/>
      <c r="L57" s="68"/>
      <c r="M57" s="80"/>
      <c r="N57" s="80"/>
      <c r="O57" s="80"/>
      <c r="P57" s="81"/>
      <c r="Q57" s="56"/>
      <c r="R57" s="57"/>
    </row>
    <row r="58" spans="1:18" s="58" customFormat="1" ht="36" customHeight="1" x14ac:dyDescent="0.55000000000000004">
      <c r="A58" s="84" t="s">
        <v>115</v>
      </c>
      <c r="B58" s="85" t="s">
        <v>135</v>
      </c>
      <c r="C58" s="183" t="s">
        <v>136</v>
      </c>
      <c r="D58" s="184"/>
      <c r="E58" s="184"/>
      <c r="F58" s="184"/>
      <c r="G58" s="185"/>
      <c r="H58" s="86">
        <v>4</v>
      </c>
      <c r="I58" s="87"/>
      <c r="J58" s="86"/>
      <c r="K58" s="88"/>
      <c r="L58" s="68"/>
      <c r="M58" s="80"/>
      <c r="N58" s="80"/>
      <c r="O58" s="80"/>
      <c r="P58" s="81"/>
      <c r="Q58" s="56"/>
      <c r="R58" s="57"/>
    </row>
    <row r="59" spans="1:18" s="58" customFormat="1" ht="129" customHeight="1" x14ac:dyDescent="0.55000000000000004">
      <c r="A59" s="84" t="s">
        <v>117</v>
      </c>
      <c r="B59" s="85" t="s">
        <v>137</v>
      </c>
      <c r="C59" s="183" t="s">
        <v>138</v>
      </c>
      <c r="D59" s="184"/>
      <c r="E59" s="184"/>
      <c r="F59" s="184"/>
      <c r="G59" s="185"/>
      <c r="H59" s="86">
        <v>3</v>
      </c>
      <c r="I59" s="87"/>
      <c r="J59" s="86"/>
      <c r="K59" s="88"/>
      <c r="L59" s="68"/>
      <c r="M59" s="80"/>
      <c r="N59" s="80"/>
      <c r="O59" s="80"/>
      <c r="P59" s="81"/>
      <c r="Q59" s="56"/>
      <c r="R59" s="57"/>
    </row>
    <row r="60" spans="1:18" s="58" customFormat="1" ht="69" customHeight="1" x14ac:dyDescent="0.55000000000000004">
      <c r="A60" s="84" t="s">
        <v>117</v>
      </c>
      <c r="B60" s="85" t="s">
        <v>139</v>
      </c>
      <c r="C60" s="183" t="s">
        <v>140</v>
      </c>
      <c r="D60" s="184"/>
      <c r="E60" s="184"/>
      <c r="F60" s="184"/>
      <c r="G60" s="185"/>
      <c r="H60" s="86">
        <v>3</v>
      </c>
      <c r="I60" s="87"/>
      <c r="J60" s="86"/>
      <c r="K60" s="88"/>
      <c r="L60" s="68"/>
      <c r="M60" s="80"/>
      <c r="N60" s="80"/>
      <c r="O60" s="80"/>
      <c r="P60" s="81"/>
      <c r="Q60" s="56"/>
      <c r="R60" s="57"/>
    </row>
    <row r="61" spans="1:18" s="58" customFormat="1" ht="46.5" customHeight="1" x14ac:dyDescent="0.55000000000000004">
      <c r="A61" s="89"/>
      <c r="B61" s="186" t="s">
        <v>141</v>
      </c>
      <c r="C61" s="186"/>
      <c r="D61" s="186"/>
      <c r="E61" s="90"/>
      <c r="F61" s="90"/>
      <c r="G61" s="90"/>
      <c r="H61" s="82">
        <f>SUM(H58:H60)</f>
        <v>10</v>
      </c>
      <c r="I61" s="82">
        <f>SUM(I58:I60)</f>
        <v>0</v>
      </c>
      <c r="J61" s="90"/>
      <c r="K61" s="91"/>
      <c r="L61" s="80"/>
      <c r="M61" s="80"/>
      <c r="N61" s="80"/>
      <c r="O61" s="80"/>
      <c r="P61" s="81"/>
      <c r="Q61" s="56"/>
      <c r="R61" s="57"/>
    </row>
    <row r="62" spans="1:18" s="94" customFormat="1" ht="45" customHeight="1" x14ac:dyDescent="0.7">
      <c r="A62" s="92"/>
      <c r="B62" s="187"/>
      <c r="C62" s="93"/>
      <c r="D62" s="93"/>
      <c r="E62" s="93"/>
      <c r="F62" s="190"/>
      <c r="G62" s="190"/>
      <c r="H62" s="190"/>
      <c r="I62" s="190"/>
      <c r="J62" s="190"/>
      <c r="K62" s="93"/>
      <c r="L62" s="93"/>
      <c r="M62" s="93"/>
      <c r="N62" s="93"/>
      <c r="O62" s="172" t="s">
        <v>166</v>
      </c>
      <c r="P62" s="173"/>
      <c r="Q62" s="172" t="s">
        <v>167</v>
      </c>
      <c r="R62" s="174"/>
    </row>
    <row r="63" spans="1:18" s="94" customFormat="1" ht="45" customHeight="1" x14ac:dyDescent="0.7">
      <c r="A63" s="92"/>
      <c r="B63" s="188"/>
      <c r="C63" s="168" t="s">
        <v>168</v>
      </c>
      <c r="D63" s="169"/>
      <c r="E63" s="169"/>
      <c r="F63" s="169"/>
      <c r="G63" s="169"/>
      <c r="H63" s="169"/>
      <c r="I63" s="169"/>
      <c r="J63" s="169"/>
      <c r="K63" s="170"/>
      <c r="L63" s="163"/>
      <c r="M63" s="164"/>
      <c r="N63" s="165"/>
      <c r="O63" s="166">
        <f>R42</f>
        <v>0</v>
      </c>
      <c r="P63" s="167"/>
      <c r="Q63" s="175">
        <f>O66/100 * 20</f>
        <v>0</v>
      </c>
      <c r="R63" s="176"/>
    </row>
    <row r="64" spans="1:18" s="94" customFormat="1" ht="45" customHeight="1" x14ac:dyDescent="0.7">
      <c r="A64" s="92"/>
      <c r="B64" s="188"/>
      <c r="C64" s="169" t="s">
        <v>169</v>
      </c>
      <c r="D64" s="169"/>
      <c r="E64" s="169"/>
      <c r="F64" s="169"/>
      <c r="G64" s="169"/>
      <c r="H64" s="169"/>
      <c r="I64" s="169"/>
      <c r="J64" s="169"/>
      <c r="K64" s="169"/>
      <c r="L64" s="164"/>
      <c r="M64" s="164"/>
      <c r="N64" s="165"/>
      <c r="O64" s="166">
        <f>I57</f>
        <v>0</v>
      </c>
      <c r="P64" s="167"/>
      <c r="Q64" s="177"/>
      <c r="R64" s="178"/>
    </row>
    <row r="65" spans="1:18" s="94" customFormat="1" ht="45" customHeight="1" x14ac:dyDescent="0.7">
      <c r="A65" s="92"/>
      <c r="B65" s="188"/>
      <c r="C65" s="168" t="s">
        <v>170</v>
      </c>
      <c r="D65" s="169"/>
      <c r="E65" s="169"/>
      <c r="F65" s="169"/>
      <c r="G65" s="169"/>
      <c r="H65" s="169"/>
      <c r="I65" s="169"/>
      <c r="J65" s="169"/>
      <c r="K65" s="170"/>
      <c r="L65" s="163"/>
      <c r="M65" s="164"/>
      <c r="N65" s="165"/>
      <c r="O65" s="166">
        <f>I61</f>
        <v>0</v>
      </c>
      <c r="P65" s="167"/>
      <c r="Q65" s="177"/>
      <c r="R65" s="178"/>
    </row>
    <row r="66" spans="1:18" s="94" customFormat="1" ht="45" customHeight="1" x14ac:dyDescent="0.7">
      <c r="A66" s="92"/>
      <c r="B66" s="189"/>
      <c r="C66" s="168" t="s">
        <v>171</v>
      </c>
      <c r="D66" s="169"/>
      <c r="E66" s="169"/>
      <c r="F66" s="169"/>
      <c r="G66" s="169"/>
      <c r="H66" s="169"/>
      <c r="I66" s="169"/>
      <c r="J66" s="169"/>
      <c r="K66" s="170"/>
      <c r="L66" s="163"/>
      <c r="M66" s="164"/>
      <c r="N66" s="165"/>
      <c r="O66" s="166">
        <f>SUM(O63:P65)</f>
        <v>0</v>
      </c>
      <c r="P66" s="167"/>
      <c r="Q66" s="179"/>
      <c r="R66" s="180"/>
    </row>
    <row r="67" spans="1:18" s="94" customFormat="1" ht="64.900000000000006" customHeight="1" x14ac:dyDescent="0.7">
      <c r="A67" s="92"/>
      <c r="B67" s="171" t="s">
        <v>172</v>
      </c>
      <c r="C67" s="171"/>
      <c r="D67" s="171"/>
      <c r="E67" s="171"/>
      <c r="F67" s="171"/>
      <c r="G67" s="171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6"/>
    </row>
    <row r="68" spans="1:18" s="94" customFormat="1" ht="64.900000000000006" customHeight="1" x14ac:dyDescent="0.7">
      <c r="A68" s="92"/>
      <c r="B68" s="154" t="s">
        <v>173</v>
      </c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5"/>
    </row>
    <row r="69" spans="1:18" s="94" customFormat="1" ht="48.75" customHeight="1" x14ac:dyDescent="0.7">
      <c r="A69" s="92"/>
      <c r="B69" s="156" t="s">
        <v>174</v>
      </c>
      <c r="C69" s="156"/>
      <c r="D69" s="156"/>
      <c r="E69" s="156"/>
      <c r="F69" s="156"/>
      <c r="G69" s="156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8"/>
    </row>
    <row r="70" spans="1:18" s="94" customFormat="1" ht="45.75" x14ac:dyDescent="0.7">
      <c r="A70" s="92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5"/>
    </row>
    <row r="71" spans="1:18" s="58" customFormat="1" ht="31.5" customHeight="1" x14ac:dyDescent="0.55000000000000004">
      <c r="A71" s="157" t="s">
        <v>175</v>
      </c>
      <c r="B71" s="141"/>
      <c r="C71" s="133"/>
      <c r="D71" s="134"/>
      <c r="E71" s="137" t="s">
        <v>176</v>
      </c>
      <c r="F71" s="139"/>
      <c r="G71" s="141" t="s">
        <v>177</v>
      </c>
      <c r="H71" s="133"/>
      <c r="I71" s="133"/>
      <c r="J71" s="133"/>
      <c r="K71" s="99"/>
      <c r="L71" s="68"/>
      <c r="M71" s="160"/>
      <c r="N71" s="160"/>
      <c r="O71" s="160"/>
      <c r="P71" s="160"/>
      <c r="Q71" s="160"/>
      <c r="R71" s="57"/>
    </row>
    <row r="72" spans="1:18" s="58" customFormat="1" ht="31.5" customHeight="1" x14ac:dyDescent="0.55000000000000004">
      <c r="A72" s="131"/>
      <c r="B72" s="132"/>
      <c r="C72" s="147"/>
      <c r="D72" s="148"/>
      <c r="E72" s="159"/>
      <c r="F72" s="152"/>
      <c r="G72" s="132"/>
      <c r="H72" s="147"/>
      <c r="I72" s="147"/>
      <c r="J72" s="147"/>
      <c r="K72" s="99"/>
      <c r="L72" s="68"/>
      <c r="M72" s="161"/>
      <c r="N72" s="161"/>
      <c r="O72" s="161"/>
      <c r="P72" s="161"/>
      <c r="Q72" s="161"/>
      <c r="R72" s="57"/>
    </row>
    <row r="73" spans="1:18" s="58" customFormat="1" ht="31.5" customHeight="1" x14ac:dyDescent="0.55000000000000004">
      <c r="A73" s="131"/>
      <c r="B73" s="132"/>
      <c r="C73" s="147"/>
      <c r="D73" s="148"/>
      <c r="E73" s="159"/>
      <c r="F73" s="152"/>
      <c r="G73" s="132"/>
      <c r="H73" s="147"/>
      <c r="I73" s="147"/>
      <c r="J73" s="147"/>
      <c r="K73" s="99"/>
      <c r="L73" s="68"/>
      <c r="M73" s="161"/>
      <c r="N73" s="161"/>
      <c r="O73" s="161"/>
      <c r="P73" s="161"/>
      <c r="Q73" s="161"/>
      <c r="R73" s="57"/>
    </row>
    <row r="74" spans="1:18" s="58" customFormat="1" ht="31.5" customHeight="1" x14ac:dyDescent="0.55000000000000004">
      <c r="A74" s="158"/>
      <c r="B74" s="142"/>
      <c r="C74" s="135"/>
      <c r="D74" s="136"/>
      <c r="E74" s="138"/>
      <c r="F74" s="140"/>
      <c r="G74" s="142"/>
      <c r="H74" s="135"/>
      <c r="I74" s="135"/>
      <c r="J74" s="135"/>
      <c r="K74" s="99"/>
      <c r="L74" s="68"/>
      <c r="M74" s="161"/>
      <c r="N74" s="161"/>
      <c r="O74" s="161"/>
      <c r="P74" s="161"/>
      <c r="Q74" s="161"/>
      <c r="R74" s="57"/>
    </row>
    <row r="75" spans="1:18" s="58" customFormat="1" ht="31.5" customHeight="1" x14ac:dyDescent="0.55000000000000004">
      <c r="A75" s="143" t="s">
        <v>142</v>
      </c>
      <c r="B75" s="144"/>
      <c r="C75" s="133"/>
      <c r="D75" s="134"/>
      <c r="E75" s="149" t="s">
        <v>178</v>
      </c>
      <c r="F75" s="139"/>
      <c r="G75" s="144" t="s">
        <v>178</v>
      </c>
      <c r="H75" s="133"/>
      <c r="I75" s="133"/>
      <c r="J75" s="133"/>
      <c r="K75" s="99"/>
      <c r="L75" s="68"/>
      <c r="M75" s="161"/>
      <c r="N75" s="161"/>
      <c r="O75" s="161"/>
      <c r="P75" s="161"/>
      <c r="Q75" s="161"/>
      <c r="R75" s="57"/>
    </row>
    <row r="76" spans="1:18" s="58" customFormat="1" ht="31.5" customHeight="1" x14ac:dyDescent="0.55000000000000004">
      <c r="A76" s="145"/>
      <c r="B76" s="146"/>
      <c r="C76" s="147"/>
      <c r="D76" s="148"/>
      <c r="E76" s="150"/>
      <c r="F76" s="152"/>
      <c r="G76" s="146"/>
      <c r="H76" s="147"/>
      <c r="I76" s="147"/>
      <c r="J76" s="147"/>
      <c r="K76" s="99"/>
      <c r="L76" s="68"/>
      <c r="M76" s="161"/>
      <c r="N76" s="161"/>
      <c r="O76" s="161"/>
      <c r="P76" s="161"/>
      <c r="Q76" s="161"/>
      <c r="R76" s="57"/>
    </row>
    <row r="77" spans="1:18" s="58" customFormat="1" ht="31.5" customHeight="1" x14ac:dyDescent="0.55000000000000004">
      <c r="A77" s="145"/>
      <c r="B77" s="146"/>
      <c r="C77" s="135"/>
      <c r="D77" s="136"/>
      <c r="E77" s="151"/>
      <c r="F77" s="140"/>
      <c r="G77" s="153"/>
      <c r="H77" s="135"/>
      <c r="I77" s="135"/>
      <c r="J77" s="135"/>
      <c r="K77" s="99"/>
      <c r="L77" s="68"/>
      <c r="M77" s="161"/>
      <c r="N77" s="161"/>
      <c r="O77" s="161"/>
      <c r="P77" s="161"/>
      <c r="Q77" s="161"/>
      <c r="R77" s="57"/>
    </row>
    <row r="78" spans="1:18" s="58" customFormat="1" ht="31.5" customHeight="1" x14ac:dyDescent="0.55000000000000004">
      <c r="A78" s="131" t="s">
        <v>143</v>
      </c>
      <c r="B78" s="132"/>
      <c r="C78" s="133"/>
      <c r="D78" s="134"/>
      <c r="E78" s="137" t="s">
        <v>179</v>
      </c>
      <c r="F78" s="139"/>
      <c r="G78" s="141" t="s">
        <v>179</v>
      </c>
      <c r="H78" s="133"/>
      <c r="I78" s="133"/>
      <c r="J78" s="133"/>
      <c r="K78" s="99"/>
      <c r="L78" s="68"/>
      <c r="M78" s="161"/>
      <c r="N78" s="161"/>
      <c r="O78" s="161"/>
      <c r="P78" s="161"/>
      <c r="Q78" s="161"/>
      <c r="R78" s="57"/>
    </row>
    <row r="79" spans="1:18" s="58" customFormat="1" ht="31.5" customHeight="1" x14ac:dyDescent="0.55000000000000004">
      <c r="A79" s="131"/>
      <c r="B79" s="132"/>
      <c r="C79" s="135"/>
      <c r="D79" s="136"/>
      <c r="E79" s="138"/>
      <c r="F79" s="140"/>
      <c r="G79" s="142"/>
      <c r="H79" s="135"/>
      <c r="I79" s="135"/>
      <c r="J79" s="135"/>
      <c r="K79" s="99"/>
      <c r="L79" s="68"/>
      <c r="M79" s="161"/>
      <c r="N79" s="161"/>
      <c r="O79" s="161"/>
      <c r="P79" s="161"/>
      <c r="Q79" s="161"/>
      <c r="R79" s="57"/>
    </row>
    <row r="80" spans="1:18" s="58" customFormat="1" ht="31.5" customHeight="1" thickBot="1" x14ac:dyDescent="0.6">
      <c r="A80" s="118"/>
      <c r="B80" s="119"/>
      <c r="C80" s="119"/>
      <c r="D80" s="119"/>
      <c r="E80" s="119"/>
      <c r="F80" s="119"/>
      <c r="G80" s="119"/>
      <c r="H80" s="119"/>
      <c r="I80" s="119"/>
      <c r="J80" s="119"/>
      <c r="K80" s="100"/>
      <c r="L80" s="101"/>
      <c r="M80" s="162"/>
      <c r="N80" s="162"/>
      <c r="O80" s="162"/>
      <c r="P80" s="162"/>
      <c r="Q80" s="162"/>
      <c r="R80" s="102"/>
    </row>
  </sheetData>
  <mergeCells count="112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</mergeCells>
  <hyperlinks>
    <hyperlink ref="E14" r:id="rId1" xr:uid="{7497C0F6-7708-4DEA-BEF9-B9BBC2191A69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ABD9-8FC9-4A31-85B4-09C5E7784A95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103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03" bestFit="1" customWidth="1"/>
    <col min="6" max="6" width="42" style="103" customWidth="1"/>
    <col min="7" max="7" width="255.7109375" style="1" bestFit="1" customWidth="1"/>
    <col min="8" max="8" width="33" style="103" customWidth="1"/>
    <col min="9" max="9" width="62.42578125" style="103" customWidth="1"/>
    <col min="10" max="10" width="45.140625" style="103" customWidth="1"/>
    <col min="11" max="13" width="35.28515625" style="103" bestFit="1" customWidth="1"/>
    <col min="14" max="14" width="40.7109375" style="103" bestFit="1" customWidth="1"/>
    <col min="15" max="15" width="36.85546875" style="103" bestFit="1" customWidth="1"/>
    <col min="16" max="17" width="36.85546875" style="104" customWidth="1"/>
    <col min="18" max="18" width="36.85546875" style="105" customWidth="1"/>
    <col min="19" max="16384" width="9.140625" style="1"/>
  </cols>
  <sheetData>
    <row r="1" spans="1:18" ht="31.5" customHeight="1" x14ac:dyDescent="0.25">
      <c r="A1" s="241" t="s">
        <v>144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3"/>
    </row>
    <row r="2" spans="1:18" ht="31.5" customHeight="1" x14ac:dyDescent="0.25">
      <c r="A2" s="244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6"/>
    </row>
    <row r="3" spans="1:18" ht="31.5" customHeight="1" thickBot="1" x14ac:dyDescent="0.3">
      <c r="A3" s="244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6"/>
    </row>
    <row r="4" spans="1:18" s="2" customFormat="1" ht="45.75" x14ac:dyDescent="0.25">
      <c r="A4" s="247" t="s">
        <v>0</v>
      </c>
      <c r="B4" s="248"/>
      <c r="C4" s="248"/>
      <c r="D4" s="248"/>
      <c r="E4" s="248"/>
      <c r="F4" s="248"/>
      <c r="G4" s="248"/>
      <c r="H4" s="248"/>
      <c r="I4" s="248"/>
      <c r="J4" s="248"/>
      <c r="K4" s="249"/>
      <c r="L4" s="250"/>
      <c r="M4" s="250"/>
      <c r="N4" s="250"/>
      <c r="O4" s="250"/>
      <c r="P4" s="250"/>
      <c r="Q4" s="250"/>
      <c r="R4" s="251"/>
    </row>
    <row r="5" spans="1:18" s="9" customFormat="1" ht="32.25" x14ac:dyDescent="0.5">
      <c r="A5" s="3" t="s">
        <v>1</v>
      </c>
      <c r="B5" s="4" t="s">
        <v>182</v>
      </c>
      <c r="C5" s="5" t="s">
        <v>2</v>
      </c>
      <c r="D5" s="6" t="s">
        <v>183</v>
      </c>
      <c r="E5" s="258"/>
      <c r="F5" s="258"/>
      <c r="G5" s="258"/>
      <c r="H5" s="258"/>
      <c r="I5" s="7"/>
      <c r="J5" s="8"/>
      <c r="K5" s="252"/>
      <c r="L5" s="253"/>
      <c r="M5" s="253"/>
      <c r="N5" s="253"/>
      <c r="O5" s="253"/>
      <c r="P5" s="253"/>
      <c r="Q5" s="253"/>
      <c r="R5" s="254"/>
    </row>
    <row r="6" spans="1:18" s="12" customFormat="1" ht="38.25" customHeight="1" x14ac:dyDescent="0.55000000000000004">
      <c r="A6" s="259" t="s">
        <v>3</v>
      </c>
      <c r="B6" s="260"/>
      <c r="C6" s="260"/>
      <c r="D6" s="260"/>
      <c r="E6" s="260"/>
      <c r="F6" s="260"/>
      <c r="G6" s="260"/>
      <c r="H6" s="260"/>
      <c r="I6" s="10"/>
      <c r="J6" s="11"/>
      <c r="K6" s="252"/>
      <c r="L6" s="253"/>
      <c r="M6" s="253"/>
      <c r="N6" s="253"/>
      <c r="O6" s="253"/>
      <c r="P6" s="253"/>
      <c r="Q6" s="253"/>
      <c r="R6" s="254"/>
    </row>
    <row r="7" spans="1:18" s="109" customFormat="1" ht="39" x14ac:dyDescent="0.6">
      <c r="A7" s="236" t="s">
        <v>4</v>
      </c>
      <c r="B7" s="237"/>
      <c r="C7" s="106" t="s">
        <v>5</v>
      </c>
      <c r="D7" s="107" t="s">
        <v>6</v>
      </c>
      <c r="E7" s="106" t="s">
        <v>7</v>
      </c>
      <c r="F7" s="107" t="s">
        <v>8</v>
      </c>
      <c r="G7" s="108"/>
      <c r="H7" s="107" t="s">
        <v>9</v>
      </c>
      <c r="I7" s="238" t="s">
        <v>10</v>
      </c>
      <c r="J7" s="239"/>
      <c r="K7" s="252"/>
      <c r="L7" s="253"/>
      <c r="M7" s="253"/>
      <c r="N7" s="253"/>
      <c r="O7" s="253"/>
      <c r="P7" s="253"/>
      <c r="Q7" s="253"/>
      <c r="R7" s="254"/>
    </row>
    <row r="8" spans="1:18" s="109" customFormat="1" ht="39.75" x14ac:dyDescent="0.6">
      <c r="A8" s="224" t="s">
        <v>11</v>
      </c>
      <c r="B8" s="225"/>
      <c r="C8" s="110">
        <v>88715</v>
      </c>
      <c r="D8" s="111" t="s">
        <v>12</v>
      </c>
      <c r="E8" s="112"/>
      <c r="F8" s="111" t="s">
        <v>13</v>
      </c>
      <c r="G8" s="113"/>
      <c r="H8" s="111" t="s">
        <v>14</v>
      </c>
      <c r="I8" s="226" t="s">
        <v>15</v>
      </c>
      <c r="J8" s="227"/>
      <c r="K8" s="252"/>
      <c r="L8" s="253"/>
      <c r="M8" s="253"/>
      <c r="N8" s="253"/>
      <c r="O8" s="253"/>
      <c r="P8" s="253"/>
      <c r="Q8" s="253"/>
      <c r="R8" s="254"/>
    </row>
    <row r="9" spans="1:18" s="14" customFormat="1" ht="62.25" customHeight="1" x14ac:dyDescent="0.6">
      <c r="A9" s="240" t="s">
        <v>16</v>
      </c>
      <c r="B9" s="240"/>
      <c r="C9" s="240"/>
      <c r="D9" s="240"/>
      <c r="E9" s="240"/>
      <c r="F9" s="240"/>
      <c r="G9" s="240"/>
      <c r="H9" s="240"/>
      <c r="I9" s="240"/>
      <c r="J9" s="13"/>
      <c r="K9" s="252"/>
      <c r="L9" s="253"/>
      <c r="M9" s="253"/>
      <c r="N9" s="253"/>
      <c r="O9" s="253"/>
      <c r="P9" s="253"/>
      <c r="Q9" s="253"/>
      <c r="R9" s="254"/>
    </row>
    <row r="10" spans="1:18" s="109" customFormat="1" ht="39" x14ac:dyDescent="0.6">
      <c r="A10" s="236" t="s">
        <v>4</v>
      </c>
      <c r="B10" s="237"/>
      <c r="C10" s="106" t="s">
        <v>17</v>
      </c>
      <c r="D10" s="107" t="s">
        <v>6</v>
      </c>
      <c r="E10" s="106" t="s">
        <v>18</v>
      </c>
      <c r="F10" s="107" t="s">
        <v>8</v>
      </c>
      <c r="G10" s="108" t="s">
        <v>19</v>
      </c>
      <c r="H10" s="107" t="s">
        <v>9</v>
      </c>
      <c r="I10" s="238" t="s">
        <v>20</v>
      </c>
      <c r="J10" s="239"/>
      <c r="K10" s="252"/>
      <c r="L10" s="253"/>
      <c r="M10" s="253"/>
      <c r="N10" s="253"/>
      <c r="O10" s="253"/>
      <c r="P10" s="253"/>
      <c r="Q10" s="253"/>
      <c r="R10" s="254"/>
    </row>
    <row r="11" spans="1:18" s="109" customFormat="1" ht="39.75" x14ac:dyDescent="0.6">
      <c r="A11" s="224" t="s">
        <v>11</v>
      </c>
      <c r="B11" s="225"/>
      <c r="C11" s="110">
        <v>88712</v>
      </c>
      <c r="D11" s="111" t="s">
        <v>12</v>
      </c>
      <c r="E11" s="112"/>
      <c r="F11" s="111" t="s">
        <v>13</v>
      </c>
      <c r="G11" s="113"/>
      <c r="H11" s="111" t="s">
        <v>14</v>
      </c>
      <c r="I11" s="226" t="s">
        <v>15</v>
      </c>
      <c r="J11" s="227"/>
      <c r="K11" s="252"/>
      <c r="L11" s="253"/>
      <c r="M11" s="253"/>
      <c r="N11" s="253"/>
      <c r="O11" s="253"/>
      <c r="P11" s="253"/>
      <c r="Q11" s="253"/>
      <c r="R11" s="254"/>
    </row>
    <row r="12" spans="1:18" s="14" customFormat="1" ht="39" x14ac:dyDescent="0.6">
      <c r="A12" s="240" t="s">
        <v>21</v>
      </c>
      <c r="B12" s="240"/>
      <c r="C12" s="240"/>
      <c r="D12" s="240"/>
      <c r="E12" s="240"/>
      <c r="F12" s="240"/>
      <c r="G12" s="240"/>
      <c r="H12" s="240"/>
      <c r="I12" s="240"/>
      <c r="J12" s="13"/>
      <c r="K12" s="252"/>
      <c r="L12" s="253"/>
      <c r="M12" s="253"/>
      <c r="N12" s="253"/>
      <c r="O12" s="253"/>
      <c r="P12" s="253"/>
      <c r="Q12" s="253"/>
      <c r="R12" s="254"/>
    </row>
    <row r="13" spans="1:18" s="109" customFormat="1" ht="39" x14ac:dyDescent="0.6">
      <c r="A13" s="236" t="s">
        <v>4</v>
      </c>
      <c r="B13" s="237"/>
      <c r="C13" s="106" t="s">
        <v>22</v>
      </c>
      <c r="D13" s="107" t="s">
        <v>6</v>
      </c>
      <c r="E13" s="106" t="s">
        <v>23</v>
      </c>
      <c r="F13" s="107" t="s">
        <v>8</v>
      </c>
      <c r="G13" s="108" t="s">
        <v>24</v>
      </c>
      <c r="H13" s="107" t="s">
        <v>9</v>
      </c>
      <c r="I13" s="238" t="s">
        <v>25</v>
      </c>
      <c r="J13" s="239"/>
      <c r="K13" s="252"/>
      <c r="L13" s="253"/>
      <c r="M13" s="253"/>
      <c r="N13" s="253"/>
      <c r="O13" s="253"/>
      <c r="P13" s="253"/>
      <c r="Q13" s="253"/>
      <c r="R13" s="254"/>
    </row>
    <row r="14" spans="1:18" s="109" customFormat="1" ht="39.75" x14ac:dyDescent="0.6">
      <c r="A14" s="224" t="s">
        <v>11</v>
      </c>
      <c r="B14" s="225"/>
      <c r="C14" s="110">
        <v>60694</v>
      </c>
      <c r="D14" s="111" t="s">
        <v>12</v>
      </c>
      <c r="E14" s="112" t="s">
        <v>26</v>
      </c>
      <c r="F14" s="111" t="s">
        <v>13</v>
      </c>
      <c r="G14" s="113"/>
      <c r="H14" s="111" t="s">
        <v>14</v>
      </c>
      <c r="I14" s="226" t="s">
        <v>15</v>
      </c>
      <c r="J14" s="227"/>
      <c r="K14" s="252"/>
      <c r="L14" s="253"/>
      <c r="M14" s="253"/>
      <c r="N14" s="253"/>
      <c r="O14" s="253"/>
      <c r="P14" s="253"/>
      <c r="Q14" s="253"/>
      <c r="R14" s="254"/>
    </row>
    <row r="15" spans="1:18" s="16" customFormat="1" ht="20.25" customHeight="1" thickBot="1" x14ac:dyDescent="0.75">
      <c r="A15" s="228"/>
      <c r="B15" s="229"/>
      <c r="C15" s="229"/>
      <c r="D15" s="229"/>
      <c r="E15" s="229"/>
      <c r="F15" s="229"/>
      <c r="G15" s="229"/>
      <c r="H15" s="229"/>
      <c r="I15" s="229"/>
      <c r="J15" s="15"/>
      <c r="K15" s="255"/>
      <c r="L15" s="256"/>
      <c r="M15" s="256"/>
      <c r="N15" s="256"/>
      <c r="O15" s="256"/>
      <c r="P15" s="256"/>
      <c r="Q15" s="256"/>
      <c r="R15" s="257"/>
    </row>
    <row r="16" spans="1:18" s="16" customFormat="1" ht="47.25" x14ac:dyDescent="0.7">
      <c r="A16" s="230" t="s">
        <v>27</v>
      </c>
      <c r="B16" s="231"/>
      <c r="C16" s="231"/>
      <c r="D16" s="231"/>
      <c r="E16" s="231"/>
      <c r="F16" s="231"/>
      <c r="G16" s="231"/>
      <c r="H16" s="231"/>
      <c r="I16" s="231"/>
      <c r="J16" s="17"/>
      <c r="K16" s="18"/>
      <c r="L16" s="19"/>
      <c r="M16" s="19"/>
      <c r="N16" s="19"/>
      <c r="O16" s="19"/>
      <c r="P16" s="20"/>
      <c r="Q16" s="20"/>
      <c r="R16" s="21"/>
    </row>
    <row r="17" spans="1:18" s="23" customFormat="1" ht="31.5" customHeight="1" x14ac:dyDescent="0.25">
      <c r="A17" s="232" t="s">
        <v>28</v>
      </c>
      <c r="B17" s="234" t="s">
        <v>29</v>
      </c>
      <c r="C17" s="235" t="s">
        <v>30</v>
      </c>
      <c r="D17" s="235" t="s">
        <v>31</v>
      </c>
      <c r="E17" s="235" t="s">
        <v>30</v>
      </c>
      <c r="F17" s="217" t="s">
        <v>32</v>
      </c>
      <c r="G17" s="217" t="s">
        <v>33</v>
      </c>
      <c r="H17" s="219" t="s">
        <v>34</v>
      </c>
      <c r="I17" s="217" t="s">
        <v>35</v>
      </c>
      <c r="J17" s="221" t="s">
        <v>36</v>
      </c>
      <c r="K17" s="222"/>
      <c r="L17" s="222"/>
      <c r="M17" s="222"/>
      <c r="N17" s="222"/>
      <c r="O17" s="223"/>
      <c r="P17" s="214" t="s">
        <v>147</v>
      </c>
      <c r="Q17" s="214" t="s">
        <v>148</v>
      </c>
      <c r="R17" s="205" t="s">
        <v>149</v>
      </c>
    </row>
    <row r="18" spans="1:18" s="23" customFormat="1" ht="36" x14ac:dyDescent="0.25">
      <c r="A18" s="233"/>
      <c r="B18" s="234"/>
      <c r="C18" s="234"/>
      <c r="D18" s="234"/>
      <c r="E18" s="234"/>
      <c r="F18" s="218"/>
      <c r="G18" s="218"/>
      <c r="H18" s="220"/>
      <c r="I18" s="218"/>
      <c r="J18" s="24" t="s">
        <v>150</v>
      </c>
      <c r="K18" s="22" t="s">
        <v>151</v>
      </c>
      <c r="L18" s="22" t="s">
        <v>152</v>
      </c>
      <c r="M18" s="24" t="s">
        <v>153</v>
      </c>
      <c r="N18" s="24" t="s">
        <v>154</v>
      </c>
      <c r="O18" s="24" t="s">
        <v>155</v>
      </c>
      <c r="P18" s="215"/>
      <c r="Q18" s="215"/>
      <c r="R18" s="206"/>
    </row>
    <row r="19" spans="1:18" s="35" customFormat="1" ht="147" customHeight="1" x14ac:dyDescent="0.25">
      <c r="A19" s="120">
        <v>1</v>
      </c>
      <c r="B19" s="123" t="s">
        <v>43</v>
      </c>
      <c r="C19" s="126">
        <f>0.5 *1.69794730299263</f>
        <v>0.84897365149631498</v>
      </c>
      <c r="D19" s="25" t="s">
        <v>44</v>
      </c>
      <c r="E19" s="26">
        <f>C19/5</f>
        <v>0.16979473029926301</v>
      </c>
      <c r="F19" s="26">
        <f t="shared" ref="F19:F40" si="0">E19/$E$41 * 100</f>
        <v>0.33958946059852602</v>
      </c>
      <c r="G19" s="27" t="s">
        <v>45</v>
      </c>
      <c r="H19" s="28">
        <v>1</v>
      </c>
      <c r="I19" s="29" t="s">
        <v>46</v>
      </c>
      <c r="J19" s="30">
        <v>100</v>
      </c>
      <c r="K19" s="31">
        <v>95</v>
      </c>
      <c r="L19" s="31">
        <v>90</v>
      </c>
      <c r="M19" s="31">
        <v>85</v>
      </c>
      <c r="N19" s="31">
        <v>80</v>
      </c>
      <c r="O19" s="31" t="s">
        <v>47</v>
      </c>
      <c r="P19" s="32"/>
      <c r="Q19" s="3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34">
        <f t="shared" ref="R19:R40" si="2">F19*Q19/100</f>
        <v>0</v>
      </c>
    </row>
    <row r="20" spans="1:18" s="35" customFormat="1" ht="147" customHeight="1" x14ac:dyDescent="0.25">
      <c r="A20" s="121"/>
      <c r="B20" s="124"/>
      <c r="C20" s="127"/>
      <c r="D20" s="25" t="s">
        <v>48</v>
      </c>
      <c r="E20" s="26">
        <f>C19/5</f>
        <v>0.16979473029926301</v>
      </c>
      <c r="F20" s="26">
        <f t="shared" si="0"/>
        <v>0.33958946059852602</v>
      </c>
      <c r="G20" s="27" t="s">
        <v>49</v>
      </c>
      <c r="H20" s="28">
        <v>1</v>
      </c>
      <c r="I20" s="29" t="s">
        <v>46</v>
      </c>
      <c r="J20" s="30">
        <v>100</v>
      </c>
      <c r="K20" s="31">
        <v>95</v>
      </c>
      <c r="L20" s="31">
        <v>90</v>
      </c>
      <c r="M20" s="31">
        <v>85</v>
      </c>
      <c r="N20" s="31">
        <v>80</v>
      </c>
      <c r="O20" s="31" t="s">
        <v>47</v>
      </c>
      <c r="P20" s="32"/>
      <c r="Q20" s="33">
        <f t="shared" si="1"/>
        <v>0</v>
      </c>
      <c r="R20" s="34">
        <f t="shared" si="2"/>
        <v>0</v>
      </c>
    </row>
    <row r="21" spans="1:18" s="35" customFormat="1" ht="147" customHeight="1" x14ac:dyDescent="0.25">
      <c r="A21" s="121"/>
      <c r="B21" s="124"/>
      <c r="C21" s="127"/>
      <c r="D21" s="25" t="s">
        <v>50</v>
      </c>
      <c r="E21" s="26">
        <f>C19/5</f>
        <v>0.16979473029926301</v>
      </c>
      <c r="F21" s="26">
        <f t="shared" si="0"/>
        <v>0.33958946059852602</v>
      </c>
      <c r="G21" s="27" t="s">
        <v>51</v>
      </c>
      <c r="H21" s="28">
        <v>1</v>
      </c>
      <c r="I21" s="29" t="s">
        <v>46</v>
      </c>
      <c r="J21" s="30">
        <v>100</v>
      </c>
      <c r="K21" s="31">
        <v>95</v>
      </c>
      <c r="L21" s="31">
        <v>90</v>
      </c>
      <c r="M21" s="31">
        <v>85</v>
      </c>
      <c r="N21" s="31">
        <v>80</v>
      </c>
      <c r="O21" s="31" t="s">
        <v>47</v>
      </c>
      <c r="P21" s="32"/>
      <c r="Q21" s="33">
        <f t="shared" si="1"/>
        <v>0</v>
      </c>
      <c r="R21" s="34">
        <f t="shared" si="2"/>
        <v>0</v>
      </c>
    </row>
    <row r="22" spans="1:18" s="35" customFormat="1" ht="147" customHeight="1" x14ac:dyDescent="0.25">
      <c r="A22" s="121"/>
      <c r="B22" s="124"/>
      <c r="C22" s="127"/>
      <c r="D22" s="25" t="s">
        <v>52</v>
      </c>
      <c r="E22" s="26">
        <f>C19/5</f>
        <v>0.16979473029926301</v>
      </c>
      <c r="F22" s="26">
        <f t="shared" si="0"/>
        <v>0.33958946059852602</v>
      </c>
      <c r="G22" s="27" t="s">
        <v>53</v>
      </c>
      <c r="H22" s="36">
        <v>5</v>
      </c>
      <c r="I22" s="29" t="s">
        <v>54</v>
      </c>
      <c r="J22" s="30" t="s">
        <v>55</v>
      </c>
      <c r="K22" s="31">
        <v>5</v>
      </c>
      <c r="L22" s="31">
        <v>4</v>
      </c>
      <c r="M22" s="31">
        <v>3</v>
      </c>
      <c r="N22" s="31">
        <v>2</v>
      </c>
      <c r="O22" s="31">
        <v>1</v>
      </c>
      <c r="P22" s="32"/>
      <c r="Q22" s="33">
        <f t="shared" si="1"/>
        <v>0</v>
      </c>
      <c r="R22" s="34">
        <f t="shared" si="2"/>
        <v>0</v>
      </c>
    </row>
    <row r="23" spans="1:18" s="35" customFormat="1" ht="147" customHeight="1" x14ac:dyDescent="0.25">
      <c r="A23" s="122"/>
      <c r="B23" s="125"/>
      <c r="C23" s="128"/>
      <c r="D23" s="25" t="s">
        <v>56</v>
      </c>
      <c r="E23" s="26">
        <f>C19/5</f>
        <v>0.16979473029926301</v>
      </c>
      <c r="F23" s="26">
        <f t="shared" si="0"/>
        <v>0.33958946059852602</v>
      </c>
      <c r="G23" s="27" t="s">
        <v>57</v>
      </c>
      <c r="H23" s="28">
        <v>1</v>
      </c>
      <c r="I23" s="29" t="s">
        <v>46</v>
      </c>
      <c r="J23" s="30">
        <v>100</v>
      </c>
      <c r="K23" s="31">
        <v>95</v>
      </c>
      <c r="L23" s="31">
        <v>90</v>
      </c>
      <c r="M23" s="31">
        <v>85</v>
      </c>
      <c r="N23" s="31">
        <v>80</v>
      </c>
      <c r="O23" s="31" t="s">
        <v>47</v>
      </c>
      <c r="P23" s="32"/>
      <c r="Q23" s="33">
        <f t="shared" si="1"/>
        <v>0</v>
      </c>
      <c r="R23" s="34">
        <f t="shared" si="2"/>
        <v>0</v>
      </c>
    </row>
    <row r="24" spans="1:18" s="35" customFormat="1" ht="147" customHeight="1" x14ac:dyDescent="0.25">
      <c r="A24" s="36">
        <v>2</v>
      </c>
      <c r="B24" s="25" t="s">
        <v>58</v>
      </c>
      <c r="C24" s="116">
        <f>0.5 *1.01876838179558</f>
        <v>0.50938419089778997</v>
      </c>
      <c r="D24" s="25" t="s">
        <v>59</v>
      </c>
      <c r="E24" s="26">
        <f>C24</f>
        <v>0.50938419089778997</v>
      </c>
      <c r="F24" s="26">
        <f t="shared" si="0"/>
        <v>1.0187683817955799</v>
      </c>
      <c r="G24" s="27" t="s">
        <v>60</v>
      </c>
      <c r="H24" s="28">
        <v>0.5</v>
      </c>
      <c r="I24" s="29" t="s">
        <v>46</v>
      </c>
      <c r="J24" s="30" t="s">
        <v>61</v>
      </c>
      <c r="K24" s="31">
        <v>50</v>
      </c>
      <c r="L24" s="31">
        <v>45</v>
      </c>
      <c r="M24" s="31">
        <v>40</v>
      </c>
      <c r="N24" s="31">
        <v>25</v>
      </c>
      <c r="O24" s="31" t="s">
        <v>62</v>
      </c>
      <c r="P24" s="32"/>
      <c r="Q24" s="33">
        <f t="shared" si="1"/>
        <v>0</v>
      </c>
      <c r="R24" s="34">
        <f t="shared" si="2"/>
        <v>0</v>
      </c>
    </row>
    <row r="25" spans="1:18" s="35" customFormat="1" ht="147" customHeight="1" x14ac:dyDescent="0.25">
      <c r="A25" s="120">
        <v>3</v>
      </c>
      <c r="B25" s="123" t="s">
        <v>63</v>
      </c>
      <c r="C25" s="126">
        <f>0.5 *90.5976168096783</f>
        <v>45.29880840483915</v>
      </c>
      <c r="D25" s="25" t="s">
        <v>64</v>
      </c>
      <c r="E25" s="26">
        <f>C25/10</f>
        <v>4.5298808404839148</v>
      </c>
      <c r="F25" s="26">
        <f t="shared" si="0"/>
        <v>9.0597616809678296</v>
      </c>
      <c r="G25" s="25" t="s">
        <v>65</v>
      </c>
      <c r="H25" s="37">
        <v>0.8</v>
      </c>
      <c r="I25" s="36" t="s">
        <v>46</v>
      </c>
      <c r="J25" s="30" t="s">
        <v>66</v>
      </c>
      <c r="K25" s="31">
        <v>80</v>
      </c>
      <c r="L25" s="31">
        <v>75</v>
      </c>
      <c r="M25" s="31">
        <v>70</v>
      </c>
      <c r="N25" s="31">
        <v>50</v>
      </c>
      <c r="O25" s="31" t="s">
        <v>67</v>
      </c>
      <c r="P25" s="32"/>
      <c r="Q25" s="33">
        <f t="shared" si="1"/>
        <v>0</v>
      </c>
      <c r="R25" s="34">
        <f t="shared" si="2"/>
        <v>0</v>
      </c>
    </row>
    <row r="26" spans="1:18" s="35" customFormat="1" ht="147" customHeight="1" x14ac:dyDescent="0.25">
      <c r="A26" s="121"/>
      <c r="B26" s="124"/>
      <c r="C26" s="127"/>
      <c r="D26" s="25" t="s">
        <v>68</v>
      </c>
      <c r="E26" s="26">
        <f>C25/10</f>
        <v>4.5298808404839148</v>
      </c>
      <c r="F26" s="26">
        <f t="shared" si="0"/>
        <v>9.0597616809678296</v>
      </c>
      <c r="G26" s="25" t="s">
        <v>69</v>
      </c>
      <c r="H26" s="37">
        <v>1</v>
      </c>
      <c r="I26" s="29" t="s">
        <v>46</v>
      </c>
      <c r="J26" s="30">
        <v>100</v>
      </c>
      <c r="K26" s="31">
        <v>95</v>
      </c>
      <c r="L26" s="31">
        <v>90</v>
      </c>
      <c r="M26" s="31">
        <v>85</v>
      </c>
      <c r="N26" s="31">
        <v>80</v>
      </c>
      <c r="O26" s="31" t="s">
        <v>47</v>
      </c>
      <c r="P26" s="32"/>
      <c r="Q26" s="33">
        <f t="shared" si="1"/>
        <v>0</v>
      </c>
      <c r="R26" s="34">
        <f t="shared" si="2"/>
        <v>0</v>
      </c>
    </row>
    <row r="27" spans="1:18" s="35" customFormat="1" ht="147" customHeight="1" x14ac:dyDescent="0.25">
      <c r="A27" s="121"/>
      <c r="B27" s="124"/>
      <c r="C27" s="127"/>
      <c r="D27" s="25" t="s">
        <v>70</v>
      </c>
      <c r="E27" s="26">
        <f>C25/10</f>
        <v>4.5298808404839148</v>
      </c>
      <c r="F27" s="26">
        <f t="shared" si="0"/>
        <v>9.0597616809678296</v>
      </c>
      <c r="G27" s="25" t="s">
        <v>71</v>
      </c>
      <c r="H27" s="37">
        <v>0.9</v>
      </c>
      <c r="I27" s="36" t="s">
        <v>46</v>
      </c>
      <c r="J27" s="30" t="s">
        <v>72</v>
      </c>
      <c r="K27" s="31">
        <v>90</v>
      </c>
      <c r="L27" s="31">
        <v>80</v>
      </c>
      <c r="M27" s="31">
        <v>70</v>
      </c>
      <c r="N27" s="31">
        <v>50</v>
      </c>
      <c r="O27" s="31" t="s">
        <v>67</v>
      </c>
      <c r="P27" s="32"/>
      <c r="Q27" s="33">
        <f t="shared" si="1"/>
        <v>0</v>
      </c>
      <c r="R27" s="34">
        <f t="shared" si="2"/>
        <v>0</v>
      </c>
    </row>
    <row r="28" spans="1:18" s="35" customFormat="1" ht="147" customHeight="1" x14ac:dyDescent="0.25">
      <c r="A28" s="121"/>
      <c r="B28" s="124"/>
      <c r="C28" s="127"/>
      <c r="D28" s="25" t="s">
        <v>73</v>
      </c>
      <c r="E28" s="26">
        <f>C25/10</f>
        <v>4.5298808404839148</v>
      </c>
      <c r="F28" s="26">
        <f t="shared" si="0"/>
        <v>9.0597616809678296</v>
      </c>
      <c r="G28" s="25" t="s">
        <v>74</v>
      </c>
      <c r="H28" s="37">
        <v>0.8</v>
      </c>
      <c r="I28" s="36" t="s">
        <v>46</v>
      </c>
      <c r="J28" s="30" t="s">
        <v>66</v>
      </c>
      <c r="K28" s="31">
        <v>80</v>
      </c>
      <c r="L28" s="31">
        <v>75</v>
      </c>
      <c r="M28" s="31">
        <v>70</v>
      </c>
      <c r="N28" s="31">
        <v>50</v>
      </c>
      <c r="O28" s="31" t="s">
        <v>67</v>
      </c>
      <c r="P28" s="32"/>
      <c r="Q28" s="33">
        <f t="shared" si="1"/>
        <v>0</v>
      </c>
      <c r="R28" s="34">
        <f t="shared" si="2"/>
        <v>0</v>
      </c>
    </row>
    <row r="29" spans="1:18" s="35" customFormat="1" ht="147" customHeight="1" x14ac:dyDescent="0.25">
      <c r="A29" s="121"/>
      <c r="B29" s="124"/>
      <c r="C29" s="127"/>
      <c r="D29" s="25" t="s">
        <v>75</v>
      </c>
      <c r="E29" s="26">
        <f>C25/10</f>
        <v>4.5298808404839148</v>
      </c>
      <c r="F29" s="26">
        <f t="shared" si="0"/>
        <v>9.0597616809678296</v>
      </c>
      <c r="G29" s="25" t="s">
        <v>76</v>
      </c>
      <c r="H29" s="37">
        <v>0.9</v>
      </c>
      <c r="I29" s="36" t="s">
        <v>46</v>
      </c>
      <c r="J29" s="30" t="s">
        <v>72</v>
      </c>
      <c r="K29" s="31">
        <v>90</v>
      </c>
      <c r="L29" s="31">
        <v>80</v>
      </c>
      <c r="M29" s="31">
        <v>70</v>
      </c>
      <c r="N29" s="31">
        <v>50</v>
      </c>
      <c r="O29" s="31" t="s">
        <v>67</v>
      </c>
      <c r="P29" s="32"/>
      <c r="Q29" s="33">
        <f t="shared" si="1"/>
        <v>0</v>
      </c>
      <c r="R29" s="34">
        <f t="shared" si="2"/>
        <v>0</v>
      </c>
    </row>
    <row r="30" spans="1:18" s="35" customFormat="1" ht="147" customHeight="1" x14ac:dyDescent="0.25">
      <c r="A30" s="121"/>
      <c r="B30" s="124"/>
      <c r="C30" s="127"/>
      <c r="D30" s="25" t="s">
        <v>77</v>
      </c>
      <c r="E30" s="26">
        <f>C25/10</f>
        <v>4.5298808404839148</v>
      </c>
      <c r="F30" s="26">
        <f t="shared" si="0"/>
        <v>9.0597616809678296</v>
      </c>
      <c r="G30" s="25" t="s">
        <v>78</v>
      </c>
      <c r="H30" s="37">
        <v>0.8</v>
      </c>
      <c r="I30" s="36" t="s">
        <v>46</v>
      </c>
      <c r="J30" s="30" t="s">
        <v>66</v>
      </c>
      <c r="K30" s="31">
        <v>80</v>
      </c>
      <c r="L30" s="31">
        <v>75</v>
      </c>
      <c r="M30" s="31">
        <v>70</v>
      </c>
      <c r="N30" s="31">
        <v>50</v>
      </c>
      <c r="O30" s="31" t="s">
        <v>67</v>
      </c>
      <c r="P30" s="32"/>
      <c r="Q30" s="33">
        <f t="shared" si="1"/>
        <v>0</v>
      </c>
      <c r="R30" s="34">
        <f t="shared" si="2"/>
        <v>0</v>
      </c>
    </row>
    <row r="31" spans="1:18" s="35" customFormat="1" ht="147" customHeight="1" x14ac:dyDescent="0.25">
      <c r="A31" s="121"/>
      <c r="B31" s="124"/>
      <c r="C31" s="127"/>
      <c r="D31" s="25" t="s">
        <v>79</v>
      </c>
      <c r="E31" s="26">
        <f>C25/10</f>
        <v>4.5298808404839148</v>
      </c>
      <c r="F31" s="26">
        <f t="shared" si="0"/>
        <v>9.0597616809678296</v>
      </c>
      <c r="G31" s="25" t="s">
        <v>80</v>
      </c>
      <c r="H31" s="37">
        <v>0.9</v>
      </c>
      <c r="I31" s="36" t="s">
        <v>46</v>
      </c>
      <c r="J31" s="30" t="s">
        <v>72</v>
      </c>
      <c r="K31" s="31">
        <v>90</v>
      </c>
      <c r="L31" s="31">
        <v>80</v>
      </c>
      <c r="M31" s="31">
        <v>70</v>
      </c>
      <c r="N31" s="31">
        <v>50</v>
      </c>
      <c r="O31" s="31" t="s">
        <v>67</v>
      </c>
      <c r="P31" s="32"/>
      <c r="Q31" s="33">
        <f t="shared" si="1"/>
        <v>0</v>
      </c>
      <c r="R31" s="34">
        <f t="shared" si="2"/>
        <v>0</v>
      </c>
    </row>
    <row r="32" spans="1:18" s="35" customFormat="1" ht="147" customHeight="1" x14ac:dyDescent="0.25">
      <c r="A32" s="121"/>
      <c r="B32" s="124"/>
      <c r="C32" s="127"/>
      <c r="D32" s="25" t="s">
        <v>81</v>
      </c>
      <c r="E32" s="26">
        <f>C25/10</f>
        <v>4.5298808404839148</v>
      </c>
      <c r="F32" s="26">
        <f t="shared" si="0"/>
        <v>9.0597616809678296</v>
      </c>
      <c r="G32" s="25" t="s">
        <v>82</v>
      </c>
      <c r="H32" s="37">
        <v>0.8</v>
      </c>
      <c r="I32" s="36" t="s">
        <v>46</v>
      </c>
      <c r="J32" s="30" t="s">
        <v>66</v>
      </c>
      <c r="K32" s="31">
        <v>80</v>
      </c>
      <c r="L32" s="31">
        <v>75</v>
      </c>
      <c r="M32" s="31">
        <v>70</v>
      </c>
      <c r="N32" s="31">
        <v>50</v>
      </c>
      <c r="O32" s="31" t="s">
        <v>67</v>
      </c>
      <c r="P32" s="32"/>
      <c r="Q32" s="33">
        <f t="shared" si="1"/>
        <v>0</v>
      </c>
      <c r="R32" s="34">
        <f t="shared" si="2"/>
        <v>0</v>
      </c>
    </row>
    <row r="33" spans="1:18" s="35" customFormat="1" ht="147" customHeight="1" x14ac:dyDescent="0.25">
      <c r="A33" s="121"/>
      <c r="B33" s="124"/>
      <c r="C33" s="127"/>
      <c r="D33" s="25" t="s">
        <v>83</v>
      </c>
      <c r="E33" s="26">
        <f>C25/10</f>
        <v>4.5298808404839148</v>
      </c>
      <c r="F33" s="26">
        <f t="shared" si="0"/>
        <v>9.0597616809678296</v>
      </c>
      <c r="G33" s="25" t="s">
        <v>84</v>
      </c>
      <c r="H33" s="36">
        <v>80</v>
      </c>
      <c r="I33" s="36" t="s">
        <v>46</v>
      </c>
      <c r="J33" s="30" t="s">
        <v>66</v>
      </c>
      <c r="K33" s="31">
        <v>80</v>
      </c>
      <c r="L33" s="31">
        <v>75</v>
      </c>
      <c r="M33" s="31">
        <v>70</v>
      </c>
      <c r="N33" s="31">
        <v>50</v>
      </c>
      <c r="O33" s="31" t="s">
        <v>67</v>
      </c>
      <c r="P33" s="32"/>
      <c r="Q33" s="33">
        <f t="shared" si="1"/>
        <v>0</v>
      </c>
      <c r="R33" s="34">
        <f t="shared" si="2"/>
        <v>0</v>
      </c>
    </row>
    <row r="34" spans="1:18" s="35" customFormat="1" ht="147" customHeight="1" x14ac:dyDescent="0.25">
      <c r="A34" s="122"/>
      <c r="B34" s="125"/>
      <c r="C34" s="128"/>
      <c r="D34" s="25" t="s">
        <v>85</v>
      </c>
      <c r="E34" s="26">
        <f>C25/10</f>
        <v>4.5298808404839148</v>
      </c>
      <c r="F34" s="26">
        <f t="shared" si="0"/>
        <v>9.0597616809678296</v>
      </c>
      <c r="G34" s="25" t="s">
        <v>86</v>
      </c>
      <c r="H34" s="37">
        <v>0.8</v>
      </c>
      <c r="I34" s="36" t="s">
        <v>46</v>
      </c>
      <c r="J34" s="30" t="s">
        <v>66</v>
      </c>
      <c r="K34" s="31">
        <v>80</v>
      </c>
      <c r="L34" s="31">
        <v>75</v>
      </c>
      <c r="M34" s="31">
        <v>70</v>
      </c>
      <c r="N34" s="31">
        <v>50</v>
      </c>
      <c r="O34" s="31" t="s">
        <v>67</v>
      </c>
      <c r="P34" s="32"/>
      <c r="Q34" s="33">
        <f t="shared" si="1"/>
        <v>0</v>
      </c>
      <c r="R34" s="34">
        <f t="shared" si="2"/>
        <v>0</v>
      </c>
    </row>
    <row r="35" spans="1:18" s="35" customFormat="1" ht="147" customHeight="1" x14ac:dyDescent="0.25">
      <c r="A35" s="36">
        <v>4</v>
      </c>
      <c r="B35" s="25" t="s">
        <v>87</v>
      </c>
      <c r="C35" s="38">
        <f>0.5 *1.5918255965556</f>
        <v>0.79591279827780004</v>
      </c>
      <c r="D35" s="25" t="s">
        <v>88</v>
      </c>
      <c r="E35" s="26">
        <f>C35</f>
        <v>0.79591279827780004</v>
      </c>
      <c r="F35" s="26">
        <f t="shared" si="0"/>
        <v>1.5918255965556003</v>
      </c>
      <c r="G35" s="27" t="s">
        <v>89</v>
      </c>
      <c r="H35" s="36">
        <v>5</v>
      </c>
      <c r="I35" s="29" t="s">
        <v>54</v>
      </c>
      <c r="J35" s="30" t="s">
        <v>55</v>
      </c>
      <c r="K35" s="31">
        <v>5</v>
      </c>
      <c r="L35" s="31">
        <v>4</v>
      </c>
      <c r="M35" s="31">
        <v>3</v>
      </c>
      <c r="N35" s="31">
        <v>2</v>
      </c>
      <c r="O35" s="31">
        <v>1</v>
      </c>
      <c r="P35" s="32"/>
      <c r="Q35" s="33">
        <f t="shared" si="1"/>
        <v>0</v>
      </c>
      <c r="R35" s="34">
        <f t="shared" si="2"/>
        <v>0</v>
      </c>
    </row>
    <row r="36" spans="1:18" s="35" customFormat="1" ht="147" customHeight="1" x14ac:dyDescent="0.25">
      <c r="A36" s="120">
        <v>5</v>
      </c>
      <c r="B36" s="123" t="s">
        <v>90</v>
      </c>
      <c r="C36" s="129">
        <f>0.5 *3.18365119311119</f>
        <v>1.591825596555595</v>
      </c>
      <c r="D36" s="25" t="s">
        <v>91</v>
      </c>
      <c r="E36" s="26">
        <f>C36/2</f>
        <v>0.79591279827779748</v>
      </c>
      <c r="F36" s="26">
        <f t="shared" si="0"/>
        <v>1.591825596555595</v>
      </c>
      <c r="G36" s="27" t="s">
        <v>92</v>
      </c>
      <c r="H36" s="37">
        <v>0.8</v>
      </c>
      <c r="I36" s="36" t="s">
        <v>46</v>
      </c>
      <c r="J36" s="30" t="s">
        <v>66</v>
      </c>
      <c r="K36" s="31">
        <v>80</v>
      </c>
      <c r="L36" s="31">
        <v>75</v>
      </c>
      <c r="M36" s="31">
        <v>70</v>
      </c>
      <c r="N36" s="31">
        <v>50</v>
      </c>
      <c r="O36" s="31" t="s">
        <v>67</v>
      </c>
      <c r="P36" s="32"/>
      <c r="Q36" s="33">
        <f t="shared" si="1"/>
        <v>0</v>
      </c>
      <c r="R36" s="34">
        <f t="shared" si="2"/>
        <v>0</v>
      </c>
    </row>
    <row r="37" spans="1:18" s="35" customFormat="1" ht="147" customHeight="1" x14ac:dyDescent="0.25">
      <c r="A37" s="122"/>
      <c r="B37" s="125"/>
      <c r="C37" s="130"/>
      <c r="D37" s="25" t="s">
        <v>93</v>
      </c>
      <c r="E37" s="26">
        <f>C36/2</f>
        <v>0.79591279827779748</v>
      </c>
      <c r="F37" s="26">
        <f t="shared" si="0"/>
        <v>1.591825596555595</v>
      </c>
      <c r="G37" s="27" t="s">
        <v>94</v>
      </c>
      <c r="H37" s="37">
        <v>0.8</v>
      </c>
      <c r="I37" s="36" t="s">
        <v>46</v>
      </c>
      <c r="J37" s="30" t="s">
        <v>66</v>
      </c>
      <c r="K37" s="31">
        <v>80</v>
      </c>
      <c r="L37" s="31">
        <v>75</v>
      </c>
      <c r="M37" s="31">
        <v>70</v>
      </c>
      <c r="N37" s="31">
        <v>50</v>
      </c>
      <c r="O37" s="31" t="s">
        <v>67</v>
      </c>
      <c r="P37" s="32"/>
      <c r="Q37" s="33">
        <f t="shared" si="1"/>
        <v>0</v>
      </c>
      <c r="R37" s="34">
        <f t="shared" si="2"/>
        <v>0</v>
      </c>
    </row>
    <row r="38" spans="1:18" s="35" customFormat="1" ht="147" customHeight="1" x14ac:dyDescent="0.25">
      <c r="A38" s="114">
        <v>6</v>
      </c>
      <c r="B38" s="115" t="s">
        <v>95</v>
      </c>
      <c r="C38" s="117">
        <f>0.5 *1.0612170643704</f>
        <v>0.53060853218519999</v>
      </c>
      <c r="D38" s="25" t="s">
        <v>96</v>
      </c>
      <c r="E38" s="26">
        <f>C38</f>
        <v>0.53060853218519999</v>
      </c>
      <c r="F38" s="26">
        <f t="shared" si="0"/>
        <v>1.0612170643704</v>
      </c>
      <c r="G38" s="27" t="s">
        <v>97</v>
      </c>
      <c r="H38" s="37">
        <v>0.8</v>
      </c>
      <c r="I38" s="36" t="s">
        <v>46</v>
      </c>
      <c r="J38" s="30" t="s">
        <v>66</v>
      </c>
      <c r="K38" s="31">
        <v>80</v>
      </c>
      <c r="L38" s="31">
        <v>75</v>
      </c>
      <c r="M38" s="31">
        <v>70</v>
      </c>
      <c r="N38" s="31">
        <v>50</v>
      </c>
      <c r="O38" s="31" t="s">
        <v>67</v>
      </c>
      <c r="P38" s="32"/>
      <c r="Q38" s="33">
        <f t="shared" si="1"/>
        <v>0</v>
      </c>
      <c r="R38" s="34">
        <f t="shared" si="2"/>
        <v>0</v>
      </c>
    </row>
    <row r="39" spans="1:18" s="35" customFormat="1" ht="147" customHeight="1" x14ac:dyDescent="0.25">
      <c r="A39" s="36">
        <v>7</v>
      </c>
      <c r="B39" s="25" t="s">
        <v>98</v>
      </c>
      <c r="C39" s="38">
        <f>0.5 *0.424486825748159</f>
        <v>0.2122434128740795</v>
      </c>
      <c r="D39" s="115" t="s">
        <v>99</v>
      </c>
      <c r="E39" s="26">
        <f>C39</f>
        <v>0.2122434128740795</v>
      </c>
      <c r="F39" s="26">
        <f t="shared" si="0"/>
        <v>0.42448682574815894</v>
      </c>
      <c r="G39" s="27" t="s">
        <v>100</v>
      </c>
      <c r="H39" s="28">
        <v>0.7</v>
      </c>
      <c r="I39" s="36" t="s">
        <v>46</v>
      </c>
      <c r="J39" s="30" t="s">
        <v>101</v>
      </c>
      <c r="K39" s="31">
        <v>70</v>
      </c>
      <c r="L39" s="31">
        <v>60</v>
      </c>
      <c r="M39" s="31">
        <v>50</v>
      </c>
      <c r="N39" s="31">
        <v>40</v>
      </c>
      <c r="O39" s="31" t="s">
        <v>102</v>
      </c>
      <c r="P39" s="32"/>
      <c r="Q39" s="33">
        <f t="shared" si="1"/>
        <v>0</v>
      </c>
      <c r="R39" s="34">
        <f t="shared" si="2"/>
        <v>0</v>
      </c>
    </row>
    <row r="40" spans="1:18" s="35" customFormat="1" ht="147" customHeight="1" x14ac:dyDescent="0.25">
      <c r="A40" s="36">
        <v>8</v>
      </c>
      <c r="B40" s="25" t="s">
        <v>103</v>
      </c>
      <c r="C40" s="38">
        <f>0.5 *0.424486825748159</f>
        <v>0.2122434128740795</v>
      </c>
      <c r="D40" s="27" t="s">
        <v>104</v>
      </c>
      <c r="E40" s="26">
        <f>C40</f>
        <v>0.2122434128740795</v>
      </c>
      <c r="F40" s="26">
        <f t="shared" si="0"/>
        <v>0.42448682574815894</v>
      </c>
      <c r="G40" s="27" t="s">
        <v>105</v>
      </c>
      <c r="H40" s="28">
        <v>0.5</v>
      </c>
      <c r="I40" s="29" t="s">
        <v>46</v>
      </c>
      <c r="J40" s="30" t="s">
        <v>61</v>
      </c>
      <c r="K40" s="31">
        <v>50</v>
      </c>
      <c r="L40" s="31">
        <v>45</v>
      </c>
      <c r="M40" s="31">
        <v>40</v>
      </c>
      <c r="N40" s="31">
        <v>25</v>
      </c>
      <c r="O40" s="31" t="s">
        <v>62</v>
      </c>
      <c r="P40" s="32">
        <v>0</v>
      </c>
      <c r="Q40" s="33">
        <f t="shared" si="1"/>
        <v>0</v>
      </c>
      <c r="R40" s="34">
        <f t="shared" si="2"/>
        <v>0</v>
      </c>
    </row>
    <row r="41" spans="1:18" s="49" customFormat="1" ht="44.25" x14ac:dyDescent="0.25">
      <c r="A41" s="39"/>
      <c r="B41" s="40" t="s">
        <v>106</v>
      </c>
      <c r="C41" s="41">
        <f>SUM(C19:C40)</f>
        <v>50.000000000000007</v>
      </c>
      <c r="D41" s="40"/>
      <c r="E41" s="41">
        <f>SUM(E19:E40)</f>
        <v>50</v>
      </c>
      <c r="F41" s="41">
        <f>SUM(F19:F40)</f>
        <v>100</v>
      </c>
      <c r="G41" s="42"/>
      <c r="H41" s="43"/>
      <c r="I41" s="44"/>
      <c r="J41" s="45"/>
      <c r="K41" s="45"/>
      <c r="L41" s="45"/>
      <c r="M41" s="45"/>
      <c r="N41" s="45"/>
      <c r="O41" s="45"/>
      <c r="P41" s="46"/>
      <c r="Q41" s="47"/>
      <c r="R41" s="48">
        <f>SUM(R19:R40)</f>
        <v>0</v>
      </c>
    </row>
    <row r="42" spans="1:18" s="51" customFormat="1" ht="66" customHeight="1" x14ac:dyDescent="0.7">
      <c r="A42" s="50"/>
      <c r="G42" s="52"/>
      <c r="H42" s="52"/>
      <c r="I42" s="207" t="s">
        <v>156</v>
      </c>
      <c r="J42" s="208"/>
      <c r="K42" s="208"/>
      <c r="L42" s="208"/>
      <c r="M42" s="208"/>
      <c r="N42" s="208"/>
      <c r="O42" s="208"/>
      <c r="P42" s="208"/>
      <c r="Q42" s="209"/>
      <c r="R42" s="53">
        <f>R41/100 * 70</f>
        <v>0</v>
      </c>
    </row>
    <row r="43" spans="1:18" s="58" customFormat="1" ht="36" x14ac:dyDescent="0.55000000000000004">
      <c r="A43" s="210" t="s">
        <v>107</v>
      </c>
      <c r="B43" s="211"/>
      <c r="C43" s="211"/>
      <c r="D43" s="211"/>
      <c r="E43" s="211"/>
      <c r="F43" s="211"/>
      <c r="G43" s="212"/>
      <c r="H43" s="213"/>
      <c r="I43" s="213"/>
      <c r="J43" s="213"/>
      <c r="K43" s="213"/>
      <c r="L43" s="214" t="s">
        <v>112</v>
      </c>
      <c r="M43" s="54" t="s">
        <v>108</v>
      </c>
      <c r="N43" s="54"/>
      <c r="O43" s="54"/>
      <c r="P43" s="55"/>
      <c r="Q43" s="56"/>
      <c r="R43" s="57"/>
    </row>
    <row r="44" spans="1:18" s="58" customFormat="1" ht="31.5" customHeight="1" x14ac:dyDescent="0.55000000000000004">
      <c r="A44" s="59"/>
      <c r="B44" s="60"/>
      <c r="C44" s="216" t="s">
        <v>109</v>
      </c>
      <c r="D44" s="216"/>
      <c r="E44" s="216"/>
      <c r="F44" s="216"/>
      <c r="G44" s="216"/>
      <c r="H44" s="61" t="s">
        <v>157</v>
      </c>
      <c r="I44" s="61" t="s">
        <v>158</v>
      </c>
      <c r="J44" s="61"/>
      <c r="K44" s="62"/>
      <c r="L44" s="215"/>
      <c r="M44" s="63"/>
      <c r="N44" s="63"/>
      <c r="O44" s="63"/>
      <c r="P44" s="64"/>
      <c r="Q44" s="56"/>
      <c r="R44" s="57"/>
    </row>
    <row r="45" spans="1:18" s="58" customFormat="1" ht="36" customHeight="1" x14ac:dyDescent="0.55000000000000004">
      <c r="A45" s="65">
        <v>1</v>
      </c>
      <c r="B45" s="66" t="s">
        <v>113</v>
      </c>
      <c r="C45" s="202"/>
      <c r="D45" s="203"/>
      <c r="E45" s="203"/>
      <c r="F45" s="203"/>
      <c r="G45" s="204"/>
      <c r="H45" s="67"/>
      <c r="I45" s="67"/>
      <c r="J45" s="67"/>
      <c r="K45" s="67"/>
      <c r="L45" s="68"/>
      <c r="M45" s="69" t="s">
        <v>37</v>
      </c>
      <c r="N45" s="200" t="s">
        <v>114</v>
      </c>
      <c r="O45" s="201"/>
      <c r="P45" s="64"/>
      <c r="Q45" s="56"/>
      <c r="R45" s="57"/>
    </row>
    <row r="46" spans="1:18" s="58" customFormat="1" ht="84.75" customHeight="1" x14ac:dyDescent="0.55000000000000004">
      <c r="A46" s="72" t="s">
        <v>115</v>
      </c>
      <c r="B46" s="73" t="s">
        <v>159</v>
      </c>
      <c r="C46" s="197"/>
      <c r="D46" s="198"/>
      <c r="E46" s="198"/>
      <c r="F46" s="198"/>
      <c r="G46" s="199"/>
      <c r="H46" s="74">
        <v>4</v>
      </c>
      <c r="I46" s="75"/>
      <c r="J46" s="74"/>
      <c r="K46" s="74"/>
      <c r="L46" s="68"/>
      <c r="M46" s="69" t="s">
        <v>38</v>
      </c>
      <c r="N46" s="200" t="s">
        <v>116</v>
      </c>
      <c r="O46" s="201"/>
      <c r="P46" s="64"/>
      <c r="Q46" s="56"/>
      <c r="R46" s="57"/>
    </row>
    <row r="47" spans="1:18" s="58" customFormat="1" ht="82.5" customHeight="1" x14ac:dyDescent="0.55000000000000004">
      <c r="A47" s="72" t="s">
        <v>117</v>
      </c>
      <c r="B47" s="73" t="s">
        <v>160</v>
      </c>
      <c r="C47" s="197"/>
      <c r="D47" s="198"/>
      <c r="E47" s="198"/>
      <c r="F47" s="198"/>
      <c r="G47" s="199"/>
      <c r="H47" s="74">
        <v>2</v>
      </c>
      <c r="I47" s="75"/>
      <c r="J47" s="74"/>
      <c r="K47" s="74"/>
      <c r="L47" s="68"/>
      <c r="M47" s="69" t="s">
        <v>39</v>
      </c>
      <c r="N47" s="200" t="s">
        <v>118</v>
      </c>
      <c r="O47" s="201"/>
      <c r="P47" s="64"/>
      <c r="Q47" s="56"/>
      <c r="R47" s="57"/>
    </row>
    <row r="48" spans="1:18" s="58" customFormat="1" ht="78.75" customHeight="1" x14ac:dyDescent="0.55000000000000004">
      <c r="A48" s="72" t="s">
        <v>119</v>
      </c>
      <c r="B48" s="73" t="s">
        <v>120</v>
      </c>
      <c r="C48" s="197"/>
      <c r="D48" s="198"/>
      <c r="E48" s="198"/>
      <c r="F48" s="198"/>
      <c r="G48" s="199"/>
      <c r="H48" s="74">
        <v>2</v>
      </c>
      <c r="I48" s="75"/>
      <c r="J48" s="74"/>
      <c r="K48" s="74"/>
      <c r="L48" s="68"/>
      <c r="M48" s="69" t="s">
        <v>40</v>
      </c>
      <c r="N48" s="200" t="s">
        <v>121</v>
      </c>
      <c r="O48" s="201"/>
      <c r="P48" s="64"/>
      <c r="Q48" s="56"/>
      <c r="R48" s="57"/>
    </row>
    <row r="49" spans="1:18" s="58" customFormat="1" ht="36" x14ac:dyDescent="0.55000000000000004">
      <c r="A49" s="76">
        <v>2</v>
      </c>
      <c r="B49" s="77" t="s">
        <v>122</v>
      </c>
      <c r="C49" s="191"/>
      <c r="D49" s="192"/>
      <c r="E49" s="192"/>
      <c r="F49" s="192"/>
      <c r="G49" s="193"/>
      <c r="H49" s="74"/>
      <c r="I49" s="75"/>
      <c r="J49" s="74"/>
      <c r="K49" s="74"/>
      <c r="L49" s="68"/>
      <c r="M49" s="69" t="s">
        <v>41</v>
      </c>
      <c r="N49" s="200" t="s">
        <v>123</v>
      </c>
      <c r="O49" s="201"/>
      <c r="P49" s="64"/>
      <c r="Q49" s="56"/>
      <c r="R49" s="57"/>
    </row>
    <row r="50" spans="1:18" s="58" customFormat="1" ht="82.5" customHeight="1" x14ac:dyDescent="0.55000000000000004">
      <c r="A50" s="72" t="s">
        <v>115</v>
      </c>
      <c r="B50" s="78" t="s">
        <v>161</v>
      </c>
      <c r="C50" s="183"/>
      <c r="D50" s="184"/>
      <c r="E50" s="184"/>
      <c r="F50" s="184"/>
      <c r="G50" s="185"/>
      <c r="H50" s="74">
        <v>2</v>
      </c>
      <c r="I50" s="75"/>
      <c r="J50" s="74"/>
      <c r="K50" s="74"/>
      <c r="L50" s="68"/>
      <c r="M50" s="69" t="s">
        <v>42</v>
      </c>
      <c r="N50" s="200" t="s">
        <v>124</v>
      </c>
      <c r="O50" s="201"/>
      <c r="P50" s="79"/>
      <c r="Q50" s="56"/>
      <c r="R50" s="57"/>
    </row>
    <row r="51" spans="1:18" s="58" customFormat="1" ht="114.75" customHeight="1" x14ac:dyDescent="0.55000000000000004">
      <c r="A51" s="72" t="s">
        <v>117</v>
      </c>
      <c r="B51" s="78" t="s">
        <v>162</v>
      </c>
      <c r="C51" s="183"/>
      <c r="D51" s="184"/>
      <c r="E51" s="184"/>
      <c r="F51" s="184"/>
      <c r="G51" s="185"/>
      <c r="H51" s="74">
        <v>2</v>
      </c>
      <c r="I51" s="75"/>
      <c r="J51" s="74"/>
      <c r="K51" s="74"/>
      <c r="L51" s="68"/>
      <c r="M51" s="64" t="s">
        <v>112</v>
      </c>
      <c r="N51" s="70" t="s">
        <v>125</v>
      </c>
      <c r="O51" s="71"/>
      <c r="P51" s="79"/>
      <c r="Q51" s="56"/>
      <c r="R51" s="57"/>
    </row>
    <row r="52" spans="1:18" s="58" customFormat="1" ht="72" customHeight="1" x14ac:dyDescent="0.55000000000000004">
      <c r="A52" s="72" t="s">
        <v>119</v>
      </c>
      <c r="B52" s="78" t="s">
        <v>163</v>
      </c>
      <c r="C52" s="183"/>
      <c r="D52" s="184"/>
      <c r="E52" s="184"/>
      <c r="F52" s="184"/>
      <c r="G52" s="185"/>
      <c r="H52" s="74">
        <v>2</v>
      </c>
      <c r="I52" s="75"/>
      <c r="J52" s="74"/>
      <c r="K52" s="74"/>
      <c r="L52" s="68"/>
      <c r="M52" s="64" t="s">
        <v>126</v>
      </c>
      <c r="N52" s="70" t="s">
        <v>127</v>
      </c>
      <c r="O52" s="71"/>
      <c r="P52" s="79"/>
      <c r="Q52" s="56"/>
      <c r="R52" s="57"/>
    </row>
    <row r="53" spans="1:18" s="58" customFormat="1" ht="66" customHeight="1" x14ac:dyDescent="0.55000000000000004">
      <c r="A53" s="76">
        <v>3</v>
      </c>
      <c r="B53" s="77" t="s">
        <v>128</v>
      </c>
      <c r="C53" s="191"/>
      <c r="D53" s="192"/>
      <c r="E53" s="192"/>
      <c r="F53" s="192"/>
      <c r="G53" s="193"/>
      <c r="H53" s="74"/>
      <c r="I53" s="75"/>
      <c r="J53" s="74"/>
      <c r="K53" s="74"/>
      <c r="L53" s="68"/>
      <c r="M53" s="64" t="s">
        <v>110</v>
      </c>
      <c r="N53" s="70" t="s">
        <v>129</v>
      </c>
      <c r="O53" s="71"/>
      <c r="P53" s="79"/>
      <c r="Q53" s="56"/>
      <c r="R53" s="57"/>
    </row>
    <row r="54" spans="1:18" s="58" customFormat="1" ht="72" customHeight="1" x14ac:dyDescent="0.55000000000000004">
      <c r="A54" s="72" t="s">
        <v>115</v>
      </c>
      <c r="B54" s="78" t="s">
        <v>130</v>
      </c>
      <c r="C54" s="194"/>
      <c r="D54" s="195"/>
      <c r="E54" s="195"/>
      <c r="F54" s="195"/>
      <c r="G54" s="196"/>
      <c r="H54" s="74">
        <v>2</v>
      </c>
      <c r="I54" s="75"/>
      <c r="J54" s="74"/>
      <c r="K54" s="74"/>
      <c r="L54" s="68"/>
      <c r="M54" s="64" t="s">
        <v>111</v>
      </c>
      <c r="N54" s="70" t="s">
        <v>131</v>
      </c>
      <c r="O54" s="71"/>
      <c r="P54" s="79"/>
      <c r="Q54" s="56"/>
      <c r="R54" s="57"/>
    </row>
    <row r="55" spans="1:18" s="58" customFormat="1" ht="72" customHeight="1" x14ac:dyDescent="0.55000000000000004">
      <c r="A55" s="72" t="s">
        <v>117</v>
      </c>
      <c r="B55" s="78" t="s">
        <v>164</v>
      </c>
      <c r="C55" s="194"/>
      <c r="D55" s="195"/>
      <c r="E55" s="195"/>
      <c r="F55" s="195"/>
      <c r="G55" s="196"/>
      <c r="H55" s="74">
        <v>2</v>
      </c>
      <c r="I55" s="75"/>
      <c r="J55" s="74"/>
      <c r="K55" s="74"/>
      <c r="L55" s="68"/>
      <c r="M55" s="64" t="s">
        <v>132</v>
      </c>
      <c r="N55" s="70" t="s">
        <v>133</v>
      </c>
      <c r="O55" s="71"/>
      <c r="P55" s="79"/>
      <c r="Q55" s="56"/>
      <c r="R55" s="57"/>
    </row>
    <row r="56" spans="1:18" s="58" customFormat="1" ht="44.25" customHeight="1" x14ac:dyDescent="0.55000000000000004">
      <c r="A56" s="72" t="s">
        <v>119</v>
      </c>
      <c r="B56" s="78" t="s">
        <v>165</v>
      </c>
      <c r="C56" s="194"/>
      <c r="D56" s="195"/>
      <c r="E56" s="195"/>
      <c r="F56" s="195"/>
      <c r="G56" s="196"/>
      <c r="H56" s="74">
        <v>2</v>
      </c>
      <c r="I56" s="75"/>
      <c r="J56" s="74"/>
      <c r="K56" s="74"/>
      <c r="L56" s="68"/>
      <c r="M56" s="80"/>
      <c r="N56" s="80"/>
      <c r="O56" s="80"/>
      <c r="P56" s="81"/>
      <c r="Q56" s="56"/>
      <c r="R56" s="57"/>
    </row>
    <row r="57" spans="1:18" s="58" customFormat="1" ht="31.5" customHeight="1" x14ac:dyDescent="0.55000000000000004">
      <c r="A57" s="181" t="s">
        <v>134</v>
      </c>
      <c r="B57" s="182"/>
      <c r="C57" s="182"/>
      <c r="D57" s="182"/>
      <c r="E57" s="182"/>
      <c r="F57" s="182"/>
      <c r="G57" s="182"/>
      <c r="H57" s="82">
        <f>SUM(H46:H56)</f>
        <v>20</v>
      </c>
      <c r="I57" s="82">
        <f>SUM(I46:I56)</f>
        <v>0</v>
      </c>
      <c r="J57" s="82"/>
      <c r="K57" s="83"/>
      <c r="L57" s="68"/>
      <c r="M57" s="80"/>
      <c r="N57" s="80"/>
      <c r="O57" s="80"/>
      <c r="P57" s="81"/>
      <c r="Q57" s="56"/>
      <c r="R57" s="57"/>
    </row>
    <row r="58" spans="1:18" s="58" customFormat="1" ht="36" customHeight="1" x14ac:dyDescent="0.55000000000000004">
      <c r="A58" s="84" t="s">
        <v>115</v>
      </c>
      <c r="B58" s="85" t="s">
        <v>135</v>
      </c>
      <c r="C58" s="183" t="s">
        <v>136</v>
      </c>
      <c r="D58" s="184"/>
      <c r="E58" s="184"/>
      <c r="F58" s="184"/>
      <c r="G58" s="185"/>
      <c r="H58" s="86">
        <v>4</v>
      </c>
      <c r="I58" s="87"/>
      <c r="J58" s="86"/>
      <c r="K58" s="88"/>
      <c r="L58" s="68"/>
      <c r="M58" s="80"/>
      <c r="N58" s="80"/>
      <c r="O58" s="80"/>
      <c r="P58" s="81"/>
      <c r="Q58" s="56"/>
      <c r="R58" s="57"/>
    </row>
    <row r="59" spans="1:18" s="58" customFormat="1" ht="129" customHeight="1" x14ac:dyDescent="0.55000000000000004">
      <c r="A59" s="84" t="s">
        <v>117</v>
      </c>
      <c r="B59" s="85" t="s">
        <v>137</v>
      </c>
      <c r="C59" s="183" t="s">
        <v>138</v>
      </c>
      <c r="D59" s="184"/>
      <c r="E59" s="184"/>
      <c r="F59" s="184"/>
      <c r="G59" s="185"/>
      <c r="H59" s="86">
        <v>3</v>
      </c>
      <c r="I59" s="87"/>
      <c r="J59" s="86"/>
      <c r="K59" s="88"/>
      <c r="L59" s="68"/>
      <c r="M59" s="80"/>
      <c r="N59" s="80"/>
      <c r="O59" s="80"/>
      <c r="P59" s="81"/>
      <c r="Q59" s="56"/>
      <c r="R59" s="57"/>
    </row>
    <row r="60" spans="1:18" s="58" customFormat="1" ht="69" customHeight="1" x14ac:dyDescent="0.55000000000000004">
      <c r="A60" s="84" t="s">
        <v>117</v>
      </c>
      <c r="B60" s="85" t="s">
        <v>139</v>
      </c>
      <c r="C60" s="183" t="s">
        <v>140</v>
      </c>
      <c r="D60" s="184"/>
      <c r="E60" s="184"/>
      <c r="F60" s="184"/>
      <c r="G60" s="185"/>
      <c r="H60" s="86">
        <v>3</v>
      </c>
      <c r="I60" s="87"/>
      <c r="J60" s="86"/>
      <c r="K60" s="88"/>
      <c r="L60" s="68"/>
      <c r="M60" s="80"/>
      <c r="N60" s="80"/>
      <c r="O60" s="80"/>
      <c r="P60" s="81"/>
      <c r="Q60" s="56"/>
      <c r="R60" s="57"/>
    </row>
    <row r="61" spans="1:18" s="58" customFormat="1" ht="46.5" customHeight="1" x14ac:dyDescent="0.55000000000000004">
      <c r="A61" s="89"/>
      <c r="B61" s="186" t="s">
        <v>141</v>
      </c>
      <c r="C61" s="186"/>
      <c r="D61" s="186"/>
      <c r="E61" s="90"/>
      <c r="F61" s="90"/>
      <c r="G61" s="90"/>
      <c r="H61" s="82">
        <f>SUM(H58:H60)</f>
        <v>10</v>
      </c>
      <c r="I61" s="82">
        <f>SUM(I58:I60)</f>
        <v>0</v>
      </c>
      <c r="J61" s="90"/>
      <c r="K61" s="91"/>
      <c r="L61" s="80"/>
      <c r="M61" s="80"/>
      <c r="N61" s="80"/>
      <c r="O61" s="80"/>
      <c r="P61" s="81"/>
      <c r="Q61" s="56"/>
      <c r="R61" s="57"/>
    </row>
    <row r="62" spans="1:18" s="94" customFormat="1" ht="45" customHeight="1" x14ac:dyDescent="0.7">
      <c r="A62" s="92"/>
      <c r="B62" s="187"/>
      <c r="C62" s="93"/>
      <c r="D62" s="93"/>
      <c r="E62" s="93"/>
      <c r="F62" s="190"/>
      <c r="G62" s="190"/>
      <c r="H62" s="190"/>
      <c r="I62" s="190"/>
      <c r="J62" s="190"/>
      <c r="K62" s="93"/>
      <c r="L62" s="93"/>
      <c r="M62" s="93"/>
      <c r="N62" s="93"/>
      <c r="O62" s="172" t="s">
        <v>166</v>
      </c>
      <c r="P62" s="173"/>
      <c r="Q62" s="172" t="s">
        <v>167</v>
      </c>
      <c r="R62" s="174"/>
    </row>
    <row r="63" spans="1:18" s="94" customFormat="1" ht="45" customHeight="1" x14ac:dyDescent="0.7">
      <c r="A63" s="92"/>
      <c r="B63" s="188"/>
      <c r="C63" s="168" t="s">
        <v>168</v>
      </c>
      <c r="D63" s="169"/>
      <c r="E63" s="169"/>
      <c r="F63" s="169"/>
      <c r="G63" s="169"/>
      <c r="H63" s="169"/>
      <c r="I63" s="169"/>
      <c r="J63" s="169"/>
      <c r="K63" s="170"/>
      <c r="L63" s="163"/>
      <c r="M63" s="164"/>
      <c r="N63" s="165"/>
      <c r="O63" s="166">
        <f>R42</f>
        <v>0</v>
      </c>
      <c r="P63" s="167"/>
      <c r="Q63" s="175">
        <f>O66/100 * 20</f>
        <v>0</v>
      </c>
      <c r="R63" s="176"/>
    </row>
    <row r="64" spans="1:18" s="94" customFormat="1" ht="45" customHeight="1" x14ac:dyDescent="0.7">
      <c r="A64" s="92"/>
      <c r="B64" s="188"/>
      <c r="C64" s="169" t="s">
        <v>169</v>
      </c>
      <c r="D64" s="169"/>
      <c r="E64" s="169"/>
      <c r="F64" s="169"/>
      <c r="G64" s="169"/>
      <c r="H64" s="169"/>
      <c r="I64" s="169"/>
      <c r="J64" s="169"/>
      <c r="K64" s="169"/>
      <c r="L64" s="164"/>
      <c r="M64" s="164"/>
      <c r="N64" s="165"/>
      <c r="O64" s="166">
        <f>I57</f>
        <v>0</v>
      </c>
      <c r="P64" s="167"/>
      <c r="Q64" s="177"/>
      <c r="R64" s="178"/>
    </row>
    <row r="65" spans="1:18" s="94" customFormat="1" ht="45" customHeight="1" x14ac:dyDescent="0.7">
      <c r="A65" s="92"/>
      <c r="B65" s="188"/>
      <c r="C65" s="168" t="s">
        <v>170</v>
      </c>
      <c r="D65" s="169"/>
      <c r="E65" s="169"/>
      <c r="F65" s="169"/>
      <c r="G65" s="169"/>
      <c r="H65" s="169"/>
      <c r="I65" s="169"/>
      <c r="J65" s="169"/>
      <c r="K65" s="170"/>
      <c r="L65" s="163"/>
      <c r="M65" s="164"/>
      <c r="N65" s="165"/>
      <c r="O65" s="166">
        <f>I61</f>
        <v>0</v>
      </c>
      <c r="P65" s="167"/>
      <c r="Q65" s="177"/>
      <c r="R65" s="178"/>
    </row>
    <row r="66" spans="1:18" s="94" customFormat="1" ht="45" customHeight="1" x14ac:dyDescent="0.7">
      <c r="A66" s="92"/>
      <c r="B66" s="189"/>
      <c r="C66" s="168" t="s">
        <v>171</v>
      </c>
      <c r="D66" s="169"/>
      <c r="E66" s="169"/>
      <c r="F66" s="169"/>
      <c r="G66" s="169"/>
      <c r="H66" s="169"/>
      <c r="I66" s="169"/>
      <c r="J66" s="169"/>
      <c r="K66" s="170"/>
      <c r="L66" s="163"/>
      <c r="M66" s="164"/>
      <c r="N66" s="165"/>
      <c r="O66" s="166">
        <f>SUM(O63:P65)</f>
        <v>0</v>
      </c>
      <c r="P66" s="167"/>
      <c r="Q66" s="179"/>
      <c r="R66" s="180"/>
    </row>
    <row r="67" spans="1:18" s="94" customFormat="1" ht="64.900000000000006" customHeight="1" x14ac:dyDescent="0.7">
      <c r="A67" s="92"/>
      <c r="B67" s="171" t="s">
        <v>172</v>
      </c>
      <c r="C67" s="171"/>
      <c r="D67" s="171"/>
      <c r="E67" s="171"/>
      <c r="F67" s="171"/>
      <c r="G67" s="171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6"/>
    </row>
    <row r="68" spans="1:18" s="94" customFormat="1" ht="64.900000000000006" customHeight="1" x14ac:dyDescent="0.7">
      <c r="A68" s="92"/>
      <c r="B68" s="154" t="s">
        <v>173</v>
      </c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5"/>
    </row>
    <row r="69" spans="1:18" s="94" customFormat="1" ht="48.75" customHeight="1" x14ac:dyDescent="0.7">
      <c r="A69" s="92"/>
      <c r="B69" s="156" t="s">
        <v>174</v>
      </c>
      <c r="C69" s="156"/>
      <c r="D69" s="156"/>
      <c r="E69" s="156"/>
      <c r="F69" s="156"/>
      <c r="G69" s="156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8"/>
    </row>
    <row r="70" spans="1:18" s="94" customFormat="1" ht="45.75" x14ac:dyDescent="0.7">
      <c r="A70" s="92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5"/>
    </row>
    <row r="71" spans="1:18" s="58" customFormat="1" ht="31.5" customHeight="1" x14ac:dyDescent="0.55000000000000004">
      <c r="A71" s="157" t="s">
        <v>175</v>
      </c>
      <c r="B71" s="141"/>
      <c r="C71" s="133"/>
      <c r="D71" s="134"/>
      <c r="E71" s="137" t="s">
        <v>176</v>
      </c>
      <c r="F71" s="139"/>
      <c r="G71" s="141" t="s">
        <v>177</v>
      </c>
      <c r="H71" s="133"/>
      <c r="I71" s="133"/>
      <c r="J71" s="133"/>
      <c r="K71" s="99"/>
      <c r="L71" s="68"/>
      <c r="M71" s="160"/>
      <c r="N71" s="160"/>
      <c r="O71" s="160"/>
      <c r="P71" s="160"/>
      <c r="Q71" s="160"/>
      <c r="R71" s="57"/>
    </row>
    <row r="72" spans="1:18" s="58" customFormat="1" ht="31.5" customHeight="1" x14ac:dyDescent="0.55000000000000004">
      <c r="A72" s="131"/>
      <c r="B72" s="132"/>
      <c r="C72" s="147"/>
      <c r="D72" s="148"/>
      <c r="E72" s="159"/>
      <c r="F72" s="152"/>
      <c r="G72" s="132"/>
      <c r="H72" s="147"/>
      <c r="I72" s="147"/>
      <c r="J72" s="147"/>
      <c r="K72" s="99"/>
      <c r="L72" s="68"/>
      <c r="M72" s="161"/>
      <c r="N72" s="161"/>
      <c r="O72" s="161"/>
      <c r="P72" s="161"/>
      <c r="Q72" s="161"/>
      <c r="R72" s="57"/>
    </row>
    <row r="73" spans="1:18" s="58" customFormat="1" ht="31.5" customHeight="1" x14ac:dyDescent="0.55000000000000004">
      <c r="A73" s="131"/>
      <c r="B73" s="132"/>
      <c r="C73" s="147"/>
      <c r="D73" s="148"/>
      <c r="E73" s="159"/>
      <c r="F73" s="152"/>
      <c r="G73" s="132"/>
      <c r="H73" s="147"/>
      <c r="I73" s="147"/>
      <c r="J73" s="147"/>
      <c r="K73" s="99"/>
      <c r="L73" s="68"/>
      <c r="M73" s="161"/>
      <c r="N73" s="161"/>
      <c r="O73" s="161"/>
      <c r="P73" s="161"/>
      <c r="Q73" s="161"/>
      <c r="R73" s="57"/>
    </row>
    <row r="74" spans="1:18" s="58" customFormat="1" ht="31.5" customHeight="1" x14ac:dyDescent="0.55000000000000004">
      <c r="A74" s="158"/>
      <c r="B74" s="142"/>
      <c r="C74" s="135"/>
      <c r="D74" s="136"/>
      <c r="E74" s="138"/>
      <c r="F74" s="140"/>
      <c r="G74" s="142"/>
      <c r="H74" s="135"/>
      <c r="I74" s="135"/>
      <c r="J74" s="135"/>
      <c r="K74" s="99"/>
      <c r="L74" s="68"/>
      <c r="M74" s="161"/>
      <c r="N74" s="161"/>
      <c r="O74" s="161"/>
      <c r="P74" s="161"/>
      <c r="Q74" s="161"/>
      <c r="R74" s="57"/>
    </row>
    <row r="75" spans="1:18" s="58" customFormat="1" ht="31.5" customHeight="1" x14ac:dyDescent="0.55000000000000004">
      <c r="A75" s="143" t="s">
        <v>142</v>
      </c>
      <c r="B75" s="144"/>
      <c r="C75" s="133"/>
      <c r="D75" s="134"/>
      <c r="E75" s="149" t="s">
        <v>178</v>
      </c>
      <c r="F75" s="139"/>
      <c r="G75" s="144" t="s">
        <v>178</v>
      </c>
      <c r="H75" s="133"/>
      <c r="I75" s="133"/>
      <c r="J75" s="133"/>
      <c r="K75" s="99"/>
      <c r="L75" s="68"/>
      <c r="M75" s="161"/>
      <c r="N75" s="161"/>
      <c r="O75" s="161"/>
      <c r="P75" s="161"/>
      <c r="Q75" s="161"/>
      <c r="R75" s="57"/>
    </row>
    <row r="76" spans="1:18" s="58" customFormat="1" ht="31.5" customHeight="1" x14ac:dyDescent="0.55000000000000004">
      <c r="A76" s="145"/>
      <c r="B76" s="146"/>
      <c r="C76" s="147"/>
      <c r="D76" s="148"/>
      <c r="E76" s="150"/>
      <c r="F76" s="152"/>
      <c r="G76" s="146"/>
      <c r="H76" s="147"/>
      <c r="I76" s="147"/>
      <c r="J76" s="147"/>
      <c r="K76" s="99"/>
      <c r="L76" s="68"/>
      <c r="M76" s="161"/>
      <c r="N76" s="161"/>
      <c r="O76" s="161"/>
      <c r="P76" s="161"/>
      <c r="Q76" s="161"/>
      <c r="R76" s="57"/>
    </row>
    <row r="77" spans="1:18" s="58" customFormat="1" ht="31.5" customHeight="1" x14ac:dyDescent="0.55000000000000004">
      <c r="A77" s="145"/>
      <c r="B77" s="146"/>
      <c r="C77" s="135"/>
      <c r="D77" s="136"/>
      <c r="E77" s="151"/>
      <c r="F77" s="140"/>
      <c r="G77" s="153"/>
      <c r="H77" s="135"/>
      <c r="I77" s="135"/>
      <c r="J77" s="135"/>
      <c r="K77" s="99"/>
      <c r="L77" s="68"/>
      <c r="M77" s="161"/>
      <c r="N77" s="161"/>
      <c r="O77" s="161"/>
      <c r="P77" s="161"/>
      <c r="Q77" s="161"/>
      <c r="R77" s="57"/>
    </row>
    <row r="78" spans="1:18" s="58" customFormat="1" ht="31.5" customHeight="1" x14ac:dyDescent="0.55000000000000004">
      <c r="A78" s="131" t="s">
        <v>143</v>
      </c>
      <c r="B78" s="132"/>
      <c r="C78" s="133"/>
      <c r="D78" s="134"/>
      <c r="E78" s="137" t="s">
        <v>179</v>
      </c>
      <c r="F78" s="139"/>
      <c r="G78" s="141" t="s">
        <v>179</v>
      </c>
      <c r="H78" s="133"/>
      <c r="I78" s="133"/>
      <c r="J78" s="133"/>
      <c r="K78" s="99"/>
      <c r="L78" s="68"/>
      <c r="M78" s="161"/>
      <c r="N78" s="161"/>
      <c r="O78" s="161"/>
      <c r="P78" s="161"/>
      <c r="Q78" s="161"/>
      <c r="R78" s="57"/>
    </row>
    <row r="79" spans="1:18" s="58" customFormat="1" ht="31.5" customHeight="1" x14ac:dyDescent="0.55000000000000004">
      <c r="A79" s="131"/>
      <c r="B79" s="132"/>
      <c r="C79" s="135"/>
      <c r="D79" s="136"/>
      <c r="E79" s="138"/>
      <c r="F79" s="140"/>
      <c r="G79" s="142"/>
      <c r="H79" s="135"/>
      <c r="I79" s="135"/>
      <c r="J79" s="135"/>
      <c r="K79" s="99"/>
      <c r="L79" s="68"/>
      <c r="M79" s="161"/>
      <c r="N79" s="161"/>
      <c r="O79" s="161"/>
      <c r="P79" s="161"/>
      <c r="Q79" s="161"/>
      <c r="R79" s="57"/>
    </row>
    <row r="80" spans="1:18" s="58" customFormat="1" ht="31.5" customHeight="1" thickBot="1" x14ac:dyDescent="0.6">
      <c r="A80" s="118"/>
      <c r="B80" s="119"/>
      <c r="C80" s="119"/>
      <c r="D80" s="119"/>
      <c r="E80" s="119"/>
      <c r="F80" s="119"/>
      <c r="G80" s="119"/>
      <c r="H80" s="119"/>
      <c r="I80" s="119"/>
      <c r="J80" s="119"/>
      <c r="K80" s="100"/>
      <c r="L80" s="101"/>
      <c r="M80" s="162"/>
      <c r="N80" s="162"/>
      <c r="O80" s="162"/>
      <c r="P80" s="162"/>
      <c r="Q80" s="162"/>
      <c r="R80" s="102"/>
    </row>
  </sheetData>
  <mergeCells count="112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</mergeCells>
  <hyperlinks>
    <hyperlink ref="E14" r:id="rId1" xr:uid="{32E5E054-FD55-4538-A346-41DCDA27408E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F333-CBC7-4C47-B7EF-BEAD9D63DE8E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103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03" bestFit="1" customWidth="1"/>
    <col min="6" max="6" width="42" style="103" customWidth="1"/>
    <col min="7" max="7" width="255.7109375" style="1" bestFit="1" customWidth="1"/>
    <col min="8" max="8" width="33" style="103" customWidth="1"/>
    <col min="9" max="9" width="62.42578125" style="103" customWidth="1"/>
    <col min="10" max="10" width="45.140625" style="103" customWidth="1"/>
    <col min="11" max="13" width="35.28515625" style="103" bestFit="1" customWidth="1"/>
    <col min="14" max="14" width="40.7109375" style="103" bestFit="1" customWidth="1"/>
    <col min="15" max="15" width="36.85546875" style="103" bestFit="1" customWidth="1"/>
    <col min="16" max="17" width="36.85546875" style="104" customWidth="1"/>
    <col min="18" max="18" width="36.85546875" style="105" customWidth="1"/>
    <col min="19" max="16384" width="9.140625" style="1"/>
  </cols>
  <sheetData>
    <row r="1" spans="1:18" ht="31.5" customHeight="1" x14ac:dyDescent="0.25">
      <c r="A1" s="241" t="s">
        <v>144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3"/>
    </row>
    <row r="2" spans="1:18" ht="31.5" customHeight="1" x14ac:dyDescent="0.25">
      <c r="A2" s="244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6"/>
    </row>
    <row r="3" spans="1:18" ht="31.5" customHeight="1" thickBot="1" x14ac:dyDescent="0.3">
      <c r="A3" s="244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6"/>
    </row>
    <row r="4" spans="1:18" s="2" customFormat="1" ht="45.75" x14ac:dyDescent="0.25">
      <c r="A4" s="247" t="s">
        <v>0</v>
      </c>
      <c r="B4" s="248"/>
      <c r="C4" s="248"/>
      <c r="D4" s="248"/>
      <c r="E4" s="248"/>
      <c r="F4" s="248"/>
      <c r="G4" s="248"/>
      <c r="H4" s="248"/>
      <c r="I4" s="248"/>
      <c r="J4" s="248"/>
      <c r="K4" s="249"/>
      <c r="L4" s="250"/>
      <c r="M4" s="250"/>
      <c r="N4" s="250"/>
      <c r="O4" s="250"/>
      <c r="P4" s="250"/>
      <c r="Q4" s="250"/>
      <c r="R4" s="251"/>
    </row>
    <row r="5" spans="1:18" s="9" customFormat="1" ht="32.25" x14ac:dyDescent="0.5">
      <c r="A5" s="3" t="s">
        <v>1</v>
      </c>
      <c r="B5" s="4" t="s">
        <v>184</v>
      </c>
      <c r="C5" s="5" t="s">
        <v>2</v>
      </c>
      <c r="D5" s="6" t="s">
        <v>185</v>
      </c>
      <c r="E5" s="258"/>
      <c r="F5" s="258"/>
      <c r="G5" s="258"/>
      <c r="H5" s="258"/>
      <c r="I5" s="7"/>
      <c r="J5" s="8"/>
      <c r="K5" s="252"/>
      <c r="L5" s="253"/>
      <c r="M5" s="253"/>
      <c r="N5" s="253"/>
      <c r="O5" s="253"/>
      <c r="P5" s="253"/>
      <c r="Q5" s="253"/>
      <c r="R5" s="254"/>
    </row>
    <row r="6" spans="1:18" s="12" customFormat="1" ht="38.25" customHeight="1" x14ac:dyDescent="0.55000000000000004">
      <c r="A6" s="259" t="s">
        <v>3</v>
      </c>
      <c r="B6" s="260"/>
      <c r="C6" s="260"/>
      <c r="D6" s="260"/>
      <c r="E6" s="260"/>
      <c r="F6" s="260"/>
      <c r="G6" s="260"/>
      <c r="H6" s="260"/>
      <c r="I6" s="10"/>
      <c r="J6" s="11"/>
      <c r="K6" s="252"/>
      <c r="L6" s="253"/>
      <c r="M6" s="253"/>
      <c r="N6" s="253"/>
      <c r="O6" s="253"/>
      <c r="P6" s="253"/>
      <c r="Q6" s="253"/>
      <c r="R6" s="254"/>
    </row>
    <row r="7" spans="1:18" s="109" customFormat="1" ht="39" x14ac:dyDescent="0.6">
      <c r="A7" s="236" t="s">
        <v>4</v>
      </c>
      <c r="B7" s="237"/>
      <c r="C7" s="106" t="s">
        <v>5</v>
      </c>
      <c r="D7" s="107" t="s">
        <v>6</v>
      </c>
      <c r="E7" s="106" t="s">
        <v>7</v>
      </c>
      <c r="F7" s="107" t="s">
        <v>8</v>
      </c>
      <c r="G7" s="108"/>
      <c r="H7" s="107" t="s">
        <v>9</v>
      </c>
      <c r="I7" s="238" t="s">
        <v>10</v>
      </c>
      <c r="J7" s="239"/>
      <c r="K7" s="252"/>
      <c r="L7" s="253"/>
      <c r="M7" s="253"/>
      <c r="N7" s="253"/>
      <c r="O7" s="253"/>
      <c r="P7" s="253"/>
      <c r="Q7" s="253"/>
      <c r="R7" s="254"/>
    </row>
    <row r="8" spans="1:18" s="109" customFormat="1" ht="39.75" x14ac:dyDescent="0.6">
      <c r="A8" s="224" t="s">
        <v>11</v>
      </c>
      <c r="B8" s="225"/>
      <c r="C8" s="110">
        <v>88715</v>
      </c>
      <c r="D8" s="111" t="s">
        <v>12</v>
      </c>
      <c r="E8" s="112"/>
      <c r="F8" s="111" t="s">
        <v>13</v>
      </c>
      <c r="G8" s="113"/>
      <c r="H8" s="111" t="s">
        <v>14</v>
      </c>
      <c r="I8" s="226" t="s">
        <v>15</v>
      </c>
      <c r="J8" s="227"/>
      <c r="K8" s="252"/>
      <c r="L8" s="253"/>
      <c r="M8" s="253"/>
      <c r="N8" s="253"/>
      <c r="O8" s="253"/>
      <c r="P8" s="253"/>
      <c r="Q8" s="253"/>
      <c r="R8" s="254"/>
    </row>
    <row r="9" spans="1:18" s="14" customFormat="1" ht="62.25" customHeight="1" x14ac:dyDescent="0.6">
      <c r="A9" s="240" t="s">
        <v>16</v>
      </c>
      <c r="B9" s="240"/>
      <c r="C9" s="240"/>
      <c r="D9" s="240"/>
      <c r="E9" s="240"/>
      <c r="F9" s="240"/>
      <c r="G9" s="240"/>
      <c r="H9" s="240"/>
      <c r="I9" s="240"/>
      <c r="J9" s="13"/>
      <c r="K9" s="252"/>
      <c r="L9" s="253"/>
      <c r="M9" s="253"/>
      <c r="N9" s="253"/>
      <c r="O9" s="253"/>
      <c r="P9" s="253"/>
      <c r="Q9" s="253"/>
      <c r="R9" s="254"/>
    </row>
    <row r="10" spans="1:18" s="109" customFormat="1" ht="39" x14ac:dyDescent="0.6">
      <c r="A10" s="236" t="s">
        <v>4</v>
      </c>
      <c r="B10" s="237"/>
      <c r="C10" s="106" t="s">
        <v>17</v>
      </c>
      <c r="D10" s="107" t="s">
        <v>6</v>
      </c>
      <c r="E10" s="106" t="s">
        <v>18</v>
      </c>
      <c r="F10" s="107" t="s">
        <v>8</v>
      </c>
      <c r="G10" s="108" t="s">
        <v>19</v>
      </c>
      <c r="H10" s="107" t="s">
        <v>9</v>
      </c>
      <c r="I10" s="238" t="s">
        <v>20</v>
      </c>
      <c r="J10" s="239"/>
      <c r="K10" s="252"/>
      <c r="L10" s="253"/>
      <c r="M10" s="253"/>
      <c r="N10" s="253"/>
      <c r="O10" s="253"/>
      <c r="P10" s="253"/>
      <c r="Q10" s="253"/>
      <c r="R10" s="254"/>
    </row>
    <row r="11" spans="1:18" s="109" customFormat="1" ht="39.75" x14ac:dyDescent="0.6">
      <c r="A11" s="224" t="s">
        <v>11</v>
      </c>
      <c r="B11" s="225"/>
      <c r="C11" s="110">
        <v>88712</v>
      </c>
      <c r="D11" s="111" t="s">
        <v>12</v>
      </c>
      <c r="E11" s="112"/>
      <c r="F11" s="111" t="s">
        <v>13</v>
      </c>
      <c r="G11" s="113"/>
      <c r="H11" s="111" t="s">
        <v>14</v>
      </c>
      <c r="I11" s="226" t="s">
        <v>15</v>
      </c>
      <c r="J11" s="227"/>
      <c r="K11" s="252"/>
      <c r="L11" s="253"/>
      <c r="M11" s="253"/>
      <c r="N11" s="253"/>
      <c r="O11" s="253"/>
      <c r="P11" s="253"/>
      <c r="Q11" s="253"/>
      <c r="R11" s="254"/>
    </row>
    <row r="12" spans="1:18" s="14" customFormat="1" ht="39" x14ac:dyDescent="0.6">
      <c r="A12" s="240" t="s">
        <v>21</v>
      </c>
      <c r="B12" s="240"/>
      <c r="C12" s="240"/>
      <c r="D12" s="240"/>
      <c r="E12" s="240"/>
      <c r="F12" s="240"/>
      <c r="G12" s="240"/>
      <c r="H12" s="240"/>
      <c r="I12" s="240"/>
      <c r="J12" s="13"/>
      <c r="K12" s="252"/>
      <c r="L12" s="253"/>
      <c r="M12" s="253"/>
      <c r="N12" s="253"/>
      <c r="O12" s="253"/>
      <c r="P12" s="253"/>
      <c r="Q12" s="253"/>
      <c r="R12" s="254"/>
    </row>
    <row r="13" spans="1:18" s="109" customFormat="1" ht="39" x14ac:dyDescent="0.6">
      <c r="A13" s="236" t="s">
        <v>4</v>
      </c>
      <c r="B13" s="237"/>
      <c r="C13" s="106" t="s">
        <v>22</v>
      </c>
      <c r="D13" s="107" t="s">
        <v>6</v>
      </c>
      <c r="E13" s="106" t="s">
        <v>23</v>
      </c>
      <c r="F13" s="107" t="s">
        <v>8</v>
      </c>
      <c r="G13" s="108" t="s">
        <v>24</v>
      </c>
      <c r="H13" s="107" t="s">
        <v>9</v>
      </c>
      <c r="I13" s="238" t="s">
        <v>25</v>
      </c>
      <c r="J13" s="239"/>
      <c r="K13" s="252"/>
      <c r="L13" s="253"/>
      <c r="M13" s="253"/>
      <c r="N13" s="253"/>
      <c r="O13" s="253"/>
      <c r="P13" s="253"/>
      <c r="Q13" s="253"/>
      <c r="R13" s="254"/>
    </row>
    <row r="14" spans="1:18" s="109" customFormat="1" ht="39.75" x14ac:dyDescent="0.6">
      <c r="A14" s="224" t="s">
        <v>11</v>
      </c>
      <c r="B14" s="225"/>
      <c r="C14" s="110">
        <v>60694</v>
      </c>
      <c r="D14" s="111" t="s">
        <v>12</v>
      </c>
      <c r="E14" s="112" t="s">
        <v>26</v>
      </c>
      <c r="F14" s="111" t="s">
        <v>13</v>
      </c>
      <c r="G14" s="113"/>
      <c r="H14" s="111" t="s">
        <v>14</v>
      </c>
      <c r="I14" s="226" t="s">
        <v>15</v>
      </c>
      <c r="J14" s="227"/>
      <c r="K14" s="252"/>
      <c r="L14" s="253"/>
      <c r="M14" s="253"/>
      <c r="N14" s="253"/>
      <c r="O14" s="253"/>
      <c r="P14" s="253"/>
      <c r="Q14" s="253"/>
      <c r="R14" s="254"/>
    </row>
    <row r="15" spans="1:18" s="16" customFormat="1" ht="20.25" customHeight="1" thickBot="1" x14ac:dyDescent="0.75">
      <c r="A15" s="228"/>
      <c r="B15" s="229"/>
      <c r="C15" s="229"/>
      <c r="D15" s="229"/>
      <c r="E15" s="229"/>
      <c r="F15" s="229"/>
      <c r="G15" s="229"/>
      <c r="H15" s="229"/>
      <c r="I15" s="229"/>
      <c r="J15" s="15"/>
      <c r="K15" s="255"/>
      <c r="L15" s="256"/>
      <c r="M15" s="256"/>
      <c r="N15" s="256"/>
      <c r="O15" s="256"/>
      <c r="P15" s="256"/>
      <c r="Q15" s="256"/>
      <c r="R15" s="257"/>
    </row>
    <row r="16" spans="1:18" s="16" customFormat="1" ht="47.25" x14ac:dyDescent="0.7">
      <c r="A16" s="230" t="s">
        <v>27</v>
      </c>
      <c r="B16" s="231"/>
      <c r="C16" s="231"/>
      <c r="D16" s="231"/>
      <c r="E16" s="231"/>
      <c r="F16" s="231"/>
      <c r="G16" s="231"/>
      <c r="H16" s="231"/>
      <c r="I16" s="231"/>
      <c r="J16" s="17"/>
      <c r="K16" s="18"/>
      <c r="L16" s="19"/>
      <c r="M16" s="19"/>
      <c r="N16" s="19"/>
      <c r="O16" s="19"/>
      <c r="P16" s="20"/>
      <c r="Q16" s="20"/>
      <c r="R16" s="21"/>
    </row>
    <row r="17" spans="1:18" s="23" customFormat="1" ht="31.5" customHeight="1" x14ac:dyDescent="0.25">
      <c r="A17" s="232" t="s">
        <v>28</v>
      </c>
      <c r="B17" s="234" t="s">
        <v>29</v>
      </c>
      <c r="C17" s="235" t="s">
        <v>30</v>
      </c>
      <c r="D17" s="235" t="s">
        <v>31</v>
      </c>
      <c r="E17" s="235" t="s">
        <v>30</v>
      </c>
      <c r="F17" s="217" t="s">
        <v>32</v>
      </c>
      <c r="G17" s="217" t="s">
        <v>33</v>
      </c>
      <c r="H17" s="219" t="s">
        <v>34</v>
      </c>
      <c r="I17" s="217" t="s">
        <v>35</v>
      </c>
      <c r="J17" s="221" t="s">
        <v>36</v>
      </c>
      <c r="K17" s="222"/>
      <c r="L17" s="222"/>
      <c r="M17" s="222"/>
      <c r="N17" s="222"/>
      <c r="O17" s="223"/>
      <c r="P17" s="214" t="s">
        <v>147</v>
      </c>
      <c r="Q17" s="214" t="s">
        <v>148</v>
      </c>
      <c r="R17" s="205" t="s">
        <v>149</v>
      </c>
    </row>
    <row r="18" spans="1:18" s="23" customFormat="1" ht="36" x14ac:dyDescent="0.25">
      <c r="A18" s="233"/>
      <c r="B18" s="234"/>
      <c r="C18" s="234"/>
      <c r="D18" s="234"/>
      <c r="E18" s="234"/>
      <c r="F18" s="218"/>
      <c r="G18" s="218"/>
      <c r="H18" s="220"/>
      <c r="I18" s="218"/>
      <c r="J18" s="24" t="s">
        <v>150</v>
      </c>
      <c r="K18" s="22" t="s">
        <v>151</v>
      </c>
      <c r="L18" s="22" t="s">
        <v>152</v>
      </c>
      <c r="M18" s="24" t="s">
        <v>153</v>
      </c>
      <c r="N18" s="24" t="s">
        <v>154</v>
      </c>
      <c r="O18" s="24" t="s">
        <v>155</v>
      </c>
      <c r="P18" s="215"/>
      <c r="Q18" s="215"/>
      <c r="R18" s="206"/>
    </row>
    <row r="19" spans="1:18" s="35" customFormat="1" ht="147" customHeight="1" x14ac:dyDescent="0.25">
      <c r="A19" s="120">
        <v>1</v>
      </c>
      <c r="B19" s="123" t="s">
        <v>43</v>
      </c>
      <c r="C19" s="126">
        <f>0.5 *1.69794730299263</f>
        <v>0.84897365149631498</v>
      </c>
      <c r="D19" s="25" t="s">
        <v>44</v>
      </c>
      <c r="E19" s="26">
        <f>C19/5</f>
        <v>0.16979473029926301</v>
      </c>
      <c r="F19" s="26">
        <f t="shared" ref="F19:F40" si="0">E19/$E$41 * 100</f>
        <v>0.33958946059852602</v>
      </c>
      <c r="G19" s="27" t="s">
        <v>45</v>
      </c>
      <c r="H19" s="28">
        <v>1</v>
      </c>
      <c r="I19" s="29" t="s">
        <v>46</v>
      </c>
      <c r="J19" s="30">
        <v>100</v>
      </c>
      <c r="K19" s="31">
        <v>95</v>
      </c>
      <c r="L19" s="31">
        <v>90</v>
      </c>
      <c r="M19" s="31">
        <v>85</v>
      </c>
      <c r="N19" s="31">
        <v>80</v>
      </c>
      <c r="O19" s="31" t="s">
        <v>47</v>
      </c>
      <c r="P19" s="32"/>
      <c r="Q19" s="3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34">
        <f t="shared" ref="R19:R40" si="2">F19*Q19/100</f>
        <v>0</v>
      </c>
    </row>
    <row r="20" spans="1:18" s="35" customFormat="1" ht="147" customHeight="1" x14ac:dyDescent="0.25">
      <c r="A20" s="121"/>
      <c r="B20" s="124"/>
      <c r="C20" s="127"/>
      <c r="D20" s="25" t="s">
        <v>48</v>
      </c>
      <c r="E20" s="26">
        <f>C19/5</f>
        <v>0.16979473029926301</v>
      </c>
      <c r="F20" s="26">
        <f t="shared" si="0"/>
        <v>0.33958946059852602</v>
      </c>
      <c r="G20" s="27" t="s">
        <v>49</v>
      </c>
      <c r="H20" s="28">
        <v>1</v>
      </c>
      <c r="I20" s="29" t="s">
        <v>46</v>
      </c>
      <c r="J20" s="30">
        <v>100</v>
      </c>
      <c r="K20" s="31">
        <v>95</v>
      </c>
      <c r="L20" s="31">
        <v>90</v>
      </c>
      <c r="M20" s="31">
        <v>85</v>
      </c>
      <c r="N20" s="31">
        <v>80</v>
      </c>
      <c r="O20" s="31" t="s">
        <v>47</v>
      </c>
      <c r="P20" s="32"/>
      <c r="Q20" s="33">
        <f t="shared" si="1"/>
        <v>0</v>
      </c>
      <c r="R20" s="34">
        <f t="shared" si="2"/>
        <v>0</v>
      </c>
    </row>
    <row r="21" spans="1:18" s="35" customFormat="1" ht="147" customHeight="1" x14ac:dyDescent="0.25">
      <c r="A21" s="121"/>
      <c r="B21" s="124"/>
      <c r="C21" s="127"/>
      <c r="D21" s="25" t="s">
        <v>50</v>
      </c>
      <c r="E21" s="26">
        <f>C19/5</f>
        <v>0.16979473029926301</v>
      </c>
      <c r="F21" s="26">
        <f t="shared" si="0"/>
        <v>0.33958946059852602</v>
      </c>
      <c r="G21" s="27" t="s">
        <v>51</v>
      </c>
      <c r="H21" s="28">
        <v>1</v>
      </c>
      <c r="I21" s="29" t="s">
        <v>46</v>
      </c>
      <c r="J21" s="30">
        <v>100</v>
      </c>
      <c r="K21" s="31">
        <v>95</v>
      </c>
      <c r="L21" s="31">
        <v>90</v>
      </c>
      <c r="M21" s="31">
        <v>85</v>
      </c>
      <c r="N21" s="31">
        <v>80</v>
      </c>
      <c r="O21" s="31" t="s">
        <v>47</v>
      </c>
      <c r="P21" s="32"/>
      <c r="Q21" s="33">
        <f t="shared" si="1"/>
        <v>0</v>
      </c>
      <c r="R21" s="34">
        <f t="shared" si="2"/>
        <v>0</v>
      </c>
    </row>
    <row r="22" spans="1:18" s="35" customFormat="1" ht="147" customHeight="1" x14ac:dyDescent="0.25">
      <c r="A22" s="121"/>
      <c r="B22" s="124"/>
      <c r="C22" s="127"/>
      <c r="D22" s="25" t="s">
        <v>52</v>
      </c>
      <c r="E22" s="26">
        <f>C19/5</f>
        <v>0.16979473029926301</v>
      </c>
      <c r="F22" s="26">
        <f t="shared" si="0"/>
        <v>0.33958946059852602</v>
      </c>
      <c r="G22" s="27" t="s">
        <v>53</v>
      </c>
      <c r="H22" s="36">
        <v>5</v>
      </c>
      <c r="I22" s="29" t="s">
        <v>54</v>
      </c>
      <c r="J22" s="30" t="s">
        <v>55</v>
      </c>
      <c r="K22" s="31">
        <v>5</v>
      </c>
      <c r="L22" s="31">
        <v>4</v>
      </c>
      <c r="M22" s="31">
        <v>3</v>
      </c>
      <c r="N22" s="31">
        <v>2</v>
      </c>
      <c r="O22" s="31">
        <v>1</v>
      </c>
      <c r="P22" s="32"/>
      <c r="Q22" s="33">
        <f t="shared" si="1"/>
        <v>0</v>
      </c>
      <c r="R22" s="34">
        <f t="shared" si="2"/>
        <v>0</v>
      </c>
    </row>
    <row r="23" spans="1:18" s="35" customFormat="1" ht="147" customHeight="1" x14ac:dyDescent="0.25">
      <c r="A23" s="122"/>
      <c r="B23" s="125"/>
      <c r="C23" s="128"/>
      <c r="D23" s="25" t="s">
        <v>56</v>
      </c>
      <c r="E23" s="26">
        <f>C19/5</f>
        <v>0.16979473029926301</v>
      </c>
      <c r="F23" s="26">
        <f t="shared" si="0"/>
        <v>0.33958946059852602</v>
      </c>
      <c r="G23" s="27" t="s">
        <v>57</v>
      </c>
      <c r="H23" s="28">
        <v>1</v>
      </c>
      <c r="I23" s="29" t="s">
        <v>46</v>
      </c>
      <c r="J23" s="30">
        <v>100</v>
      </c>
      <c r="K23" s="31">
        <v>95</v>
      </c>
      <c r="L23" s="31">
        <v>90</v>
      </c>
      <c r="M23" s="31">
        <v>85</v>
      </c>
      <c r="N23" s="31">
        <v>80</v>
      </c>
      <c r="O23" s="31" t="s">
        <v>47</v>
      </c>
      <c r="P23" s="32"/>
      <c r="Q23" s="33">
        <f t="shared" si="1"/>
        <v>0</v>
      </c>
      <c r="R23" s="34">
        <f t="shared" si="2"/>
        <v>0</v>
      </c>
    </row>
    <row r="24" spans="1:18" s="35" customFormat="1" ht="147" customHeight="1" x14ac:dyDescent="0.25">
      <c r="A24" s="36">
        <v>2</v>
      </c>
      <c r="B24" s="25" t="s">
        <v>58</v>
      </c>
      <c r="C24" s="116">
        <f>0.5 *1.01876838179558</f>
        <v>0.50938419089778997</v>
      </c>
      <c r="D24" s="25" t="s">
        <v>59</v>
      </c>
      <c r="E24" s="26">
        <f>C24</f>
        <v>0.50938419089778997</v>
      </c>
      <c r="F24" s="26">
        <f t="shared" si="0"/>
        <v>1.0187683817955799</v>
      </c>
      <c r="G24" s="27" t="s">
        <v>60</v>
      </c>
      <c r="H24" s="28">
        <v>0.5</v>
      </c>
      <c r="I24" s="29" t="s">
        <v>46</v>
      </c>
      <c r="J24" s="30" t="s">
        <v>61</v>
      </c>
      <c r="K24" s="31">
        <v>50</v>
      </c>
      <c r="L24" s="31">
        <v>45</v>
      </c>
      <c r="M24" s="31">
        <v>40</v>
      </c>
      <c r="N24" s="31">
        <v>25</v>
      </c>
      <c r="O24" s="31" t="s">
        <v>62</v>
      </c>
      <c r="P24" s="32"/>
      <c r="Q24" s="33">
        <f t="shared" si="1"/>
        <v>0</v>
      </c>
      <c r="R24" s="34">
        <f t="shared" si="2"/>
        <v>0</v>
      </c>
    </row>
    <row r="25" spans="1:18" s="35" customFormat="1" ht="147" customHeight="1" x14ac:dyDescent="0.25">
      <c r="A25" s="120">
        <v>3</v>
      </c>
      <c r="B25" s="123" t="s">
        <v>63</v>
      </c>
      <c r="C25" s="126">
        <f>0.5 *90.5976168096783</f>
        <v>45.29880840483915</v>
      </c>
      <c r="D25" s="25" t="s">
        <v>64</v>
      </c>
      <c r="E25" s="26">
        <f>C25/10</f>
        <v>4.5298808404839148</v>
      </c>
      <c r="F25" s="26">
        <f t="shared" si="0"/>
        <v>9.0597616809678296</v>
      </c>
      <c r="G25" s="25" t="s">
        <v>65</v>
      </c>
      <c r="H25" s="37">
        <v>0.8</v>
      </c>
      <c r="I25" s="36" t="s">
        <v>46</v>
      </c>
      <c r="J25" s="30" t="s">
        <v>66</v>
      </c>
      <c r="K25" s="31">
        <v>80</v>
      </c>
      <c r="L25" s="31">
        <v>75</v>
      </c>
      <c r="M25" s="31">
        <v>70</v>
      </c>
      <c r="N25" s="31">
        <v>50</v>
      </c>
      <c r="O25" s="31" t="s">
        <v>67</v>
      </c>
      <c r="P25" s="32"/>
      <c r="Q25" s="33">
        <f t="shared" si="1"/>
        <v>0</v>
      </c>
      <c r="R25" s="34">
        <f t="shared" si="2"/>
        <v>0</v>
      </c>
    </row>
    <row r="26" spans="1:18" s="35" customFormat="1" ht="147" customHeight="1" x14ac:dyDescent="0.25">
      <c r="A26" s="121"/>
      <c r="B26" s="124"/>
      <c r="C26" s="127"/>
      <c r="D26" s="25" t="s">
        <v>68</v>
      </c>
      <c r="E26" s="26">
        <f>C25/10</f>
        <v>4.5298808404839148</v>
      </c>
      <c r="F26" s="26">
        <f t="shared" si="0"/>
        <v>9.0597616809678296</v>
      </c>
      <c r="G26" s="25" t="s">
        <v>69</v>
      </c>
      <c r="H26" s="37">
        <v>1</v>
      </c>
      <c r="I26" s="29" t="s">
        <v>46</v>
      </c>
      <c r="J26" s="30">
        <v>100</v>
      </c>
      <c r="K26" s="31">
        <v>95</v>
      </c>
      <c r="L26" s="31">
        <v>90</v>
      </c>
      <c r="M26" s="31">
        <v>85</v>
      </c>
      <c r="N26" s="31">
        <v>80</v>
      </c>
      <c r="O26" s="31" t="s">
        <v>47</v>
      </c>
      <c r="P26" s="32"/>
      <c r="Q26" s="33">
        <f t="shared" si="1"/>
        <v>0</v>
      </c>
      <c r="R26" s="34">
        <f t="shared" si="2"/>
        <v>0</v>
      </c>
    </row>
    <row r="27" spans="1:18" s="35" customFormat="1" ht="147" customHeight="1" x14ac:dyDescent="0.25">
      <c r="A27" s="121"/>
      <c r="B27" s="124"/>
      <c r="C27" s="127"/>
      <c r="D27" s="25" t="s">
        <v>70</v>
      </c>
      <c r="E27" s="26">
        <f>C25/10</f>
        <v>4.5298808404839148</v>
      </c>
      <c r="F27" s="26">
        <f t="shared" si="0"/>
        <v>9.0597616809678296</v>
      </c>
      <c r="G27" s="25" t="s">
        <v>71</v>
      </c>
      <c r="H27" s="37">
        <v>0.9</v>
      </c>
      <c r="I27" s="36" t="s">
        <v>46</v>
      </c>
      <c r="J27" s="30" t="s">
        <v>72</v>
      </c>
      <c r="K27" s="31">
        <v>90</v>
      </c>
      <c r="L27" s="31">
        <v>80</v>
      </c>
      <c r="M27" s="31">
        <v>70</v>
      </c>
      <c r="N27" s="31">
        <v>50</v>
      </c>
      <c r="O27" s="31" t="s">
        <v>67</v>
      </c>
      <c r="P27" s="32"/>
      <c r="Q27" s="33">
        <f t="shared" si="1"/>
        <v>0</v>
      </c>
      <c r="R27" s="34">
        <f t="shared" si="2"/>
        <v>0</v>
      </c>
    </row>
    <row r="28" spans="1:18" s="35" customFormat="1" ht="147" customHeight="1" x14ac:dyDescent="0.25">
      <c r="A28" s="121"/>
      <c r="B28" s="124"/>
      <c r="C28" s="127"/>
      <c r="D28" s="25" t="s">
        <v>73</v>
      </c>
      <c r="E28" s="26">
        <f>C25/10</f>
        <v>4.5298808404839148</v>
      </c>
      <c r="F28" s="26">
        <f t="shared" si="0"/>
        <v>9.0597616809678296</v>
      </c>
      <c r="G28" s="25" t="s">
        <v>74</v>
      </c>
      <c r="H28" s="37">
        <v>0.8</v>
      </c>
      <c r="I28" s="36" t="s">
        <v>46</v>
      </c>
      <c r="J28" s="30" t="s">
        <v>66</v>
      </c>
      <c r="K28" s="31">
        <v>80</v>
      </c>
      <c r="L28" s="31">
        <v>75</v>
      </c>
      <c r="M28" s="31">
        <v>70</v>
      </c>
      <c r="N28" s="31">
        <v>50</v>
      </c>
      <c r="O28" s="31" t="s">
        <v>67</v>
      </c>
      <c r="P28" s="32"/>
      <c r="Q28" s="33">
        <f t="shared" si="1"/>
        <v>0</v>
      </c>
      <c r="R28" s="34">
        <f t="shared" si="2"/>
        <v>0</v>
      </c>
    </row>
    <row r="29" spans="1:18" s="35" customFormat="1" ht="147" customHeight="1" x14ac:dyDescent="0.25">
      <c r="A29" s="121"/>
      <c r="B29" s="124"/>
      <c r="C29" s="127"/>
      <c r="D29" s="25" t="s">
        <v>75</v>
      </c>
      <c r="E29" s="26">
        <f>C25/10</f>
        <v>4.5298808404839148</v>
      </c>
      <c r="F29" s="26">
        <f t="shared" si="0"/>
        <v>9.0597616809678296</v>
      </c>
      <c r="G29" s="25" t="s">
        <v>76</v>
      </c>
      <c r="H29" s="37">
        <v>0.9</v>
      </c>
      <c r="I29" s="36" t="s">
        <v>46</v>
      </c>
      <c r="J29" s="30" t="s">
        <v>72</v>
      </c>
      <c r="K29" s="31">
        <v>90</v>
      </c>
      <c r="L29" s="31">
        <v>80</v>
      </c>
      <c r="M29" s="31">
        <v>70</v>
      </c>
      <c r="N29" s="31">
        <v>50</v>
      </c>
      <c r="O29" s="31" t="s">
        <v>67</v>
      </c>
      <c r="P29" s="32"/>
      <c r="Q29" s="33">
        <f t="shared" si="1"/>
        <v>0</v>
      </c>
      <c r="R29" s="34">
        <f t="shared" si="2"/>
        <v>0</v>
      </c>
    </row>
    <row r="30" spans="1:18" s="35" customFormat="1" ht="147" customHeight="1" x14ac:dyDescent="0.25">
      <c r="A30" s="121"/>
      <c r="B30" s="124"/>
      <c r="C30" s="127"/>
      <c r="D30" s="25" t="s">
        <v>77</v>
      </c>
      <c r="E30" s="26">
        <f>C25/10</f>
        <v>4.5298808404839148</v>
      </c>
      <c r="F30" s="26">
        <f t="shared" si="0"/>
        <v>9.0597616809678296</v>
      </c>
      <c r="G30" s="25" t="s">
        <v>78</v>
      </c>
      <c r="H30" s="37">
        <v>0.8</v>
      </c>
      <c r="I30" s="36" t="s">
        <v>46</v>
      </c>
      <c r="J30" s="30" t="s">
        <v>66</v>
      </c>
      <c r="K30" s="31">
        <v>80</v>
      </c>
      <c r="L30" s="31">
        <v>75</v>
      </c>
      <c r="M30" s="31">
        <v>70</v>
      </c>
      <c r="N30" s="31">
        <v>50</v>
      </c>
      <c r="O30" s="31" t="s">
        <v>67</v>
      </c>
      <c r="P30" s="32"/>
      <c r="Q30" s="33">
        <f t="shared" si="1"/>
        <v>0</v>
      </c>
      <c r="R30" s="34">
        <f t="shared" si="2"/>
        <v>0</v>
      </c>
    </row>
    <row r="31" spans="1:18" s="35" customFormat="1" ht="147" customHeight="1" x14ac:dyDescent="0.25">
      <c r="A31" s="121"/>
      <c r="B31" s="124"/>
      <c r="C31" s="127"/>
      <c r="D31" s="25" t="s">
        <v>79</v>
      </c>
      <c r="E31" s="26">
        <f>C25/10</f>
        <v>4.5298808404839148</v>
      </c>
      <c r="F31" s="26">
        <f t="shared" si="0"/>
        <v>9.0597616809678296</v>
      </c>
      <c r="G31" s="25" t="s">
        <v>80</v>
      </c>
      <c r="H31" s="37">
        <v>0.9</v>
      </c>
      <c r="I31" s="36" t="s">
        <v>46</v>
      </c>
      <c r="J31" s="30" t="s">
        <v>72</v>
      </c>
      <c r="K31" s="31">
        <v>90</v>
      </c>
      <c r="L31" s="31">
        <v>80</v>
      </c>
      <c r="M31" s="31">
        <v>70</v>
      </c>
      <c r="N31" s="31">
        <v>50</v>
      </c>
      <c r="O31" s="31" t="s">
        <v>67</v>
      </c>
      <c r="P31" s="32"/>
      <c r="Q31" s="33">
        <f t="shared" si="1"/>
        <v>0</v>
      </c>
      <c r="R31" s="34">
        <f t="shared" si="2"/>
        <v>0</v>
      </c>
    </row>
    <row r="32" spans="1:18" s="35" customFormat="1" ht="147" customHeight="1" x14ac:dyDescent="0.25">
      <c r="A32" s="121"/>
      <c r="B32" s="124"/>
      <c r="C32" s="127"/>
      <c r="D32" s="25" t="s">
        <v>81</v>
      </c>
      <c r="E32" s="26">
        <f>C25/10</f>
        <v>4.5298808404839148</v>
      </c>
      <c r="F32" s="26">
        <f t="shared" si="0"/>
        <v>9.0597616809678296</v>
      </c>
      <c r="G32" s="25" t="s">
        <v>82</v>
      </c>
      <c r="H32" s="37">
        <v>0.8</v>
      </c>
      <c r="I32" s="36" t="s">
        <v>46</v>
      </c>
      <c r="J32" s="30" t="s">
        <v>66</v>
      </c>
      <c r="K32" s="31">
        <v>80</v>
      </c>
      <c r="L32" s="31">
        <v>75</v>
      </c>
      <c r="M32" s="31">
        <v>70</v>
      </c>
      <c r="N32" s="31">
        <v>50</v>
      </c>
      <c r="O32" s="31" t="s">
        <v>67</v>
      </c>
      <c r="P32" s="32"/>
      <c r="Q32" s="33">
        <f t="shared" si="1"/>
        <v>0</v>
      </c>
      <c r="R32" s="34">
        <f t="shared" si="2"/>
        <v>0</v>
      </c>
    </row>
    <row r="33" spans="1:18" s="35" customFormat="1" ht="147" customHeight="1" x14ac:dyDescent="0.25">
      <c r="A33" s="121"/>
      <c r="B33" s="124"/>
      <c r="C33" s="127"/>
      <c r="D33" s="25" t="s">
        <v>83</v>
      </c>
      <c r="E33" s="26">
        <f>C25/10</f>
        <v>4.5298808404839148</v>
      </c>
      <c r="F33" s="26">
        <f t="shared" si="0"/>
        <v>9.0597616809678296</v>
      </c>
      <c r="G33" s="25" t="s">
        <v>84</v>
      </c>
      <c r="H33" s="36">
        <v>80</v>
      </c>
      <c r="I33" s="36" t="s">
        <v>46</v>
      </c>
      <c r="J33" s="30" t="s">
        <v>66</v>
      </c>
      <c r="K33" s="31">
        <v>80</v>
      </c>
      <c r="L33" s="31">
        <v>75</v>
      </c>
      <c r="M33" s="31">
        <v>70</v>
      </c>
      <c r="N33" s="31">
        <v>50</v>
      </c>
      <c r="O33" s="31" t="s">
        <v>67</v>
      </c>
      <c r="P33" s="32"/>
      <c r="Q33" s="33">
        <f t="shared" si="1"/>
        <v>0</v>
      </c>
      <c r="R33" s="34">
        <f t="shared" si="2"/>
        <v>0</v>
      </c>
    </row>
    <row r="34" spans="1:18" s="35" customFormat="1" ht="147" customHeight="1" x14ac:dyDescent="0.25">
      <c r="A34" s="122"/>
      <c r="B34" s="125"/>
      <c r="C34" s="128"/>
      <c r="D34" s="25" t="s">
        <v>85</v>
      </c>
      <c r="E34" s="26">
        <f>C25/10</f>
        <v>4.5298808404839148</v>
      </c>
      <c r="F34" s="26">
        <f t="shared" si="0"/>
        <v>9.0597616809678296</v>
      </c>
      <c r="G34" s="25" t="s">
        <v>86</v>
      </c>
      <c r="H34" s="37">
        <v>0.8</v>
      </c>
      <c r="I34" s="36" t="s">
        <v>46</v>
      </c>
      <c r="J34" s="30" t="s">
        <v>66</v>
      </c>
      <c r="K34" s="31">
        <v>80</v>
      </c>
      <c r="L34" s="31">
        <v>75</v>
      </c>
      <c r="M34" s="31">
        <v>70</v>
      </c>
      <c r="N34" s="31">
        <v>50</v>
      </c>
      <c r="O34" s="31" t="s">
        <v>67</v>
      </c>
      <c r="P34" s="32"/>
      <c r="Q34" s="33">
        <f t="shared" si="1"/>
        <v>0</v>
      </c>
      <c r="R34" s="34">
        <f t="shared" si="2"/>
        <v>0</v>
      </c>
    </row>
    <row r="35" spans="1:18" s="35" customFormat="1" ht="147" customHeight="1" x14ac:dyDescent="0.25">
      <c r="A35" s="36">
        <v>4</v>
      </c>
      <c r="B35" s="25" t="s">
        <v>87</v>
      </c>
      <c r="C35" s="38">
        <f>0.5 *1.5918255965556</f>
        <v>0.79591279827780004</v>
      </c>
      <c r="D35" s="25" t="s">
        <v>88</v>
      </c>
      <c r="E35" s="26">
        <f>C35</f>
        <v>0.79591279827780004</v>
      </c>
      <c r="F35" s="26">
        <f t="shared" si="0"/>
        <v>1.5918255965556003</v>
      </c>
      <c r="G35" s="27" t="s">
        <v>89</v>
      </c>
      <c r="H35" s="36">
        <v>5</v>
      </c>
      <c r="I35" s="29" t="s">
        <v>54</v>
      </c>
      <c r="J35" s="30" t="s">
        <v>55</v>
      </c>
      <c r="K35" s="31">
        <v>5</v>
      </c>
      <c r="L35" s="31">
        <v>4</v>
      </c>
      <c r="M35" s="31">
        <v>3</v>
      </c>
      <c r="N35" s="31">
        <v>2</v>
      </c>
      <c r="O35" s="31">
        <v>1</v>
      </c>
      <c r="P35" s="32"/>
      <c r="Q35" s="33">
        <f t="shared" si="1"/>
        <v>0</v>
      </c>
      <c r="R35" s="34">
        <f t="shared" si="2"/>
        <v>0</v>
      </c>
    </row>
    <row r="36" spans="1:18" s="35" customFormat="1" ht="147" customHeight="1" x14ac:dyDescent="0.25">
      <c r="A36" s="120">
        <v>5</v>
      </c>
      <c r="B36" s="123" t="s">
        <v>90</v>
      </c>
      <c r="C36" s="129">
        <f>0.5 *3.18365119311119</f>
        <v>1.591825596555595</v>
      </c>
      <c r="D36" s="25" t="s">
        <v>91</v>
      </c>
      <c r="E36" s="26">
        <f>C36/2</f>
        <v>0.79591279827779748</v>
      </c>
      <c r="F36" s="26">
        <f t="shared" si="0"/>
        <v>1.591825596555595</v>
      </c>
      <c r="G36" s="27" t="s">
        <v>92</v>
      </c>
      <c r="H36" s="37">
        <v>0.8</v>
      </c>
      <c r="I36" s="36" t="s">
        <v>46</v>
      </c>
      <c r="J36" s="30" t="s">
        <v>66</v>
      </c>
      <c r="K36" s="31">
        <v>80</v>
      </c>
      <c r="L36" s="31">
        <v>75</v>
      </c>
      <c r="M36" s="31">
        <v>70</v>
      </c>
      <c r="N36" s="31">
        <v>50</v>
      </c>
      <c r="O36" s="31" t="s">
        <v>67</v>
      </c>
      <c r="P36" s="32"/>
      <c r="Q36" s="33">
        <f t="shared" si="1"/>
        <v>0</v>
      </c>
      <c r="R36" s="34">
        <f t="shared" si="2"/>
        <v>0</v>
      </c>
    </row>
    <row r="37" spans="1:18" s="35" customFormat="1" ht="147" customHeight="1" x14ac:dyDescent="0.25">
      <c r="A37" s="122"/>
      <c r="B37" s="125"/>
      <c r="C37" s="130"/>
      <c r="D37" s="25" t="s">
        <v>93</v>
      </c>
      <c r="E37" s="26">
        <f>C36/2</f>
        <v>0.79591279827779748</v>
      </c>
      <c r="F37" s="26">
        <f t="shared" si="0"/>
        <v>1.591825596555595</v>
      </c>
      <c r="G37" s="27" t="s">
        <v>94</v>
      </c>
      <c r="H37" s="37">
        <v>0.8</v>
      </c>
      <c r="I37" s="36" t="s">
        <v>46</v>
      </c>
      <c r="J37" s="30" t="s">
        <v>66</v>
      </c>
      <c r="K37" s="31">
        <v>80</v>
      </c>
      <c r="L37" s="31">
        <v>75</v>
      </c>
      <c r="M37" s="31">
        <v>70</v>
      </c>
      <c r="N37" s="31">
        <v>50</v>
      </c>
      <c r="O37" s="31" t="s">
        <v>67</v>
      </c>
      <c r="P37" s="32"/>
      <c r="Q37" s="33">
        <f t="shared" si="1"/>
        <v>0</v>
      </c>
      <c r="R37" s="34">
        <f t="shared" si="2"/>
        <v>0</v>
      </c>
    </row>
    <row r="38" spans="1:18" s="35" customFormat="1" ht="147" customHeight="1" x14ac:dyDescent="0.25">
      <c r="A38" s="114">
        <v>6</v>
      </c>
      <c r="B38" s="115" t="s">
        <v>95</v>
      </c>
      <c r="C38" s="117">
        <f>0.5 *1.0612170643704</f>
        <v>0.53060853218519999</v>
      </c>
      <c r="D38" s="25" t="s">
        <v>96</v>
      </c>
      <c r="E38" s="26">
        <f>C38</f>
        <v>0.53060853218519999</v>
      </c>
      <c r="F38" s="26">
        <f t="shared" si="0"/>
        <v>1.0612170643704</v>
      </c>
      <c r="G38" s="27" t="s">
        <v>97</v>
      </c>
      <c r="H38" s="37">
        <v>0.8</v>
      </c>
      <c r="I38" s="36" t="s">
        <v>46</v>
      </c>
      <c r="J38" s="30" t="s">
        <v>66</v>
      </c>
      <c r="K38" s="31">
        <v>80</v>
      </c>
      <c r="L38" s="31">
        <v>75</v>
      </c>
      <c r="M38" s="31">
        <v>70</v>
      </c>
      <c r="N38" s="31">
        <v>50</v>
      </c>
      <c r="O38" s="31" t="s">
        <v>67</v>
      </c>
      <c r="P38" s="32"/>
      <c r="Q38" s="33">
        <f t="shared" si="1"/>
        <v>0</v>
      </c>
      <c r="R38" s="34">
        <f t="shared" si="2"/>
        <v>0</v>
      </c>
    </row>
    <row r="39" spans="1:18" s="35" customFormat="1" ht="147" customHeight="1" x14ac:dyDescent="0.25">
      <c r="A39" s="36">
        <v>7</v>
      </c>
      <c r="B39" s="25" t="s">
        <v>98</v>
      </c>
      <c r="C39" s="38">
        <f>0.5 *0.424486825748159</f>
        <v>0.2122434128740795</v>
      </c>
      <c r="D39" s="115" t="s">
        <v>99</v>
      </c>
      <c r="E39" s="26">
        <f>C39</f>
        <v>0.2122434128740795</v>
      </c>
      <c r="F39" s="26">
        <f t="shared" si="0"/>
        <v>0.42448682574815894</v>
      </c>
      <c r="G39" s="27" t="s">
        <v>100</v>
      </c>
      <c r="H39" s="28">
        <v>0.7</v>
      </c>
      <c r="I39" s="36" t="s">
        <v>46</v>
      </c>
      <c r="J39" s="30" t="s">
        <v>101</v>
      </c>
      <c r="K39" s="31">
        <v>70</v>
      </c>
      <c r="L39" s="31">
        <v>60</v>
      </c>
      <c r="M39" s="31">
        <v>50</v>
      </c>
      <c r="N39" s="31">
        <v>40</v>
      </c>
      <c r="O39" s="31" t="s">
        <v>102</v>
      </c>
      <c r="P39" s="32"/>
      <c r="Q39" s="33">
        <f t="shared" si="1"/>
        <v>0</v>
      </c>
      <c r="R39" s="34">
        <f t="shared" si="2"/>
        <v>0</v>
      </c>
    </row>
    <row r="40" spans="1:18" s="35" customFormat="1" ht="147" customHeight="1" x14ac:dyDescent="0.25">
      <c r="A40" s="36">
        <v>8</v>
      </c>
      <c r="B40" s="25" t="s">
        <v>103</v>
      </c>
      <c r="C40" s="38">
        <f>0.5 *0.424486825748159</f>
        <v>0.2122434128740795</v>
      </c>
      <c r="D40" s="27" t="s">
        <v>104</v>
      </c>
      <c r="E40" s="26">
        <f>C40</f>
        <v>0.2122434128740795</v>
      </c>
      <c r="F40" s="26">
        <f t="shared" si="0"/>
        <v>0.42448682574815894</v>
      </c>
      <c r="G40" s="27" t="s">
        <v>105</v>
      </c>
      <c r="H40" s="28">
        <v>0.5</v>
      </c>
      <c r="I40" s="29" t="s">
        <v>46</v>
      </c>
      <c r="J40" s="30" t="s">
        <v>61</v>
      </c>
      <c r="K40" s="31">
        <v>50</v>
      </c>
      <c r="L40" s="31">
        <v>45</v>
      </c>
      <c r="M40" s="31">
        <v>40</v>
      </c>
      <c r="N40" s="31">
        <v>25</v>
      </c>
      <c r="O40" s="31" t="s">
        <v>62</v>
      </c>
      <c r="P40" s="32">
        <v>0</v>
      </c>
      <c r="Q40" s="33">
        <f t="shared" si="1"/>
        <v>0</v>
      </c>
      <c r="R40" s="34">
        <f t="shared" si="2"/>
        <v>0</v>
      </c>
    </row>
    <row r="41" spans="1:18" s="49" customFormat="1" ht="44.25" x14ac:dyDescent="0.25">
      <c r="A41" s="39"/>
      <c r="B41" s="40" t="s">
        <v>106</v>
      </c>
      <c r="C41" s="41">
        <f>SUM(C19:C40)</f>
        <v>50.000000000000007</v>
      </c>
      <c r="D41" s="40"/>
      <c r="E41" s="41">
        <f>SUM(E19:E40)</f>
        <v>50</v>
      </c>
      <c r="F41" s="41">
        <f>SUM(F19:F40)</f>
        <v>100</v>
      </c>
      <c r="G41" s="42"/>
      <c r="H41" s="43"/>
      <c r="I41" s="44"/>
      <c r="J41" s="45"/>
      <c r="K41" s="45"/>
      <c r="L41" s="45"/>
      <c r="M41" s="45"/>
      <c r="N41" s="45"/>
      <c r="O41" s="45"/>
      <c r="P41" s="46"/>
      <c r="Q41" s="47"/>
      <c r="R41" s="48">
        <f>SUM(R19:R40)</f>
        <v>0</v>
      </c>
    </row>
    <row r="42" spans="1:18" s="51" customFormat="1" ht="66" customHeight="1" x14ac:dyDescent="0.7">
      <c r="A42" s="50"/>
      <c r="G42" s="52"/>
      <c r="H42" s="52"/>
      <c r="I42" s="207" t="s">
        <v>156</v>
      </c>
      <c r="J42" s="208"/>
      <c r="K42" s="208"/>
      <c r="L42" s="208"/>
      <c r="M42" s="208"/>
      <c r="N42" s="208"/>
      <c r="O42" s="208"/>
      <c r="P42" s="208"/>
      <c r="Q42" s="209"/>
      <c r="R42" s="53">
        <f>R41/100 * 70</f>
        <v>0</v>
      </c>
    </row>
    <row r="43" spans="1:18" s="58" customFormat="1" ht="36" x14ac:dyDescent="0.55000000000000004">
      <c r="A43" s="210" t="s">
        <v>107</v>
      </c>
      <c r="B43" s="211"/>
      <c r="C43" s="211"/>
      <c r="D43" s="211"/>
      <c r="E43" s="211"/>
      <c r="F43" s="211"/>
      <c r="G43" s="212"/>
      <c r="H43" s="213"/>
      <c r="I43" s="213"/>
      <c r="J43" s="213"/>
      <c r="K43" s="213"/>
      <c r="L43" s="214" t="s">
        <v>112</v>
      </c>
      <c r="M43" s="54" t="s">
        <v>108</v>
      </c>
      <c r="N43" s="54"/>
      <c r="O43" s="54"/>
      <c r="P43" s="55"/>
      <c r="Q43" s="56"/>
      <c r="R43" s="57"/>
    </row>
    <row r="44" spans="1:18" s="58" customFormat="1" ht="31.5" customHeight="1" x14ac:dyDescent="0.55000000000000004">
      <c r="A44" s="59"/>
      <c r="B44" s="60"/>
      <c r="C44" s="216" t="s">
        <v>109</v>
      </c>
      <c r="D44" s="216"/>
      <c r="E44" s="216"/>
      <c r="F44" s="216"/>
      <c r="G44" s="216"/>
      <c r="H44" s="61" t="s">
        <v>157</v>
      </c>
      <c r="I44" s="61" t="s">
        <v>158</v>
      </c>
      <c r="J44" s="61"/>
      <c r="K44" s="62"/>
      <c r="L44" s="215"/>
      <c r="M44" s="63"/>
      <c r="N44" s="63"/>
      <c r="O44" s="63"/>
      <c r="P44" s="64"/>
      <c r="Q44" s="56"/>
      <c r="R44" s="57"/>
    </row>
    <row r="45" spans="1:18" s="58" customFormat="1" ht="36" customHeight="1" x14ac:dyDescent="0.55000000000000004">
      <c r="A45" s="65">
        <v>1</v>
      </c>
      <c r="B45" s="66" t="s">
        <v>113</v>
      </c>
      <c r="C45" s="202"/>
      <c r="D45" s="203"/>
      <c r="E45" s="203"/>
      <c r="F45" s="203"/>
      <c r="G45" s="204"/>
      <c r="H45" s="67"/>
      <c r="I45" s="67"/>
      <c r="J45" s="67"/>
      <c r="K45" s="67"/>
      <c r="L45" s="68"/>
      <c r="M45" s="69" t="s">
        <v>37</v>
      </c>
      <c r="N45" s="200" t="s">
        <v>114</v>
      </c>
      <c r="O45" s="201"/>
      <c r="P45" s="64"/>
      <c r="Q45" s="56"/>
      <c r="R45" s="57"/>
    </row>
    <row r="46" spans="1:18" s="58" customFormat="1" ht="84.75" customHeight="1" x14ac:dyDescent="0.55000000000000004">
      <c r="A46" s="72" t="s">
        <v>115</v>
      </c>
      <c r="B46" s="73" t="s">
        <v>159</v>
      </c>
      <c r="C46" s="197"/>
      <c r="D46" s="198"/>
      <c r="E46" s="198"/>
      <c r="F46" s="198"/>
      <c r="G46" s="199"/>
      <c r="H46" s="74">
        <v>4</v>
      </c>
      <c r="I46" s="75"/>
      <c r="J46" s="74"/>
      <c r="K46" s="74"/>
      <c r="L46" s="68"/>
      <c r="M46" s="69" t="s">
        <v>38</v>
      </c>
      <c r="N46" s="200" t="s">
        <v>116</v>
      </c>
      <c r="O46" s="201"/>
      <c r="P46" s="64"/>
      <c r="Q46" s="56"/>
      <c r="R46" s="57"/>
    </row>
    <row r="47" spans="1:18" s="58" customFormat="1" ht="82.5" customHeight="1" x14ac:dyDescent="0.55000000000000004">
      <c r="A47" s="72" t="s">
        <v>117</v>
      </c>
      <c r="B47" s="73" t="s">
        <v>160</v>
      </c>
      <c r="C47" s="197"/>
      <c r="D47" s="198"/>
      <c r="E47" s="198"/>
      <c r="F47" s="198"/>
      <c r="G47" s="199"/>
      <c r="H47" s="74">
        <v>2</v>
      </c>
      <c r="I47" s="75"/>
      <c r="J47" s="74"/>
      <c r="K47" s="74"/>
      <c r="L47" s="68"/>
      <c r="M47" s="69" t="s">
        <v>39</v>
      </c>
      <c r="N47" s="200" t="s">
        <v>118</v>
      </c>
      <c r="O47" s="201"/>
      <c r="P47" s="64"/>
      <c r="Q47" s="56"/>
      <c r="R47" s="57"/>
    </row>
    <row r="48" spans="1:18" s="58" customFormat="1" ht="78.75" customHeight="1" x14ac:dyDescent="0.55000000000000004">
      <c r="A48" s="72" t="s">
        <v>119</v>
      </c>
      <c r="B48" s="73" t="s">
        <v>120</v>
      </c>
      <c r="C48" s="197"/>
      <c r="D48" s="198"/>
      <c r="E48" s="198"/>
      <c r="F48" s="198"/>
      <c r="G48" s="199"/>
      <c r="H48" s="74">
        <v>2</v>
      </c>
      <c r="I48" s="75"/>
      <c r="J48" s="74"/>
      <c r="K48" s="74"/>
      <c r="L48" s="68"/>
      <c r="M48" s="69" t="s">
        <v>40</v>
      </c>
      <c r="N48" s="200" t="s">
        <v>121</v>
      </c>
      <c r="O48" s="201"/>
      <c r="P48" s="64"/>
      <c r="Q48" s="56"/>
      <c r="R48" s="57"/>
    </row>
    <row r="49" spans="1:18" s="58" customFormat="1" ht="36" x14ac:dyDescent="0.55000000000000004">
      <c r="A49" s="76">
        <v>2</v>
      </c>
      <c r="B49" s="77" t="s">
        <v>122</v>
      </c>
      <c r="C49" s="191"/>
      <c r="D49" s="192"/>
      <c r="E49" s="192"/>
      <c r="F49" s="192"/>
      <c r="G49" s="193"/>
      <c r="H49" s="74"/>
      <c r="I49" s="75"/>
      <c r="J49" s="74"/>
      <c r="K49" s="74"/>
      <c r="L49" s="68"/>
      <c r="M49" s="69" t="s">
        <v>41</v>
      </c>
      <c r="N49" s="200" t="s">
        <v>123</v>
      </c>
      <c r="O49" s="201"/>
      <c r="P49" s="64"/>
      <c r="Q49" s="56"/>
      <c r="R49" s="57"/>
    </row>
    <row r="50" spans="1:18" s="58" customFormat="1" ht="82.5" customHeight="1" x14ac:dyDescent="0.55000000000000004">
      <c r="A50" s="72" t="s">
        <v>115</v>
      </c>
      <c r="B50" s="78" t="s">
        <v>161</v>
      </c>
      <c r="C50" s="183"/>
      <c r="D50" s="184"/>
      <c r="E50" s="184"/>
      <c r="F50" s="184"/>
      <c r="G50" s="185"/>
      <c r="H50" s="74">
        <v>2</v>
      </c>
      <c r="I50" s="75"/>
      <c r="J50" s="74"/>
      <c r="K50" s="74"/>
      <c r="L50" s="68"/>
      <c r="M50" s="69" t="s">
        <v>42</v>
      </c>
      <c r="N50" s="200" t="s">
        <v>124</v>
      </c>
      <c r="O50" s="201"/>
      <c r="P50" s="79"/>
      <c r="Q50" s="56"/>
      <c r="R50" s="57"/>
    </row>
    <row r="51" spans="1:18" s="58" customFormat="1" ht="114.75" customHeight="1" x14ac:dyDescent="0.55000000000000004">
      <c r="A51" s="72" t="s">
        <v>117</v>
      </c>
      <c r="B51" s="78" t="s">
        <v>162</v>
      </c>
      <c r="C51" s="183"/>
      <c r="D51" s="184"/>
      <c r="E51" s="184"/>
      <c r="F51" s="184"/>
      <c r="G51" s="185"/>
      <c r="H51" s="74">
        <v>2</v>
      </c>
      <c r="I51" s="75"/>
      <c r="J51" s="74"/>
      <c r="K51" s="74"/>
      <c r="L51" s="68"/>
      <c r="M51" s="64" t="s">
        <v>112</v>
      </c>
      <c r="N51" s="70" t="s">
        <v>125</v>
      </c>
      <c r="O51" s="71"/>
      <c r="P51" s="79"/>
      <c r="Q51" s="56"/>
      <c r="R51" s="57"/>
    </row>
    <row r="52" spans="1:18" s="58" customFormat="1" ht="72" customHeight="1" x14ac:dyDescent="0.55000000000000004">
      <c r="A52" s="72" t="s">
        <v>119</v>
      </c>
      <c r="B52" s="78" t="s">
        <v>163</v>
      </c>
      <c r="C52" s="183"/>
      <c r="D52" s="184"/>
      <c r="E52" s="184"/>
      <c r="F52" s="184"/>
      <c r="G52" s="185"/>
      <c r="H52" s="74">
        <v>2</v>
      </c>
      <c r="I52" s="75"/>
      <c r="J52" s="74"/>
      <c r="K52" s="74"/>
      <c r="L52" s="68"/>
      <c r="M52" s="64" t="s">
        <v>126</v>
      </c>
      <c r="N52" s="70" t="s">
        <v>127</v>
      </c>
      <c r="O52" s="71"/>
      <c r="P52" s="79"/>
      <c r="Q52" s="56"/>
      <c r="R52" s="57"/>
    </row>
    <row r="53" spans="1:18" s="58" customFormat="1" ht="66" customHeight="1" x14ac:dyDescent="0.55000000000000004">
      <c r="A53" s="76">
        <v>3</v>
      </c>
      <c r="B53" s="77" t="s">
        <v>128</v>
      </c>
      <c r="C53" s="191"/>
      <c r="D53" s="192"/>
      <c r="E53" s="192"/>
      <c r="F53" s="192"/>
      <c r="G53" s="193"/>
      <c r="H53" s="74"/>
      <c r="I53" s="75"/>
      <c r="J53" s="74"/>
      <c r="K53" s="74"/>
      <c r="L53" s="68"/>
      <c r="M53" s="64" t="s">
        <v>110</v>
      </c>
      <c r="N53" s="70" t="s">
        <v>129</v>
      </c>
      <c r="O53" s="71"/>
      <c r="P53" s="79"/>
      <c r="Q53" s="56"/>
      <c r="R53" s="57"/>
    </row>
    <row r="54" spans="1:18" s="58" customFormat="1" ht="72" customHeight="1" x14ac:dyDescent="0.55000000000000004">
      <c r="A54" s="72" t="s">
        <v>115</v>
      </c>
      <c r="B54" s="78" t="s">
        <v>130</v>
      </c>
      <c r="C54" s="194"/>
      <c r="D54" s="195"/>
      <c r="E54" s="195"/>
      <c r="F54" s="195"/>
      <c r="G54" s="196"/>
      <c r="H54" s="74">
        <v>2</v>
      </c>
      <c r="I54" s="75"/>
      <c r="J54" s="74"/>
      <c r="K54" s="74"/>
      <c r="L54" s="68"/>
      <c r="M54" s="64" t="s">
        <v>111</v>
      </c>
      <c r="N54" s="70" t="s">
        <v>131</v>
      </c>
      <c r="O54" s="71"/>
      <c r="P54" s="79"/>
      <c r="Q54" s="56"/>
      <c r="R54" s="57"/>
    </row>
    <row r="55" spans="1:18" s="58" customFormat="1" ht="72" customHeight="1" x14ac:dyDescent="0.55000000000000004">
      <c r="A55" s="72" t="s">
        <v>117</v>
      </c>
      <c r="B55" s="78" t="s">
        <v>164</v>
      </c>
      <c r="C55" s="194"/>
      <c r="D55" s="195"/>
      <c r="E55" s="195"/>
      <c r="F55" s="195"/>
      <c r="G55" s="196"/>
      <c r="H55" s="74">
        <v>2</v>
      </c>
      <c r="I55" s="75"/>
      <c r="J55" s="74"/>
      <c r="K55" s="74"/>
      <c r="L55" s="68"/>
      <c r="M55" s="64" t="s">
        <v>132</v>
      </c>
      <c r="N55" s="70" t="s">
        <v>133</v>
      </c>
      <c r="O55" s="71"/>
      <c r="P55" s="79"/>
      <c r="Q55" s="56"/>
      <c r="R55" s="57"/>
    </row>
    <row r="56" spans="1:18" s="58" customFormat="1" ht="44.25" customHeight="1" x14ac:dyDescent="0.55000000000000004">
      <c r="A56" s="72" t="s">
        <v>119</v>
      </c>
      <c r="B56" s="78" t="s">
        <v>165</v>
      </c>
      <c r="C56" s="194"/>
      <c r="D56" s="195"/>
      <c r="E56" s="195"/>
      <c r="F56" s="195"/>
      <c r="G56" s="196"/>
      <c r="H56" s="74">
        <v>2</v>
      </c>
      <c r="I56" s="75"/>
      <c r="J56" s="74"/>
      <c r="K56" s="74"/>
      <c r="L56" s="68"/>
      <c r="M56" s="80"/>
      <c r="N56" s="80"/>
      <c r="O56" s="80"/>
      <c r="P56" s="81"/>
      <c r="Q56" s="56"/>
      <c r="R56" s="57"/>
    </row>
    <row r="57" spans="1:18" s="58" customFormat="1" ht="31.5" customHeight="1" x14ac:dyDescent="0.55000000000000004">
      <c r="A57" s="181" t="s">
        <v>134</v>
      </c>
      <c r="B57" s="182"/>
      <c r="C57" s="182"/>
      <c r="D57" s="182"/>
      <c r="E57" s="182"/>
      <c r="F57" s="182"/>
      <c r="G57" s="182"/>
      <c r="H57" s="82">
        <f>SUM(H46:H56)</f>
        <v>20</v>
      </c>
      <c r="I57" s="82">
        <f>SUM(I46:I56)</f>
        <v>0</v>
      </c>
      <c r="J57" s="82"/>
      <c r="K57" s="83"/>
      <c r="L57" s="68"/>
      <c r="M57" s="80"/>
      <c r="N57" s="80"/>
      <c r="O57" s="80"/>
      <c r="P57" s="81"/>
      <c r="Q57" s="56"/>
      <c r="R57" s="57"/>
    </row>
    <row r="58" spans="1:18" s="58" customFormat="1" ht="36" customHeight="1" x14ac:dyDescent="0.55000000000000004">
      <c r="A58" s="84" t="s">
        <v>115</v>
      </c>
      <c r="B58" s="85" t="s">
        <v>135</v>
      </c>
      <c r="C58" s="183" t="s">
        <v>136</v>
      </c>
      <c r="D58" s="184"/>
      <c r="E58" s="184"/>
      <c r="F58" s="184"/>
      <c r="G58" s="185"/>
      <c r="H58" s="86">
        <v>4</v>
      </c>
      <c r="I58" s="87"/>
      <c r="J58" s="86"/>
      <c r="K58" s="88"/>
      <c r="L58" s="68"/>
      <c r="M58" s="80"/>
      <c r="N58" s="80"/>
      <c r="O58" s="80"/>
      <c r="P58" s="81"/>
      <c r="Q58" s="56"/>
      <c r="R58" s="57"/>
    </row>
    <row r="59" spans="1:18" s="58" customFormat="1" ht="129" customHeight="1" x14ac:dyDescent="0.55000000000000004">
      <c r="A59" s="84" t="s">
        <v>117</v>
      </c>
      <c r="B59" s="85" t="s">
        <v>137</v>
      </c>
      <c r="C59" s="183" t="s">
        <v>138</v>
      </c>
      <c r="D59" s="184"/>
      <c r="E59" s="184"/>
      <c r="F59" s="184"/>
      <c r="G59" s="185"/>
      <c r="H59" s="86">
        <v>3</v>
      </c>
      <c r="I59" s="87"/>
      <c r="J59" s="86"/>
      <c r="K59" s="88"/>
      <c r="L59" s="68"/>
      <c r="M59" s="80"/>
      <c r="N59" s="80"/>
      <c r="O59" s="80"/>
      <c r="P59" s="81"/>
      <c r="Q59" s="56"/>
      <c r="R59" s="57"/>
    </row>
    <row r="60" spans="1:18" s="58" customFormat="1" ht="69" customHeight="1" x14ac:dyDescent="0.55000000000000004">
      <c r="A60" s="84" t="s">
        <v>117</v>
      </c>
      <c r="B60" s="85" t="s">
        <v>139</v>
      </c>
      <c r="C60" s="183" t="s">
        <v>140</v>
      </c>
      <c r="D60" s="184"/>
      <c r="E60" s="184"/>
      <c r="F60" s="184"/>
      <c r="G60" s="185"/>
      <c r="H60" s="86">
        <v>3</v>
      </c>
      <c r="I60" s="87"/>
      <c r="J60" s="86"/>
      <c r="K60" s="88"/>
      <c r="L60" s="68"/>
      <c r="M60" s="80"/>
      <c r="N60" s="80"/>
      <c r="O60" s="80"/>
      <c r="P60" s="81"/>
      <c r="Q60" s="56"/>
      <c r="R60" s="57"/>
    </row>
    <row r="61" spans="1:18" s="58" customFormat="1" ht="46.5" customHeight="1" x14ac:dyDescent="0.55000000000000004">
      <c r="A61" s="89"/>
      <c r="B61" s="186" t="s">
        <v>141</v>
      </c>
      <c r="C61" s="186"/>
      <c r="D61" s="186"/>
      <c r="E61" s="90"/>
      <c r="F61" s="90"/>
      <c r="G61" s="90"/>
      <c r="H61" s="82">
        <f>SUM(H58:H60)</f>
        <v>10</v>
      </c>
      <c r="I61" s="82">
        <f>SUM(I58:I60)</f>
        <v>0</v>
      </c>
      <c r="J61" s="90"/>
      <c r="K61" s="91"/>
      <c r="L61" s="80"/>
      <c r="M61" s="80"/>
      <c r="N61" s="80"/>
      <c r="O61" s="80"/>
      <c r="P61" s="81"/>
      <c r="Q61" s="56"/>
      <c r="R61" s="57"/>
    </row>
    <row r="62" spans="1:18" s="94" customFormat="1" ht="45" customHeight="1" x14ac:dyDescent="0.7">
      <c r="A62" s="92"/>
      <c r="B62" s="187"/>
      <c r="C62" s="93"/>
      <c r="D62" s="93"/>
      <c r="E62" s="93"/>
      <c r="F62" s="190"/>
      <c r="G62" s="190"/>
      <c r="H62" s="190"/>
      <c r="I62" s="190"/>
      <c r="J62" s="190"/>
      <c r="K62" s="93"/>
      <c r="L62" s="93"/>
      <c r="M62" s="93"/>
      <c r="N62" s="93"/>
      <c r="O62" s="172" t="s">
        <v>166</v>
      </c>
      <c r="P62" s="173"/>
      <c r="Q62" s="172" t="s">
        <v>167</v>
      </c>
      <c r="R62" s="174"/>
    </row>
    <row r="63" spans="1:18" s="94" customFormat="1" ht="45" customHeight="1" x14ac:dyDescent="0.7">
      <c r="A63" s="92"/>
      <c r="B63" s="188"/>
      <c r="C63" s="168" t="s">
        <v>168</v>
      </c>
      <c r="D63" s="169"/>
      <c r="E63" s="169"/>
      <c r="F63" s="169"/>
      <c r="G63" s="169"/>
      <c r="H63" s="169"/>
      <c r="I63" s="169"/>
      <c r="J63" s="169"/>
      <c r="K63" s="170"/>
      <c r="L63" s="163"/>
      <c r="M63" s="164"/>
      <c r="N63" s="165"/>
      <c r="O63" s="166">
        <f>R42</f>
        <v>0</v>
      </c>
      <c r="P63" s="167"/>
      <c r="Q63" s="175">
        <f>O66/100 * 20</f>
        <v>0</v>
      </c>
      <c r="R63" s="176"/>
    </row>
    <row r="64" spans="1:18" s="94" customFormat="1" ht="45" customHeight="1" x14ac:dyDescent="0.7">
      <c r="A64" s="92"/>
      <c r="B64" s="188"/>
      <c r="C64" s="169" t="s">
        <v>169</v>
      </c>
      <c r="D64" s="169"/>
      <c r="E64" s="169"/>
      <c r="F64" s="169"/>
      <c r="G64" s="169"/>
      <c r="H64" s="169"/>
      <c r="I64" s="169"/>
      <c r="J64" s="169"/>
      <c r="K64" s="169"/>
      <c r="L64" s="164"/>
      <c r="M64" s="164"/>
      <c r="N64" s="165"/>
      <c r="O64" s="166">
        <f>I57</f>
        <v>0</v>
      </c>
      <c r="P64" s="167"/>
      <c r="Q64" s="177"/>
      <c r="R64" s="178"/>
    </row>
    <row r="65" spans="1:18" s="94" customFormat="1" ht="45" customHeight="1" x14ac:dyDescent="0.7">
      <c r="A65" s="92"/>
      <c r="B65" s="188"/>
      <c r="C65" s="168" t="s">
        <v>170</v>
      </c>
      <c r="D65" s="169"/>
      <c r="E65" s="169"/>
      <c r="F65" s="169"/>
      <c r="G65" s="169"/>
      <c r="H65" s="169"/>
      <c r="I65" s="169"/>
      <c r="J65" s="169"/>
      <c r="K65" s="170"/>
      <c r="L65" s="163"/>
      <c r="M65" s="164"/>
      <c r="N65" s="165"/>
      <c r="O65" s="166">
        <f>I61</f>
        <v>0</v>
      </c>
      <c r="P65" s="167"/>
      <c r="Q65" s="177"/>
      <c r="R65" s="178"/>
    </row>
    <row r="66" spans="1:18" s="94" customFormat="1" ht="45" customHeight="1" x14ac:dyDescent="0.7">
      <c r="A66" s="92"/>
      <c r="B66" s="189"/>
      <c r="C66" s="168" t="s">
        <v>171</v>
      </c>
      <c r="D66" s="169"/>
      <c r="E66" s="169"/>
      <c r="F66" s="169"/>
      <c r="G66" s="169"/>
      <c r="H66" s="169"/>
      <c r="I66" s="169"/>
      <c r="J66" s="169"/>
      <c r="K66" s="170"/>
      <c r="L66" s="163"/>
      <c r="M66" s="164"/>
      <c r="N66" s="165"/>
      <c r="O66" s="166">
        <f>SUM(O63:P65)</f>
        <v>0</v>
      </c>
      <c r="P66" s="167"/>
      <c r="Q66" s="179"/>
      <c r="R66" s="180"/>
    </row>
    <row r="67" spans="1:18" s="94" customFormat="1" ht="64.900000000000006" customHeight="1" x14ac:dyDescent="0.7">
      <c r="A67" s="92"/>
      <c r="B67" s="171" t="s">
        <v>172</v>
      </c>
      <c r="C67" s="171"/>
      <c r="D67" s="171"/>
      <c r="E67" s="171"/>
      <c r="F67" s="171"/>
      <c r="G67" s="171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6"/>
    </row>
    <row r="68" spans="1:18" s="94" customFormat="1" ht="64.900000000000006" customHeight="1" x14ac:dyDescent="0.7">
      <c r="A68" s="92"/>
      <c r="B68" s="154" t="s">
        <v>173</v>
      </c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5"/>
    </row>
    <row r="69" spans="1:18" s="94" customFormat="1" ht="48.75" customHeight="1" x14ac:dyDescent="0.7">
      <c r="A69" s="92"/>
      <c r="B69" s="156" t="s">
        <v>174</v>
      </c>
      <c r="C69" s="156"/>
      <c r="D69" s="156"/>
      <c r="E69" s="156"/>
      <c r="F69" s="156"/>
      <c r="G69" s="156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8"/>
    </row>
    <row r="70" spans="1:18" s="94" customFormat="1" ht="45.75" x14ac:dyDescent="0.7">
      <c r="A70" s="92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5"/>
    </row>
    <row r="71" spans="1:18" s="58" customFormat="1" ht="31.5" customHeight="1" x14ac:dyDescent="0.55000000000000004">
      <c r="A71" s="157" t="s">
        <v>175</v>
      </c>
      <c r="B71" s="141"/>
      <c r="C71" s="133"/>
      <c r="D71" s="134"/>
      <c r="E71" s="137" t="s">
        <v>176</v>
      </c>
      <c r="F71" s="139"/>
      <c r="G71" s="141" t="s">
        <v>177</v>
      </c>
      <c r="H71" s="133"/>
      <c r="I71" s="133"/>
      <c r="J71" s="133"/>
      <c r="K71" s="99"/>
      <c r="L71" s="68"/>
      <c r="M71" s="160"/>
      <c r="N71" s="160"/>
      <c r="O71" s="160"/>
      <c r="P71" s="160"/>
      <c r="Q71" s="160"/>
      <c r="R71" s="57"/>
    </row>
    <row r="72" spans="1:18" s="58" customFormat="1" ht="31.5" customHeight="1" x14ac:dyDescent="0.55000000000000004">
      <c r="A72" s="131"/>
      <c r="B72" s="132"/>
      <c r="C72" s="147"/>
      <c r="D72" s="148"/>
      <c r="E72" s="159"/>
      <c r="F72" s="152"/>
      <c r="G72" s="132"/>
      <c r="H72" s="147"/>
      <c r="I72" s="147"/>
      <c r="J72" s="147"/>
      <c r="K72" s="99"/>
      <c r="L72" s="68"/>
      <c r="M72" s="161"/>
      <c r="N72" s="161"/>
      <c r="O72" s="161"/>
      <c r="P72" s="161"/>
      <c r="Q72" s="161"/>
      <c r="R72" s="57"/>
    </row>
    <row r="73" spans="1:18" s="58" customFormat="1" ht="31.5" customHeight="1" x14ac:dyDescent="0.55000000000000004">
      <c r="A73" s="131"/>
      <c r="B73" s="132"/>
      <c r="C73" s="147"/>
      <c r="D73" s="148"/>
      <c r="E73" s="159"/>
      <c r="F73" s="152"/>
      <c r="G73" s="132"/>
      <c r="H73" s="147"/>
      <c r="I73" s="147"/>
      <c r="J73" s="147"/>
      <c r="K73" s="99"/>
      <c r="L73" s="68"/>
      <c r="M73" s="161"/>
      <c r="N73" s="161"/>
      <c r="O73" s="161"/>
      <c r="P73" s="161"/>
      <c r="Q73" s="161"/>
      <c r="R73" s="57"/>
    </row>
    <row r="74" spans="1:18" s="58" customFormat="1" ht="31.5" customHeight="1" x14ac:dyDescent="0.55000000000000004">
      <c r="A74" s="158"/>
      <c r="B74" s="142"/>
      <c r="C74" s="135"/>
      <c r="D74" s="136"/>
      <c r="E74" s="138"/>
      <c r="F74" s="140"/>
      <c r="G74" s="142"/>
      <c r="H74" s="135"/>
      <c r="I74" s="135"/>
      <c r="J74" s="135"/>
      <c r="K74" s="99"/>
      <c r="L74" s="68"/>
      <c r="M74" s="161"/>
      <c r="N74" s="161"/>
      <c r="O74" s="161"/>
      <c r="P74" s="161"/>
      <c r="Q74" s="161"/>
      <c r="R74" s="57"/>
    </row>
    <row r="75" spans="1:18" s="58" customFormat="1" ht="31.5" customHeight="1" x14ac:dyDescent="0.55000000000000004">
      <c r="A75" s="143" t="s">
        <v>142</v>
      </c>
      <c r="B75" s="144"/>
      <c r="C75" s="133"/>
      <c r="D75" s="134"/>
      <c r="E75" s="149" t="s">
        <v>178</v>
      </c>
      <c r="F75" s="139"/>
      <c r="G75" s="144" t="s">
        <v>178</v>
      </c>
      <c r="H75" s="133"/>
      <c r="I75" s="133"/>
      <c r="J75" s="133"/>
      <c r="K75" s="99"/>
      <c r="L75" s="68"/>
      <c r="M75" s="161"/>
      <c r="N75" s="161"/>
      <c r="O75" s="161"/>
      <c r="P75" s="161"/>
      <c r="Q75" s="161"/>
      <c r="R75" s="57"/>
    </row>
    <row r="76" spans="1:18" s="58" customFormat="1" ht="31.5" customHeight="1" x14ac:dyDescent="0.55000000000000004">
      <c r="A76" s="145"/>
      <c r="B76" s="146"/>
      <c r="C76" s="147"/>
      <c r="D76" s="148"/>
      <c r="E76" s="150"/>
      <c r="F76" s="152"/>
      <c r="G76" s="146"/>
      <c r="H76" s="147"/>
      <c r="I76" s="147"/>
      <c r="J76" s="147"/>
      <c r="K76" s="99"/>
      <c r="L76" s="68"/>
      <c r="M76" s="161"/>
      <c r="N76" s="161"/>
      <c r="O76" s="161"/>
      <c r="P76" s="161"/>
      <c r="Q76" s="161"/>
      <c r="R76" s="57"/>
    </row>
    <row r="77" spans="1:18" s="58" customFormat="1" ht="31.5" customHeight="1" x14ac:dyDescent="0.55000000000000004">
      <c r="A77" s="145"/>
      <c r="B77" s="146"/>
      <c r="C77" s="135"/>
      <c r="D77" s="136"/>
      <c r="E77" s="151"/>
      <c r="F77" s="140"/>
      <c r="G77" s="153"/>
      <c r="H77" s="135"/>
      <c r="I77" s="135"/>
      <c r="J77" s="135"/>
      <c r="K77" s="99"/>
      <c r="L77" s="68"/>
      <c r="M77" s="161"/>
      <c r="N77" s="161"/>
      <c r="O77" s="161"/>
      <c r="P77" s="161"/>
      <c r="Q77" s="161"/>
      <c r="R77" s="57"/>
    </row>
    <row r="78" spans="1:18" s="58" customFormat="1" ht="31.5" customHeight="1" x14ac:dyDescent="0.55000000000000004">
      <c r="A78" s="131" t="s">
        <v>143</v>
      </c>
      <c r="B78" s="132"/>
      <c r="C78" s="133"/>
      <c r="D78" s="134"/>
      <c r="E78" s="137" t="s">
        <v>179</v>
      </c>
      <c r="F78" s="139"/>
      <c r="G78" s="141" t="s">
        <v>179</v>
      </c>
      <c r="H78" s="133"/>
      <c r="I78" s="133"/>
      <c r="J78" s="133"/>
      <c r="K78" s="99"/>
      <c r="L78" s="68"/>
      <c r="M78" s="161"/>
      <c r="N78" s="161"/>
      <c r="O78" s="161"/>
      <c r="P78" s="161"/>
      <c r="Q78" s="161"/>
      <c r="R78" s="57"/>
    </row>
    <row r="79" spans="1:18" s="58" customFormat="1" ht="31.5" customHeight="1" x14ac:dyDescent="0.55000000000000004">
      <c r="A79" s="131"/>
      <c r="B79" s="132"/>
      <c r="C79" s="135"/>
      <c r="D79" s="136"/>
      <c r="E79" s="138"/>
      <c r="F79" s="140"/>
      <c r="G79" s="142"/>
      <c r="H79" s="135"/>
      <c r="I79" s="135"/>
      <c r="J79" s="135"/>
      <c r="K79" s="99"/>
      <c r="L79" s="68"/>
      <c r="M79" s="161"/>
      <c r="N79" s="161"/>
      <c r="O79" s="161"/>
      <c r="P79" s="161"/>
      <c r="Q79" s="161"/>
      <c r="R79" s="57"/>
    </row>
    <row r="80" spans="1:18" s="58" customFormat="1" ht="31.5" customHeight="1" thickBot="1" x14ac:dyDescent="0.6">
      <c r="A80" s="118"/>
      <c r="B80" s="119"/>
      <c r="C80" s="119"/>
      <c r="D80" s="119"/>
      <c r="E80" s="119"/>
      <c r="F80" s="119"/>
      <c r="G80" s="119"/>
      <c r="H80" s="119"/>
      <c r="I80" s="119"/>
      <c r="J80" s="119"/>
      <c r="K80" s="100"/>
      <c r="L80" s="101"/>
      <c r="M80" s="162"/>
      <c r="N80" s="162"/>
      <c r="O80" s="162"/>
      <c r="P80" s="162"/>
      <c r="Q80" s="162"/>
      <c r="R80" s="102"/>
    </row>
  </sheetData>
  <mergeCells count="112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</mergeCells>
  <hyperlinks>
    <hyperlink ref="E14" r:id="rId1" xr:uid="{BB07BEE1-E481-464A-963D-8BC26AC14A97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2026-04-09T13:41:31Z</dcterms:created>
  <dcterms:modified xsi:type="dcterms:W3CDTF">2026-04-09T21:19:33Z</dcterms:modified>
</cp:coreProperties>
</file>