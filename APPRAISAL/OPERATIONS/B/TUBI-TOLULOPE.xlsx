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B\"/>
    </mc:Choice>
  </mc:AlternateContent>
  <xr:revisionPtr revIDLastSave="0" documentId="13_ncr:1_{550C4BE4-09AE-420D-92AA-1B9DA30969C0}" xr6:coauthVersionLast="47" xr6:coauthVersionMax="47" xr10:uidLastSave="{00000000-0000-0000-0000-000000000000}"/>
  <bookViews>
    <workbookView xWindow="-120" yWindow="-120" windowWidth="20730" windowHeight="11040" xr2:uid="{23E54C14-8A6E-4AEC-A479-E076A8E69155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QUARTER'!$A$1:$R$80</definedName>
    <definedName name="_xlnm.Print_Area" localSheetId="3">'FOURTH QUARTER'!$A$1:$R$80</definedName>
    <definedName name="_xlnm.Print_Area" localSheetId="1">'SECOND QUARTER'!$A$1:$R$80</definedName>
    <definedName name="_xlnm.Print_Area" localSheetId="2">'THIRD QUARTER'!$A$1:$R$80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3" l="1"/>
  <c r="C40" i="3"/>
  <c r="C39" i="3"/>
  <c r="E39" i="3" s="1"/>
  <c r="E38" i="3"/>
  <c r="C38" i="3"/>
  <c r="C36" i="3"/>
  <c r="E36" i="3" s="1"/>
  <c r="E35" i="3"/>
  <c r="C35" i="3"/>
  <c r="C25" i="3"/>
  <c r="E33" i="3" s="1"/>
  <c r="E24" i="3"/>
  <c r="C24" i="3"/>
  <c r="C19" i="3"/>
  <c r="E22" i="3" s="1"/>
  <c r="E40" i="4"/>
  <c r="C40" i="4"/>
  <c r="C39" i="4"/>
  <c r="E39" i="4" s="1"/>
  <c r="E38" i="4"/>
  <c r="C38" i="4"/>
  <c r="C36" i="4"/>
  <c r="E36" i="4" s="1"/>
  <c r="E35" i="4"/>
  <c r="C35" i="4"/>
  <c r="C25" i="4"/>
  <c r="E33" i="4" s="1"/>
  <c r="E24" i="4"/>
  <c r="C24" i="4"/>
  <c r="C19" i="4"/>
  <c r="E40" i="5"/>
  <c r="C40" i="5"/>
  <c r="C39" i="5"/>
  <c r="E39" i="5" s="1"/>
  <c r="E38" i="5"/>
  <c r="C38" i="5"/>
  <c r="C36" i="5"/>
  <c r="E36" i="5" s="1"/>
  <c r="E35" i="5"/>
  <c r="C35" i="5"/>
  <c r="C25" i="5"/>
  <c r="E33" i="5" s="1"/>
  <c r="E24" i="5"/>
  <c r="C24" i="5"/>
  <c r="C19" i="5"/>
  <c r="E40" i="2"/>
  <c r="C40" i="2"/>
  <c r="C39" i="2"/>
  <c r="E39" i="2" s="1"/>
  <c r="E38" i="2"/>
  <c r="C38" i="2"/>
  <c r="C36" i="2"/>
  <c r="E36" i="2" s="1"/>
  <c r="E35" i="2"/>
  <c r="C35" i="2"/>
  <c r="C25" i="2"/>
  <c r="E33" i="2" s="1"/>
  <c r="E24" i="2"/>
  <c r="C24" i="2"/>
  <c r="C19" i="2"/>
  <c r="I61" i="5"/>
  <c r="O65" i="5" s="1"/>
  <c r="H61" i="5"/>
  <c r="I57" i="5"/>
  <c r="O64" i="5" s="1"/>
  <c r="H57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61" i="4"/>
  <c r="O65" i="4" s="1"/>
  <c r="H61" i="4"/>
  <c r="I57" i="4"/>
  <c r="O64" i="4" s="1"/>
  <c r="H57" i="4"/>
  <c r="C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61" i="3"/>
  <c r="O65" i="3" s="1"/>
  <c r="H61" i="3"/>
  <c r="I57" i="3"/>
  <c r="O64" i="3" s="1"/>
  <c r="H57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O65" i="2"/>
  <c r="I61" i="2"/>
  <c r="H61" i="2"/>
  <c r="I57" i="2"/>
  <c r="O64" i="2" s="1"/>
  <c r="H57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E22" i="2" l="1"/>
  <c r="E20" i="2"/>
  <c r="E23" i="2"/>
  <c r="E21" i="2"/>
  <c r="E19" i="2"/>
  <c r="C41" i="2"/>
  <c r="E22" i="5"/>
  <c r="E20" i="5"/>
  <c r="E23" i="5"/>
  <c r="E21" i="5"/>
  <c r="E19" i="5"/>
  <c r="C41" i="5"/>
  <c r="E22" i="4"/>
  <c r="E20" i="4"/>
  <c r="E23" i="4"/>
  <c r="E21" i="4"/>
  <c r="E19" i="4"/>
  <c r="E26" i="2"/>
  <c r="E28" i="2"/>
  <c r="E30" i="2"/>
  <c r="E32" i="2"/>
  <c r="E34" i="2"/>
  <c r="E37" i="2"/>
  <c r="E26" i="5"/>
  <c r="E28" i="5"/>
  <c r="E30" i="5"/>
  <c r="E32" i="5"/>
  <c r="E34" i="5"/>
  <c r="E37" i="5"/>
  <c r="E26" i="4"/>
  <c r="E28" i="4"/>
  <c r="E30" i="4"/>
  <c r="E32" i="4"/>
  <c r="E34" i="4"/>
  <c r="E37" i="4"/>
  <c r="E19" i="3"/>
  <c r="E21" i="3"/>
  <c r="E23" i="3"/>
  <c r="E26" i="3"/>
  <c r="E28" i="3"/>
  <c r="E30" i="3"/>
  <c r="E32" i="3"/>
  <c r="E34" i="3"/>
  <c r="E37" i="3"/>
  <c r="C41" i="3"/>
  <c r="E25" i="2"/>
  <c r="E27" i="2"/>
  <c r="E29" i="2"/>
  <c r="E31" i="2"/>
  <c r="E25" i="5"/>
  <c r="E27" i="5"/>
  <c r="E29" i="5"/>
  <c r="E31" i="5"/>
  <c r="E25" i="4"/>
  <c r="E27" i="4"/>
  <c r="E29" i="4"/>
  <c r="E31" i="4"/>
  <c r="E20" i="3"/>
  <c r="E25" i="3"/>
  <c r="E27" i="3"/>
  <c r="E29" i="3"/>
  <c r="E31" i="3"/>
  <c r="F28" i="2" l="1"/>
  <c r="R28" i="2" s="1"/>
  <c r="F25" i="3"/>
  <c r="R25" i="3" s="1"/>
  <c r="E41" i="5"/>
  <c r="F26" i="3"/>
  <c r="R26" i="3" s="1"/>
  <c r="F37" i="2"/>
  <c r="R37" i="2" s="1"/>
  <c r="F22" i="5"/>
  <c r="R22" i="5" s="1"/>
  <c r="F20" i="3"/>
  <c r="R20" i="3" s="1"/>
  <c r="F25" i="2"/>
  <c r="R25" i="2" s="1"/>
  <c r="F30" i="5"/>
  <c r="R30" i="5" s="1"/>
  <c r="F30" i="3"/>
  <c r="R30" i="3" s="1"/>
  <c r="F37" i="5"/>
  <c r="R37" i="5" s="1"/>
  <c r="F28" i="5"/>
  <c r="R28" i="5" s="1"/>
  <c r="F23" i="5"/>
  <c r="R23" i="5" s="1"/>
  <c r="F19" i="2"/>
  <c r="E41" i="2"/>
  <c r="F22" i="2"/>
  <c r="R22" i="2" s="1"/>
  <c r="F31" i="3"/>
  <c r="R31" i="3" s="1"/>
  <c r="F23" i="3"/>
  <c r="R23" i="3" s="1"/>
  <c r="F34" i="2"/>
  <c r="R34" i="2" s="1"/>
  <c r="F20" i="2"/>
  <c r="R20" i="2" s="1"/>
  <c r="F29" i="3"/>
  <c r="R29" i="3" s="1"/>
  <c r="F31" i="2"/>
  <c r="R31" i="2" s="1"/>
  <c r="F27" i="3"/>
  <c r="R27" i="3" s="1"/>
  <c r="F29" i="2"/>
  <c r="R29" i="2" s="1"/>
  <c r="F37" i="3"/>
  <c r="R37" i="3" s="1"/>
  <c r="F28" i="3"/>
  <c r="R28" i="3" s="1"/>
  <c r="E41" i="3"/>
  <c r="F32" i="3" s="1"/>
  <c r="R32" i="3" s="1"/>
  <c r="F34" i="5"/>
  <c r="R34" i="5" s="1"/>
  <c r="F30" i="2"/>
  <c r="R30" i="2" s="1"/>
  <c r="E41" i="4"/>
  <c r="F21" i="2"/>
  <c r="R21" i="2" s="1"/>
  <c r="F35" i="4" l="1"/>
  <c r="R35" i="4" s="1"/>
  <c r="F38" i="4"/>
  <c r="R38" i="4" s="1"/>
  <c r="F36" i="4"/>
  <c r="R36" i="4" s="1"/>
  <c r="F40" i="4"/>
  <c r="R40" i="4" s="1"/>
  <c r="F24" i="4"/>
  <c r="R24" i="4" s="1"/>
  <c r="F39" i="4"/>
  <c r="R39" i="4" s="1"/>
  <c r="F33" i="4"/>
  <c r="R33" i="4" s="1"/>
  <c r="F29" i="4"/>
  <c r="R29" i="4" s="1"/>
  <c r="R19" i="2"/>
  <c r="F30" i="4"/>
  <c r="R30" i="4" s="1"/>
  <c r="F31" i="4"/>
  <c r="R31" i="4" s="1"/>
  <c r="F39" i="5"/>
  <c r="R39" i="5" s="1"/>
  <c r="F36" i="5"/>
  <c r="R36" i="5" s="1"/>
  <c r="F33" i="5"/>
  <c r="R33" i="5" s="1"/>
  <c r="F40" i="5"/>
  <c r="R40" i="5" s="1"/>
  <c r="F24" i="5"/>
  <c r="R24" i="5" s="1"/>
  <c r="F35" i="5"/>
  <c r="R35" i="5" s="1"/>
  <c r="F38" i="5"/>
  <c r="R38" i="5" s="1"/>
  <c r="F20" i="4"/>
  <c r="R20" i="4" s="1"/>
  <c r="F32" i="4"/>
  <c r="R32" i="4" s="1"/>
  <c r="F23" i="4"/>
  <c r="R23" i="4" s="1"/>
  <c r="F21" i="4"/>
  <c r="R21" i="4" s="1"/>
  <c r="F32" i="5"/>
  <c r="R32" i="5" s="1"/>
  <c r="F19" i="5"/>
  <c r="F28" i="4"/>
  <c r="R28" i="4" s="1"/>
  <c r="F26" i="4"/>
  <c r="R26" i="4" s="1"/>
  <c r="F25" i="4"/>
  <c r="R25" i="4" s="1"/>
  <c r="F27" i="4"/>
  <c r="R27" i="4" s="1"/>
  <c r="F19" i="4"/>
  <c r="F34" i="4"/>
  <c r="R34" i="4" s="1"/>
  <c r="F20" i="5"/>
  <c r="R20" i="5" s="1"/>
  <c r="F22" i="3"/>
  <c r="R22" i="3" s="1"/>
  <c r="F36" i="3"/>
  <c r="R36" i="3" s="1"/>
  <c r="F40" i="3"/>
  <c r="R40" i="3" s="1"/>
  <c r="F35" i="3"/>
  <c r="R35" i="3" s="1"/>
  <c r="F38" i="3"/>
  <c r="R38" i="3" s="1"/>
  <c r="F39" i="3"/>
  <c r="R39" i="3" s="1"/>
  <c r="F33" i="3"/>
  <c r="R33" i="3" s="1"/>
  <c r="F24" i="3"/>
  <c r="R24" i="3" s="1"/>
  <c r="F21" i="5"/>
  <c r="R21" i="5" s="1"/>
  <c r="F22" i="4"/>
  <c r="R22" i="4" s="1"/>
  <c r="F26" i="5"/>
  <c r="R26" i="5" s="1"/>
  <c r="F19" i="3"/>
  <c r="F29" i="5"/>
  <c r="R29" i="5" s="1"/>
  <c r="F31" i="5"/>
  <c r="R31" i="5" s="1"/>
  <c r="F25" i="5"/>
  <c r="R25" i="5" s="1"/>
  <c r="F36" i="2"/>
  <c r="R36" i="2" s="1"/>
  <c r="F40" i="2"/>
  <c r="R40" i="2" s="1"/>
  <c r="F33" i="2"/>
  <c r="R33" i="2" s="1"/>
  <c r="F24" i="2"/>
  <c r="R24" i="2" s="1"/>
  <c r="F39" i="2"/>
  <c r="R39" i="2" s="1"/>
  <c r="F38" i="2"/>
  <c r="R38" i="2" s="1"/>
  <c r="F35" i="2"/>
  <c r="R35" i="2" s="1"/>
  <c r="F32" i="2"/>
  <c r="R32" i="2" s="1"/>
  <c r="F21" i="3"/>
  <c r="R21" i="3" s="1"/>
  <c r="F26" i="2"/>
  <c r="R26" i="2" s="1"/>
  <c r="F23" i="2"/>
  <c r="R23" i="2" s="1"/>
  <c r="F27" i="2"/>
  <c r="R27" i="2" s="1"/>
  <c r="F37" i="4"/>
  <c r="R37" i="4" s="1"/>
  <c r="F27" i="5"/>
  <c r="R27" i="5" s="1"/>
  <c r="F34" i="3"/>
  <c r="R34" i="3" s="1"/>
  <c r="F41" i="3" l="1"/>
  <c r="R19" i="3"/>
  <c r="R41" i="3" s="1"/>
  <c r="R42" i="3" s="1"/>
  <c r="O63" i="3" s="1"/>
  <c r="O66" i="3" s="1"/>
  <c r="Q63" i="3" s="1"/>
  <c r="F41" i="4"/>
  <c r="R19" i="4"/>
  <c r="R41" i="4" s="1"/>
  <c r="R42" i="4" s="1"/>
  <c r="O63" i="4" s="1"/>
  <c r="O66" i="4" s="1"/>
  <c r="Q63" i="4" s="1"/>
  <c r="R41" i="2"/>
  <c r="R42" i="2" s="1"/>
  <c r="O63" i="2" s="1"/>
  <c r="O66" i="2" s="1"/>
  <c r="Q63" i="2" s="1"/>
  <c r="F41" i="5"/>
  <c r="R19" i="5"/>
  <c r="R41" i="5" s="1"/>
  <c r="R42" i="5" s="1"/>
  <c r="O63" i="5" s="1"/>
  <c r="O66" i="5" s="1"/>
  <c r="Q63" i="5" s="1"/>
  <c r="F41" i="2"/>
</calcChain>
</file>

<file path=xl/sharedStrings.xml><?xml version="1.0" encoding="utf-8"?>
<sst xmlns="http://schemas.openxmlformats.org/spreadsheetml/2006/main" count="1040" uniqueCount="187">
  <si>
    <t>PERFORMANCE APPRAISAL PERIOD:</t>
  </si>
  <si>
    <t>FROM</t>
  </si>
  <si>
    <t>To</t>
  </si>
  <si>
    <t>SECTION 1: EMPLOYEE INFORMATION</t>
  </si>
  <si>
    <t>Surname:</t>
  </si>
  <si>
    <t>TUBI</t>
  </si>
  <si>
    <t>Firstname</t>
  </si>
  <si>
    <t>TOLULOPE</t>
  </si>
  <si>
    <t>Othername</t>
  </si>
  <si>
    <t>TEJU</t>
  </si>
  <si>
    <t>Designation</t>
  </si>
  <si>
    <t>ASST. CHIEF ADMIN OFFICER</t>
  </si>
  <si>
    <t>IPPIS No.</t>
  </si>
  <si>
    <t>Email</t>
  </si>
  <si>
    <t>Phone No.</t>
  </si>
  <si>
    <t>Department</t>
  </si>
  <si>
    <t>OPERATIONS UNIT</t>
  </si>
  <si>
    <t>SECTION 2: SUPERVISOR INFORMATION</t>
  </si>
  <si>
    <t>ONCHE</t>
  </si>
  <si>
    <t>BEN</t>
  </si>
  <si>
    <t>OLOFO</t>
  </si>
  <si>
    <t>CHIEF ADMIN OFFICER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</si>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</sst>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61">
    <xf numFmtId="0" fontId="0" fillId="0" borderId="0" xfId="0"/>
    <xf numFmtId="0" fontId="8" fillId="0" borderId="16" xfId="5" applyFont="1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1" fillId="0" borderId="0" xfId="5" applyAlignment="1">
      <alignment vertical="top"/>
    </xf>
    <xf numFmtId="0" fontId="8" fillId="0" borderId="19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9" fillId="2" borderId="16" xfId="5" applyFont="1" applyFill="1" applyBorder="1" applyAlignment="1">
      <alignment horizontal="left" vertical="top" wrapText="1"/>
    </xf>
    <xf numFmtId="0" fontId="9" fillId="2" borderId="17" xfId="5" applyFont="1" applyFill="1" applyBorder="1" applyAlignment="1">
      <alignment horizontal="left" vertical="top" wrapText="1"/>
    </xf>
    <xf numFmtId="0" fontId="10" fillId="2" borderId="16" xfId="5" applyFont="1" applyFill="1" applyBorder="1" applyAlignment="1">
      <alignment horizontal="center" vertical="top" wrapText="1"/>
    </xf>
    <xf numFmtId="0" fontId="10" fillId="2" borderId="17" xfId="5" applyFont="1" applyFill="1" applyBorder="1" applyAlignment="1">
      <alignment horizontal="center" vertical="top" wrapText="1"/>
    </xf>
    <xf numFmtId="0" fontId="10" fillId="2" borderId="18" xfId="5" applyFont="1" applyFill="1" applyBorder="1" applyAlignment="1">
      <alignment horizontal="center" vertical="top" wrapText="1"/>
    </xf>
    <xf numFmtId="0" fontId="11" fillId="0" borderId="0" xfId="5" applyFont="1" applyAlignment="1">
      <alignment vertical="top"/>
    </xf>
    <xf numFmtId="0" fontId="12" fillId="3" borderId="19" xfId="1" applyFont="1" applyFill="1" applyBorder="1" applyAlignment="1">
      <alignment vertical="center"/>
    </xf>
    <xf numFmtId="49" fontId="12" fillId="4" borderId="0" xfId="1" applyNumberFormat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49" fontId="12" fillId="0" borderId="9" xfId="1" applyNumberFormat="1" applyFont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0" fillId="2" borderId="19" xfId="5" applyFont="1" applyFill="1" applyBorder="1" applyAlignment="1">
      <alignment horizontal="center" vertical="top" wrapText="1"/>
    </xf>
    <xf numFmtId="0" fontId="10" fillId="2" borderId="0" xfId="5" applyFont="1" applyFill="1" applyAlignment="1">
      <alignment horizontal="center" vertical="top" wrapText="1"/>
    </xf>
    <xf numFmtId="0" fontId="10" fillId="2" borderId="20" xfId="5" applyFont="1" applyFill="1" applyBorder="1" applyAlignment="1">
      <alignment horizontal="center" vertical="top" wrapText="1"/>
    </xf>
    <xf numFmtId="0" fontId="14" fillId="0" borderId="0" xfId="1" applyFont="1"/>
    <xf numFmtId="0" fontId="15" fillId="2" borderId="19" xfId="6" applyFont="1" applyFill="1" applyBorder="1" applyAlignment="1">
      <alignment horizontal="left"/>
    </xf>
    <xf numFmtId="0" fontId="15" fillId="2" borderId="0" xfId="6" applyFont="1" applyFill="1" applyAlignment="1">
      <alignment horizontal="left"/>
    </xf>
    <xf numFmtId="0" fontId="15" fillId="2" borderId="0" xfId="6" applyFont="1" applyFill="1" applyAlignment="1">
      <alignment horizontal="left"/>
    </xf>
    <xf numFmtId="0" fontId="2" fillId="2" borderId="0" xfId="6" applyFont="1" applyFill="1"/>
    <xf numFmtId="0" fontId="2" fillId="0" borderId="0" xfId="6" applyFont="1"/>
    <xf numFmtId="0" fontId="18" fillId="2" borderId="0" xfId="1" applyFont="1" applyFill="1" applyAlignment="1">
      <alignment horizontal="left"/>
    </xf>
    <xf numFmtId="0" fontId="18" fillId="2" borderId="0" xfId="1" applyFont="1" applyFill="1" applyAlignment="1">
      <alignment horizontal="left"/>
    </xf>
    <xf numFmtId="0" fontId="19" fillId="0" borderId="0" xfId="1" applyFont="1" applyAlignment="1">
      <alignment horizontal="left"/>
    </xf>
    <xf numFmtId="0" fontId="20" fillId="2" borderId="19" xfId="1" applyFont="1" applyFill="1" applyBorder="1"/>
    <xf numFmtId="0" fontId="20" fillId="2" borderId="0" xfId="1" applyFont="1" applyFill="1"/>
    <xf numFmtId="0" fontId="21" fillId="2" borderId="0" xfId="1" applyFont="1" applyFill="1" applyAlignment="1">
      <alignment horizontal="center"/>
    </xf>
    <xf numFmtId="0" fontId="10" fillId="2" borderId="21" xfId="5" applyFont="1" applyFill="1" applyBorder="1" applyAlignment="1">
      <alignment horizontal="center" vertical="top" wrapText="1"/>
    </xf>
    <xf numFmtId="0" fontId="10" fillId="2" borderId="22" xfId="5" applyFont="1" applyFill="1" applyBorder="1" applyAlignment="1">
      <alignment horizontal="center" vertical="top" wrapText="1"/>
    </xf>
    <xf numFmtId="0" fontId="10" fillId="2" borderId="23" xfId="5" applyFont="1" applyFill="1" applyBorder="1" applyAlignment="1">
      <alignment horizontal="center" vertical="top" wrapText="1"/>
    </xf>
    <xf numFmtId="0" fontId="11" fillId="0" borderId="0" xfId="1" applyFont="1"/>
    <xf numFmtId="0" fontId="9" fillId="3" borderId="24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9" fillId="3" borderId="0" xfId="1" applyFont="1" applyFill="1" applyAlignment="1">
      <alignment horizontal="left"/>
    </xf>
    <xf numFmtId="0" fontId="21" fillId="3" borderId="0" xfId="1" applyFont="1" applyFill="1"/>
    <xf numFmtId="0" fontId="22" fillId="3" borderId="0" xfId="1" applyFont="1" applyFill="1"/>
    <xf numFmtId="0" fontId="11" fillId="3" borderId="0" xfId="1" applyFont="1" applyFill="1"/>
    <xf numFmtId="0" fontId="11" fillId="3" borderId="20" xfId="1" applyFont="1" applyFill="1" applyBorder="1"/>
    <xf numFmtId="0" fontId="5" fillId="2" borderId="2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3" fillId="2" borderId="9" xfId="5" applyFont="1" applyFill="1" applyBorder="1" applyAlignment="1">
      <alignment horizontal="center" vertical="center" wrapText="1"/>
    </xf>
    <xf numFmtId="0" fontId="23" fillId="2" borderId="13" xfId="5" applyFont="1" applyFill="1" applyBorder="1" applyAlignment="1">
      <alignment horizontal="center" vertical="center" wrapText="1"/>
    </xf>
    <xf numFmtId="0" fontId="23" fillId="2" borderId="11" xfId="5" applyFont="1" applyFill="1" applyBorder="1" applyAlignment="1">
      <alignment horizontal="center" vertical="center" wrapText="1"/>
    </xf>
    <xf numFmtId="0" fontId="23" fillId="2" borderId="14" xfId="5" applyFont="1" applyFill="1" applyBorder="1" applyAlignment="1">
      <alignment horizontal="center" vertical="center" wrapText="1"/>
    </xf>
    <xf numFmtId="2" fontId="23" fillId="2" borderId="26" xfId="5" applyNumberFormat="1" applyFont="1" applyFill="1" applyBorder="1" applyAlignment="1">
      <alignment horizontal="center" vertical="center" wrapText="1"/>
    </xf>
    <xf numFmtId="0" fontId="24" fillId="0" borderId="0" xfId="5" applyFont="1" applyAlignment="1">
      <alignment vertical="top"/>
    </xf>
    <xf numFmtId="0" fontId="5" fillId="2" borderId="2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 wrapText="1"/>
    </xf>
    <xf numFmtId="0" fontId="23" fillId="2" borderId="10" xfId="5" applyFont="1" applyFill="1" applyBorder="1" applyAlignment="1">
      <alignment horizontal="center" vertical="center" wrapText="1"/>
    </xf>
    <xf numFmtId="2" fontId="23" fillId="2" borderId="28" xfId="5" applyNumberFormat="1" applyFont="1" applyFill="1" applyBorder="1" applyAlignment="1">
      <alignment horizontal="center" vertical="center" wrapText="1"/>
    </xf>
    <xf numFmtId="0" fontId="25" fillId="0" borderId="12" xfId="1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1" applyFont="1" applyBorder="1" applyAlignment="1">
      <alignment horizontal="left" vertical="center" wrapText="1"/>
    </xf>
    <xf numFmtId="9" fontId="25" fillId="0" borderId="12" xfId="1" applyNumberFormat="1" applyFont="1" applyBorder="1" applyAlignment="1">
      <alignment horizontal="center" vertical="center" wrapText="1"/>
    </xf>
    <xf numFmtId="0" fontId="25" fillId="0" borderId="12" xfId="4" applyFont="1" applyBorder="1" applyAlignment="1">
      <alignment horizontal="center" vertical="center" wrapText="1"/>
    </xf>
    <xf numFmtId="0" fontId="25" fillId="0" borderId="12" xfId="5" applyFont="1" applyBorder="1" applyAlignment="1">
      <alignment horizontal="center" vertical="center" wrapText="1"/>
    </xf>
    <xf numFmtId="0" fontId="17" fillId="0" borderId="12" xfId="5" applyFont="1" applyBorder="1" applyAlignment="1">
      <alignment horizontal="center" vertical="center"/>
    </xf>
    <xf numFmtId="0" fontId="27" fillId="0" borderId="12" xfId="10" applyFont="1" applyBorder="1" applyAlignment="1">
      <alignment horizontal="center" vertical="center"/>
    </xf>
    <xf numFmtId="0" fontId="4" fillId="2" borderId="12" xfId="5" applyFont="1" applyFill="1" applyBorder="1" applyAlignment="1">
      <alignment horizontal="center" vertical="center"/>
    </xf>
    <xf numFmtId="2" fontId="4" fillId="2" borderId="12" xfId="5" applyNumberFormat="1" applyFont="1" applyFill="1" applyBorder="1" applyAlignment="1">
      <alignment horizontal="center" vertical="center"/>
    </xf>
    <xf numFmtId="0" fontId="28" fillId="0" borderId="0" xfId="5" applyFont="1" applyAlignment="1">
      <alignment horizontal="left" vertical="top" wrapText="1"/>
    </xf>
    <xf numFmtId="0" fontId="25" fillId="0" borderId="12" xfId="1" applyFont="1" applyBorder="1" applyAlignment="1">
      <alignment horizontal="center" vertical="center"/>
    </xf>
    <xf numFmtId="9" fontId="25" fillId="0" borderId="12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 wrapText="1"/>
    </xf>
    <xf numFmtId="0" fontId="29" fillId="0" borderId="29" xfId="11" applyFont="1" applyBorder="1" applyAlignment="1">
      <alignment horizontal="center" vertical="center"/>
    </xf>
    <xf numFmtId="0" fontId="30" fillId="0" borderId="10" xfId="5" applyFont="1" applyBorder="1" applyAlignment="1">
      <alignment horizontal="center" vertical="center" wrapText="1"/>
    </xf>
    <xf numFmtId="2" fontId="30" fillId="0" borderId="10" xfId="5" applyNumberFormat="1" applyFont="1" applyBorder="1" applyAlignment="1">
      <alignment horizontal="center" vertical="center" wrapText="1"/>
    </xf>
    <xf numFmtId="2" fontId="29" fillId="0" borderId="10" xfId="11" applyNumberFormat="1" applyFont="1" applyBorder="1" applyAlignment="1">
      <alignment horizontal="left" vertical="center" wrapText="1"/>
    </xf>
    <xf numFmtId="9" fontId="29" fillId="0" borderId="10" xfId="11" applyNumberFormat="1" applyFont="1" applyBorder="1" applyAlignment="1">
      <alignment horizontal="center" vertical="center"/>
    </xf>
    <xf numFmtId="0" fontId="31" fillId="0" borderId="6" xfId="6" applyFont="1" applyBorder="1" applyAlignment="1">
      <alignment vertical="center"/>
    </xf>
    <xf numFmtId="49" fontId="31" fillId="0" borderId="7" xfId="6" applyNumberFormat="1" applyFont="1" applyBorder="1" applyAlignment="1">
      <alignment horizontal="center" vertical="center"/>
    </xf>
    <xf numFmtId="0" fontId="30" fillId="0" borderId="13" xfId="5" applyFont="1" applyBorder="1" applyAlignment="1" applyProtection="1">
      <alignment horizontal="center" vertical="center"/>
      <protection locked="0"/>
    </xf>
    <xf numFmtId="2" fontId="32" fillId="2" borderId="12" xfId="5" applyNumberFormat="1" applyFont="1" applyFill="1" applyBorder="1" applyAlignment="1">
      <alignment horizontal="center" vertical="center"/>
    </xf>
    <xf numFmtId="2" fontId="32" fillId="2" borderId="30" xfId="5" applyNumberFormat="1" applyFont="1" applyFill="1" applyBorder="1" applyAlignment="1">
      <alignment horizontal="center" vertical="center"/>
    </xf>
    <xf numFmtId="0" fontId="28" fillId="0" borderId="0" xfId="12" applyFont="1" applyAlignment="1">
      <alignment horizontal="left" vertical="top" wrapText="1"/>
    </xf>
    <xf numFmtId="0" fontId="33" fillId="0" borderId="31" xfId="5" applyFont="1" applyBorder="1" applyAlignment="1">
      <alignment vertical="center" wrapText="1"/>
    </xf>
    <xf numFmtId="0" fontId="34" fillId="0" borderId="0" xfId="5" applyFont="1" applyAlignment="1">
      <alignment vertical="top" wrapText="1"/>
    </xf>
    <xf numFmtId="0" fontId="35" fillId="0" borderId="10" xfId="5" applyFont="1" applyBorder="1" applyAlignment="1">
      <alignment horizontal="center" vertical="center" wrapText="1"/>
    </xf>
    <xf numFmtId="0" fontId="36" fillId="5" borderId="9" xfId="5" applyFont="1" applyFill="1" applyBorder="1" applyAlignment="1">
      <alignment horizontal="center"/>
    </xf>
    <xf numFmtId="0" fontId="36" fillId="5" borderId="13" xfId="5" applyFont="1" applyFill="1" applyBorder="1" applyAlignment="1">
      <alignment horizontal="center"/>
    </xf>
    <xf numFmtId="0" fontId="36" fillId="5" borderId="11" xfId="5" applyFont="1" applyFill="1" applyBorder="1" applyAlignment="1">
      <alignment horizontal="center"/>
    </xf>
    <xf numFmtId="2" fontId="37" fillId="6" borderId="30" xfId="13" applyNumberFormat="1" applyFont="1" applyFill="1" applyBorder="1" applyAlignment="1" applyProtection="1">
      <alignment horizontal="center"/>
    </xf>
    <xf numFmtId="0" fontId="15" fillId="2" borderId="24" xfId="5" applyFont="1" applyFill="1" applyBorder="1" applyAlignment="1">
      <alignment horizontal="right" vertical="top" wrapText="1"/>
    </xf>
    <xf numFmtId="0" fontId="15" fillId="2" borderId="2" xfId="5" applyFont="1" applyFill="1" applyBorder="1" applyAlignment="1">
      <alignment horizontal="right" vertical="top" wrapText="1"/>
    </xf>
    <xf numFmtId="0" fontId="15" fillId="2" borderId="3" xfId="5" applyFont="1" applyFill="1" applyBorder="1" applyAlignment="1">
      <alignment horizontal="right" vertical="top" wrapText="1"/>
    </xf>
    <xf numFmtId="0" fontId="15" fillId="2" borderId="12" xfId="5" applyFont="1" applyFill="1" applyBorder="1" applyAlignment="1">
      <alignment horizontal="center" vertical="top" wrapText="1"/>
    </xf>
    <xf numFmtId="0" fontId="23" fillId="2" borderId="2" xfId="5" applyFont="1" applyFill="1" applyBorder="1" applyAlignment="1">
      <alignment horizontal="center" vertical="top" wrapText="1"/>
    </xf>
    <xf numFmtId="0" fontId="23" fillId="2" borderId="8" xfId="5" applyFont="1" applyFill="1" applyBorder="1" applyAlignment="1">
      <alignment horizontal="center" vertical="top" wrapText="1"/>
    </xf>
    <xf numFmtId="0" fontId="2" fillId="3" borderId="0" xfId="5" applyFont="1" applyFill="1" applyAlignment="1">
      <alignment horizontal="center"/>
    </xf>
    <xf numFmtId="2" fontId="2" fillId="3" borderId="20" xfId="5" applyNumberFormat="1" applyFont="1" applyFill="1" applyBorder="1" applyAlignment="1">
      <alignment horizontal="center"/>
    </xf>
    <xf numFmtId="0" fontId="28" fillId="0" borderId="0" xfId="5" applyFont="1" applyAlignment="1">
      <alignment vertical="top" wrapText="1"/>
    </xf>
    <xf numFmtId="0" fontId="2" fillId="2" borderId="19" xfId="5" applyFont="1" applyFill="1" applyBorder="1" applyAlignment="1">
      <alignment horizontal="right" vertical="top" wrapText="1"/>
    </xf>
    <xf numFmtId="0" fontId="38" fillId="2" borderId="0" xfId="5" applyFont="1" applyFill="1" applyAlignment="1">
      <alignment horizontal="right" vertical="top" wrapText="1"/>
    </xf>
    <xf numFmtId="0" fontId="15" fillId="3" borderId="0" xfId="5" applyFont="1" applyFill="1" applyAlignment="1">
      <alignment horizontal="right" vertical="top" wrapText="1"/>
    </xf>
    <xf numFmtId="0" fontId="15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top" wrapText="1"/>
    </xf>
    <xf numFmtId="0" fontId="23" fillId="2" borderId="7" xfId="5" applyFont="1" applyFill="1" applyBorder="1" applyAlignment="1">
      <alignment horizontal="center" vertical="top" wrapText="1"/>
    </xf>
    <xf numFmtId="0" fontId="39" fillId="2" borderId="12" xfId="5" applyFont="1" applyFill="1" applyBorder="1" applyAlignment="1">
      <alignment horizontal="center" vertical="top" wrapText="1"/>
    </xf>
    <xf numFmtId="0" fontId="5" fillId="0" borderId="29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40" fillId="0" borderId="10" xfId="5" applyFont="1" applyBorder="1" applyAlignment="1">
      <alignment horizontal="center" vertical="top" wrapText="1"/>
    </xf>
    <xf numFmtId="0" fontId="2" fillId="3" borderId="0" xfId="5" applyFont="1" applyFill="1" applyAlignment="1">
      <alignment horizontal="center" vertical="top" wrapText="1"/>
    </xf>
    <xf numFmtId="0" fontId="41" fillId="2" borderId="12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31" xfId="1" applyFont="1" applyBorder="1" applyAlignment="1">
      <alignment horizontal="center" vertical="center"/>
    </xf>
    <xf numFmtId="0" fontId="6" fillId="0" borderId="12" xfId="1" applyFont="1" applyBorder="1" applyAlignment="1">
      <alignment vertical="center" wrapText="1"/>
    </xf>
    <xf numFmtId="0" fontId="38" fillId="0" borderId="9" xfId="10" applyFont="1" applyBorder="1" applyAlignment="1">
      <alignment horizontal="left" vertical="center" wrapText="1"/>
    </xf>
    <xf numFmtId="0" fontId="38" fillId="0" borderId="13" xfId="10" applyFont="1" applyBorder="1" applyAlignment="1">
      <alignment horizontal="left" vertical="center" wrapText="1"/>
    </xf>
    <xf numFmtId="0" fontId="38" fillId="0" borderId="11" xfId="10" applyFont="1" applyBorder="1" applyAlignment="1">
      <alignment horizontal="left" vertical="center" wrapText="1"/>
    </xf>
    <xf numFmtId="0" fontId="40" fillId="0" borderId="12" xfId="5" applyFont="1" applyBorder="1" applyAlignment="1">
      <alignment horizontal="center" vertical="top" wrapText="1"/>
    </xf>
    <xf numFmtId="0" fontId="40" fillId="0" borderId="12" xfId="5" applyFont="1" applyBorder="1" applyAlignment="1" applyProtection="1">
      <alignment horizontal="center" vertical="top" wrapText="1"/>
      <protection locked="0"/>
    </xf>
    <xf numFmtId="0" fontId="5" fillId="0" borderId="31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 wrapText="1"/>
    </xf>
    <xf numFmtId="0" fontId="6" fillId="0" borderId="9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horizontal="left" vertical="center" wrapText="1"/>
    </xf>
    <xf numFmtId="0" fontId="38" fillId="0" borderId="9" xfId="10" applyFont="1" applyBorder="1" applyAlignment="1">
      <alignment vertical="center" wrapText="1"/>
    </xf>
    <xf numFmtId="0" fontId="38" fillId="0" borderId="13" xfId="10" applyFont="1" applyBorder="1" applyAlignment="1">
      <alignment vertical="center" wrapText="1"/>
    </xf>
    <xf numFmtId="0" fontId="38" fillId="0" borderId="11" xfId="10" applyFont="1" applyBorder="1" applyAlignment="1">
      <alignment vertical="center" wrapText="1"/>
    </xf>
    <xf numFmtId="0" fontId="39" fillId="2" borderId="11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9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2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left" vertical="center"/>
    </xf>
    <xf numFmtId="0" fontId="5" fillId="2" borderId="13" xfId="1" applyFont="1" applyFill="1" applyBorder="1" applyAlignment="1">
      <alignment horizontal="left" vertical="center"/>
    </xf>
    <xf numFmtId="0" fontId="15" fillId="2" borderId="13" xfId="5" applyFont="1" applyFill="1" applyBorder="1" applyAlignment="1">
      <alignment horizontal="center" vertical="top" wrapText="1"/>
    </xf>
    <xf numFmtId="0" fontId="15" fillId="2" borderId="11" xfId="5" applyFont="1" applyFill="1" applyBorder="1" applyAlignment="1">
      <alignment horizontal="center" vertical="top" wrapText="1"/>
    </xf>
    <xf numFmtId="0" fontId="6" fillId="0" borderId="31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38" fillId="0" borderId="12" xfId="5" applyFont="1" applyBorder="1" applyAlignment="1">
      <alignment horizontal="center" vertical="top" wrapText="1"/>
    </xf>
    <xf numFmtId="0" fontId="15" fillId="0" borderId="12" xfId="5" applyFont="1" applyBorder="1" applyAlignment="1" applyProtection="1">
      <alignment horizontal="center" vertical="top" wrapText="1"/>
      <protection locked="0"/>
    </xf>
    <xf numFmtId="0" fontId="15" fillId="0" borderId="12" xfId="5" applyFont="1" applyBorder="1" applyAlignment="1">
      <alignment horizontal="center" vertical="top" wrapText="1"/>
    </xf>
    <xf numFmtId="0" fontId="15" fillId="2" borderId="32" xfId="5" applyFont="1" applyFill="1" applyBorder="1" applyAlignment="1">
      <alignment vertical="top" wrapText="1"/>
    </xf>
    <xf numFmtId="0" fontId="15" fillId="2" borderId="13" xfId="5" applyFont="1" applyFill="1" applyBorder="1" applyAlignment="1">
      <alignment horizontal="left" vertical="top" wrapText="1"/>
    </xf>
    <xf numFmtId="0" fontId="15" fillId="2" borderId="13" xfId="5" applyFont="1" applyFill="1" applyBorder="1" applyAlignment="1">
      <alignment vertical="top" wrapText="1"/>
    </xf>
    <xf numFmtId="0" fontId="42" fillId="2" borderId="0" xfId="5" applyFont="1" applyFill="1" applyAlignment="1">
      <alignment horizontal="center" vertical="top" wrapText="1"/>
    </xf>
    <xf numFmtId="0" fontId="11" fillId="7" borderId="19" xfId="5" applyFont="1" applyFill="1" applyBorder="1"/>
    <xf numFmtId="0" fontId="11" fillId="7" borderId="2" xfId="5" applyFont="1" applyFill="1" applyBorder="1" applyAlignment="1">
      <alignment horizontal="center"/>
    </xf>
    <xf numFmtId="0" fontId="43" fillId="2" borderId="2" xfId="5" applyFont="1" applyFill="1" applyBorder="1" applyAlignment="1">
      <alignment vertical="center" wrapText="1"/>
    </xf>
    <xf numFmtId="0" fontId="43" fillId="2" borderId="13" xfId="5" applyFont="1" applyFill="1" applyBorder="1" applyAlignment="1">
      <alignment horizontal="center" vertical="center" wrapText="1"/>
    </xf>
    <xf numFmtId="0" fontId="43" fillId="8" borderId="9" xfId="5" applyFont="1" applyFill="1" applyBorder="1" applyAlignment="1">
      <alignment horizontal="center" vertical="center" wrapText="1"/>
    </xf>
    <xf numFmtId="0" fontId="43" fillId="8" borderId="11" xfId="5" applyFont="1" applyFill="1" applyBorder="1" applyAlignment="1">
      <alignment horizontal="center" vertical="center" wrapText="1"/>
    </xf>
    <xf numFmtId="0" fontId="43" fillId="8" borderId="33" xfId="5" applyFont="1" applyFill="1" applyBorder="1" applyAlignment="1">
      <alignment horizontal="center" vertical="center" wrapText="1"/>
    </xf>
    <xf numFmtId="0" fontId="11" fillId="0" borderId="0" xfId="5" applyFont="1"/>
    <xf numFmtId="0" fontId="11" fillId="7" borderId="0" xfId="5" applyFont="1" applyFill="1" applyAlignment="1">
      <alignment horizontal="center"/>
    </xf>
    <xf numFmtId="0" fontId="43" fillId="0" borderId="9" xfId="5" applyFont="1" applyBorder="1" applyAlignment="1">
      <alignment horizontal="left" vertical="center" wrapText="1"/>
    </xf>
    <xf numFmtId="0" fontId="43" fillId="0" borderId="13" xfId="5" applyFont="1" applyBorder="1" applyAlignment="1">
      <alignment horizontal="left" vertical="center" wrapText="1"/>
    </xf>
    <xf numFmtId="0" fontId="43" fillId="0" borderId="11" xfId="5" applyFont="1" applyBorder="1" applyAlignment="1">
      <alignment horizontal="left" vertical="center" wrapText="1"/>
    </xf>
    <xf numFmtId="0" fontId="43" fillId="0" borderId="9" xfId="5" applyFont="1" applyBorder="1" applyAlignment="1">
      <alignment horizontal="center" vertical="center" wrapText="1"/>
    </xf>
    <xf numFmtId="0" fontId="43" fillId="0" borderId="13" xfId="5" applyFont="1" applyBorder="1" applyAlignment="1">
      <alignment horizontal="center" vertical="center" wrapText="1"/>
    </xf>
    <xf numFmtId="0" fontId="43" fillId="0" borderId="11" xfId="5" applyFont="1" applyBorder="1" applyAlignment="1">
      <alignment horizontal="center" vertical="center" wrapText="1"/>
    </xf>
    <xf numFmtId="2" fontId="43" fillId="8" borderId="9" xfId="5" applyNumberFormat="1" applyFont="1" applyFill="1" applyBorder="1" applyAlignment="1">
      <alignment horizontal="center" vertical="center" wrapText="1"/>
    </xf>
    <xf numFmtId="2" fontId="43" fillId="8" borderId="11" xfId="5" applyNumberFormat="1" applyFont="1" applyFill="1" applyBorder="1" applyAlignment="1">
      <alignment horizontal="center" vertical="center" wrapText="1"/>
    </xf>
    <xf numFmtId="2" fontId="44" fillId="2" borderId="1" xfId="13" applyNumberFormat="1" applyFont="1" applyFill="1" applyBorder="1" applyAlignment="1" applyProtection="1">
      <alignment horizontal="center" vertical="center" wrapText="1"/>
    </xf>
    <xf numFmtId="2" fontId="44" fillId="2" borderId="34" xfId="13" applyNumberFormat="1" applyFont="1" applyFill="1" applyBorder="1" applyAlignment="1" applyProtection="1">
      <alignment horizontal="center" vertical="center" wrapText="1"/>
    </xf>
    <xf numFmtId="2" fontId="44" fillId="2" borderId="4" xfId="13" applyNumberFormat="1" applyFont="1" applyFill="1" applyBorder="1" applyAlignment="1" applyProtection="1">
      <alignment horizontal="center" vertical="center" wrapText="1"/>
    </xf>
    <xf numFmtId="2" fontId="44" fillId="2" borderId="20" xfId="13" applyNumberFormat="1" applyFont="1" applyFill="1" applyBorder="1" applyAlignment="1" applyProtection="1">
      <alignment horizontal="center" vertical="center" wrapText="1"/>
    </xf>
    <xf numFmtId="0" fontId="11" fillId="7" borderId="7" xfId="5" applyFont="1" applyFill="1" applyBorder="1" applyAlignment="1">
      <alignment horizontal="center"/>
    </xf>
    <xf numFmtId="2" fontId="44" fillId="2" borderId="6" xfId="13" applyNumberFormat="1" applyFont="1" applyFill="1" applyBorder="1" applyAlignment="1" applyProtection="1">
      <alignment horizontal="center" vertical="center" wrapText="1"/>
    </xf>
    <xf numFmtId="2" fontId="44" fillId="2" borderId="35" xfId="13" applyNumberFormat="1" applyFont="1" applyFill="1" applyBorder="1" applyAlignment="1" applyProtection="1">
      <alignment horizontal="center" vertical="center" wrapText="1"/>
    </xf>
    <xf numFmtId="0" fontId="43" fillId="2" borderId="12" xfId="5" applyFont="1" applyFill="1" applyBorder="1" applyAlignment="1">
      <alignment horizontal="center" vertical="center" wrapText="1"/>
    </xf>
    <xf numFmtId="0" fontId="43" fillId="4" borderId="12" xfId="5" applyFont="1" applyFill="1" applyBorder="1" applyAlignment="1">
      <alignment vertical="center" wrapText="1"/>
    </xf>
    <xf numFmtId="0" fontId="43" fillId="4" borderId="30" xfId="5" applyFont="1" applyFill="1" applyBorder="1" applyAlignment="1">
      <alignment vertical="center" wrapText="1"/>
    </xf>
    <xf numFmtId="0" fontId="45" fillId="4" borderId="12" xfId="5" applyFont="1" applyFill="1" applyBorder="1" applyAlignment="1">
      <alignment horizontal="center" vertical="center" wrapText="1"/>
    </xf>
    <xf numFmtId="0" fontId="45" fillId="4" borderId="30" xfId="5" applyFont="1" applyFill="1" applyBorder="1" applyAlignment="1">
      <alignment horizontal="center" vertical="center" wrapText="1"/>
    </xf>
    <xf numFmtId="0" fontId="43" fillId="2" borderId="12" xfId="5" applyFont="1" applyFill="1" applyBorder="1" applyAlignment="1">
      <alignment horizontal="left" vertical="center" wrapText="1"/>
    </xf>
    <xf numFmtId="0" fontId="43" fillId="0" borderId="12" xfId="5" applyFont="1" applyBorder="1" applyAlignment="1">
      <alignment vertical="center" wrapText="1"/>
    </xf>
    <xf numFmtId="0" fontId="43" fillId="0" borderId="30" xfId="5" applyFont="1" applyBorder="1" applyAlignment="1">
      <alignment vertical="center" wrapText="1"/>
    </xf>
    <xf numFmtId="0" fontId="15" fillId="2" borderId="24" xfId="5" applyFont="1" applyFill="1" applyBorder="1" applyAlignment="1">
      <alignment vertical="center" wrapText="1"/>
    </xf>
    <xf numFmtId="0" fontId="15" fillId="2" borderId="3" xfId="5" applyFont="1" applyFill="1" applyBorder="1" applyAlignment="1">
      <alignment vertical="center" wrapText="1"/>
    </xf>
    <xf numFmtId="0" fontId="38" fillId="0" borderId="2" xfId="5" applyFont="1" applyBorder="1" applyAlignment="1">
      <alignment vertical="center" wrapText="1"/>
    </xf>
    <xf numFmtId="0" fontId="38" fillId="0" borderId="3" xfId="5" applyFont="1" applyBorder="1" applyAlignment="1">
      <alignment vertical="center" wrapText="1"/>
    </xf>
    <xf numFmtId="0" fontId="15" fillId="2" borderId="1" xfId="5" applyFont="1" applyFill="1" applyBorder="1" applyAlignment="1">
      <alignment vertical="center" wrapText="1"/>
    </xf>
    <xf numFmtId="0" fontId="38" fillId="0" borderId="2" xfId="5" applyFont="1" applyBorder="1" applyAlignment="1">
      <alignment horizontal="center" vertical="center" wrapText="1"/>
    </xf>
    <xf numFmtId="0" fontId="40" fillId="3" borderId="0" xfId="5" applyFont="1" applyFill="1" applyAlignment="1">
      <alignment horizontal="center" vertical="top" wrapText="1"/>
    </xf>
    <xf numFmtId="0" fontId="2" fillId="3" borderId="2" xfId="5" applyFont="1" applyFill="1" applyBorder="1" applyAlignment="1">
      <alignment horizontal="center" vertical="top" wrapText="1"/>
    </xf>
    <xf numFmtId="0" fontId="15" fillId="2" borderId="19" xfId="5" applyFont="1" applyFill="1" applyBorder="1" applyAlignment="1">
      <alignment vertical="center" wrapText="1"/>
    </xf>
    <xf numFmtId="0" fontId="15" fillId="2" borderId="5" xfId="5" applyFont="1" applyFill="1" applyBorder="1" applyAlignment="1">
      <alignment vertical="center" wrapText="1"/>
    </xf>
    <xf numFmtId="0" fontId="38" fillId="0" borderId="0" xfId="5" applyFont="1" applyAlignment="1">
      <alignment vertical="center" wrapText="1"/>
    </xf>
    <xf numFmtId="0" fontId="38" fillId="0" borderId="5" xfId="5" applyFont="1" applyBorder="1" applyAlignment="1">
      <alignment vertical="center" wrapText="1"/>
    </xf>
    <xf numFmtId="0" fontId="15" fillId="2" borderId="4" xfId="5" applyFont="1" applyFill="1" applyBorder="1" applyAlignment="1">
      <alignment vertical="center" wrapText="1"/>
    </xf>
    <xf numFmtId="0" fontId="38" fillId="0" borderId="0" xfId="5" applyFont="1" applyAlignment="1">
      <alignment horizontal="center" vertical="center" wrapText="1"/>
    </xf>
    <xf numFmtId="0" fontId="2" fillId="3" borderId="0" xfId="5" applyFont="1" applyFill="1" applyAlignment="1">
      <alignment horizontal="center" vertical="top" wrapText="1"/>
    </xf>
    <xf numFmtId="0" fontId="15" fillId="2" borderId="36" xfId="5" applyFont="1" applyFill="1" applyBorder="1" applyAlignment="1">
      <alignment vertical="center" wrapText="1"/>
    </xf>
    <xf numFmtId="0" fontId="15" fillId="2" borderId="8" xfId="5" applyFont="1" applyFill="1" applyBorder="1" applyAlignment="1">
      <alignment vertical="center" wrapText="1"/>
    </xf>
    <xf numFmtId="0" fontId="38" fillId="0" borderId="7" xfId="5" applyFont="1" applyBorder="1" applyAlignment="1">
      <alignment vertical="center" wrapText="1"/>
    </xf>
    <xf numFmtId="0" fontId="38" fillId="0" borderId="8" xfId="5" applyFont="1" applyBorder="1" applyAlignment="1">
      <alignment vertical="center" wrapText="1"/>
    </xf>
    <xf numFmtId="0" fontId="15" fillId="2" borderId="6" xfId="5" applyFont="1" applyFill="1" applyBorder="1" applyAlignment="1">
      <alignment vertical="center" wrapText="1"/>
    </xf>
    <xf numFmtId="0" fontId="38" fillId="0" borderId="7" xfId="5" applyFont="1" applyBorder="1" applyAlignment="1">
      <alignment horizontal="center" vertical="center" wrapText="1"/>
    </xf>
    <xf numFmtId="0" fontId="15" fillId="3" borderId="24" xfId="5" applyFont="1" applyFill="1" applyBorder="1" applyAlignment="1">
      <alignment vertical="center" wrapText="1"/>
    </xf>
    <xf numFmtId="0" fontId="15" fillId="3" borderId="3" xfId="5" applyFont="1" applyFill="1" applyBorder="1" applyAlignment="1">
      <alignment vertical="center" wrapText="1"/>
    </xf>
    <xf numFmtId="0" fontId="15" fillId="3" borderId="1" xfId="5" applyFont="1" applyFill="1" applyBorder="1" applyAlignment="1">
      <alignment vertical="center" wrapText="1"/>
    </xf>
    <xf numFmtId="0" fontId="15" fillId="3" borderId="19" xfId="5" applyFont="1" applyFill="1" applyBorder="1" applyAlignment="1">
      <alignment vertical="center" wrapText="1"/>
    </xf>
    <xf numFmtId="0" fontId="15" fillId="3" borderId="5" xfId="5" applyFont="1" applyFill="1" applyBorder="1" applyAlignment="1">
      <alignment vertical="center" wrapText="1"/>
    </xf>
    <xf numFmtId="0" fontId="15" fillId="3" borderId="4" xfId="5" applyFont="1" applyFill="1" applyBorder="1" applyAlignment="1">
      <alignment vertical="center" wrapText="1"/>
    </xf>
    <xf numFmtId="0" fontId="15" fillId="3" borderId="6" xfId="5" applyFont="1" applyFill="1" applyBorder="1" applyAlignment="1">
      <alignment vertical="center" wrapText="1"/>
    </xf>
    <xf numFmtId="0" fontId="15" fillId="3" borderId="8" xfId="5" applyFont="1" applyFill="1" applyBorder="1" applyAlignment="1">
      <alignment vertical="center" wrapText="1"/>
    </xf>
    <xf numFmtId="0" fontId="28" fillId="3" borderId="21" xfId="5" applyFont="1" applyFill="1" applyBorder="1" applyAlignment="1">
      <alignment vertical="center" wrapText="1"/>
    </xf>
    <xf numFmtId="0" fontId="28" fillId="3" borderId="22" xfId="5" applyFont="1" applyFill="1" applyBorder="1" applyAlignment="1">
      <alignment vertical="center" wrapText="1"/>
    </xf>
    <xf numFmtId="0" fontId="7" fillId="3" borderId="22" xfId="5" applyFont="1" applyFill="1" applyBorder="1" applyAlignment="1">
      <alignment horizontal="center" vertical="top" wrapText="1"/>
    </xf>
    <xf numFmtId="0" fontId="28" fillId="3" borderId="22" xfId="5" applyFont="1" applyFill="1" applyBorder="1" applyAlignment="1">
      <alignment horizontal="center" vertical="top" wrapText="1"/>
    </xf>
    <xf numFmtId="0" fontId="2" fillId="3" borderId="22" xfId="5" applyFont="1" applyFill="1" applyBorder="1" applyAlignment="1">
      <alignment horizontal="center" vertical="top" wrapText="1"/>
    </xf>
    <xf numFmtId="2" fontId="2" fillId="3" borderId="23" xfId="5" applyNumberFormat="1" applyFont="1" applyFill="1" applyBorder="1" applyAlignment="1">
      <alignment horizontal="center"/>
    </xf>
    <xf numFmtId="0" fontId="1" fillId="0" borderId="0" xfId="5" applyAlignment="1">
      <alignment horizontal="center" vertical="top"/>
    </xf>
    <xf numFmtId="0" fontId="2" fillId="0" borderId="0" xfId="5" applyFont="1" applyAlignment="1">
      <alignment horizontal="center"/>
    </xf>
    <xf numFmtId="2" fontId="2" fillId="0" borderId="0" xfId="5" applyNumberFormat="1" applyFont="1" applyAlignment="1">
      <alignment horizontal="center"/>
    </xf>
    <xf numFmtId="0" fontId="16" fillId="3" borderId="0" xfId="2" applyFont="1" applyFill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0" borderId="8" xfId="2" applyFont="1" applyBorder="1" applyAlignment="1">
      <alignment horizontal="left"/>
    </xf>
    <xf numFmtId="0" fontId="16" fillId="3" borderId="10" xfId="2" applyFont="1" applyFill="1" applyBorder="1" applyAlignment="1">
      <alignment horizontal="left"/>
    </xf>
    <xf numFmtId="0" fontId="16" fillId="0" borderId="6" xfId="2" applyFont="1" applyBorder="1" applyAlignment="1">
      <alignment horizontal="left"/>
    </xf>
    <xf numFmtId="0" fontId="16" fillId="0" borderId="7" xfId="2" applyFont="1" applyBorder="1" applyAlignment="1">
      <alignment horizontal="left"/>
    </xf>
    <xf numFmtId="0" fontId="16" fillId="0" borderId="8" xfId="2" applyFont="1" applyBorder="1" applyAlignment="1">
      <alignment horizontal="left"/>
    </xf>
    <xf numFmtId="0" fontId="17" fillId="0" borderId="0" xfId="2" applyFont="1" applyAlignment="1">
      <alignment horizontal="left"/>
    </xf>
    <xf numFmtId="0" fontId="16" fillId="3" borderId="0" xfId="2" applyFont="1" applyFill="1" applyAlignment="1">
      <alignment horizontal="left"/>
    </xf>
    <xf numFmtId="0" fontId="16" fillId="3" borderId="5" xfId="2" applyFont="1" applyFill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16" fillId="3" borderId="12" xfId="2" applyFont="1" applyFill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46" fillId="0" borderId="9" xfId="2" applyFont="1" applyBorder="1" applyAlignment="1">
      <alignment horizontal="left"/>
    </xf>
    <xf numFmtId="0" fontId="46" fillId="0" borderId="13" xfId="2" applyFont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5" fillId="0" borderId="15" xfId="1" applyFont="1" applyBorder="1" applyAlignment="1">
      <alignment horizontal="left" vertical="center" wrapText="1"/>
    </xf>
    <xf numFmtId="2" fontId="25" fillId="0" borderId="15" xfId="1" applyNumberFormat="1" applyFont="1" applyBorder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5" fillId="0" borderId="10" xfId="1" applyFont="1" applyBorder="1" applyAlignment="1">
      <alignment horizontal="left" vertical="center" wrapText="1"/>
    </xf>
    <xf numFmtId="2" fontId="25" fillId="0" borderId="10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/>
    </xf>
    <xf numFmtId="2" fontId="25" fillId="0" borderId="14" xfId="1" applyNumberFormat="1" applyFont="1" applyBorder="1" applyAlignment="1">
      <alignment horizontal="center" vertical="center" wrapText="1"/>
    </xf>
    <xf numFmtId="2" fontId="25" fillId="0" borderId="10" xfId="1" applyNumberFormat="1" applyFont="1" applyBorder="1" applyAlignment="1">
      <alignment horizontal="center" vertical="center" wrapText="1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 wrapText="1"/>
    </xf>
  </cellXfs>
  <cellStyles count="14">
    <cellStyle name="Hyperlink 2" xfId="3" xr:uid="{650F676F-B089-4E48-AE51-656B6B876D7C}"/>
    <cellStyle name="Normal" xfId="0" builtinId="0"/>
    <cellStyle name="Normal 2 2" xfId="10" xr:uid="{B1F22EEA-FB03-4EBF-AF2C-FCB5797983BA}"/>
    <cellStyle name="Normal 2 2 3 2" xfId="12" xr:uid="{7CDC8D67-43C8-4914-999D-EC3993C5CBBD}"/>
    <cellStyle name="Normal 2 3" xfId="1" xr:uid="{3747C70A-5461-418A-A755-093ED5D9A628}"/>
    <cellStyle name="Normal 2 3 2" xfId="9" xr:uid="{00E860EC-5E7F-47B9-A1C6-A110C6373D35}"/>
    <cellStyle name="Normal 2 3 5" xfId="7" xr:uid="{F65A871E-AE75-4866-BB91-CC30DCA73515}"/>
    <cellStyle name="Normal 2 3 6" xfId="2" xr:uid="{D68EC31A-BD6F-4A58-B477-EAB906F7FF16}"/>
    <cellStyle name="Normal 2 4 2" xfId="8" xr:uid="{2B05F1C7-2680-405C-A9DF-67BC6AA00E56}"/>
    <cellStyle name="Normal 2 5 2 2" xfId="6" xr:uid="{401D6838-2B60-4BE0-A4FD-CEBB1BD16C2F}"/>
    <cellStyle name="Normal 2 7" xfId="11" xr:uid="{0418A76D-705B-4047-AD59-3283B11D59B3}"/>
    <cellStyle name="Normal 4 2 2 2 2" xfId="5" xr:uid="{217B8603-9AAD-46CC-8915-956EE25A25FD}"/>
    <cellStyle name="Normal 5 2 2" xfId="4" xr:uid="{9AC75A98-F517-4AD5-80C3-5E9942A2B425}"/>
    <cellStyle name="Percent 2 2" xfId="13" xr:uid="{ABAC79BC-AE05-4C5F-AD80-DBAF0AE6A1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716959DA-9E56-4E58-8ADD-C50A5F560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E3994033-3187-4ABE-BEAC-814E557AE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47FAA662-C108-4BA6-8EF0-58CF7EE3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2A3C9694-36FD-4EDB-AE35-82B36E779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kinbodew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kinbodew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10E5-DBD5-48E4-991F-B0735999CE1B}">
  <sheetPr>
    <pageSetUpPr fitToPage="1"/>
  </sheetPr>
  <dimension ref="A1:R80"/>
  <sheetViews>
    <sheetView tabSelected="1" topLeftCell="A6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146</v>
      </c>
      <c r="C5" s="16" t="s">
        <v>2</v>
      </c>
      <c r="D5" s="17" t="s">
        <v>147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62333</v>
      </c>
      <c r="D8" s="241" t="s">
        <v>13</v>
      </c>
      <c r="E8" s="242"/>
      <c r="F8" s="241" t="s">
        <v>14</v>
      </c>
      <c r="G8" s="243"/>
      <c r="H8" s="241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18</v>
      </c>
      <c r="D10" s="233" t="s">
        <v>6</v>
      </c>
      <c r="E10" s="232" t="s">
        <v>19</v>
      </c>
      <c r="F10" s="233" t="s">
        <v>8</v>
      </c>
      <c r="G10" s="234" t="s">
        <v>20</v>
      </c>
      <c r="H10" s="233" t="s">
        <v>10</v>
      </c>
      <c r="I10" s="235" t="s">
        <v>21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88712</v>
      </c>
      <c r="D11" s="241" t="s">
        <v>13</v>
      </c>
      <c r="E11" s="242"/>
      <c r="F11" s="241" t="s">
        <v>14</v>
      </c>
      <c r="G11" s="243"/>
      <c r="H11" s="241" t="s">
        <v>15</v>
      </c>
      <c r="I11" s="244" t="s">
        <v>16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22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23</v>
      </c>
      <c r="D13" s="233" t="s">
        <v>6</v>
      </c>
      <c r="E13" s="232" t="s">
        <v>24</v>
      </c>
      <c r="F13" s="233" t="s">
        <v>8</v>
      </c>
      <c r="G13" s="234" t="s">
        <v>25</v>
      </c>
      <c r="H13" s="233" t="s">
        <v>10</v>
      </c>
      <c r="I13" s="235" t="s">
        <v>26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2" t="s">
        <v>27</v>
      </c>
      <c r="F14" s="241" t="s">
        <v>14</v>
      </c>
      <c r="G14" s="243"/>
      <c r="H14" s="241" t="s">
        <v>15</v>
      </c>
      <c r="I14" s="244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28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29</v>
      </c>
      <c r="B17" s="48" t="s">
        <v>30</v>
      </c>
      <c r="C17" s="49" t="s">
        <v>31</v>
      </c>
      <c r="D17" s="49" t="s">
        <v>32</v>
      </c>
      <c r="E17" s="49" t="s">
        <v>31</v>
      </c>
      <c r="F17" s="50" t="s">
        <v>33</v>
      </c>
      <c r="G17" s="50" t="s">
        <v>34</v>
      </c>
      <c r="H17" s="51" t="s">
        <v>35</v>
      </c>
      <c r="I17" s="50" t="s">
        <v>36</v>
      </c>
      <c r="J17" s="52" t="s">
        <v>37</v>
      </c>
      <c r="K17" s="53"/>
      <c r="L17" s="53"/>
      <c r="M17" s="53"/>
      <c r="N17" s="53"/>
      <c r="O17" s="54"/>
      <c r="P17" s="55" t="s">
        <v>148</v>
      </c>
      <c r="Q17" s="55" t="s">
        <v>149</v>
      </c>
      <c r="R17" s="56" t="s">
        <v>150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151</v>
      </c>
      <c r="K18" s="62" t="s">
        <v>152</v>
      </c>
      <c r="L18" s="62" t="s">
        <v>153</v>
      </c>
      <c r="M18" s="61" t="s">
        <v>154</v>
      </c>
      <c r="N18" s="61" t="s">
        <v>155</v>
      </c>
      <c r="O18" s="61" t="s">
        <v>156</v>
      </c>
      <c r="P18" s="63"/>
      <c r="Q18" s="63"/>
      <c r="R18" s="64"/>
    </row>
    <row r="19" spans="1:18" s="75" customFormat="1" ht="147" customHeight="1" x14ac:dyDescent="0.25">
      <c r="A19" s="246">
        <v>1</v>
      </c>
      <c r="B19" s="247" t="s">
        <v>44</v>
      </c>
      <c r="C19" s="248">
        <f>0.5 *1.69794730299263</f>
        <v>0.84897365149631498</v>
      </c>
      <c r="D19" s="65" t="s">
        <v>45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46</v>
      </c>
      <c r="H19" s="68">
        <v>1</v>
      </c>
      <c r="I19" s="69" t="s">
        <v>47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48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49"/>
      <c r="B20" s="250"/>
      <c r="C20" s="251"/>
      <c r="D20" s="65" t="s">
        <v>49</v>
      </c>
      <c r="E20" s="66">
        <f>C19/5</f>
        <v>0.16979473029926301</v>
      </c>
      <c r="F20" s="66">
        <f t="shared" si="0"/>
        <v>0.33958946059852602</v>
      </c>
      <c r="G20" s="67" t="s">
        <v>50</v>
      </c>
      <c r="H20" s="68">
        <v>1</v>
      </c>
      <c r="I20" s="69" t="s">
        <v>47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48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49"/>
      <c r="B21" s="250"/>
      <c r="C21" s="251"/>
      <c r="D21" s="65" t="s">
        <v>51</v>
      </c>
      <c r="E21" s="66">
        <f>C19/5</f>
        <v>0.16979473029926301</v>
      </c>
      <c r="F21" s="66">
        <f t="shared" si="0"/>
        <v>0.33958946059852602</v>
      </c>
      <c r="G21" s="67" t="s">
        <v>52</v>
      </c>
      <c r="H21" s="68">
        <v>1</v>
      </c>
      <c r="I21" s="69" t="s">
        <v>47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48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49"/>
      <c r="B22" s="250"/>
      <c r="C22" s="251"/>
      <c r="D22" s="65" t="s">
        <v>53</v>
      </c>
      <c r="E22" s="66">
        <f>C19/5</f>
        <v>0.16979473029926301</v>
      </c>
      <c r="F22" s="66">
        <f t="shared" si="0"/>
        <v>0.33958946059852602</v>
      </c>
      <c r="G22" s="67" t="s">
        <v>54</v>
      </c>
      <c r="H22" s="76">
        <v>5</v>
      </c>
      <c r="I22" s="69" t="s">
        <v>55</v>
      </c>
      <c r="J22" s="70" t="s">
        <v>56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2"/>
      <c r="B23" s="253"/>
      <c r="C23" s="254"/>
      <c r="D23" s="65" t="s">
        <v>57</v>
      </c>
      <c r="E23" s="66">
        <f>C19/5</f>
        <v>0.16979473029926301</v>
      </c>
      <c r="F23" s="66">
        <f t="shared" si="0"/>
        <v>0.33958946059852602</v>
      </c>
      <c r="G23" s="67" t="s">
        <v>58</v>
      </c>
      <c r="H23" s="68">
        <v>1</v>
      </c>
      <c r="I23" s="69" t="s">
        <v>47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48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59</v>
      </c>
      <c r="C24" s="255">
        <f>0.5 *1.01876838179558</f>
        <v>0.50938419089778997</v>
      </c>
      <c r="D24" s="65" t="s">
        <v>60</v>
      </c>
      <c r="E24" s="66">
        <f>C24</f>
        <v>0.50938419089778997</v>
      </c>
      <c r="F24" s="66">
        <f t="shared" si="0"/>
        <v>1.0187683817955799</v>
      </c>
      <c r="G24" s="67" t="s">
        <v>61</v>
      </c>
      <c r="H24" s="68">
        <v>0.5</v>
      </c>
      <c r="I24" s="69" t="s">
        <v>47</v>
      </c>
      <c r="J24" s="70" t="s">
        <v>62</v>
      </c>
      <c r="K24" s="71">
        <v>50</v>
      </c>
      <c r="L24" s="71">
        <v>45</v>
      </c>
      <c r="M24" s="71">
        <v>40</v>
      </c>
      <c r="N24" s="71">
        <v>25</v>
      </c>
      <c r="O24" s="71" t="s">
        <v>63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6">
        <v>3</v>
      </c>
      <c r="B25" s="247" t="s">
        <v>64</v>
      </c>
      <c r="C25" s="248">
        <f>0.5 *90.5976168096783</f>
        <v>45.29880840483915</v>
      </c>
      <c r="D25" s="65" t="s">
        <v>65</v>
      </c>
      <c r="E25" s="66">
        <f>C25/10</f>
        <v>4.5298808404839148</v>
      </c>
      <c r="F25" s="66">
        <f t="shared" si="0"/>
        <v>9.0597616809678296</v>
      </c>
      <c r="G25" s="65" t="s">
        <v>66</v>
      </c>
      <c r="H25" s="77">
        <v>0.8</v>
      </c>
      <c r="I25" s="76" t="s">
        <v>47</v>
      </c>
      <c r="J25" s="70" t="s">
        <v>67</v>
      </c>
      <c r="K25" s="71">
        <v>80</v>
      </c>
      <c r="L25" s="71">
        <v>75</v>
      </c>
      <c r="M25" s="71">
        <v>70</v>
      </c>
      <c r="N25" s="71">
        <v>50</v>
      </c>
      <c r="O25" s="71" t="s">
        <v>68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49"/>
      <c r="B26" s="250"/>
      <c r="C26" s="251"/>
      <c r="D26" s="65" t="s">
        <v>69</v>
      </c>
      <c r="E26" s="66">
        <f>C25/10</f>
        <v>4.5298808404839148</v>
      </c>
      <c r="F26" s="66">
        <f t="shared" si="0"/>
        <v>9.0597616809678296</v>
      </c>
      <c r="G26" s="65" t="s">
        <v>70</v>
      </c>
      <c r="H26" s="77">
        <v>1</v>
      </c>
      <c r="I26" s="69" t="s">
        <v>47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48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49"/>
      <c r="B27" s="250"/>
      <c r="C27" s="251"/>
      <c r="D27" s="65" t="s">
        <v>71</v>
      </c>
      <c r="E27" s="66">
        <f>C25/10</f>
        <v>4.5298808404839148</v>
      </c>
      <c r="F27" s="66">
        <f t="shared" si="0"/>
        <v>9.0597616809678296</v>
      </c>
      <c r="G27" s="65" t="s">
        <v>72</v>
      </c>
      <c r="H27" s="77">
        <v>0.9</v>
      </c>
      <c r="I27" s="76" t="s">
        <v>47</v>
      </c>
      <c r="J27" s="70" t="s">
        <v>73</v>
      </c>
      <c r="K27" s="71">
        <v>90</v>
      </c>
      <c r="L27" s="71">
        <v>80</v>
      </c>
      <c r="M27" s="71">
        <v>70</v>
      </c>
      <c r="N27" s="71">
        <v>50</v>
      </c>
      <c r="O27" s="71" t="s">
        <v>68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49"/>
      <c r="B28" s="250"/>
      <c r="C28" s="251"/>
      <c r="D28" s="65" t="s">
        <v>74</v>
      </c>
      <c r="E28" s="66">
        <f>C25/10</f>
        <v>4.5298808404839148</v>
      </c>
      <c r="F28" s="66">
        <f t="shared" si="0"/>
        <v>9.0597616809678296</v>
      </c>
      <c r="G28" s="65" t="s">
        <v>75</v>
      </c>
      <c r="H28" s="77">
        <v>0.8</v>
      </c>
      <c r="I28" s="76" t="s">
        <v>47</v>
      </c>
      <c r="J28" s="70" t="s">
        <v>67</v>
      </c>
      <c r="K28" s="71">
        <v>80</v>
      </c>
      <c r="L28" s="71">
        <v>75</v>
      </c>
      <c r="M28" s="71">
        <v>70</v>
      </c>
      <c r="N28" s="71">
        <v>50</v>
      </c>
      <c r="O28" s="71" t="s">
        <v>68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49"/>
      <c r="B29" s="250"/>
      <c r="C29" s="251"/>
      <c r="D29" s="65" t="s">
        <v>76</v>
      </c>
      <c r="E29" s="66">
        <f>C25/10</f>
        <v>4.5298808404839148</v>
      </c>
      <c r="F29" s="66">
        <f t="shared" si="0"/>
        <v>9.0597616809678296</v>
      </c>
      <c r="G29" s="65" t="s">
        <v>77</v>
      </c>
      <c r="H29" s="77">
        <v>0.9</v>
      </c>
      <c r="I29" s="76" t="s">
        <v>47</v>
      </c>
      <c r="J29" s="70" t="s">
        <v>73</v>
      </c>
      <c r="K29" s="71">
        <v>90</v>
      </c>
      <c r="L29" s="71">
        <v>80</v>
      </c>
      <c r="M29" s="71">
        <v>70</v>
      </c>
      <c r="N29" s="71">
        <v>50</v>
      </c>
      <c r="O29" s="71" t="s">
        <v>68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49"/>
      <c r="B30" s="250"/>
      <c r="C30" s="251"/>
      <c r="D30" s="65" t="s">
        <v>78</v>
      </c>
      <c r="E30" s="66">
        <f>C25/10</f>
        <v>4.5298808404839148</v>
      </c>
      <c r="F30" s="66">
        <f t="shared" si="0"/>
        <v>9.0597616809678296</v>
      </c>
      <c r="G30" s="65" t="s">
        <v>79</v>
      </c>
      <c r="H30" s="77">
        <v>0.8</v>
      </c>
      <c r="I30" s="76" t="s">
        <v>47</v>
      </c>
      <c r="J30" s="70" t="s">
        <v>67</v>
      </c>
      <c r="K30" s="71">
        <v>80</v>
      </c>
      <c r="L30" s="71">
        <v>75</v>
      </c>
      <c r="M30" s="71">
        <v>70</v>
      </c>
      <c r="N30" s="71">
        <v>50</v>
      </c>
      <c r="O30" s="71" t="s">
        <v>68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49"/>
      <c r="B31" s="250"/>
      <c r="C31" s="251"/>
      <c r="D31" s="65" t="s">
        <v>80</v>
      </c>
      <c r="E31" s="66">
        <f>C25/10</f>
        <v>4.5298808404839148</v>
      </c>
      <c r="F31" s="66">
        <f t="shared" si="0"/>
        <v>9.0597616809678296</v>
      </c>
      <c r="G31" s="65" t="s">
        <v>81</v>
      </c>
      <c r="H31" s="77">
        <v>0.9</v>
      </c>
      <c r="I31" s="76" t="s">
        <v>47</v>
      </c>
      <c r="J31" s="70" t="s">
        <v>73</v>
      </c>
      <c r="K31" s="71">
        <v>90</v>
      </c>
      <c r="L31" s="71">
        <v>80</v>
      </c>
      <c r="M31" s="71">
        <v>70</v>
      </c>
      <c r="N31" s="71">
        <v>50</v>
      </c>
      <c r="O31" s="71" t="s">
        <v>68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49"/>
      <c r="B32" s="250"/>
      <c r="C32" s="251"/>
      <c r="D32" s="65" t="s">
        <v>82</v>
      </c>
      <c r="E32" s="66">
        <f>C25/10</f>
        <v>4.5298808404839148</v>
      </c>
      <c r="F32" s="66">
        <f t="shared" si="0"/>
        <v>9.0597616809678296</v>
      </c>
      <c r="G32" s="65" t="s">
        <v>83</v>
      </c>
      <c r="H32" s="77">
        <v>0.8</v>
      </c>
      <c r="I32" s="76" t="s">
        <v>47</v>
      </c>
      <c r="J32" s="70" t="s">
        <v>67</v>
      </c>
      <c r="K32" s="71">
        <v>80</v>
      </c>
      <c r="L32" s="71">
        <v>75</v>
      </c>
      <c r="M32" s="71">
        <v>70</v>
      </c>
      <c r="N32" s="71">
        <v>50</v>
      </c>
      <c r="O32" s="71" t="s">
        <v>68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49"/>
      <c r="B33" s="250"/>
      <c r="C33" s="251"/>
      <c r="D33" s="65" t="s">
        <v>84</v>
      </c>
      <c r="E33" s="66">
        <f>C25/10</f>
        <v>4.5298808404839148</v>
      </c>
      <c r="F33" s="66">
        <f t="shared" si="0"/>
        <v>9.0597616809678296</v>
      </c>
      <c r="G33" s="65" t="s">
        <v>85</v>
      </c>
      <c r="H33" s="76">
        <v>80</v>
      </c>
      <c r="I33" s="76" t="s">
        <v>47</v>
      </c>
      <c r="J33" s="70" t="s">
        <v>67</v>
      </c>
      <c r="K33" s="71">
        <v>80</v>
      </c>
      <c r="L33" s="71">
        <v>75</v>
      </c>
      <c r="M33" s="71">
        <v>70</v>
      </c>
      <c r="N33" s="71">
        <v>50</v>
      </c>
      <c r="O33" s="71" t="s">
        <v>68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2"/>
      <c r="B34" s="253"/>
      <c r="C34" s="254"/>
      <c r="D34" s="65" t="s">
        <v>86</v>
      </c>
      <c r="E34" s="66">
        <f>C25/10</f>
        <v>4.5298808404839148</v>
      </c>
      <c r="F34" s="66">
        <f t="shared" si="0"/>
        <v>9.0597616809678296</v>
      </c>
      <c r="G34" s="65" t="s">
        <v>87</v>
      </c>
      <c r="H34" s="77">
        <v>0.8</v>
      </c>
      <c r="I34" s="76" t="s">
        <v>47</v>
      </c>
      <c r="J34" s="70" t="s">
        <v>67</v>
      </c>
      <c r="K34" s="71">
        <v>80</v>
      </c>
      <c r="L34" s="71">
        <v>75</v>
      </c>
      <c r="M34" s="71">
        <v>70</v>
      </c>
      <c r="N34" s="71">
        <v>50</v>
      </c>
      <c r="O34" s="71" t="s">
        <v>68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88</v>
      </c>
      <c r="C35" s="78">
        <f>0.5 *1.5918255965556</f>
        <v>0.79591279827780004</v>
      </c>
      <c r="D35" s="65" t="s">
        <v>89</v>
      </c>
      <c r="E35" s="66">
        <f>C35</f>
        <v>0.79591279827780004</v>
      </c>
      <c r="F35" s="66">
        <f t="shared" si="0"/>
        <v>1.5918255965556003</v>
      </c>
      <c r="G35" s="67" t="s">
        <v>90</v>
      </c>
      <c r="H35" s="76">
        <v>5</v>
      </c>
      <c r="I35" s="69" t="s">
        <v>55</v>
      </c>
      <c r="J35" s="70" t="s">
        <v>56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6">
        <v>5</v>
      </c>
      <c r="B36" s="247" t="s">
        <v>91</v>
      </c>
      <c r="C36" s="256">
        <f>0.5 *3.18365119311119</f>
        <v>1.591825596555595</v>
      </c>
      <c r="D36" s="65" t="s">
        <v>92</v>
      </c>
      <c r="E36" s="66">
        <f>C36/2</f>
        <v>0.79591279827779748</v>
      </c>
      <c r="F36" s="66">
        <f t="shared" si="0"/>
        <v>1.591825596555595</v>
      </c>
      <c r="G36" s="67" t="s">
        <v>93</v>
      </c>
      <c r="H36" s="77">
        <v>0.8</v>
      </c>
      <c r="I36" s="76" t="s">
        <v>47</v>
      </c>
      <c r="J36" s="70" t="s">
        <v>67</v>
      </c>
      <c r="K36" s="71">
        <v>80</v>
      </c>
      <c r="L36" s="71">
        <v>75</v>
      </c>
      <c r="M36" s="71">
        <v>70</v>
      </c>
      <c r="N36" s="71">
        <v>50</v>
      </c>
      <c r="O36" s="71" t="s">
        <v>68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2"/>
      <c r="B37" s="253"/>
      <c r="C37" s="257"/>
      <c r="D37" s="65" t="s">
        <v>94</v>
      </c>
      <c r="E37" s="66">
        <f>C36/2</f>
        <v>0.79591279827779748</v>
      </c>
      <c r="F37" s="66">
        <f t="shared" si="0"/>
        <v>1.591825596555595</v>
      </c>
      <c r="G37" s="67" t="s">
        <v>95</v>
      </c>
      <c r="H37" s="77">
        <v>0.8</v>
      </c>
      <c r="I37" s="76" t="s">
        <v>47</v>
      </c>
      <c r="J37" s="70" t="s">
        <v>67</v>
      </c>
      <c r="K37" s="71">
        <v>80</v>
      </c>
      <c r="L37" s="71">
        <v>75</v>
      </c>
      <c r="M37" s="71">
        <v>70</v>
      </c>
      <c r="N37" s="71">
        <v>50</v>
      </c>
      <c r="O37" s="71" t="s">
        <v>68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8">
        <v>6</v>
      </c>
      <c r="B38" s="259" t="s">
        <v>96</v>
      </c>
      <c r="C38" s="260">
        <f>0.5 *1.0612170643704</f>
        <v>0.53060853218519999</v>
      </c>
      <c r="D38" s="65" t="s">
        <v>97</v>
      </c>
      <c r="E38" s="66">
        <f>C38</f>
        <v>0.53060853218519999</v>
      </c>
      <c r="F38" s="66">
        <f t="shared" si="0"/>
        <v>1.0612170643704</v>
      </c>
      <c r="G38" s="67" t="s">
        <v>98</v>
      </c>
      <c r="H38" s="77">
        <v>0.8</v>
      </c>
      <c r="I38" s="76" t="s">
        <v>47</v>
      </c>
      <c r="J38" s="70" t="s">
        <v>67</v>
      </c>
      <c r="K38" s="71">
        <v>80</v>
      </c>
      <c r="L38" s="71">
        <v>75</v>
      </c>
      <c r="M38" s="71">
        <v>70</v>
      </c>
      <c r="N38" s="71">
        <v>50</v>
      </c>
      <c r="O38" s="71" t="s">
        <v>68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99</v>
      </c>
      <c r="C39" s="78">
        <f>0.5 *0.424486825748159</f>
        <v>0.2122434128740795</v>
      </c>
      <c r="D39" s="259" t="s">
        <v>100</v>
      </c>
      <c r="E39" s="66">
        <f>C39</f>
        <v>0.2122434128740795</v>
      </c>
      <c r="F39" s="66">
        <f t="shared" si="0"/>
        <v>0.42448682574815894</v>
      </c>
      <c r="G39" s="67" t="s">
        <v>101</v>
      </c>
      <c r="H39" s="68">
        <v>0.7</v>
      </c>
      <c r="I39" s="76" t="s">
        <v>47</v>
      </c>
      <c r="J39" s="70" t="s">
        <v>102</v>
      </c>
      <c r="K39" s="71">
        <v>70</v>
      </c>
      <c r="L39" s="71">
        <v>60</v>
      </c>
      <c r="M39" s="71">
        <v>50</v>
      </c>
      <c r="N39" s="71">
        <v>40</v>
      </c>
      <c r="O39" s="71" t="s">
        <v>103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104</v>
      </c>
      <c r="C40" s="78">
        <f>0.5 *0.424486825748159</f>
        <v>0.2122434128740795</v>
      </c>
      <c r="D40" s="67" t="s">
        <v>105</v>
      </c>
      <c r="E40" s="66">
        <f>C40</f>
        <v>0.2122434128740795</v>
      </c>
      <c r="F40" s="66">
        <f t="shared" si="0"/>
        <v>0.42448682574815894</v>
      </c>
      <c r="G40" s="67" t="s">
        <v>106</v>
      </c>
      <c r="H40" s="68">
        <v>0.5</v>
      </c>
      <c r="I40" s="69" t="s">
        <v>47</v>
      </c>
      <c r="J40" s="70" t="s">
        <v>62</v>
      </c>
      <c r="K40" s="71">
        <v>50</v>
      </c>
      <c r="L40" s="71">
        <v>45</v>
      </c>
      <c r="M40" s="71">
        <v>40</v>
      </c>
      <c r="N40" s="71">
        <v>25</v>
      </c>
      <c r="O40" s="71" t="s">
        <v>63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107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157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108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113</v>
      </c>
      <c r="M43" s="101" t="s">
        <v>109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110</v>
      </c>
      <c r="D44" s="108"/>
      <c r="E44" s="108"/>
      <c r="F44" s="108"/>
      <c r="G44" s="108"/>
      <c r="H44" s="109" t="s">
        <v>158</v>
      </c>
      <c r="I44" s="109" t="s">
        <v>159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114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38</v>
      </c>
      <c r="N45" s="121" t="s">
        <v>115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116</v>
      </c>
      <c r="B46" s="124" t="s">
        <v>160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39</v>
      </c>
      <c r="N46" s="121" t="s">
        <v>117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118</v>
      </c>
      <c r="B47" s="124" t="s">
        <v>161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40</v>
      </c>
      <c r="N47" s="121" t="s">
        <v>119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120</v>
      </c>
      <c r="B48" s="124" t="s">
        <v>121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41</v>
      </c>
      <c r="N48" s="121" t="s">
        <v>122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123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42</v>
      </c>
      <c r="N49" s="121" t="s">
        <v>124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116</v>
      </c>
      <c r="B50" s="135" t="s">
        <v>162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43</v>
      </c>
      <c r="N50" s="121" t="s">
        <v>125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118</v>
      </c>
      <c r="B51" s="135" t="s">
        <v>163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113</v>
      </c>
      <c r="N51" s="140" t="s">
        <v>126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120</v>
      </c>
      <c r="B52" s="135" t="s">
        <v>164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127</v>
      </c>
      <c r="N52" s="140" t="s">
        <v>128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129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111</v>
      </c>
      <c r="N53" s="140" t="s">
        <v>130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116</v>
      </c>
      <c r="B54" s="135" t="s">
        <v>131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112</v>
      </c>
      <c r="N54" s="140" t="s">
        <v>132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118</v>
      </c>
      <c r="B55" s="135" t="s">
        <v>165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133</v>
      </c>
      <c r="N55" s="140" t="s">
        <v>134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120</v>
      </c>
      <c r="B56" s="135" t="s">
        <v>166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135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116</v>
      </c>
      <c r="B58" s="152" t="s">
        <v>136</v>
      </c>
      <c r="C58" s="136" t="s">
        <v>137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118</v>
      </c>
      <c r="B59" s="152" t="s">
        <v>138</v>
      </c>
      <c r="C59" s="136" t="s">
        <v>139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118</v>
      </c>
      <c r="B60" s="152" t="s">
        <v>140</v>
      </c>
      <c r="C60" s="136" t="s">
        <v>141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142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167</v>
      </c>
      <c r="P62" s="165"/>
      <c r="Q62" s="164" t="s">
        <v>168</v>
      </c>
      <c r="R62" s="166"/>
    </row>
    <row r="63" spans="1:18" s="167" customFormat="1" ht="45" customHeight="1" x14ac:dyDescent="0.7">
      <c r="A63" s="160"/>
      <c r="B63" s="168"/>
      <c r="C63" s="169" t="s">
        <v>169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170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171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172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173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174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175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176</v>
      </c>
      <c r="B71" s="193"/>
      <c r="C71" s="194"/>
      <c r="D71" s="195"/>
      <c r="E71" s="196" t="s">
        <v>177</v>
      </c>
      <c r="F71" s="197"/>
      <c r="G71" s="193" t="s">
        <v>178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143</v>
      </c>
      <c r="B75" s="214"/>
      <c r="C75" s="194"/>
      <c r="D75" s="195"/>
      <c r="E75" s="215" t="s">
        <v>179</v>
      </c>
      <c r="F75" s="197"/>
      <c r="G75" s="214" t="s">
        <v>179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144</v>
      </c>
      <c r="B78" s="201"/>
      <c r="C78" s="194"/>
      <c r="D78" s="195"/>
      <c r="E78" s="196" t="s">
        <v>180</v>
      </c>
      <c r="F78" s="197"/>
      <c r="G78" s="193" t="s">
        <v>180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DFEEF273-51E9-4D15-B10A-4DB840BBCA70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93DF-A784-46C8-8C85-3099214D7A38}">
  <sheetPr>
    <pageSetUpPr fitToPage="1"/>
  </sheetPr>
  <dimension ref="A1:R80"/>
  <sheetViews>
    <sheetView topLeftCell="H5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181</v>
      </c>
      <c r="C5" s="16" t="s">
        <v>2</v>
      </c>
      <c r="D5" s="17" t="s">
        <v>182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62333</v>
      </c>
      <c r="D8" s="241" t="s">
        <v>13</v>
      </c>
      <c r="E8" s="242"/>
      <c r="F8" s="241" t="s">
        <v>14</v>
      </c>
      <c r="G8" s="243"/>
      <c r="H8" s="241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18</v>
      </c>
      <c r="D10" s="233" t="s">
        <v>6</v>
      </c>
      <c r="E10" s="232" t="s">
        <v>19</v>
      </c>
      <c r="F10" s="233" t="s">
        <v>8</v>
      </c>
      <c r="G10" s="234" t="s">
        <v>20</v>
      </c>
      <c r="H10" s="233" t="s">
        <v>10</v>
      </c>
      <c r="I10" s="235" t="s">
        <v>21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88712</v>
      </c>
      <c r="D11" s="241" t="s">
        <v>13</v>
      </c>
      <c r="E11" s="242"/>
      <c r="F11" s="241" t="s">
        <v>14</v>
      </c>
      <c r="G11" s="243"/>
      <c r="H11" s="241" t="s">
        <v>15</v>
      </c>
      <c r="I11" s="244" t="s">
        <v>16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22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23</v>
      </c>
      <c r="D13" s="233" t="s">
        <v>6</v>
      </c>
      <c r="E13" s="232" t="s">
        <v>24</v>
      </c>
      <c r="F13" s="233" t="s">
        <v>8</v>
      </c>
      <c r="G13" s="234" t="s">
        <v>25</v>
      </c>
      <c r="H13" s="233" t="s">
        <v>10</v>
      </c>
      <c r="I13" s="235" t="s">
        <v>26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2" t="s">
        <v>27</v>
      </c>
      <c r="F14" s="241" t="s">
        <v>14</v>
      </c>
      <c r="G14" s="243"/>
      <c r="H14" s="241" t="s">
        <v>15</v>
      </c>
      <c r="I14" s="244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28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29</v>
      </c>
      <c r="B17" s="48" t="s">
        <v>30</v>
      </c>
      <c r="C17" s="49" t="s">
        <v>31</v>
      </c>
      <c r="D17" s="49" t="s">
        <v>32</v>
      </c>
      <c r="E17" s="49" t="s">
        <v>31</v>
      </c>
      <c r="F17" s="50" t="s">
        <v>33</v>
      </c>
      <c r="G17" s="50" t="s">
        <v>34</v>
      </c>
      <c r="H17" s="51" t="s">
        <v>35</v>
      </c>
      <c r="I17" s="50" t="s">
        <v>36</v>
      </c>
      <c r="J17" s="52" t="s">
        <v>37</v>
      </c>
      <c r="K17" s="53"/>
      <c r="L17" s="53"/>
      <c r="M17" s="53"/>
      <c r="N17" s="53"/>
      <c r="O17" s="54"/>
      <c r="P17" s="55" t="s">
        <v>148</v>
      </c>
      <c r="Q17" s="55" t="s">
        <v>149</v>
      </c>
      <c r="R17" s="56" t="s">
        <v>150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151</v>
      </c>
      <c r="K18" s="62" t="s">
        <v>152</v>
      </c>
      <c r="L18" s="62" t="s">
        <v>153</v>
      </c>
      <c r="M18" s="61" t="s">
        <v>154</v>
      </c>
      <c r="N18" s="61" t="s">
        <v>155</v>
      </c>
      <c r="O18" s="61" t="s">
        <v>156</v>
      </c>
      <c r="P18" s="63"/>
      <c r="Q18" s="63"/>
      <c r="R18" s="64"/>
    </row>
    <row r="19" spans="1:18" s="75" customFormat="1" ht="147" customHeight="1" x14ac:dyDescent="0.25">
      <c r="A19" s="246">
        <v>1</v>
      </c>
      <c r="B19" s="247" t="s">
        <v>44</v>
      </c>
      <c r="C19" s="248">
        <f>0.5 *1.69794730299263</f>
        <v>0.84897365149631498</v>
      </c>
      <c r="D19" s="65" t="s">
        <v>45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46</v>
      </c>
      <c r="H19" s="68">
        <v>1</v>
      </c>
      <c r="I19" s="69" t="s">
        <v>47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48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49"/>
      <c r="B20" s="250"/>
      <c r="C20" s="251"/>
      <c r="D20" s="65" t="s">
        <v>49</v>
      </c>
      <c r="E20" s="66">
        <f>C19/5</f>
        <v>0.16979473029926301</v>
      </c>
      <c r="F20" s="66">
        <f t="shared" si="0"/>
        <v>0.33958946059852602</v>
      </c>
      <c r="G20" s="67" t="s">
        <v>50</v>
      </c>
      <c r="H20" s="68">
        <v>1</v>
      </c>
      <c r="I20" s="69" t="s">
        <v>47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48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49"/>
      <c r="B21" s="250"/>
      <c r="C21" s="251"/>
      <c r="D21" s="65" t="s">
        <v>51</v>
      </c>
      <c r="E21" s="66">
        <f>C19/5</f>
        <v>0.16979473029926301</v>
      </c>
      <c r="F21" s="66">
        <f t="shared" si="0"/>
        <v>0.33958946059852602</v>
      </c>
      <c r="G21" s="67" t="s">
        <v>52</v>
      </c>
      <c r="H21" s="68">
        <v>1</v>
      </c>
      <c r="I21" s="69" t="s">
        <v>47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48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49"/>
      <c r="B22" s="250"/>
      <c r="C22" s="251"/>
      <c r="D22" s="65" t="s">
        <v>53</v>
      </c>
      <c r="E22" s="66">
        <f>C19/5</f>
        <v>0.16979473029926301</v>
      </c>
      <c r="F22" s="66">
        <f t="shared" si="0"/>
        <v>0.33958946059852602</v>
      </c>
      <c r="G22" s="67" t="s">
        <v>54</v>
      </c>
      <c r="H22" s="76">
        <v>5</v>
      </c>
      <c r="I22" s="69" t="s">
        <v>55</v>
      </c>
      <c r="J22" s="70" t="s">
        <v>56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2"/>
      <c r="B23" s="253"/>
      <c r="C23" s="254"/>
      <c r="D23" s="65" t="s">
        <v>57</v>
      </c>
      <c r="E23" s="66">
        <f>C19/5</f>
        <v>0.16979473029926301</v>
      </c>
      <c r="F23" s="66">
        <f t="shared" si="0"/>
        <v>0.33958946059852602</v>
      </c>
      <c r="G23" s="67" t="s">
        <v>58</v>
      </c>
      <c r="H23" s="68">
        <v>1</v>
      </c>
      <c r="I23" s="69" t="s">
        <v>47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48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59</v>
      </c>
      <c r="C24" s="255">
        <f>0.5 *1.01876838179558</f>
        <v>0.50938419089778997</v>
      </c>
      <c r="D24" s="65" t="s">
        <v>60</v>
      </c>
      <c r="E24" s="66">
        <f>C24</f>
        <v>0.50938419089778997</v>
      </c>
      <c r="F24" s="66">
        <f t="shared" si="0"/>
        <v>1.0187683817955799</v>
      </c>
      <c r="G24" s="67" t="s">
        <v>61</v>
      </c>
      <c r="H24" s="68">
        <v>0.5</v>
      </c>
      <c r="I24" s="69" t="s">
        <v>47</v>
      </c>
      <c r="J24" s="70" t="s">
        <v>62</v>
      </c>
      <c r="K24" s="71">
        <v>50</v>
      </c>
      <c r="L24" s="71">
        <v>45</v>
      </c>
      <c r="M24" s="71">
        <v>40</v>
      </c>
      <c r="N24" s="71">
        <v>25</v>
      </c>
      <c r="O24" s="71" t="s">
        <v>63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6">
        <v>3</v>
      </c>
      <c r="B25" s="247" t="s">
        <v>64</v>
      </c>
      <c r="C25" s="248">
        <f>0.5 *90.5976168096783</f>
        <v>45.29880840483915</v>
      </c>
      <c r="D25" s="65" t="s">
        <v>65</v>
      </c>
      <c r="E25" s="66">
        <f>C25/10</f>
        <v>4.5298808404839148</v>
      </c>
      <c r="F25" s="66">
        <f t="shared" si="0"/>
        <v>9.0597616809678296</v>
      </c>
      <c r="G25" s="65" t="s">
        <v>66</v>
      </c>
      <c r="H25" s="77">
        <v>0.8</v>
      </c>
      <c r="I25" s="76" t="s">
        <v>47</v>
      </c>
      <c r="J25" s="70" t="s">
        <v>67</v>
      </c>
      <c r="K25" s="71">
        <v>80</v>
      </c>
      <c r="L25" s="71">
        <v>75</v>
      </c>
      <c r="M25" s="71">
        <v>70</v>
      </c>
      <c r="N25" s="71">
        <v>50</v>
      </c>
      <c r="O25" s="71" t="s">
        <v>68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49"/>
      <c r="B26" s="250"/>
      <c r="C26" s="251"/>
      <c r="D26" s="65" t="s">
        <v>69</v>
      </c>
      <c r="E26" s="66">
        <f>C25/10</f>
        <v>4.5298808404839148</v>
      </c>
      <c r="F26" s="66">
        <f t="shared" si="0"/>
        <v>9.0597616809678296</v>
      </c>
      <c r="G26" s="65" t="s">
        <v>70</v>
      </c>
      <c r="H26" s="77">
        <v>1</v>
      </c>
      <c r="I26" s="69" t="s">
        <v>47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48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49"/>
      <c r="B27" s="250"/>
      <c r="C27" s="251"/>
      <c r="D27" s="65" t="s">
        <v>71</v>
      </c>
      <c r="E27" s="66">
        <f>C25/10</f>
        <v>4.5298808404839148</v>
      </c>
      <c r="F27" s="66">
        <f t="shared" si="0"/>
        <v>9.0597616809678296</v>
      </c>
      <c r="G27" s="65" t="s">
        <v>72</v>
      </c>
      <c r="H27" s="77">
        <v>0.9</v>
      </c>
      <c r="I27" s="76" t="s">
        <v>47</v>
      </c>
      <c r="J27" s="70" t="s">
        <v>73</v>
      </c>
      <c r="K27" s="71">
        <v>90</v>
      </c>
      <c r="L27" s="71">
        <v>80</v>
      </c>
      <c r="M27" s="71">
        <v>70</v>
      </c>
      <c r="N27" s="71">
        <v>50</v>
      </c>
      <c r="O27" s="71" t="s">
        <v>68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49"/>
      <c r="B28" s="250"/>
      <c r="C28" s="251"/>
      <c r="D28" s="65" t="s">
        <v>74</v>
      </c>
      <c r="E28" s="66">
        <f>C25/10</f>
        <v>4.5298808404839148</v>
      </c>
      <c r="F28" s="66">
        <f t="shared" si="0"/>
        <v>9.0597616809678296</v>
      </c>
      <c r="G28" s="65" t="s">
        <v>75</v>
      </c>
      <c r="H28" s="77">
        <v>0.8</v>
      </c>
      <c r="I28" s="76" t="s">
        <v>47</v>
      </c>
      <c r="J28" s="70" t="s">
        <v>67</v>
      </c>
      <c r="K28" s="71">
        <v>80</v>
      </c>
      <c r="L28" s="71">
        <v>75</v>
      </c>
      <c r="M28" s="71">
        <v>70</v>
      </c>
      <c r="N28" s="71">
        <v>50</v>
      </c>
      <c r="O28" s="71" t="s">
        <v>68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49"/>
      <c r="B29" s="250"/>
      <c r="C29" s="251"/>
      <c r="D29" s="65" t="s">
        <v>76</v>
      </c>
      <c r="E29" s="66">
        <f>C25/10</f>
        <v>4.5298808404839148</v>
      </c>
      <c r="F29" s="66">
        <f t="shared" si="0"/>
        <v>9.0597616809678296</v>
      </c>
      <c r="G29" s="65" t="s">
        <v>77</v>
      </c>
      <c r="H29" s="77">
        <v>0.9</v>
      </c>
      <c r="I29" s="76" t="s">
        <v>47</v>
      </c>
      <c r="J29" s="70" t="s">
        <v>73</v>
      </c>
      <c r="K29" s="71">
        <v>90</v>
      </c>
      <c r="L29" s="71">
        <v>80</v>
      </c>
      <c r="M29" s="71">
        <v>70</v>
      </c>
      <c r="N29" s="71">
        <v>50</v>
      </c>
      <c r="O29" s="71" t="s">
        <v>68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49"/>
      <c r="B30" s="250"/>
      <c r="C30" s="251"/>
      <c r="D30" s="65" t="s">
        <v>78</v>
      </c>
      <c r="E30" s="66">
        <f>C25/10</f>
        <v>4.5298808404839148</v>
      </c>
      <c r="F30" s="66">
        <f t="shared" si="0"/>
        <v>9.0597616809678296</v>
      </c>
      <c r="G30" s="65" t="s">
        <v>79</v>
      </c>
      <c r="H30" s="77">
        <v>0.8</v>
      </c>
      <c r="I30" s="76" t="s">
        <v>47</v>
      </c>
      <c r="J30" s="70" t="s">
        <v>67</v>
      </c>
      <c r="K30" s="71">
        <v>80</v>
      </c>
      <c r="L30" s="71">
        <v>75</v>
      </c>
      <c r="M30" s="71">
        <v>70</v>
      </c>
      <c r="N30" s="71">
        <v>50</v>
      </c>
      <c r="O30" s="71" t="s">
        <v>68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49"/>
      <c r="B31" s="250"/>
      <c r="C31" s="251"/>
      <c r="D31" s="65" t="s">
        <v>80</v>
      </c>
      <c r="E31" s="66">
        <f>C25/10</f>
        <v>4.5298808404839148</v>
      </c>
      <c r="F31" s="66">
        <f t="shared" si="0"/>
        <v>9.0597616809678296</v>
      </c>
      <c r="G31" s="65" t="s">
        <v>81</v>
      </c>
      <c r="H31" s="77">
        <v>0.9</v>
      </c>
      <c r="I31" s="76" t="s">
        <v>47</v>
      </c>
      <c r="J31" s="70" t="s">
        <v>73</v>
      </c>
      <c r="K31" s="71">
        <v>90</v>
      </c>
      <c r="L31" s="71">
        <v>80</v>
      </c>
      <c r="M31" s="71">
        <v>70</v>
      </c>
      <c r="N31" s="71">
        <v>50</v>
      </c>
      <c r="O31" s="71" t="s">
        <v>68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49"/>
      <c r="B32" s="250"/>
      <c r="C32" s="251"/>
      <c r="D32" s="65" t="s">
        <v>82</v>
      </c>
      <c r="E32" s="66">
        <f>C25/10</f>
        <v>4.5298808404839148</v>
      </c>
      <c r="F32" s="66">
        <f t="shared" si="0"/>
        <v>9.0597616809678296</v>
      </c>
      <c r="G32" s="65" t="s">
        <v>83</v>
      </c>
      <c r="H32" s="77">
        <v>0.8</v>
      </c>
      <c r="I32" s="76" t="s">
        <v>47</v>
      </c>
      <c r="J32" s="70" t="s">
        <v>67</v>
      </c>
      <c r="K32" s="71">
        <v>80</v>
      </c>
      <c r="L32" s="71">
        <v>75</v>
      </c>
      <c r="M32" s="71">
        <v>70</v>
      </c>
      <c r="N32" s="71">
        <v>50</v>
      </c>
      <c r="O32" s="71" t="s">
        <v>68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49"/>
      <c r="B33" s="250"/>
      <c r="C33" s="251"/>
      <c r="D33" s="65" t="s">
        <v>84</v>
      </c>
      <c r="E33" s="66">
        <f>C25/10</f>
        <v>4.5298808404839148</v>
      </c>
      <c r="F33" s="66">
        <f t="shared" si="0"/>
        <v>9.0597616809678296</v>
      </c>
      <c r="G33" s="65" t="s">
        <v>85</v>
      </c>
      <c r="H33" s="76">
        <v>80</v>
      </c>
      <c r="I33" s="76" t="s">
        <v>47</v>
      </c>
      <c r="J33" s="70" t="s">
        <v>67</v>
      </c>
      <c r="K33" s="71">
        <v>80</v>
      </c>
      <c r="L33" s="71">
        <v>75</v>
      </c>
      <c r="M33" s="71">
        <v>70</v>
      </c>
      <c r="N33" s="71">
        <v>50</v>
      </c>
      <c r="O33" s="71" t="s">
        <v>68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2"/>
      <c r="B34" s="253"/>
      <c r="C34" s="254"/>
      <c r="D34" s="65" t="s">
        <v>86</v>
      </c>
      <c r="E34" s="66">
        <f>C25/10</f>
        <v>4.5298808404839148</v>
      </c>
      <c r="F34" s="66">
        <f t="shared" si="0"/>
        <v>9.0597616809678296</v>
      </c>
      <c r="G34" s="65" t="s">
        <v>87</v>
      </c>
      <c r="H34" s="77">
        <v>0.8</v>
      </c>
      <c r="I34" s="76" t="s">
        <v>47</v>
      </c>
      <c r="J34" s="70" t="s">
        <v>67</v>
      </c>
      <c r="K34" s="71">
        <v>80</v>
      </c>
      <c r="L34" s="71">
        <v>75</v>
      </c>
      <c r="M34" s="71">
        <v>70</v>
      </c>
      <c r="N34" s="71">
        <v>50</v>
      </c>
      <c r="O34" s="71" t="s">
        <v>68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88</v>
      </c>
      <c r="C35" s="78">
        <f>0.5 *1.5918255965556</f>
        <v>0.79591279827780004</v>
      </c>
      <c r="D35" s="65" t="s">
        <v>89</v>
      </c>
      <c r="E35" s="66">
        <f>C35</f>
        <v>0.79591279827780004</v>
      </c>
      <c r="F35" s="66">
        <f t="shared" si="0"/>
        <v>1.5918255965556003</v>
      </c>
      <c r="G35" s="67" t="s">
        <v>90</v>
      </c>
      <c r="H35" s="76">
        <v>5</v>
      </c>
      <c r="I35" s="69" t="s">
        <v>55</v>
      </c>
      <c r="J35" s="70" t="s">
        <v>56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6">
        <v>5</v>
      </c>
      <c r="B36" s="247" t="s">
        <v>91</v>
      </c>
      <c r="C36" s="256">
        <f>0.5 *3.18365119311119</f>
        <v>1.591825596555595</v>
      </c>
      <c r="D36" s="65" t="s">
        <v>92</v>
      </c>
      <c r="E36" s="66">
        <f>C36/2</f>
        <v>0.79591279827779748</v>
      </c>
      <c r="F36" s="66">
        <f t="shared" si="0"/>
        <v>1.591825596555595</v>
      </c>
      <c r="G36" s="67" t="s">
        <v>93</v>
      </c>
      <c r="H36" s="77">
        <v>0.8</v>
      </c>
      <c r="I36" s="76" t="s">
        <v>47</v>
      </c>
      <c r="J36" s="70" t="s">
        <v>67</v>
      </c>
      <c r="K36" s="71">
        <v>80</v>
      </c>
      <c r="L36" s="71">
        <v>75</v>
      </c>
      <c r="M36" s="71">
        <v>70</v>
      </c>
      <c r="N36" s="71">
        <v>50</v>
      </c>
      <c r="O36" s="71" t="s">
        <v>68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2"/>
      <c r="B37" s="253"/>
      <c r="C37" s="257"/>
      <c r="D37" s="65" t="s">
        <v>94</v>
      </c>
      <c r="E37" s="66">
        <f>C36/2</f>
        <v>0.79591279827779748</v>
      </c>
      <c r="F37" s="66">
        <f t="shared" si="0"/>
        <v>1.591825596555595</v>
      </c>
      <c r="G37" s="67" t="s">
        <v>95</v>
      </c>
      <c r="H37" s="77">
        <v>0.8</v>
      </c>
      <c r="I37" s="76" t="s">
        <v>47</v>
      </c>
      <c r="J37" s="70" t="s">
        <v>67</v>
      </c>
      <c r="K37" s="71">
        <v>80</v>
      </c>
      <c r="L37" s="71">
        <v>75</v>
      </c>
      <c r="M37" s="71">
        <v>70</v>
      </c>
      <c r="N37" s="71">
        <v>50</v>
      </c>
      <c r="O37" s="71" t="s">
        <v>68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8">
        <v>6</v>
      </c>
      <c r="B38" s="259" t="s">
        <v>96</v>
      </c>
      <c r="C38" s="260">
        <f>0.5 *1.0612170643704</f>
        <v>0.53060853218519999</v>
      </c>
      <c r="D38" s="65" t="s">
        <v>97</v>
      </c>
      <c r="E38" s="66">
        <f>C38</f>
        <v>0.53060853218519999</v>
      </c>
      <c r="F38" s="66">
        <f t="shared" si="0"/>
        <v>1.0612170643704</v>
      </c>
      <c r="G38" s="67" t="s">
        <v>98</v>
      </c>
      <c r="H38" s="77">
        <v>0.8</v>
      </c>
      <c r="I38" s="76" t="s">
        <v>47</v>
      </c>
      <c r="J38" s="70" t="s">
        <v>67</v>
      </c>
      <c r="K38" s="71">
        <v>80</v>
      </c>
      <c r="L38" s="71">
        <v>75</v>
      </c>
      <c r="M38" s="71">
        <v>70</v>
      </c>
      <c r="N38" s="71">
        <v>50</v>
      </c>
      <c r="O38" s="71" t="s">
        <v>68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99</v>
      </c>
      <c r="C39" s="78">
        <f>0.5 *0.424486825748159</f>
        <v>0.2122434128740795</v>
      </c>
      <c r="D39" s="259" t="s">
        <v>100</v>
      </c>
      <c r="E39" s="66">
        <f>C39</f>
        <v>0.2122434128740795</v>
      </c>
      <c r="F39" s="66">
        <f t="shared" si="0"/>
        <v>0.42448682574815894</v>
      </c>
      <c r="G39" s="67" t="s">
        <v>101</v>
      </c>
      <c r="H39" s="68">
        <v>0.7</v>
      </c>
      <c r="I39" s="76" t="s">
        <v>47</v>
      </c>
      <c r="J39" s="70" t="s">
        <v>102</v>
      </c>
      <c r="K39" s="71">
        <v>70</v>
      </c>
      <c r="L39" s="71">
        <v>60</v>
      </c>
      <c r="M39" s="71">
        <v>50</v>
      </c>
      <c r="N39" s="71">
        <v>40</v>
      </c>
      <c r="O39" s="71" t="s">
        <v>103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104</v>
      </c>
      <c r="C40" s="78">
        <f>0.5 *0.424486825748159</f>
        <v>0.2122434128740795</v>
      </c>
      <c r="D40" s="67" t="s">
        <v>105</v>
      </c>
      <c r="E40" s="66">
        <f>C40</f>
        <v>0.2122434128740795</v>
      </c>
      <c r="F40" s="66">
        <f t="shared" si="0"/>
        <v>0.42448682574815894</v>
      </c>
      <c r="G40" s="67" t="s">
        <v>106</v>
      </c>
      <c r="H40" s="68">
        <v>0.5</v>
      </c>
      <c r="I40" s="69" t="s">
        <v>47</v>
      </c>
      <c r="J40" s="70" t="s">
        <v>62</v>
      </c>
      <c r="K40" s="71">
        <v>50</v>
      </c>
      <c r="L40" s="71">
        <v>45</v>
      </c>
      <c r="M40" s="71">
        <v>40</v>
      </c>
      <c r="N40" s="71">
        <v>25</v>
      </c>
      <c r="O40" s="71" t="s">
        <v>63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107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157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108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113</v>
      </c>
      <c r="M43" s="101" t="s">
        <v>109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110</v>
      </c>
      <c r="D44" s="108"/>
      <c r="E44" s="108"/>
      <c r="F44" s="108"/>
      <c r="G44" s="108"/>
      <c r="H44" s="109" t="s">
        <v>158</v>
      </c>
      <c r="I44" s="109" t="s">
        <v>159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114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38</v>
      </c>
      <c r="N45" s="121" t="s">
        <v>115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116</v>
      </c>
      <c r="B46" s="124" t="s">
        <v>160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39</v>
      </c>
      <c r="N46" s="121" t="s">
        <v>117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118</v>
      </c>
      <c r="B47" s="124" t="s">
        <v>161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40</v>
      </c>
      <c r="N47" s="121" t="s">
        <v>119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120</v>
      </c>
      <c r="B48" s="124" t="s">
        <v>121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41</v>
      </c>
      <c r="N48" s="121" t="s">
        <v>122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123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42</v>
      </c>
      <c r="N49" s="121" t="s">
        <v>124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116</v>
      </c>
      <c r="B50" s="135" t="s">
        <v>162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43</v>
      </c>
      <c r="N50" s="121" t="s">
        <v>125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118</v>
      </c>
      <c r="B51" s="135" t="s">
        <v>163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113</v>
      </c>
      <c r="N51" s="140" t="s">
        <v>126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120</v>
      </c>
      <c r="B52" s="135" t="s">
        <v>164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127</v>
      </c>
      <c r="N52" s="140" t="s">
        <v>128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129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111</v>
      </c>
      <c r="N53" s="140" t="s">
        <v>130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116</v>
      </c>
      <c r="B54" s="135" t="s">
        <v>131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112</v>
      </c>
      <c r="N54" s="140" t="s">
        <v>132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118</v>
      </c>
      <c r="B55" s="135" t="s">
        <v>165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133</v>
      </c>
      <c r="N55" s="140" t="s">
        <v>134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120</v>
      </c>
      <c r="B56" s="135" t="s">
        <v>166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135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116</v>
      </c>
      <c r="B58" s="152" t="s">
        <v>136</v>
      </c>
      <c r="C58" s="136" t="s">
        <v>137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118</v>
      </c>
      <c r="B59" s="152" t="s">
        <v>138</v>
      </c>
      <c r="C59" s="136" t="s">
        <v>139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118</v>
      </c>
      <c r="B60" s="152" t="s">
        <v>140</v>
      </c>
      <c r="C60" s="136" t="s">
        <v>141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142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167</v>
      </c>
      <c r="P62" s="165"/>
      <c r="Q62" s="164" t="s">
        <v>168</v>
      </c>
      <c r="R62" s="166"/>
    </row>
    <row r="63" spans="1:18" s="167" customFormat="1" ht="45" customHeight="1" x14ac:dyDescent="0.7">
      <c r="A63" s="160"/>
      <c r="B63" s="168"/>
      <c r="C63" s="169" t="s">
        <v>169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170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171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172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173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174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175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176</v>
      </c>
      <c r="B71" s="193"/>
      <c r="C71" s="194"/>
      <c r="D71" s="195"/>
      <c r="E71" s="196" t="s">
        <v>177</v>
      </c>
      <c r="F71" s="197"/>
      <c r="G71" s="193" t="s">
        <v>178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143</v>
      </c>
      <c r="B75" s="214"/>
      <c r="C75" s="194"/>
      <c r="D75" s="195"/>
      <c r="E75" s="215" t="s">
        <v>179</v>
      </c>
      <c r="F75" s="197"/>
      <c r="G75" s="214" t="s">
        <v>179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144</v>
      </c>
      <c r="B78" s="201"/>
      <c r="C78" s="194"/>
      <c r="D78" s="195"/>
      <c r="E78" s="196" t="s">
        <v>180</v>
      </c>
      <c r="F78" s="197"/>
      <c r="G78" s="193" t="s">
        <v>180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3FCAAAE0-BC1E-4458-8661-F7755EA441EF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AE46-E101-46A0-8106-A1DC584B24D9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183</v>
      </c>
      <c r="C5" s="16" t="s">
        <v>2</v>
      </c>
      <c r="D5" s="17" t="s">
        <v>184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62333</v>
      </c>
      <c r="D8" s="241" t="s">
        <v>13</v>
      </c>
      <c r="E8" s="242"/>
      <c r="F8" s="241" t="s">
        <v>14</v>
      </c>
      <c r="G8" s="243"/>
      <c r="H8" s="241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18</v>
      </c>
      <c r="D10" s="233" t="s">
        <v>6</v>
      </c>
      <c r="E10" s="232" t="s">
        <v>19</v>
      </c>
      <c r="F10" s="233" t="s">
        <v>8</v>
      </c>
      <c r="G10" s="234" t="s">
        <v>20</v>
      </c>
      <c r="H10" s="233" t="s">
        <v>10</v>
      </c>
      <c r="I10" s="235" t="s">
        <v>21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88712</v>
      </c>
      <c r="D11" s="241" t="s">
        <v>13</v>
      </c>
      <c r="E11" s="242"/>
      <c r="F11" s="241" t="s">
        <v>14</v>
      </c>
      <c r="G11" s="243"/>
      <c r="H11" s="241" t="s">
        <v>15</v>
      </c>
      <c r="I11" s="244" t="s">
        <v>16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22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23</v>
      </c>
      <c r="D13" s="233" t="s">
        <v>6</v>
      </c>
      <c r="E13" s="232" t="s">
        <v>24</v>
      </c>
      <c r="F13" s="233" t="s">
        <v>8</v>
      </c>
      <c r="G13" s="234" t="s">
        <v>25</v>
      </c>
      <c r="H13" s="233" t="s">
        <v>10</v>
      </c>
      <c r="I13" s="235" t="s">
        <v>26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2" t="s">
        <v>27</v>
      </c>
      <c r="F14" s="241" t="s">
        <v>14</v>
      </c>
      <c r="G14" s="243"/>
      <c r="H14" s="241" t="s">
        <v>15</v>
      </c>
      <c r="I14" s="244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28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29</v>
      </c>
      <c r="B17" s="48" t="s">
        <v>30</v>
      </c>
      <c r="C17" s="49" t="s">
        <v>31</v>
      </c>
      <c r="D17" s="49" t="s">
        <v>32</v>
      </c>
      <c r="E17" s="49" t="s">
        <v>31</v>
      </c>
      <c r="F17" s="50" t="s">
        <v>33</v>
      </c>
      <c r="G17" s="50" t="s">
        <v>34</v>
      </c>
      <c r="H17" s="51" t="s">
        <v>35</v>
      </c>
      <c r="I17" s="50" t="s">
        <v>36</v>
      </c>
      <c r="J17" s="52" t="s">
        <v>37</v>
      </c>
      <c r="K17" s="53"/>
      <c r="L17" s="53"/>
      <c r="M17" s="53"/>
      <c r="N17" s="53"/>
      <c r="O17" s="54"/>
      <c r="P17" s="55" t="s">
        <v>148</v>
      </c>
      <c r="Q17" s="55" t="s">
        <v>149</v>
      </c>
      <c r="R17" s="56" t="s">
        <v>150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151</v>
      </c>
      <c r="K18" s="62" t="s">
        <v>152</v>
      </c>
      <c r="L18" s="62" t="s">
        <v>153</v>
      </c>
      <c r="M18" s="61" t="s">
        <v>154</v>
      </c>
      <c r="N18" s="61" t="s">
        <v>155</v>
      </c>
      <c r="O18" s="61" t="s">
        <v>156</v>
      </c>
      <c r="P18" s="63"/>
      <c r="Q18" s="63"/>
      <c r="R18" s="64"/>
    </row>
    <row r="19" spans="1:18" s="75" customFormat="1" ht="147" customHeight="1" x14ac:dyDescent="0.25">
      <c r="A19" s="246">
        <v>1</v>
      </c>
      <c r="B19" s="247" t="s">
        <v>44</v>
      </c>
      <c r="C19" s="248">
        <f>0.5 *1.69794730299263</f>
        <v>0.84897365149631498</v>
      </c>
      <c r="D19" s="65" t="s">
        <v>45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46</v>
      </c>
      <c r="H19" s="68">
        <v>1</v>
      </c>
      <c r="I19" s="69" t="s">
        <v>47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48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49"/>
      <c r="B20" s="250"/>
      <c r="C20" s="251"/>
      <c r="D20" s="65" t="s">
        <v>49</v>
      </c>
      <c r="E20" s="66">
        <f>C19/5</f>
        <v>0.16979473029926301</v>
      </c>
      <c r="F20" s="66">
        <f t="shared" si="0"/>
        <v>0.33958946059852602</v>
      </c>
      <c r="G20" s="67" t="s">
        <v>50</v>
      </c>
      <c r="H20" s="68">
        <v>1</v>
      </c>
      <c r="I20" s="69" t="s">
        <v>47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48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49"/>
      <c r="B21" s="250"/>
      <c r="C21" s="251"/>
      <c r="D21" s="65" t="s">
        <v>51</v>
      </c>
      <c r="E21" s="66">
        <f>C19/5</f>
        <v>0.16979473029926301</v>
      </c>
      <c r="F21" s="66">
        <f t="shared" si="0"/>
        <v>0.33958946059852602</v>
      </c>
      <c r="G21" s="67" t="s">
        <v>52</v>
      </c>
      <c r="H21" s="68">
        <v>1</v>
      </c>
      <c r="I21" s="69" t="s">
        <v>47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48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49"/>
      <c r="B22" s="250"/>
      <c r="C22" s="251"/>
      <c r="D22" s="65" t="s">
        <v>53</v>
      </c>
      <c r="E22" s="66">
        <f>C19/5</f>
        <v>0.16979473029926301</v>
      </c>
      <c r="F22" s="66">
        <f t="shared" si="0"/>
        <v>0.33958946059852602</v>
      </c>
      <c r="G22" s="67" t="s">
        <v>54</v>
      </c>
      <c r="H22" s="76">
        <v>5</v>
      </c>
      <c r="I22" s="69" t="s">
        <v>55</v>
      </c>
      <c r="J22" s="70" t="s">
        <v>56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2"/>
      <c r="B23" s="253"/>
      <c r="C23" s="254"/>
      <c r="D23" s="65" t="s">
        <v>57</v>
      </c>
      <c r="E23" s="66">
        <f>C19/5</f>
        <v>0.16979473029926301</v>
      </c>
      <c r="F23" s="66">
        <f t="shared" si="0"/>
        <v>0.33958946059852602</v>
      </c>
      <c r="G23" s="67" t="s">
        <v>58</v>
      </c>
      <c r="H23" s="68">
        <v>1</v>
      </c>
      <c r="I23" s="69" t="s">
        <v>47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48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59</v>
      </c>
      <c r="C24" s="255">
        <f>0.5 *1.01876838179558</f>
        <v>0.50938419089778997</v>
      </c>
      <c r="D24" s="65" t="s">
        <v>60</v>
      </c>
      <c r="E24" s="66">
        <f>C24</f>
        <v>0.50938419089778997</v>
      </c>
      <c r="F24" s="66">
        <f t="shared" si="0"/>
        <v>1.0187683817955799</v>
      </c>
      <c r="G24" s="67" t="s">
        <v>61</v>
      </c>
      <c r="H24" s="68">
        <v>0.5</v>
      </c>
      <c r="I24" s="69" t="s">
        <v>47</v>
      </c>
      <c r="J24" s="70" t="s">
        <v>62</v>
      </c>
      <c r="K24" s="71">
        <v>50</v>
      </c>
      <c r="L24" s="71">
        <v>45</v>
      </c>
      <c r="M24" s="71">
        <v>40</v>
      </c>
      <c r="N24" s="71">
        <v>25</v>
      </c>
      <c r="O24" s="71" t="s">
        <v>63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6">
        <v>3</v>
      </c>
      <c r="B25" s="247" t="s">
        <v>64</v>
      </c>
      <c r="C25" s="248">
        <f>0.5 *90.5976168096783</f>
        <v>45.29880840483915</v>
      </c>
      <c r="D25" s="65" t="s">
        <v>65</v>
      </c>
      <c r="E25" s="66">
        <f>C25/10</f>
        <v>4.5298808404839148</v>
      </c>
      <c r="F25" s="66">
        <f t="shared" si="0"/>
        <v>9.0597616809678296</v>
      </c>
      <c r="G25" s="65" t="s">
        <v>66</v>
      </c>
      <c r="H25" s="77">
        <v>0.8</v>
      </c>
      <c r="I25" s="76" t="s">
        <v>47</v>
      </c>
      <c r="J25" s="70" t="s">
        <v>67</v>
      </c>
      <c r="K25" s="71">
        <v>80</v>
      </c>
      <c r="L25" s="71">
        <v>75</v>
      </c>
      <c r="M25" s="71">
        <v>70</v>
      </c>
      <c r="N25" s="71">
        <v>50</v>
      </c>
      <c r="O25" s="71" t="s">
        <v>68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49"/>
      <c r="B26" s="250"/>
      <c r="C26" s="251"/>
      <c r="D26" s="65" t="s">
        <v>69</v>
      </c>
      <c r="E26" s="66">
        <f>C25/10</f>
        <v>4.5298808404839148</v>
      </c>
      <c r="F26" s="66">
        <f t="shared" si="0"/>
        <v>9.0597616809678296</v>
      </c>
      <c r="G26" s="65" t="s">
        <v>70</v>
      </c>
      <c r="H26" s="77">
        <v>1</v>
      </c>
      <c r="I26" s="69" t="s">
        <v>47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48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49"/>
      <c r="B27" s="250"/>
      <c r="C27" s="251"/>
      <c r="D27" s="65" t="s">
        <v>71</v>
      </c>
      <c r="E27" s="66">
        <f>C25/10</f>
        <v>4.5298808404839148</v>
      </c>
      <c r="F27" s="66">
        <f t="shared" si="0"/>
        <v>9.0597616809678296</v>
      </c>
      <c r="G27" s="65" t="s">
        <v>72</v>
      </c>
      <c r="H27" s="77">
        <v>0.9</v>
      </c>
      <c r="I27" s="76" t="s">
        <v>47</v>
      </c>
      <c r="J27" s="70" t="s">
        <v>73</v>
      </c>
      <c r="K27" s="71">
        <v>90</v>
      </c>
      <c r="L27" s="71">
        <v>80</v>
      </c>
      <c r="M27" s="71">
        <v>70</v>
      </c>
      <c r="N27" s="71">
        <v>50</v>
      </c>
      <c r="O27" s="71" t="s">
        <v>68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49"/>
      <c r="B28" s="250"/>
      <c r="C28" s="251"/>
      <c r="D28" s="65" t="s">
        <v>74</v>
      </c>
      <c r="E28" s="66">
        <f>C25/10</f>
        <v>4.5298808404839148</v>
      </c>
      <c r="F28" s="66">
        <f t="shared" si="0"/>
        <v>9.0597616809678296</v>
      </c>
      <c r="G28" s="65" t="s">
        <v>75</v>
      </c>
      <c r="H28" s="77">
        <v>0.8</v>
      </c>
      <c r="I28" s="76" t="s">
        <v>47</v>
      </c>
      <c r="J28" s="70" t="s">
        <v>67</v>
      </c>
      <c r="K28" s="71">
        <v>80</v>
      </c>
      <c r="L28" s="71">
        <v>75</v>
      </c>
      <c r="M28" s="71">
        <v>70</v>
      </c>
      <c r="N28" s="71">
        <v>50</v>
      </c>
      <c r="O28" s="71" t="s">
        <v>68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49"/>
      <c r="B29" s="250"/>
      <c r="C29" s="251"/>
      <c r="D29" s="65" t="s">
        <v>76</v>
      </c>
      <c r="E29" s="66">
        <f>C25/10</f>
        <v>4.5298808404839148</v>
      </c>
      <c r="F29" s="66">
        <f t="shared" si="0"/>
        <v>9.0597616809678296</v>
      </c>
      <c r="G29" s="65" t="s">
        <v>77</v>
      </c>
      <c r="H29" s="77">
        <v>0.9</v>
      </c>
      <c r="I29" s="76" t="s">
        <v>47</v>
      </c>
      <c r="J29" s="70" t="s">
        <v>73</v>
      </c>
      <c r="K29" s="71">
        <v>90</v>
      </c>
      <c r="L29" s="71">
        <v>80</v>
      </c>
      <c r="M29" s="71">
        <v>70</v>
      </c>
      <c r="N29" s="71">
        <v>50</v>
      </c>
      <c r="O29" s="71" t="s">
        <v>68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49"/>
      <c r="B30" s="250"/>
      <c r="C30" s="251"/>
      <c r="D30" s="65" t="s">
        <v>78</v>
      </c>
      <c r="E30" s="66">
        <f>C25/10</f>
        <v>4.5298808404839148</v>
      </c>
      <c r="F30" s="66">
        <f t="shared" si="0"/>
        <v>9.0597616809678296</v>
      </c>
      <c r="G30" s="65" t="s">
        <v>79</v>
      </c>
      <c r="H30" s="77">
        <v>0.8</v>
      </c>
      <c r="I30" s="76" t="s">
        <v>47</v>
      </c>
      <c r="J30" s="70" t="s">
        <v>67</v>
      </c>
      <c r="K30" s="71">
        <v>80</v>
      </c>
      <c r="L30" s="71">
        <v>75</v>
      </c>
      <c r="M30" s="71">
        <v>70</v>
      </c>
      <c r="N30" s="71">
        <v>50</v>
      </c>
      <c r="O30" s="71" t="s">
        <v>68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49"/>
      <c r="B31" s="250"/>
      <c r="C31" s="251"/>
      <c r="D31" s="65" t="s">
        <v>80</v>
      </c>
      <c r="E31" s="66">
        <f>C25/10</f>
        <v>4.5298808404839148</v>
      </c>
      <c r="F31" s="66">
        <f t="shared" si="0"/>
        <v>9.0597616809678296</v>
      </c>
      <c r="G31" s="65" t="s">
        <v>81</v>
      </c>
      <c r="H31" s="77">
        <v>0.9</v>
      </c>
      <c r="I31" s="76" t="s">
        <v>47</v>
      </c>
      <c r="J31" s="70" t="s">
        <v>73</v>
      </c>
      <c r="K31" s="71">
        <v>90</v>
      </c>
      <c r="L31" s="71">
        <v>80</v>
      </c>
      <c r="M31" s="71">
        <v>70</v>
      </c>
      <c r="N31" s="71">
        <v>50</v>
      </c>
      <c r="O31" s="71" t="s">
        <v>68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49"/>
      <c r="B32" s="250"/>
      <c r="C32" s="251"/>
      <c r="D32" s="65" t="s">
        <v>82</v>
      </c>
      <c r="E32" s="66">
        <f>C25/10</f>
        <v>4.5298808404839148</v>
      </c>
      <c r="F32" s="66">
        <f t="shared" si="0"/>
        <v>9.0597616809678296</v>
      </c>
      <c r="G32" s="65" t="s">
        <v>83</v>
      </c>
      <c r="H32" s="77">
        <v>0.8</v>
      </c>
      <c r="I32" s="76" t="s">
        <v>47</v>
      </c>
      <c r="J32" s="70" t="s">
        <v>67</v>
      </c>
      <c r="K32" s="71">
        <v>80</v>
      </c>
      <c r="L32" s="71">
        <v>75</v>
      </c>
      <c r="M32" s="71">
        <v>70</v>
      </c>
      <c r="N32" s="71">
        <v>50</v>
      </c>
      <c r="O32" s="71" t="s">
        <v>68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49"/>
      <c r="B33" s="250"/>
      <c r="C33" s="251"/>
      <c r="D33" s="65" t="s">
        <v>84</v>
      </c>
      <c r="E33" s="66">
        <f>C25/10</f>
        <v>4.5298808404839148</v>
      </c>
      <c r="F33" s="66">
        <f t="shared" si="0"/>
        <v>9.0597616809678296</v>
      </c>
      <c r="G33" s="65" t="s">
        <v>85</v>
      </c>
      <c r="H33" s="76">
        <v>80</v>
      </c>
      <c r="I33" s="76" t="s">
        <v>47</v>
      </c>
      <c r="J33" s="70" t="s">
        <v>67</v>
      </c>
      <c r="K33" s="71">
        <v>80</v>
      </c>
      <c r="L33" s="71">
        <v>75</v>
      </c>
      <c r="M33" s="71">
        <v>70</v>
      </c>
      <c r="N33" s="71">
        <v>50</v>
      </c>
      <c r="O33" s="71" t="s">
        <v>68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2"/>
      <c r="B34" s="253"/>
      <c r="C34" s="254"/>
      <c r="D34" s="65" t="s">
        <v>86</v>
      </c>
      <c r="E34" s="66">
        <f>C25/10</f>
        <v>4.5298808404839148</v>
      </c>
      <c r="F34" s="66">
        <f t="shared" si="0"/>
        <v>9.0597616809678296</v>
      </c>
      <c r="G34" s="65" t="s">
        <v>87</v>
      </c>
      <c r="H34" s="77">
        <v>0.8</v>
      </c>
      <c r="I34" s="76" t="s">
        <v>47</v>
      </c>
      <c r="J34" s="70" t="s">
        <v>67</v>
      </c>
      <c r="K34" s="71">
        <v>80</v>
      </c>
      <c r="L34" s="71">
        <v>75</v>
      </c>
      <c r="M34" s="71">
        <v>70</v>
      </c>
      <c r="N34" s="71">
        <v>50</v>
      </c>
      <c r="O34" s="71" t="s">
        <v>68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88</v>
      </c>
      <c r="C35" s="78">
        <f>0.5 *1.5918255965556</f>
        <v>0.79591279827780004</v>
      </c>
      <c r="D35" s="65" t="s">
        <v>89</v>
      </c>
      <c r="E35" s="66">
        <f>C35</f>
        <v>0.79591279827780004</v>
      </c>
      <c r="F35" s="66">
        <f t="shared" si="0"/>
        <v>1.5918255965556003</v>
      </c>
      <c r="G35" s="67" t="s">
        <v>90</v>
      </c>
      <c r="H35" s="76">
        <v>5</v>
      </c>
      <c r="I35" s="69" t="s">
        <v>55</v>
      </c>
      <c r="J35" s="70" t="s">
        <v>56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6">
        <v>5</v>
      </c>
      <c r="B36" s="247" t="s">
        <v>91</v>
      </c>
      <c r="C36" s="256">
        <f>0.5 *3.18365119311119</f>
        <v>1.591825596555595</v>
      </c>
      <c r="D36" s="65" t="s">
        <v>92</v>
      </c>
      <c r="E36" s="66">
        <f>C36/2</f>
        <v>0.79591279827779748</v>
      </c>
      <c r="F36" s="66">
        <f t="shared" si="0"/>
        <v>1.591825596555595</v>
      </c>
      <c r="G36" s="67" t="s">
        <v>93</v>
      </c>
      <c r="H36" s="77">
        <v>0.8</v>
      </c>
      <c r="I36" s="76" t="s">
        <v>47</v>
      </c>
      <c r="J36" s="70" t="s">
        <v>67</v>
      </c>
      <c r="K36" s="71">
        <v>80</v>
      </c>
      <c r="L36" s="71">
        <v>75</v>
      </c>
      <c r="M36" s="71">
        <v>70</v>
      </c>
      <c r="N36" s="71">
        <v>50</v>
      </c>
      <c r="O36" s="71" t="s">
        <v>68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2"/>
      <c r="B37" s="253"/>
      <c r="C37" s="257"/>
      <c r="D37" s="65" t="s">
        <v>94</v>
      </c>
      <c r="E37" s="66">
        <f>C36/2</f>
        <v>0.79591279827779748</v>
      </c>
      <c r="F37" s="66">
        <f t="shared" si="0"/>
        <v>1.591825596555595</v>
      </c>
      <c r="G37" s="67" t="s">
        <v>95</v>
      </c>
      <c r="H37" s="77">
        <v>0.8</v>
      </c>
      <c r="I37" s="76" t="s">
        <v>47</v>
      </c>
      <c r="J37" s="70" t="s">
        <v>67</v>
      </c>
      <c r="K37" s="71">
        <v>80</v>
      </c>
      <c r="L37" s="71">
        <v>75</v>
      </c>
      <c r="M37" s="71">
        <v>70</v>
      </c>
      <c r="N37" s="71">
        <v>50</v>
      </c>
      <c r="O37" s="71" t="s">
        <v>68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8">
        <v>6</v>
      </c>
      <c r="B38" s="259" t="s">
        <v>96</v>
      </c>
      <c r="C38" s="260">
        <f>0.5 *1.0612170643704</f>
        <v>0.53060853218519999</v>
      </c>
      <c r="D38" s="65" t="s">
        <v>97</v>
      </c>
      <c r="E38" s="66">
        <f>C38</f>
        <v>0.53060853218519999</v>
      </c>
      <c r="F38" s="66">
        <f t="shared" si="0"/>
        <v>1.0612170643704</v>
      </c>
      <c r="G38" s="67" t="s">
        <v>98</v>
      </c>
      <c r="H38" s="77">
        <v>0.8</v>
      </c>
      <c r="I38" s="76" t="s">
        <v>47</v>
      </c>
      <c r="J38" s="70" t="s">
        <v>67</v>
      </c>
      <c r="K38" s="71">
        <v>80</v>
      </c>
      <c r="L38" s="71">
        <v>75</v>
      </c>
      <c r="M38" s="71">
        <v>70</v>
      </c>
      <c r="N38" s="71">
        <v>50</v>
      </c>
      <c r="O38" s="71" t="s">
        <v>68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99</v>
      </c>
      <c r="C39" s="78">
        <f>0.5 *0.424486825748159</f>
        <v>0.2122434128740795</v>
      </c>
      <c r="D39" s="259" t="s">
        <v>100</v>
      </c>
      <c r="E39" s="66">
        <f>C39</f>
        <v>0.2122434128740795</v>
      </c>
      <c r="F39" s="66">
        <f t="shared" si="0"/>
        <v>0.42448682574815894</v>
      </c>
      <c r="G39" s="67" t="s">
        <v>101</v>
      </c>
      <c r="H39" s="68">
        <v>0.7</v>
      </c>
      <c r="I39" s="76" t="s">
        <v>47</v>
      </c>
      <c r="J39" s="70" t="s">
        <v>102</v>
      </c>
      <c r="K39" s="71">
        <v>70</v>
      </c>
      <c r="L39" s="71">
        <v>60</v>
      </c>
      <c r="M39" s="71">
        <v>50</v>
      </c>
      <c r="N39" s="71">
        <v>40</v>
      </c>
      <c r="O39" s="71" t="s">
        <v>103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104</v>
      </c>
      <c r="C40" s="78">
        <f>0.5 *0.424486825748159</f>
        <v>0.2122434128740795</v>
      </c>
      <c r="D40" s="67" t="s">
        <v>105</v>
      </c>
      <c r="E40" s="66">
        <f>C40</f>
        <v>0.2122434128740795</v>
      </c>
      <c r="F40" s="66">
        <f t="shared" si="0"/>
        <v>0.42448682574815894</v>
      </c>
      <c r="G40" s="67" t="s">
        <v>106</v>
      </c>
      <c r="H40" s="68">
        <v>0.5</v>
      </c>
      <c r="I40" s="69" t="s">
        <v>47</v>
      </c>
      <c r="J40" s="70" t="s">
        <v>62</v>
      </c>
      <c r="K40" s="71">
        <v>50</v>
      </c>
      <c r="L40" s="71">
        <v>45</v>
      </c>
      <c r="M40" s="71">
        <v>40</v>
      </c>
      <c r="N40" s="71">
        <v>25</v>
      </c>
      <c r="O40" s="71" t="s">
        <v>63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107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157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108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113</v>
      </c>
      <c r="M43" s="101" t="s">
        <v>109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110</v>
      </c>
      <c r="D44" s="108"/>
      <c r="E44" s="108"/>
      <c r="F44" s="108"/>
      <c r="G44" s="108"/>
      <c r="H44" s="109" t="s">
        <v>158</v>
      </c>
      <c r="I44" s="109" t="s">
        <v>159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114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38</v>
      </c>
      <c r="N45" s="121" t="s">
        <v>115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116</v>
      </c>
      <c r="B46" s="124" t="s">
        <v>160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39</v>
      </c>
      <c r="N46" s="121" t="s">
        <v>117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118</v>
      </c>
      <c r="B47" s="124" t="s">
        <v>161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40</v>
      </c>
      <c r="N47" s="121" t="s">
        <v>119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120</v>
      </c>
      <c r="B48" s="124" t="s">
        <v>121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41</v>
      </c>
      <c r="N48" s="121" t="s">
        <v>122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123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42</v>
      </c>
      <c r="N49" s="121" t="s">
        <v>124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116</v>
      </c>
      <c r="B50" s="135" t="s">
        <v>162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43</v>
      </c>
      <c r="N50" s="121" t="s">
        <v>125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118</v>
      </c>
      <c r="B51" s="135" t="s">
        <v>163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113</v>
      </c>
      <c r="N51" s="140" t="s">
        <v>126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120</v>
      </c>
      <c r="B52" s="135" t="s">
        <v>164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127</v>
      </c>
      <c r="N52" s="140" t="s">
        <v>128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129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111</v>
      </c>
      <c r="N53" s="140" t="s">
        <v>130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116</v>
      </c>
      <c r="B54" s="135" t="s">
        <v>131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112</v>
      </c>
      <c r="N54" s="140" t="s">
        <v>132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118</v>
      </c>
      <c r="B55" s="135" t="s">
        <v>165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133</v>
      </c>
      <c r="N55" s="140" t="s">
        <v>134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120</v>
      </c>
      <c r="B56" s="135" t="s">
        <v>166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135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116</v>
      </c>
      <c r="B58" s="152" t="s">
        <v>136</v>
      </c>
      <c r="C58" s="136" t="s">
        <v>137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118</v>
      </c>
      <c r="B59" s="152" t="s">
        <v>138</v>
      </c>
      <c r="C59" s="136" t="s">
        <v>139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118</v>
      </c>
      <c r="B60" s="152" t="s">
        <v>140</v>
      </c>
      <c r="C60" s="136" t="s">
        <v>141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142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167</v>
      </c>
      <c r="P62" s="165"/>
      <c r="Q62" s="164" t="s">
        <v>168</v>
      </c>
      <c r="R62" s="166"/>
    </row>
    <row r="63" spans="1:18" s="167" customFormat="1" ht="45" customHeight="1" x14ac:dyDescent="0.7">
      <c r="A63" s="160"/>
      <c r="B63" s="168"/>
      <c r="C63" s="169" t="s">
        <v>169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170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171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172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173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174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175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176</v>
      </c>
      <c r="B71" s="193"/>
      <c r="C71" s="194"/>
      <c r="D71" s="195"/>
      <c r="E71" s="196" t="s">
        <v>177</v>
      </c>
      <c r="F71" s="197"/>
      <c r="G71" s="193" t="s">
        <v>178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143</v>
      </c>
      <c r="B75" s="214"/>
      <c r="C75" s="194"/>
      <c r="D75" s="195"/>
      <c r="E75" s="215" t="s">
        <v>179</v>
      </c>
      <c r="F75" s="197"/>
      <c r="G75" s="214" t="s">
        <v>179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144</v>
      </c>
      <c r="B78" s="201"/>
      <c r="C78" s="194"/>
      <c r="D78" s="195"/>
      <c r="E78" s="196" t="s">
        <v>180</v>
      </c>
      <c r="F78" s="197"/>
      <c r="G78" s="193" t="s">
        <v>180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FBB3900C-2F1F-4509-8112-5031A7BE9D8B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DEBE-571B-48CF-BB17-0030B293D642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185</v>
      </c>
      <c r="C5" s="16" t="s">
        <v>2</v>
      </c>
      <c r="D5" s="17" t="s">
        <v>186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62333</v>
      </c>
      <c r="D8" s="241" t="s">
        <v>13</v>
      </c>
      <c r="E8" s="242"/>
      <c r="F8" s="241" t="s">
        <v>14</v>
      </c>
      <c r="G8" s="243"/>
      <c r="H8" s="241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18</v>
      </c>
      <c r="D10" s="233" t="s">
        <v>6</v>
      </c>
      <c r="E10" s="232" t="s">
        <v>19</v>
      </c>
      <c r="F10" s="233" t="s">
        <v>8</v>
      </c>
      <c r="G10" s="234" t="s">
        <v>20</v>
      </c>
      <c r="H10" s="233" t="s">
        <v>10</v>
      </c>
      <c r="I10" s="235" t="s">
        <v>21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88712</v>
      </c>
      <c r="D11" s="241" t="s">
        <v>13</v>
      </c>
      <c r="E11" s="242"/>
      <c r="F11" s="241" t="s">
        <v>14</v>
      </c>
      <c r="G11" s="243"/>
      <c r="H11" s="241" t="s">
        <v>15</v>
      </c>
      <c r="I11" s="244" t="s">
        <v>16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22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23</v>
      </c>
      <c r="D13" s="233" t="s">
        <v>6</v>
      </c>
      <c r="E13" s="232" t="s">
        <v>24</v>
      </c>
      <c r="F13" s="233" t="s">
        <v>8</v>
      </c>
      <c r="G13" s="234" t="s">
        <v>25</v>
      </c>
      <c r="H13" s="233" t="s">
        <v>10</v>
      </c>
      <c r="I13" s="235" t="s">
        <v>26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2" t="s">
        <v>27</v>
      </c>
      <c r="F14" s="241" t="s">
        <v>14</v>
      </c>
      <c r="G14" s="243"/>
      <c r="H14" s="241" t="s">
        <v>15</v>
      </c>
      <c r="I14" s="244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28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29</v>
      </c>
      <c r="B17" s="48" t="s">
        <v>30</v>
      </c>
      <c r="C17" s="49" t="s">
        <v>31</v>
      </c>
      <c r="D17" s="49" t="s">
        <v>32</v>
      </c>
      <c r="E17" s="49" t="s">
        <v>31</v>
      </c>
      <c r="F17" s="50" t="s">
        <v>33</v>
      </c>
      <c r="G17" s="50" t="s">
        <v>34</v>
      </c>
      <c r="H17" s="51" t="s">
        <v>35</v>
      </c>
      <c r="I17" s="50" t="s">
        <v>36</v>
      </c>
      <c r="J17" s="52" t="s">
        <v>37</v>
      </c>
      <c r="K17" s="53"/>
      <c r="L17" s="53"/>
      <c r="M17" s="53"/>
      <c r="N17" s="53"/>
      <c r="O17" s="54"/>
      <c r="P17" s="55" t="s">
        <v>148</v>
      </c>
      <c r="Q17" s="55" t="s">
        <v>149</v>
      </c>
      <c r="R17" s="56" t="s">
        <v>150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151</v>
      </c>
      <c r="K18" s="62" t="s">
        <v>152</v>
      </c>
      <c r="L18" s="62" t="s">
        <v>153</v>
      </c>
      <c r="M18" s="61" t="s">
        <v>154</v>
      </c>
      <c r="N18" s="61" t="s">
        <v>155</v>
      </c>
      <c r="O18" s="61" t="s">
        <v>156</v>
      </c>
      <c r="P18" s="63"/>
      <c r="Q18" s="63"/>
      <c r="R18" s="64"/>
    </row>
    <row r="19" spans="1:18" s="75" customFormat="1" ht="147" customHeight="1" x14ac:dyDescent="0.25">
      <c r="A19" s="246">
        <v>1</v>
      </c>
      <c r="B19" s="247" t="s">
        <v>44</v>
      </c>
      <c r="C19" s="248">
        <f>0.5 *1.69794730299263</f>
        <v>0.84897365149631498</v>
      </c>
      <c r="D19" s="65" t="s">
        <v>45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46</v>
      </c>
      <c r="H19" s="68">
        <v>1</v>
      </c>
      <c r="I19" s="69" t="s">
        <v>47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48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49"/>
      <c r="B20" s="250"/>
      <c r="C20" s="251"/>
      <c r="D20" s="65" t="s">
        <v>49</v>
      </c>
      <c r="E20" s="66">
        <f>C19/5</f>
        <v>0.16979473029926301</v>
      </c>
      <c r="F20" s="66">
        <f t="shared" si="0"/>
        <v>0.33958946059852602</v>
      </c>
      <c r="G20" s="67" t="s">
        <v>50</v>
      </c>
      <c r="H20" s="68">
        <v>1</v>
      </c>
      <c r="I20" s="69" t="s">
        <v>47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48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49"/>
      <c r="B21" s="250"/>
      <c r="C21" s="251"/>
      <c r="D21" s="65" t="s">
        <v>51</v>
      </c>
      <c r="E21" s="66">
        <f>C19/5</f>
        <v>0.16979473029926301</v>
      </c>
      <c r="F21" s="66">
        <f t="shared" si="0"/>
        <v>0.33958946059852602</v>
      </c>
      <c r="G21" s="67" t="s">
        <v>52</v>
      </c>
      <c r="H21" s="68">
        <v>1</v>
      </c>
      <c r="I21" s="69" t="s">
        <v>47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48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49"/>
      <c r="B22" s="250"/>
      <c r="C22" s="251"/>
      <c r="D22" s="65" t="s">
        <v>53</v>
      </c>
      <c r="E22" s="66">
        <f>C19/5</f>
        <v>0.16979473029926301</v>
      </c>
      <c r="F22" s="66">
        <f t="shared" si="0"/>
        <v>0.33958946059852602</v>
      </c>
      <c r="G22" s="67" t="s">
        <v>54</v>
      </c>
      <c r="H22" s="76">
        <v>5</v>
      </c>
      <c r="I22" s="69" t="s">
        <v>55</v>
      </c>
      <c r="J22" s="70" t="s">
        <v>56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2"/>
      <c r="B23" s="253"/>
      <c r="C23" s="254"/>
      <c r="D23" s="65" t="s">
        <v>57</v>
      </c>
      <c r="E23" s="66">
        <f>C19/5</f>
        <v>0.16979473029926301</v>
      </c>
      <c r="F23" s="66">
        <f t="shared" si="0"/>
        <v>0.33958946059852602</v>
      </c>
      <c r="G23" s="67" t="s">
        <v>58</v>
      </c>
      <c r="H23" s="68">
        <v>1</v>
      </c>
      <c r="I23" s="69" t="s">
        <v>47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48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59</v>
      </c>
      <c r="C24" s="255">
        <f>0.5 *1.01876838179558</f>
        <v>0.50938419089778997</v>
      </c>
      <c r="D24" s="65" t="s">
        <v>60</v>
      </c>
      <c r="E24" s="66">
        <f>C24</f>
        <v>0.50938419089778997</v>
      </c>
      <c r="F24" s="66">
        <f t="shared" si="0"/>
        <v>1.0187683817955799</v>
      </c>
      <c r="G24" s="67" t="s">
        <v>61</v>
      </c>
      <c r="H24" s="68">
        <v>0.5</v>
      </c>
      <c r="I24" s="69" t="s">
        <v>47</v>
      </c>
      <c r="J24" s="70" t="s">
        <v>62</v>
      </c>
      <c r="K24" s="71">
        <v>50</v>
      </c>
      <c r="L24" s="71">
        <v>45</v>
      </c>
      <c r="M24" s="71">
        <v>40</v>
      </c>
      <c r="N24" s="71">
        <v>25</v>
      </c>
      <c r="O24" s="71" t="s">
        <v>63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6">
        <v>3</v>
      </c>
      <c r="B25" s="247" t="s">
        <v>64</v>
      </c>
      <c r="C25" s="248">
        <f>0.5 *90.5976168096783</f>
        <v>45.29880840483915</v>
      </c>
      <c r="D25" s="65" t="s">
        <v>65</v>
      </c>
      <c r="E25" s="66">
        <f>C25/10</f>
        <v>4.5298808404839148</v>
      </c>
      <c r="F25" s="66">
        <f t="shared" si="0"/>
        <v>9.0597616809678296</v>
      </c>
      <c r="G25" s="65" t="s">
        <v>66</v>
      </c>
      <c r="H25" s="77">
        <v>0.8</v>
      </c>
      <c r="I25" s="76" t="s">
        <v>47</v>
      </c>
      <c r="J25" s="70" t="s">
        <v>67</v>
      </c>
      <c r="K25" s="71">
        <v>80</v>
      </c>
      <c r="L25" s="71">
        <v>75</v>
      </c>
      <c r="M25" s="71">
        <v>70</v>
      </c>
      <c r="N25" s="71">
        <v>50</v>
      </c>
      <c r="O25" s="71" t="s">
        <v>68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49"/>
      <c r="B26" s="250"/>
      <c r="C26" s="251"/>
      <c r="D26" s="65" t="s">
        <v>69</v>
      </c>
      <c r="E26" s="66">
        <f>C25/10</f>
        <v>4.5298808404839148</v>
      </c>
      <c r="F26" s="66">
        <f t="shared" si="0"/>
        <v>9.0597616809678296</v>
      </c>
      <c r="G26" s="65" t="s">
        <v>70</v>
      </c>
      <c r="H26" s="77">
        <v>1</v>
      </c>
      <c r="I26" s="69" t="s">
        <v>47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48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49"/>
      <c r="B27" s="250"/>
      <c r="C27" s="251"/>
      <c r="D27" s="65" t="s">
        <v>71</v>
      </c>
      <c r="E27" s="66">
        <f>C25/10</f>
        <v>4.5298808404839148</v>
      </c>
      <c r="F27" s="66">
        <f t="shared" si="0"/>
        <v>9.0597616809678296</v>
      </c>
      <c r="G27" s="65" t="s">
        <v>72</v>
      </c>
      <c r="H27" s="77">
        <v>0.9</v>
      </c>
      <c r="I27" s="76" t="s">
        <v>47</v>
      </c>
      <c r="J27" s="70" t="s">
        <v>73</v>
      </c>
      <c r="K27" s="71">
        <v>90</v>
      </c>
      <c r="L27" s="71">
        <v>80</v>
      </c>
      <c r="M27" s="71">
        <v>70</v>
      </c>
      <c r="N27" s="71">
        <v>50</v>
      </c>
      <c r="O27" s="71" t="s">
        <v>68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49"/>
      <c r="B28" s="250"/>
      <c r="C28" s="251"/>
      <c r="D28" s="65" t="s">
        <v>74</v>
      </c>
      <c r="E28" s="66">
        <f>C25/10</f>
        <v>4.5298808404839148</v>
      </c>
      <c r="F28" s="66">
        <f t="shared" si="0"/>
        <v>9.0597616809678296</v>
      </c>
      <c r="G28" s="65" t="s">
        <v>75</v>
      </c>
      <c r="H28" s="77">
        <v>0.8</v>
      </c>
      <c r="I28" s="76" t="s">
        <v>47</v>
      </c>
      <c r="J28" s="70" t="s">
        <v>67</v>
      </c>
      <c r="K28" s="71">
        <v>80</v>
      </c>
      <c r="L28" s="71">
        <v>75</v>
      </c>
      <c r="M28" s="71">
        <v>70</v>
      </c>
      <c r="N28" s="71">
        <v>50</v>
      </c>
      <c r="O28" s="71" t="s">
        <v>68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49"/>
      <c r="B29" s="250"/>
      <c r="C29" s="251"/>
      <c r="D29" s="65" t="s">
        <v>76</v>
      </c>
      <c r="E29" s="66">
        <f>C25/10</f>
        <v>4.5298808404839148</v>
      </c>
      <c r="F29" s="66">
        <f t="shared" si="0"/>
        <v>9.0597616809678296</v>
      </c>
      <c r="G29" s="65" t="s">
        <v>77</v>
      </c>
      <c r="H29" s="77">
        <v>0.9</v>
      </c>
      <c r="I29" s="76" t="s">
        <v>47</v>
      </c>
      <c r="J29" s="70" t="s">
        <v>73</v>
      </c>
      <c r="K29" s="71">
        <v>90</v>
      </c>
      <c r="L29" s="71">
        <v>80</v>
      </c>
      <c r="M29" s="71">
        <v>70</v>
      </c>
      <c r="N29" s="71">
        <v>50</v>
      </c>
      <c r="O29" s="71" t="s">
        <v>68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49"/>
      <c r="B30" s="250"/>
      <c r="C30" s="251"/>
      <c r="D30" s="65" t="s">
        <v>78</v>
      </c>
      <c r="E30" s="66">
        <f>C25/10</f>
        <v>4.5298808404839148</v>
      </c>
      <c r="F30" s="66">
        <f t="shared" si="0"/>
        <v>9.0597616809678296</v>
      </c>
      <c r="G30" s="65" t="s">
        <v>79</v>
      </c>
      <c r="H30" s="77">
        <v>0.8</v>
      </c>
      <c r="I30" s="76" t="s">
        <v>47</v>
      </c>
      <c r="J30" s="70" t="s">
        <v>67</v>
      </c>
      <c r="K30" s="71">
        <v>80</v>
      </c>
      <c r="L30" s="71">
        <v>75</v>
      </c>
      <c r="M30" s="71">
        <v>70</v>
      </c>
      <c r="N30" s="71">
        <v>50</v>
      </c>
      <c r="O30" s="71" t="s">
        <v>68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49"/>
      <c r="B31" s="250"/>
      <c r="C31" s="251"/>
      <c r="D31" s="65" t="s">
        <v>80</v>
      </c>
      <c r="E31" s="66">
        <f>C25/10</f>
        <v>4.5298808404839148</v>
      </c>
      <c r="F31" s="66">
        <f t="shared" si="0"/>
        <v>9.0597616809678296</v>
      </c>
      <c r="G31" s="65" t="s">
        <v>81</v>
      </c>
      <c r="H31" s="77">
        <v>0.9</v>
      </c>
      <c r="I31" s="76" t="s">
        <v>47</v>
      </c>
      <c r="J31" s="70" t="s">
        <v>73</v>
      </c>
      <c r="K31" s="71">
        <v>90</v>
      </c>
      <c r="L31" s="71">
        <v>80</v>
      </c>
      <c r="M31" s="71">
        <v>70</v>
      </c>
      <c r="N31" s="71">
        <v>50</v>
      </c>
      <c r="O31" s="71" t="s">
        <v>68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49"/>
      <c r="B32" s="250"/>
      <c r="C32" s="251"/>
      <c r="D32" s="65" t="s">
        <v>82</v>
      </c>
      <c r="E32" s="66">
        <f>C25/10</f>
        <v>4.5298808404839148</v>
      </c>
      <c r="F32" s="66">
        <f t="shared" si="0"/>
        <v>9.0597616809678296</v>
      </c>
      <c r="G32" s="65" t="s">
        <v>83</v>
      </c>
      <c r="H32" s="77">
        <v>0.8</v>
      </c>
      <c r="I32" s="76" t="s">
        <v>47</v>
      </c>
      <c r="J32" s="70" t="s">
        <v>67</v>
      </c>
      <c r="K32" s="71">
        <v>80</v>
      </c>
      <c r="L32" s="71">
        <v>75</v>
      </c>
      <c r="M32" s="71">
        <v>70</v>
      </c>
      <c r="N32" s="71">
        <v>50</v>
      </c>
      <c r="O32" s="71" t="s">
        <v>68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49"/>
      <c r="B33" s="250"/>
      <c r="C33" s="251"/>
      <c r="D33" s="65" t="s">
        <v>84</v>
      </c>
      <c r="E33" s="66">
        <f>C25/10</f>
        <v>4.5298808404839148</v>
      </c>
      <c r="F33" s="66">
        <f t="shared" si="0"/>
        <v>9.0597616809678296</v>
      </c>
      <c r="G33" s="65" t="s">
        <v>85</v>
      </c>
      <c r="H33" s="76">
        <v>80</v>
      </c>
      <c r="I33" s="76" t="s">
        <v>47</v>
      </c>
      <c r="J33" s="70" t="s">
        <v>67</v>
      </c>
      <c r="K33" s="71">
        <v>80</v>
      </c>
      <c r="L33" s="71">
        <v>75</v>
      </c>
      <c r="M33" s="71">
        <v>70</v>
      </c>
      <c r="N33" s="71">
        <v>50</v>
      </c>
      <c r="O33" s="71" t="s">
        <v>68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2"/>
      <c r="B34" s="253"/>
      <c r="C34" s="254"/>
      <c r="D34" s="65" t="s">
        <v>86</v>
      </c>
      <c r="E34" s="66">
        <f>C25/10</f>
        <v>4.5298808404839148</v>
      </c>
      <c r="F34" s="66">
        <f t="shared" si="0"/>
        <v>9.0597616809678296</v>
      </c>
      <c r="G34" s="65" t="s">
        <v>87</v>
      </c>
      <c r="H34" s="77">
        <v>0.8</v>
      </c>
      <c r="I34" s="76" t="s">
        <v>47</v>
      </c>
      <c r="J34" s="70" t="s">
        <v>67</v>
      </c>
      <c r="K34" s="71">
        <v>80</v>
      </c>
      <c r="L34" s="71">
        <v>75</v>
      </c>
      <c r="M34" s="71">
        <v>70</v>
      </c>
      <c r="N34" s="71">
        <v>50</v>
      </c>
      <c r="O34" s="71" t="s">
        <v>68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88</v>
      </c>
      <c r="C35" s="78">
        <f>0.5 *1.5918255965556</f>
        <v>0.79591279827780004</v>
      </c>
      <c r="D35" s="65" t="s">
        <v>89</v>
      </c>
      <c r="E35" s="66">
        <f>C35</f>
        <v>0.79591279827780004</v>
      </c>
      <c r="F35" s="66">
        <f t="shared" si="0"/>
        <v>1.5918255965556003</v>
      </c>
      <c r="G35" s="67" t="s">
        <v>90</v>
      </c>
      <c r="H35" s="76">
        <v>5</v>
      </c>
      <c r="I35" s="69" t="s">
        <v>55</v>
      </c>
      <c r="J35" s="70" t="s">
        <v>56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6">
        <v>5</v>
      </c>
      <c r="B36" s="247" t="s">
        <v>91</v>
      </c>
      <c r="C36" s="256">
        <f>0.5 *3.18365119311119</f>
        <v>1.591825596555595</v>
      </c>
      <c r="D36" s="65" t="s">
        <v>92</v>
      </c>
      <c r="E36" s="66">
        <f>C36/2</f>
        <v>0.79591279827779748</v>
      </c>
      <c r="F36" s="66">
        <f t="shared" si="0"/>
        <v>1.591825596555595</v>
      </c>
      <c r="G36" s="67" t="s">
        <v>93</v>
      </c>
      <c r="H36" s="77">
        <v>0.8</v>
      </c>
      <c r="I36" s="76" t="s">
        <v>47</v>
      </c>
      <c r="J36" s="70" t="s">
        <v>67</v>
      </c>
      <c r="K36" s="71">
        <v>80</v>
      </c>
      <c r="L36" s="71">
        <v>75</v>
      </c>
      <c r="M36" s="71">
        <v>70</v>
      </c>
      <c r="N36" s="71">
        <v>50</v>
      </c>
      <c r="O36" s="71" t="s">
        <v>68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2"/>
      <c r="B37" s="253"/>
      <c r="C37" s="257"/>
      <c r="D37" s="65" t="s">
        <v>94</v>
      </c>
      <c r="E37" s="66">
        <f>C36/2</f>
        <v>0.79591279827779748</v>
      </c>
      <c r="F37" s="66">
        <f t="shared" si="0"/>
        <v>1.591825596555595</v>
      </c>
      <c r="G37" s="67" t="s">
        <v>95</v>
      </c>
      <c r="H37" s="77">
        <v>0.8</v>
      </c>
      <c r="I37" s="76" t="s">
        <v>47</v>
      </c>
      <c r="J37" s="70" t="s">
        <v>67</v>
      </c>
      <c r="K37" s="71">
        <v>80</v>
      </c>
      <c r="L37" s="71">
        <v>75</v>
      </c>
      <c r="M37" s="71">
        <v>70</v>
      </c>
      <c r="N37" s="71">
        <v>50</v>
      </c>
      <c r="O37" s="71" t="s">
        <v>68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8">
        <v>6</v>
      </c>
      <c r="B38" s="259" t="s">
        <v>96</v>
      </c>
      <c r="C38" s="260">
        <f>0.5 *1.0612170643704</f>
        <v>0.53060853218519999</v>
      </c>
      <c r="D38" s="65" t="s">
        <v>97</v>
      </c>
      <c r="E38" s="66">
        <f>C38</f>
        <v>0.53060853218519999</v>
      </c>
      <c r="F38" s="66">
        <f t="shared" si="0"/>
        <v>1.0612170643704</v>
      </c>
      <c r="G38" s="67" t="s">
        <v>98</v>
      </c>
      <c r="H38" s="77">
        <v>0.8</v>
      </c>
      <c r="I38" s="76" t="s">
        <v>47</v>
      </c>
      <c r="J38" s="70" t="s">
        <v>67</v>
      </c>
      <c r="K38" s="71">
        <v>80</v>
      </c>
      <c r="L38" s="71">
        <v>75</v>
      </c>
      <c r="M38" s="71">
        <v>70</v>
      </c>
      <c r="N38" s="71">
        <v>50</v>
      </c>
      <c r="O38" s="71" t="s">
        <v>68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99</v>
      </c>
      <c r="C39" s="78">
        <f>0.5 *0.424486825748159</f>
        <v>0.2122434128740795</v>
      </c>
      <c r="D39" s="259" t="s">
        <v>100</v>
      </c>
      <c r="E39" s="66">
        <f>C39</f>
        <v>0.2122434128740795</v>
      </c>
      <c r="F39" s="66">
        <f t="shared" si="0"/>
        <v>0.42448682574815894</v>
      </c>
      <c r="G39" s="67" t="s">
        <v>101</v>
      </c>
      <c r="H39" s="68">
        <v>0.7</v>
      </c>
      <c r="I39" s="76" t="s">
        <v>47</v>
      </c>
      <c r="J39" s="70" t="s">
        <v>102</v>
      </c>
      <c r="K39" s="71">
        <v>70</v>
      </c>
      <c r="L39" s="71">
        <v>60</v>
      </c>
      <c r="M39" s="71">
        <v>50</v>
      </c>
      <c r="N39" s="71">
        <v>40</v>
      </c>
      <c r="O39" s="71" t="s">
        <v>103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104</v>
      </c>
      <c r="C40" s="78">
        <f>0.5 *0.424486825748159</f>
        <v>0.2122434128740795</v>
      </c>
      <c r="D40" s="67" t="s">
        <v>105</v>
      </c>
      <c r="E40" s="66">
        <f>C40</f>
        <v>0.2122434128740795</v>
      </c>
      <c r="F40" s="66">
        <f t="shared" si="0"/>
        <v>0.42448682574815894</v>
      </c>
      <c r="G40" s="67" t="s">
        <v>106</v>
      </c>
      <c r="H40" s="68">
        <v>0.5</v>
      </c>
      <c r="I40" s="69" t="s">
        <v>47</v>
      </c>
      <c r="J40" s="70" t="s">
        <v>62</v>
      </c>
      <c r="K40" s="71">
        <v>50</v>
      </c>
      <c r="L40" s="71">
        <v>45</v>
      </c>
      <c r="M40" s="71">
        <v>40</v>
      </c>
      <c r="N40" s="71">
        <v>25</v>
      </c>
      <c r="O40" s="71" t="s">
        <v>63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107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157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108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113</v>
      </c>
      <c r="M43" s="101" t="s">
        <v>109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110</v>
      </c>
      <c r="D44" s="108"/>
      <c r="E44" s="108"/>
      <c r="F44" s="108"/>
      <c r="G44" s="108"/>
      <c r="H44" s="109" t="s">
        <v>158</v>
      </c>
      <c r="I44" s="109" t="s">
        <v>159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114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38</v>
      </c>
      <c r="N45" s="121" t="s">
        <v>115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116</v>
      </c>
      <c r="B46" s="124" t="s">
        <v>160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39</v>
      </c>
      <c r="N46" s="121" t="s">
        <v>117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118</v>
      </c>
      <c r="B47" s="124" t="s">
        <v>161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40</v>
      </c>
      <c r="N47" s="121" t="s">
        <v>119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120</v>
      </c>
      <c r="B48" s="124" t="s">
        <v>121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41</v>
      </c>
      <c r="N48" s="121" t="s">
        <v>122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123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42</v>
      </c>
      <c r="N49" s="121" t="s">
        <v>124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116</v>
      </c>
      <c r="B50" s="135" t="s">
        <v>162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43</v>
      </c>
      <c r="N50" s="121" t="s">
        <v>125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118</v>
      </c>
      <c r="B51" s="135" t="s">
        <v>163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113</v>
      </c>
      <c r="N51" s="140" t="s">
        <v>126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120</v>
      </c>
      <c r="B52" s="135" t="s">
        <v>164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127</v>
      </c>
      <c r="N52" s="140" t="s">
        <v>128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129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111</v>
      </c>
      <c r="N53" s="140" t="s">
        <v>130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116</v>
      </c>
      <c r="B54" s="135" t="s">
        <v>131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112</v>
      </c>
      <c r="N54" s="140" t="s">
        <v>132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118</v>
      </c>
      <c r="B55" s="135" t="s">
        <v>165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133</v>
      </c>
      <c r="N55" s="140" t="s">
        <v>134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120</v>
      </c>
      <c r="B56" s="135" t="s">
        <v>166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135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116</v>
      </c>
      <c r="B58" s="152" t="s">
        <v>136</v>
      </c>
      <c r="C58" s="136" t="s">
        <v>137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118</v>
      </c>
      <c r="B59" s="152" t="s">
        <v>138</v>
      </c>
      <c r="C59" s="136" t="s">
        <v>139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118</v>
      </c>
      <c r="B60" s="152" t="s">
        <v>140</v>
      </c>
      <c r="C60" s="136" t="s">
        <v>141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142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167</v>
      </c>
      <c r="P62" s="165"/>
      <c r="Q62" s="164" t="s">
        <v>168</v>
      </c>
      <c r="R62" s="166"/>
    </row>
    <row r="63" spans="1:18" s="167" customFormat="1" ht="45" customHeight="1" x14ac:dyDescent="0.7">
      <c r="A63" s="160"/>
      <c r="B63" s="168"/>
      <c r="C63" s="169" t="s">
        <v>169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170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171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172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173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174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175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176</v>
      </c>
      <c r="B71" s="193"/>
      <c r="C71" s="194"/>
      <c r="D71" s="195"/>
      <c r="E71" s="196" t="s">
        <v>177</v>
      </c>
      <c r="F71" s="197"/>
      <c r="G71" s="193" t="s">
        <v>178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143</v>
      </c>
      <c r="B75" s="214"/>
      <c r="C75" s="194"/>
      <c r="D75" s="195"/>
      <c r="E75" s="215" t="s">
        <v>179</v>
      </c>
      <c r="F75" s="197"/>
      <c r="G75" s="214" t="s">
        <v>179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144</v>
      </c>
      <c r="B78" s="201"/>
      <c r="C78" s="194"/>
      <c r="D78" s="195"/>
      <c r="E78" s="196" t="s">
        <v>180</v>
      </c>
      <c r="F78" s="197"/>
      <c r="G78" s="193" t="s">
        <v>180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BAB66130-D9BC-474F-8A9C-DBE3832078F2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2026-04-09T13:42:00Z</dcterms:created>
  <dcterms:modified xsi:type="dcterms:W3CDTF">2026-04-09T20:26:07Z</dcterms:modified>
</cp:coreProperties>
</file>