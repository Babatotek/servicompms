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B\"/>
    </mc:Choice>
  </mc:AlternateContent>
  <xr:revisionPtr revIDLastSave="0" documentId="13_ncr:1_{C319458C-A1BE-436D-A45A-276D6F9297F8}" xr6:coauthVersionLast="47" xr6:coauthVersionMax="47" xr10:uidLastSave="{00000000-0000-0000-0000-000000000000}"/>
  <bookViews>
    <workbookView xWindow="-120" yWindow="-120" windowWidth="20730" windowHeight="11040" xr2:uid="{9152CF99-5714-4E20-9254-06CB3A6FA722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QUARTER'!$A$1:$R$89</definedName>
    <definedName name="_xlnm.Print_Area" localSheetId="3">'FOURTH QUARTER'!$A$1:$R$89</definedName>
    <definedName name="_xlnm.Print_Area" localSheetId="1">'SECOND QUARTER'!$A$1:$R$89</definedName>
    <definedName name="_xlnm.Print_Area" localSheetId="2">'THIRD QUARTER'!$A$1:$R$89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7" i="3" l="1"/>
  <c r="R27" i="3" s="1"/>
  <c r="Q28" i="3"/>
  <c r="R28" i="3"/>
  <c r="Q29" i="3"/>
  <c r="R29" i="3" s="1"/>
  <c r="Q30" i="3"/>
  <c r="R30" i="3"/>
  <c r="Q31" i="3"/>
  <c r="R31" i="3" s="1"/>
  <c r="Q32" i="3"/>
  <c r="R32" i="3"/>
  <c r="Q33" i="3"/>
  <c r="R33" i="3" s="1"/>
  <c r="Q34" i="3"/>
  <c r="R34" i="3"/>
  <c r="Q35" i="3"/>
  <c r="R35" i="3" s="1"/>
  <c r="Q36" i="3"/>
  <c r="R36" i="3"/>
  <c r="Q37" i="3"/>
  <c r="R37" i="3" s="1"/>
  <c r="Q38" i="3"/>
  <c r="R38" i="3"/>
  <c r="Q39" i="3"/>
  <c r="R39" i="3" s="1"/>
  <c r="Q40" i="3"/>
  <c r="R40" i="3"/>
  <c r="Q41" i="3"/>
  <c r="R41" i="3" s="1"/>
  <c r="Q42" i="3"/>
  <c r="R42" i="3"/>
  <c r="Q43" i="3"/>
  <c r="R43" i="3" s="1"/>
  <c r="Q44" i="3"/>
  <c r="R44" i="3"/>
  <c r="Q27" i="4"/>
  <c r="R27" i="4" s="1"/>
  <c r="Q28" i="4"/>
  <c r="R28" i="4"/>
  <c r="Q29" i="4"/>
  <c r="R29" i="4" s="1"/>
  <c r="Q30" i="4"/>
  <c r="R30" i="4"/>
  <c r="Q31" i="4"/>
  <c r="R31" i="4" s="1"/>
  <c r="Q32" i="4"/>
  <c r="R32" i="4"/>
  <c r="Q33" i="4"/>
  <c r="R33" i="4" s="1"/>
  <c r="Q34" i="4"/>
  <c r="R34" i="4"/>
  <c r="Q35" i="4"/>
  <c r="R35" i="4" s="1"/>
  <c r="Q36" i="4"/>
  <c r="R36" i="4"/>
  <c r="Q37" i="4"/>
  <c r="R37" i="4" s="1"/>
  <c r="Q38" i="4"/>
  <c r="R38" i="4"/>
  <c r="Q39" i="4"/>
  <c r="R39" i="4" s="1"/>
  <c r="Q40" i="4"/>
  <c r="R40" i="4"/>
  <c r="Q41" i="4"/>
  <c r="R41" i="4" s="1"/>
  <c r="Q42" i="4"/>
  <c r="R42" i="4"/>
  <c r="Q43" i="4"/>
  <c r="R43" i="4" s="1"/>
  <c r="Q44" i="4"/>
  <c r="R44" i="4"/>
  <c r="Q27" i="5"/>
  <c r="R27" i="5" s="1"/>
  <c r="Q28" i="5"/>
  <c r="R28" i="5"/>
  <c r="Q29" i="5"/>
  <c r="R29" i="5" s="1"/>
  <c r="Q30" i="5"/>
  <c r="R30" i="5"/>
  <c r="Q31" i="5"/>
  <c r="R31" i="5" s="1"/>
  <c r="Q32" i="5"/>
  <c r="R32" i="5"/>
  <c r="Q33" i="5"/>
  <c r="R33" i="5" s="1"/>
  <c r="Q34" i="5"/>
  <c r="R34" i="5"/>
  <c r="Q35" i="5"/>
  <c r="R35" i="5" s="1"/>
  <c r="Q36" i="5"/>
  <c r="R36" i="5"/>
  <c r="Q37" i="5"/>
  <c r="R37" i="5" s="1"/>
  <c r="Q38" i="5"/>
  <c r="R38" i="5"/>
  <c r="Q39" i="5"/>
  <c r="R39" i="5" s="1"/>
  <c r="Q40" i="5"/>
  <c r="R40" i="5"/>
  <c r="Q41" i="5"/>
  <c r="R41" i="5" s="1"/>
  <c r="Q42" i="5"/>
  <c r="R42" i="5"/>
  <c r="Q43" i="5"/>
  <c r="R43" i="5" s="1"/>
  <c r="Q44" i="5"/>
  <c r="R44" i="5"/>
  <c r="Q27" i="2"/>
  <c r="R27" i="2" s="1"/>
  <c r="Q28" i="2"/>
  <c r="R28" i="2"/>
  <c r="Q29" i="2"/>
  <c r="R29" i="2" s="1"/>
  <c r="Q30" i="2"/>
  <c r="R30" i="2"/>
  <c r="Q31" i="2"/>
  <c r="R31" i="2" s="1"/>
  <c r="Q32" i="2"/>
  <c r="R32" i="2"/>
  <c r="Q33" i="2"/>
  <c r="R33" i="2" s="1"/>
  <c r="Q34" i="2"/>
  <c r="R34" i="2"/>
  <c r="Q35" i="2"/>
  <c r="R35" i="2" s="1"/>
  <c r="Q36" i="2"/>
  <c r="R36" i="2"/>
  <c r="Q37" i="2"/>
  <c r="R37" i="2" s="1"/>
  <c r="Q38" i="2"/>
  <c r="R38" i="2"/>
  <c r="Q39" i="2"/>
  <c r="R39" i="2" s="1"/>
  <c r="Q40" i="2"/>
  <c r="R40" i="2"/>
  <c r="Q41" i="2"/>
  <c r="R41" i="2" s="1"/>
  <c r="Q42" i="2"/>
  <c r="R42" i="2"/>
  <c r="Q43" i="2"/>
  <c r="R43" i="2" s="1"/>
  <c r="Q44" i="2"/>
  <c r="R44" i="2"/>
  <c r="C49" i="3"/>
  <c r="C48" i="3"/>
  <c r="E47" i="3"/>
  <c r="E46" i="3"/>
  <c r="C46" i="3"/>
  <c r="C44" i="3"/>
  <c r="E44" i="3" s="1"/>
  <c r="E43" i="3"/>
  <c r="C43" i="3"/>
  <c r="E42" i="3"/>
  <c r="E41" i="3"/>
  <c r="E40" i="3"/>
  <c r="E39" i="3"/>
  <c r="E38" i="3"/>
  <c r="E37" i="3"/>
  <c r="E36" i="3"/>
  <c r="E35" i="3"/>
  <c r="C25" i="3"/>
  <c r="E33" i="3" s="1"/>
  <c r="E24" i="3"/>
  <c r="C24" i="3"/>
  <c r="C19" i="3"/>
  <c r="C49" i="4"/>
  <c r="C48" i="4"/>
  <c r="E46" i="4"/>
  <c r="C46" i="4"/>
  <c r="E47" i="4" s="1"/>
  <c r="C44" i="4"/>
  <c r="E44" i="4" s="1"/>
  <c r="E43" i="4"/>
  <c r="C43" i="4"/>
  <c r="E42" i="4"/>
  <c r="E41" i="4"/>
  <c r="E40" i="4"/>
  <c r="E39" i="4"/>
  <c r="E38" i="4"/>
  <c r="E37" i="4"/>
  <c r="E36" i="4"/>
  <c r="E35" i="4"/>
  <c r="C25" i="4"/>
  <c r="E33" i="4" s="1"/>
  <c r="E24" i="4"/>
  <c r="C24" i="4"/>
  <c r="C19" i="4"/>
  <c r="C49" i="5"/>
  <c r="C48" i="5"/>
  <c r="E47" i="5"/>
  <c r="E46" i="5"/>
  <c r="C46" i="5"/>
  <c r="C44" i="5"/>
  <c r="E44" i="5" s="1"/>
  <c r="E43" i="5"/>
  <c r="C43" i="5"/>
  <c r="E42" i="5"/>
  <c r="E41" i="5"/>
  <c r="E40" i="5"/>
  <c r="E39" i="5"/>
  <c r="E38" i="5"/>
  <c r="E37" i="5"/>
  <c r="E36" i="5"/>
  <c r="E35" i="5"/>
  <c r="C25" i="5"/>
  <c r="E33" i="5" s="1"/>
  <c r="E24" i="5"/>
  <c r="C24" i="5"/>
  <c r="C19" i="5"/>
  <c r="C49" i="2"/>
  <c r="C48" i="2"/>
  <c r="E47" i="2"/>
  <c r="E46" i="2"/>
  <c r="C46" i="2"/>
  <c r="C44" i="2"/>
  <c r="E44" i="2" s="1"/>
  <c r="E43" i="2"/>
  <c r="C43" i="2"/>
  <c r="E42" i="2"/>
  <c r="E41" i="2"/>
  <c r="E40" i="2"/>
  <c r="E39" i="2"/>
  <c r="E38" i="2"/>
  <c r="E37" i="2"/>
  <c r="E36" i="2"/>
  <c r="E35" i="2"/>
  <c r="C25" i="2"/>
  <c r="E33" i="2" s="1"/>
  <c r="E24" i="2"/>
  <c r="C24" i="2"/>
  <c r="C19" i="2"/>
  <c r="I70" i="5"/>
  <c r="O74" i="5" s="1"/>
  <c r="H70" i="5"/>
  <c r="I66" i="5"/>
  <c r="O73" i="5" s="1"/>
  <c r="H66" i="5"/>
  <c r="Q49" i="5"/>
  <c r="Q48" i="5"/>
  <c r="Q47" i="5"/>
  <c r="Q46" i="5"/>
  <c r="Q45" i="5"/>
  <c r="Q26" i="5"/>
  <c r="Q25" i="5"/>
  <c r="Q24" i="5"/>
  <c r="Q23" i="5"/>
  <c r="Q22" i="5"/>
  <c r="Q21" i="5"/>
  <c r="Q20" i="5"/>
  <c r="Q19" i="5"/>
  <c r="I70" i="4"/>
  <c r="O74" i="4" s="1"/>
  <c r="H70" i="4"/>
  <c r="I66" i="4"/>
  <c r="O73" i="4" s="1"/>
  <c r="H66" i="4"/>
  <c r="C50" i="4"/>
  <c r="Q49" i="4"/>
  <c r="Q48" i="4"/>
  <c r="Q47" i="4"/>
  <c r="Q46" i="4"/>
  <c r="Q45" i="4"/>
  <c r="Q26" i="4"/>
  <c r="Q25" i="4"/>
  <c r="Q24" i="4"/>
  <c r="Q23" i="4"/>
  <c r="Q22" i="4"/>
  <c r="Q21" i="4"/>
  <c r="Q20" i="4"/>
  <c r="Q19" i="4"/>
  <c r="I70" i="3"/>
  <c r="O74" i="3" s="1"/>
  <c r="H70" i="3"/>
  <c r="I66" i="3"/>
  <c r="O73" i="3" s="1"/>
  <c r="H66" i="3"/>
  <c r="Q49" i="3"/>
  <c r="Q48" i="3"/>
  <c r="Q47" i="3"/>
  <c r="Q46" i="3"/>
  <c r="Q45" i="3"/>
  <c r="Q26" i="3"/>
  <c r="Q25" i="3"/>
  <c r="Q24" i="3"/>
  <c r="Q23" i="3"/>
  <c r="Q22" i="3"/>
  <c r="Q21" i="3"/>
  <c r="Q20" i="3"/>
  <c r="Q19" i="3"/>
  <c r="I70" i="2"/>
  <c r="O74" i="2" s="1"/>
  <c r="H70" i="2"/>
  <c r="I66" i="2"/>
  <c r="O73" i="2" s="1"/>
  <c r="H66" i="2"/>
  <c r="Q49" i="2"/>
  <c r="Q48" i="2"/>
  <c r="Q47" i="2"/>
  <c r="Q46" i="2"/>
  <c r="Q45" i="2"/>
  <c r="Q26" i="2"/>
  <c r="Q25" i="2"/>
  <c r="Q24" i="2"/>
  <c r="Q23" i="2"/>
  <c r="Q22" i="2"/>
  <c r="Q21" i="2"/>
  <c r="Q20" i="2"/>
  <c r="Q19" i="2"/>
  <c r="E22" i="3" l="1"/>
  <c r="E20" i="3"/>
  <c r="C50" i="3"/>
  <c r="E23" i="3"/>
  <c r="E21" i="3"/>
  <c r="E19" i="3"/>
  <c r="E22" i="2"/>
  <c r="E20" i="2"/>
  <c r="C50" i="2"/>
  <c r="E23" i="2"/>
  <c r="E21" i="2"/>
  <c r="E19" i="2"/>
  <c r="E22" i="5"/>
  <c r="E20" i="5"/>
  <c r="E23" i="5"/>
  <c r="E21" i="5"/>
  <c r="E19" i="5"/>
  <c r="C50" i="5"/>
  <c r="E22" i="4"/>
  <c r="E20" i="4"/>
  <c r="E23" i="4"/>
  <c r="E21" i="4"/>
  <c r="E19" i="4"/>
  <c r="E26" i="2"/>
  <c r="E28" i="2"/>
  <c r="E30" i="2"/>
  <c r="E32" i="2"/>
  <c r="E34" i="2"/>
  <c r="E45" i="2"/>
  <c r="E26" i="5"/>
  <c r="E28" i="5"/>
  <c r="E30" i="5"/>
  <c r="E32" i="5"/>
  <c r="E34" i="5"/>
  <c r="E45" i="5"/>
  <c r="E26" i="4"/>
  <c r="E28" i="4"/>
  <c r="E30" i="4"/>
  <c r="E32" i="4"/>
  <c r="E34" i="4"/>
  <c r="E45" i="4"/>
  <c r="E26" i="3"/>
  <c r="E28" i="3"/>
  <c r="E30" i="3"/>
  <c r="E32" i="3"/>
  <c r="E34" i="3"/>
  <c r="E45" i="3"/>
  <c r="E25" i="2"/>
  <c r="E27" i="2"/>
  <c r="E29" i="2"/>
  <c r="E31" i="2"/>
  <c r="E25" i="5"/>
  <c r="E27" i="5"/>
  <c r="E29" i="5"/>
  <c r="E31" i="5"/>
  <c r="E25" i="4"/>
  <c r="E27" i="4"/>
  <c r="E29" i="4"/>
  <c r="E31" i="4"/>
  <c r="E25" i="3"/>
  <c r="E27" i="3"/>
  <c r="E29" i="3"/>
  <c r="E31" i="3"/>
  <c r="E50" i="2" l="1"/>
  <c r="F20" i="2"/>
  <c r="R20" i="2" s="1"/>
  <c r="F31" i="3"/>
  <c r="F31" i="5"/>
  <c r="F45" i="3"/>
  <c r="R45" i="3" s="1"/>
  <c r="F28" i="3"/>
  <c r="F28" i="5"/>
  <c r="F21" i="2"/>
  <c r="R21" i="2" s="1"/>
  <c r="F21" i="3"/>
  <c r="R21" i="3" s="1"/>
  <c r="F30" i="3"/>
  <c r="F19" i="3"/>
  <c r="E50" i="3"/>
  <c r="F29" i="2"/>
  <c r="F34" i="3"/>
  <c r="F30" i="2"/>
  <c r="F23" i="5"/>
  <c r="R23" i="5" s="1"/>
  <c r="F23" i="3"/>
  <c r="R23" i="3" s="1"/>
  <c r="F19" i="5"/>
  <c r="E50" i="5"/>
  <c r="F22" i="5" s="1"/>
  <c r="R22" i="5" s="1"/>
  <c r="F29" i="3"/>
  <c r="F29" i="5"/>
  <c r="F26" i="3"/>
  <c r="R26" i="3" s="1"/>
  <c r="F34" i="5"/>
  <c r="F27" i="3"/>
  <c r="F27" i="5"/>
  <c r="F27" i="2"/>
  <c r="F32" i="3"/>
  <c r="F32" i="5"/>
  <c r="F28" i="2"/>
  <c r="E50" i="4"/>
  <c r="F25" i="4" s="1"/>
  <c r="R25" i="4" s="1"/>
  <c r="F20" i="5"/>
  <c r="R20" i="5" s="1"/>
  <c r="F45" i="4" l="1"/>
  <c r="R45" i="4" s="1"/>
  <c r="F27" i="4"/>
  <c r="R19" i="5"/>
  <c r="F49" i="2"/>
  <c r="R49" i="2" s="1"/>
  <c r="F42" i="2"/>
  <c r="F40" i="2"/>
  <c r="F38" i="2"/>
  <c r="F36" i="2"/>
  <c r="F48" i="2"/>
  <c r="R48" i="2" s="1"/>
  <c r="F35" i="2"/>
  <c r="F37" i="2"/>
  <c r="F39" i="2"/>
  <c r="F41" i="2"/>
  <c r="F44" i="2"/>
  <c r="F47" i="2"/>
  <c r="R47" i="2" s="1"/>
  <c r="F24" i="2"/>
  <c r="R24" i="2" s="1"/>
  <c r="F43" i="2"/>
  <c r="F46" i="2"/>
  <c r="R46" i="2" s="1"/>
  <c r="F33" i="2"/>
  <c r="F34" i="4"/>
  <c r="F22" i="4"/>
  <c r="R22" i="4" s="1"/>
  <c r="F45" i="2"/>
  <c r="R45" i="2" s="1"/>
  <c r="F29" i="4"/>
  <c r="F34" i="2"/>
  <c r="F23" i="2"/>
  <c r="R23" i="2" s="1"/>
  <c r="F26" i="5"/>
  <c r="R26" i="5" s="1"/>
  <c r="F49" i="3"/>
  <c r="R49" i="3" s="1"/>
  <c r="F42" i="3"/>
  <c r="F40" i="3"/>
  <c r="F38" i="3"/>
  <c r="F36" i="3"/>
  <c r="F48" i="3"/>
  <c r="R48" i="3" s="1"/>
  <c r="F41" i="3"/>
  <c r="F39" i="3"/>
  <c r="F37" i="3"/>
  <c r="F35" i="3"/>
  <c r="F47" i="3"/>
  <c r="R47" i="3" s="1"/>
  <c r="F24" i="3"/>
  <c r="R24" i="3" s="1"/>
  <c r="F33" i="3"/>
  <c r="F44" i="3"/>
  <c r="F46" i="3"/>
  <c r="R46" i="3" s="1"/>
  <c r="F43" i="3"/>
  <c r="F22" i="3"/>
  <c r="R22" i="3" s="1"/>
  <c r="F21" i="5"/>
  <c r="R21" i="5" s="1"/>
  <c r="F45" i="5"/>
  <c r="R45" i="5" s="1"/>
  <c r="F31" i="2"/>
  <c r="F20" i="3"/>
  <c r="R20" i="3" s="1"/>
  <c r="F25" i="2"/>
  <c r="R25" i="2" s="1"/>
  <c r="F50" i="3"/>
  <c r="R19" i="3"/>
  <c r="F23" i="4"/>
  <c r="R23" i="4" s="1"/>
  <c r="F49" i="4"/>
  <c r="R49" i="4" s="1"/>
  <c r="F42" i="4"/>
  <c r="F40" i="4"/>
  <c r="F38" i="4"/>
  <c r="F36" i="4"/>
  <c r="F48" i="4"/>
  <c r="R48" i="4" s="1"/>
  <c r="F35" i="4"/>
  <c r="F37" i="4"/>
  <c r="F39" i="4"/>
  <c r="F41" i="4"/>
  <c r="F46" i="4"/>
  <c r="R46" i="4" s="1"/>
  <c r="F33" i="4"/>
  <c r="F47" i="4"/>
  <c r="R47" i="4" s="1"/>
  <c r="F24" i="4"/>
  <c r="R24" i="4" s="1"/>
  <c r="F44" i="4"/>
  <c r="F43" i="4"/>
  <c r="F26" i="4"/>
  <c r="R26" i="4" s="1"/>
  <c r="F30" i="4"/>
  <c r="F32" i="4"/>
  <c r="F21" i="4"/>
  <c r="R21" i="4" s="1"/>
  <c r="F19" i="4"/>
  <c r="F28" i="4"/>
  <c r="F49" i="5"/>
  <c r="R49" i="5" s="1"/>
  <c r="F42" i="5"/>
  <c r="F40" i="5"/>
  <c r="F38" i="5"/>
  <c r="F36" i="5"/>
  <c r="F48" i="5"/>
  <c r="R48" i="5" s="1"/>
  <c r="F35" i="5"/>
  <c r="F37" i="5"/>
  <c r="F39" i="5"/>
  <c r="F41" i="5"/>
  <c r="F33" i="5"/>
  <c r="F44" i="5"/>
  <c r="F47" i="5"/>
  <c r="R47" i="5" s="1"/>
  <c r="F24" i="5"/>
  <c r="R24" i="5" s="1"/>
  <c r="F46" i="5"/>
  <c r="R46" i="5" s="1"/>
  <c r="F43" i="5"/>
  <c r="F25" i="5"/>
  <c r="R25" i="5" s="1"/>
  <c r="F20" i="4"/>
  <c r="R20" i="4" s="1"/>
  <c r="F26" i="2"/>
  <c r="R26" i="2" s="1"/>
  <c r="F22" i="2"/>
  <c r="R22" i="2" s="1"/>
  <c r="F32" i="2"/>
  <c r="F31" i="4"/>
  <c r="F19" i="2"/>
  <c r="F30" i="5"/>
  <c r="F25" i="3"/>
  <c r="R25" i="3" s="1"/>
  <c r="F50" i="2" l="1"/>
  <c r="R19" i="2"/>
  <c r="R50" i="2" s="1"/>
  <c r="R51" i="2" s="1"/>
  <c r="O72" i="2" s="1"/>
  <c r="O75" i="2" s="1"/>
  <c r="Q72" i="2" s="1"/>
  <c r="F50" i="4"/>
  <c r="R19" i="4"/>
  <c r="R50" i="4" s="1"/>
  <c r="R51" i="4" s="1"/>
  <c r="O72" i="4" s="1"/>
  <c r="O75" i="4" s="1"/>
  <c r="Q72" i="4" s="1"/>
  <c r="R50" i="5"/>
  <c r="R51" i="5" s="1"/>
  <c r="O72" i="5" s="1"/>
  <c r="O75" i="5" s="1"/>
  <c r="Q72" i="5" s="1"/>
  <c r="R50" i="3"/>
  <c r="R51" i="3" s="1"/>
  <c r="O72" i="3" s="1"/>
  <c r="O75" i="3" s="1"/>
  <c r="Q72" i="3" s="1"/>
  <c r="F50" i="5"/>
</calcChain>
</file>

<file path=xl/sharedStrings.xml><?xml version="1.0" encoding="utf-8"?>
<sst xmlns="http://schemas.openxmlformats.org/spreadsheetml/2006/main" count="1176" uniqueCount="201">
  <si>
    <t>PERFORMANCE APPRAISAL PERIOD:</t>
  </si>
  <si>
    <t>FROM</t>
  </si>
  <si>
    <t>To</t>
  </si>
  <si>
    <t>SECTION 1: EMPLOYEE INFORMATION</t>
  </si>
  <si>
    <t>Surname:</t>
  </si>
  <si>
    <t>ONCHE</t>
  </si>
  <si>
    <t>Firstname</t>
  </si>
  <si>
    <t>BEN</t>
  </si>
  <si>
    <t>Othername</t>
  </si>
  <si>
    <t>OLOFO</t>
  </si>
  <si>
    <t>Designation</t>
  </si>
  <si>
    <t>CHIEF ADMIN OFFICER</t>
  </si>
  <si>
    <t>IPPIS No.</t>
  </si>
  <si>
    <t>Email</t>
  </si>
  <si>
    <t>Phone No.</t>
  </si>
  <si>
    <t>Department</t>
  </si>
  <si>
    <t>OPERATIONS UNIT</t>
  </si>
  <si>
    <t>SECTION 2: SUPERVISOR INFORMATION</t>
  </si>
  <si>
    <t>AKINBODEWA</t>
  </si>
  <si>
    <t>NGOZI</t>
  </si>
  <si>
    <t>JESSINTA</t>
  </si>
  <si>
    <t>DEPUTY DIRECTOR</t>
  </si>
  <si>
    <t>jakinbodewa@gmail.com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</si>
  <si>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</si>
  <si>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</si>
  <si>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</si>
  <si>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</si>
  <si>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</si>
  <si>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</si>
  <si>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</si>
  <si>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</si>
  <si>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</si>
  <si>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</si>
  <si>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</si>
  <si>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</si>
  <si>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</si>
  <si>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</si>
  <si>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</si>
  <si>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</si>
  <si>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</si>
  <si>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</si>
  <si>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</si>
  <si>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</si>
  <si>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</si>
  <si>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</si>
  <si>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</si>
  <si>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</si>
  <si>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</si>
  <si>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</si>
  <si>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</si>
  <si>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</si>
  <si>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</si>
  <si>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</si>
  <si>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</si>
  <si>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</si>
  <si>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</si>
  <si>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</si>
  <si>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</si>
  <si>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</si>
  <si>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</si>
  <si>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</si>
  <si>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Process Transformation Coordination</t>
  </si>
  <si>
    <t>Supervise digitization of physical records and documents</t>
  </si>
  <si>
    <t>Percentage of records digitized</t>
  </si>
  <si>
    <t>&gt;50</t>
  </si>
  <si>
    <t>&lt;25</t>
  </si>
  <si>
    <t>Service Delivery Evaluation &amp; Coordination</t>
  </si>
  <si>
    <t>Lead SERVICOM Compliance Evaluations (SCE) across assigned MDAs</t>
  </si>
  <si>
    <t>Percentage  of planned SCEs conducted within schedule</t>
  </si>
  <si>
    <t>&gt;80</t>
  </si>
  <si>
    <t>&lt;50</t>
  </si>
  <si>
    <t>Coordinate evaluation activities and assign responsibilities to team members</t>
  </si>
  <si>
    <t>Percentage  of activities executed according to plan</t>
  </si>
  <si>
    <t>Review and validate evaluation data and findings</t>
  </si>
  <si>
    <t>Percentage  of reports validated without errors</t>
  </si>
  <si>
    <t>&gt;90</t>
  </si>
  <si>
    <t>Drive engagement sessions to promote service improvement and accountability</t>
  </si>
  <si>
    <t>Percentage ofplanned  engagement sessions held per period</t>
  </si>
  <si>
    <t>Assess functionality of SERVICOM units/nodal officers in MDAs</t>
  </si>
  <si>
    <t>Percentage  of MDAs assessed with functional SERVICOM structures</t>
  </si>
  <si>
    <t>Supervise development and implementation of Service Charters</t>
  </si>
  <si>
    <t>Percentage  of Service Charters developed/reviewed with MDAs</t>
  </si>
  <si>
    <t>Compile and submit evaluation and performance reports</t>
  </si>
  <si>
    <t>Percentage  of reports submitted within deadlines</t>
  </si>
  <si>
    <t>Provide inputs for year-end performance review and institutional learning</t>
  </si>
  <si>
    <t>Percentage  of required inputs submitted on time</t>
  </si>
  <si>
    <t>Monitor implementation of recommendations by MDAs</t>
  </si>
  <si>
    <t>Percentage  of recommendations tracked and implemented</t>
  </si>
  <si>
    <t>Ensure team compliance with SERVICOM evaluation standards and tools</t>
  </si>
  <si>
    <t>Percentage  compliance with standard procedures</t>
  </si>
  <si>
    <t>Procurement and Contract Management</t>
  </si>
  <si>
    <t>Ensure transparent, efficient, and compliant procurement processes that support timely acquisition of goods, works, and services to enhance effective service delivery in SERVICOM.</t>
  </si>
  <si>
    <t>Percentage of annual procurement plan developed and approved within first quarter</t>
  </si>
  <si>
    <t>Percentage of procurement processes compliant with procurement regulations</t>
  </si>
  <si>
    <t>Percentage of procurement requests processed within approved timelines</t>
  </si>
  <si>
    <t>Percentage of procurement processes conducted using approved procurement methods</t>
  </si>
  <si>
    <t>Percentage of procurement records properly documented and retrievable</t>
  </si>
  <si>
    <t>Percentage of contracts executed in accordance with agreed terms and timelines</t>
  </si>
  <si>
    <t>Percentage of procurement requests supported with appropriate procurement guidance</t>
  </si>
  <si>
    <t>Percentage of procurement activities conducted without audit queries or compliance issues</t>
  </si>
  <si>
    <t>Innovation &amp; Service Improvement Coordination</t>
  </si>
  <si>
    <t>Identify and prioritize service-improvement and innovation opportunities</t>
  </si>
  <si>
    <t>Number of viable innovation ideas identified and shortlisted</t>
  </si>
  <si>
    <t>Automated Service Delivery</t>
  </si>
  <si>
    <t>Identify and prioritize processes, forms, and routine tasks for automation</t>
  </si>
  <si>
    <t>Number of processes identified  for automation</t>
  </si>
  <si>
    <t>Ensure standardization of official email communication across the unit</t>
  </si>
  <si>
    <t>Percentage  compliance with official email usage policy</t>
  </si>
  <si>
    <t>Capacity Building</t>
  </si>
  <si>
    <t>Identify skill gaps and training needs across  unit</t>
  </si>
  <si>
    <t>Number of training needs assessments conducted</t>
  </si>
  <si>
    <t>Coordinate participation in knowledge-sharing and learning sessions</t>
  </si>
  <si>
    <t>Percentage  of team member participation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</si>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</sst>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9" fontId="1" fillId="0" borderId="0" applyFont="0" applyFill="0" applyBorder="0" applyAlignment="0" applyProtection="0"/>
  </cellStyleXfs>
  <cellXfs count="278">
    <xf numFmtId="0" fontId="0" fillId="0" borderId="0" xfId="0"/>
    <xf numFmtId="0" fontId="9" fillId="0" borderId="16" xfId="8" applyFont="1" applyBorder="1" applyAlignment="1">
      <alignment horizontal="center" vertical="center"/>
    </xf>
    <xf numFmtId="0" fontId="9" fillId="0" borderId="17" xfId="8" applyFont="1" applyBorder="1" applyAlignment="1">
      <alignment horizontal="center" vertical="center"/>
    </xf>
    <xf numFmtId="0" fontId="9" fillId="0" borderId="18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9" fillId="0" borderId="19" xfId="8" applyFont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0" borderId="20" xfId="8" applyFont="1" applyBorder="1" applyAlignment="1">
      <alignment horizontal="center" vertical="center"/>
    </xf>
    <xf numFmtId="0" fontId="10" fillId="2" borderId="16" xfId="8" applyFont="1" applyFill="1" applyBorder="1" applyAlignment="1">
      <alignment horizontal="left" vertical="top" wrapText="1"/>
    </xf>
    <xf numFmtId="0" fontId="10" fillId="2" borderId="17" xfId="8" applyFont="1" applyFill="1" applyBorder="1" applyAlignment="1">
      <alignment horizontal="left" vertical="top" wrapText="1"/>
    </xf>
    <xf numFmtId="0" fontId="11" fillId="2" borderId="16" xfId="8" applyFont="1" applyFill="1" applyBorder="1" applyAlignment="1">
      <alignment horizontal="center" vertical="top" wrapText="1"/>
    </xf>
    <xf numFmtId="0" fontId="11" fillId="2" borderId="17" xfId="8" applyFont="1" applyFill="1" applyBorder="1" applyAlignment="1">
      <alignment horizontal="center" vertical="top" wrapText="1"/>
    </xf>
    <xf numFmtId="0" fontId="11" fillId="2" borderId="18" xfId="8" applyFont="1" applyFill="1" applyBorder="1" applyAlignment="1">
      <alignment horizontal="center" vertical="top" wrapText="1"/>
    </xf>
    <xf numFmtId="0" fontId="12" fillId="0" borderId="0" xfId="8" applyFont="1" applyAlignment="1">
      <alignment vertical="top"/>
    </xf>
    <xf numFmtId="0" fontId="13" fillId="3" borderId="19" xfId="2" applyFont="1" applyFill="1" applyBorder="1" applyAlignment="1">
      <alignment vertical="center"/>
    </xf>
    <xf numFmtId="49" fontId="13" fillId="4" borderId="0" xfId="2" applyNumberFormat="1" applyFont="1" applyFill="1" applyAlignment="1">
      <alignment vertical="center"/>
    </xf>
    <xf numFmtId="0" fontId="13" fillId="3" borderId="0" xfId="2" applyFont="1" applyFill="1" applyAlignment="1">
      <alignment horizontal="center" vertical="center"/>
    </xf>
    <xf numFmtId="49" fontId="13" fillId="0" borderId="9" xfId="2" applyNumberFormat="1" applyFont="1" applyBorder="1" applyAlignment="1">
      <alignment horizontal="center"/>
    </xf>
    <xf numFmtId="0" fontId="14" fillId="2" borderId="0" xfId="2" applyFont="1" applyFill="1" applyAlignment="1">
      <alignment horizontal="center"/>
    </xf>
    <xf numFmtId="0" fontId="14" fillId="2" borderId="0" xfId="2" applyFont="1" applyFill="1" applyAlignment="1">
      <alignment horizontal="center"/>
    </xf>
    <xf numFmtId="0" fontId="15" fillId="2" borderId="0" xfId="2" applyFont="1" applyFill="1"/>
    <xf numFmtId="0" fontId="11" fillId="2" borderId="19" xfId="8" applyFont="1" applyFill="1" applyBorder="1" applyAlignment="1">
      <alignment horizontal="center" vertical="top" wrapText="1"/>
    </xf>
    <xf numFmtId="0" fontId="11" fillId="2" borderId="0" xfId="8" applyFont="1" applyFill="1" applyAlignment="1">
      <alignment horizontal="center" vertical="top" wrapText="1"/>
    </xf>
    <xf numFmtId="0" fontId="11" fillId="2" borderId="20" xfId="8" applyFont="1" applyFill="1" applyBorder="1" applyAlignment="1">
      <alignment horizontal="center" vertical="top" wrapText="1"/>
    </xf>
    <xf numFmtId="0" fontId="15" fillId="0" borderId="0" xfId="2" applyFont="1"/>
    <xf numFmtId="0" fontId="16" fillId="2" borderId="19" xfId="9" applyFont="1" applyFill="1" applyBorder="1" applyAlignment="1">
      <alignment horizontal="left"/>
    </xf>
    <xf numFmtId="0" fontId="16" fillId="2" borderId="0" xfId="9" applyFont="1" applyFill="1" applyAlignment="1">
      <alignment horizontal="left"/>
    </xf>
    <xf numFmtId="0" fontId="16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9" fillId="2" borderId="0" xfId="2" applyFont="1" applyFill="1" applyAlignment="1">
      <alignment horizontal="left"/>
    </xf>
    <xf numFmtId="0" fontId="19" fillId="2" borderId="0" xfId="2" applyFont="1" applyFill="1" applyAlignment="1">
      <alignment horizontal="left"/>
    </xf>
    <xf numFmtId="0" fontId="20" fillId="0" borderId="0" xfId="2" applyFont="1" applyAlignment="1">
      <alignment horizontal="left"/>
    </xf>
    <xf numFmtId="0" fontId="19" fillId="3" borderId="0" xfId="5" applyFont="1" applyFill="1" applyAlignment="1">
      <alignment horizontal="left" vertical="center"/>
    </xf>
    <xf numFmtId="0" fontId="19" fillId="3" borderId="5" xfId="5" applyFont="1" applyFill="1" applyBorder="1" applyAlignment="1">
      <alignment horizontal="left" vertical="center"/>
    </xf>
    <xf numFmtId="0" fontId="19" fillId="0" borderId="8" xfId="5" applyFont="1" applyBorder="1" applyAlignment="1">
      <alignment horizontal="left"/>
    </xf>
    <xf numFmtId="0" fontId="19" fillId="3" borderId="10" xfId="5" applyFont="1" applyFill="1" applyBorder="1" applyAlignment="1">
      <alignment horizontal="left"/>
    </xf>
    <xf numFmtId="0" fontId="19" fillId="3" borderId="6" xfId="5" applyFont="1" applyFill="1" applyBorder="1" applyAlignment="1">
      <alignment horizontal="left"/>
    </xf>
    <xf numFmtId="0" fontId="19" fillId="0" borderId="6" xfId="5" applyFont="1" applyBorder="1" applyAlignment="1">
      <alignment horizontal="left"/>
    </xf>
    <xf numFmtId="0" fontId="19" fillId="0" borderId="7" xfId="6" applyFont="1" applyBorder="1" applyAlignment="1">
      <alignment horizontal="left"/>
    </xf>
    <xf numFmtId="0" fontId="19" fillId="0" borderId="8" xfId="6" applyFont="1" applyBorder="1" applyAlignment="1">
      <alignment horizontal="left"/>
    </xf>
    <xf numFmtId="0" fontId="18" fillId="0" borderId="0" xfId="5" applyFont="1"/>
    <xf numFmtId="0" fontId="19" fillId="3" borderId="0" xfId="5" applyFont="1" applyFill="1" applyAlignment="1">
      <alignment horizontal="left"/>
    </xf>
    <xf numFmtId="0" fontId="19" fillId="3" borderId="5" xfId="5" applyFont="1" applyFill="1" applyBorder="1" applyAlignment="1">
      <alignment horizontal="left"/>
    </xf>
    <xf numFmtId="0" fontId="19" fillId="0" borderId="11" xfId="5" applyFont="1" applyBorder="1" applyAlignment="1">
      <alignment horizontal="left"/>
    </xf>
    <xf numFmtId="0" fontId="19" fillId="3" borderId="12" xfId="5" applyFont="1" applyFill="1" applyBorder="1" applyAlignment="1">
      <alignment horizontal="left"/>
    </xf>
    <xf numFmtId="0" fontId="19" fillId="3" borderId="9" xfId="5" applyFont="1" applyFill="1" applyBorder="1" applyAlignment="1">
      <alignment horizontal="left"/>
    </xf>
    <xf numFmtId="0" fontId="19" fillId="0" borderId="9" xfId="6" applyFont="1" applyBorder="1" applyAlignment="1">
      <alignment horizontal="left"/>
    </xf>
    <xf numFmtId="0" fontId="19" fillId="0" borderId="11" xfId="6" applyFont="1" applyBorder="1" applyAlignment="1">
      <alignment horizontal="left"/>
    </xf>
    <xf numFmtId="0" fontId="21" fillId="2" borderId="19" xfId="2" applyFont="1" applyFill="1" applyBorder="1"/>
    <xf numFmtId="0" fontId="21" fillId="2" borderId="0" xfId="2" applyFont="1" applyFill="1"/>
    <xf numFmtId="0" fontId="22" fillId="2" borderId="0" xfId="2" applyFont="1" applyFill="1" applyAlignment="1">
      <alignment horizontal="center"/>
    </xf>
    <xf numFmtId="0" fontId="11" fillId="2" borderId="21" xfId="8" applyFont="1" applyFill="1" applyBorder="1" applyAlignment="1">
      <alignment horizontal="center" vertical="top" wrapText="1"/>
    </xf>
    <xf numFmtId="0" fontId="11" fillId="2" borderId="22" xfId="8" applyFont="1" applyFill="1" applyBorder="1" applyAlignment="1">
      <alignment horizontal="center" vertical="top" wrapText="1"/>
    </xf>
    <xf numFmtId="0" fontId="11" fillId="2" borderId="23" xfId="8" applyFont="1" applyFill="1" applyBorder="1" applyAlignment="1">
      <alignment horizontal="center" vertical="top" wrapText="1"/>
    </xf>
    <xf numFmtId="0" fontId="12" fillId="0" borderId="0" xfId="2" applyFont="1"/>
    <xf numFmtId="0" fontId="10" fillId="3" borderId="24" xfId="2" applyFont="1" applyFill="1" applyBorder="1" applyAlignment="1">
      <alignment horizontal="left"/>
    </xf>
    <xf numFmtId="0" fontId="10" fillId="3" borderId="2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22" fillId="3" borderId="0" xfId="2" applyFont="1" applyFill="1"/>
    <xf numFmtId="0" fontId="23" fillId="3" borderId="0" xfId="2" applyFont="1" applyFill="1"/>
    <xf numFmtId="0" fontId="12" fillId="3" borderId="0" xfId="2" applyFont="1" applyFill="1"/>
    <xf numFmtId="0" fontId="12" fillId="3" borderId="20" xfId="2" applyFont="1" applyFill="1" applyBorder="1"/>
    <xf numFmtId="0" fontId="6" fillId="2" borderId="25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0" fontId="24" fillId="2" borderId="9" xfId="8" applyFont="1" applyFill="1" applyBorder="1" applyAlignment="1">
      <alignment horizontal="center" vertical="center" wrapText="1"/>
    </xf>
    <xf numFmtId="0" fontId="24" fillId="2" borderId="13" xfId="8" applyFont="1" applyFill="1" applyBorder="1" applyAlignment="1">
      <alignment horizontal="center" vertical="center" wrapText="1"/>
    </xf>
    <xf numFmtId="0" fontId="24" fillId="2" borderId="11" xfId="8" applyFont="1" applyFill="1" applyBorder="1" applyAlignment="1">
      <alignment horizontal="center" vertical="center" wrapText="1"/>
    </xf>
    <xf numFmtId="0" fontId="24" fillId="2" borderId="14" xfId="8" applyFont="1" applyFill="1" applyBorder="1" applyAlignment="1">
      <alignment horizontal="center" vertical="center" wrapText="1"/>
    </xf>
    <xf numFmtId="2" fontId="24" fillId="2" borderId="26" xfId="8" applyNumberFormat="1" applyFont="1" applyFill="1" applyBorder="1" applyAlignment="1">
      <alignment horizontal="center" vertical="center" wrapText="1"/>
    </xf>
    <xf numFmtId="0" fontId="25" fillId="0" borderId="0" xfId="8" applyFont="1" applyAlignment="1">
      <alignment vertical="top"/>
    </xf>
    <xf numFmtId="0" fontId="6" fillId="2" borderId="27" xfId="2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0" fontId="24" fillId="2" borderId="14" xfId="8" applyFont="1" applyFill="1" applyBorder="1" applyAlignment="1">
      <alignment horizontal="center" vertical="center"/>
    </xf>
    <xf numFmtId="0" fontId="24" fillId="2" borderId="14" xfId="8" applyFont="1" applyFill="1" applyBorder="1" applyAlignment="1">
      <alignment horizontal="center" vertical="center" wrapText="1"/>
    </xf>
    <xf numFmtId="0" fontId="24" fillId="2" borderId="10" xfId="8" applyFont="1" applyFill="1" applyBorder="1" applyAlignment="1">
      <alignment horizontal="center" vertical="center" wrapText="1"/>
    </xf>
    <xf numFmtId="2" fontId="24" fillId="2" borderId="28" xfId="8" applyNumberFormat="1" applyFont="1" applyFill="1" applyBorder="1" applyAlignment="1">
      <alignment horizontal="center" vertical="center" wrapText="1"/>
    </xf>
    <xf numFmtId="0" fontId="26" fillId="0" borderId="12" xfId="2" applyFont="1" applyBorder="1" applyAlignment="1">
      <alignment vertical="center"/>
    </xf>
    <xf numFmtId="0" fontId="26" fillId="0" borderId="12" xfId="2" applyFont="1" applyBorder="1" applyAlignment="1">
      <alignment vertical="center" wrapText="1"/>
    </xf>
    <xf numFmtId="2" fontId="26" fillId="0" borderId="12" xfId="0" applyNumberFormat="1" applyFont="1" applyBorder="1" applyAlignment="1">
      <alignment horizontal="center" vertical="center"/>
    </xf>
    <xf numFmtId="0" fontId="26" fillId="0" borderId="12" xfId="2" applyFont="1" applyBorder="1" applyAlignment="1">
      <alignment horizontal="left" vertical="center" wrapText="1"/>
    </xf>
    <xf numFmtId="9" fontId="26" fillId="0" borderId="12" xfId="2" applyNumberFormat="1" applyFont="1" applyBorder="1" applyAlignment="1">
      <alignment horizontal="center" vertical="center" wrapText="1"/>
    </xf>
    <xf numFmtId="0" fontId="26" fillId="0" borderId="12" xfId="7" applyFont="1" applyBorder="1" applyAlignment="1">
      <alignment horizontal="center" vertical="center" wrapText="1"/>
    </xf>
    <xf numFmtId="0" fontId="26" fillId="0" borderId="12" xfId="8" applyFont="1" applyBorder="1" applyAlignment="1">
      <alignment horizontal="center" vertical="center" wrapText="1"/>
    </xf>
    <xf numFmtId="0" fontId="18" fillId="0" borderId="12" xfId="8" applyFont="1" applyBorder="1" applyAlignment="1">
      <alignment horizontal="center" vertical="center"/>
    </xf>
    <xf numFmtId="0" fontId="28" fillId="0" borderId="12" xfId="11" applyFont="1" applyBorder="1" applyAlignment="1">
      <alignment horizontal="center" vertical="center"/>
    </xf>
    <xf numFmtId="0" fontId="5" fillId="2" borderId="12" xfId="8" applyFont="1" applyFill="1" applyBorder="1" applyAlignment="1">
      <alignment horizontal="center" vertical="center"/>
    </xf>
    <xf numFmtId="2" fontId="5" fillId="2" borderId="12" xfId="8" applyNumberFormat="1" applyFont="1" applyFill="1" applyBorder="1" applyAlignment="1">
      <alignment horizontal="center" vertical="center"/>
    </xf>
    <xf numFmtId="0" fontId="29" fillId="0" borderId="0" xfId="8" applyFont="1" applyAlignment="1">
      <alignment horizontal="left" vertical="top" wrapText="1"/>
    </xf>
    <xf numFmtId="0" fontId="26" fillId="0" borderId="12" xfId="2" applyFont="1" applyBorder="1" applyAlignment="1">
      <alignment horizontal="center" vertical="center"/>
    </xf>
    <xf numFmtId="9" fontId="26" fillId="0" borderId="12" xfId="2" applyNumberFormat="1" applyFont="1" applyBorder="1" applyAlignment="1">
      <alignment horizontal="center" vertical="center"/>
    </xf>
    <xf numFmtId="2" fontId="26" fillId="0" borderId="12" xfId="2" applyNumberFormat="1" applyFont="1" applyBorder="1" applyAlignment="1">
      <alignment horizontal="center" vertical="center" wrapText="1"/>
    </xf>
    <xf numFmtId="0" fontId="30" fillId="0" borderId="29" xfId="12" applyFont="1" applyBorder="1" applyAlignment="1">
      <alignment horizontal="center" vertical="center"/>
    </xf>
    <xf numFmtId="0" fontId="31" fillId="0" borderId="10" xfId="8" applyFont="1" applyBorder="1" applyAlignment="1">
      <alignment horizontal="center" vertical="center" wrapText="1"/>
    </xf>
    <xf numFmtId="2" fontId="31" fillId="0" borderId="10" xfId="8" applyNumberFormat="1" applyFont="1" applyBorder="1" applyAlignment="1">
      <alignment horizontal="center" vertical="center" wrapText="1"/>
    </xf>
    <xf numFmtId="2" fontId="30" fillId="0" borderId="10" xfId="12" applyNumberFormat="1" applyFont="1" applyBorder="1" applyAlignment="1">
      <alignment horizontal="left" vertical="center" wrapText="1"/>
    </xf>
    <xf numFmtId="9" fontId="30" fillId="0" borderId="10" xfId="12" applyNumberFormat="1" applyFont="1" applyBorder="1" applyAlignment="1">
      <alignment horizontal="center" vertical="center"/>
    </xf>
    <xf numFmtId="0" fontId="32" fillId="0" borderId="6" xfId="9" applyFont="1" applyBorder="1" applyAlignment="1">
      <alignment vertical="center"/>
    </xf>
    <xf numFmtId="49" fontId="32" fillId="0" borderId="7" xfId="9" applyNumberFormat="1" applyFont="1" applyBorder="1" applyAlignment="1">
      <alignment horizontal="center" vertical="center"/>
    </xf>
    <xf numFmtId="0" fontId="31" fillId="0" borderId="13" xfId="8" applyFont="1" applyBorder="1" applyAlignment="1" applyProtection="1">
      <alignment horizontal="center" vertical="center"/>
      <protection locked="0"/>
    </xf>
    <xf numFmtId="2" fontId="33" fillId="2" borderId="12" xfId="8" applyNumberFormat="1" applyFont="1" applyFill="1" applyBorder="1" applyAlignment="1">
      <alignment horizontal="center" vertical="center"/>
    </xf>
    <xf numFmtId="2" fontId="33" fillId="2" borderId="30" xfId="8" applyNumberFormat="1" applyFont="1" applyFill="1" applyBorder="1" applyAlignment="1">
      <alignment horizontal="center" vertical="center"/>
    </xf>
    <xf numFmtId="0" fontId="29" fillId="0" borderId="0" xfId="13" applyFont="1" applyAlignment="1">
      <alignment horizontal="left" vertical="top" wrapText="1"/>
    </xf>
    <xf numFmtId="0" fontId="34" fillId="0" borderId="31" xfId="8" applyFont="1" applyBorder="1" applyAlignment="1">
      <alignment vertical="center" wrapText="1"/>
    </xf>
    <xf numFmtId="0" fontId="35" fillId="0" borderId="0" xfId="8" applyFont="1" applyAlignment="1">
      <alignment vertical="top" wrapText="1"/>
    </xf>
    <xf numFmtId="0" fontId="36" fillId="0" borderId="10" xfId="8" applyFont="1" applyBorder="1" applyAlignment="1">
      <alignment horizontal="center" vertical="center" wrapText="1"/>
    </xf>
    <xf numFmtId="0" fontId="37" fillId="5" borderId="9" xfId="8" applyFont="1" applyFill="1" applyBorder="1" applyAlignment="1">
      <alignment horizontal="center"/>
    </xf>
    <xf numFmtId="0" fontId="37" fillId="5" borderId="13" xfId="8" applyFont="1" applyFill="1" applyBorder="1" applyAlignment="1">
      <alignment horizontal="center"/>
    </xf>
    <xf numFmtId="0" fontId="37" fillId="5" borderId="11" xfId="8" applyFont="1" applyFill="1" applyBorder="1" applyAlignment="1">
      <alignment horizontal="center"/>
    </xf>
    <xf numFmtId="2" fontId="38" fillId="6" borderId="30" xfId="14" applyNumberFormat="1" applyFont="1" applyFill="1" applyBorder="1" applyAlignment="1" applyProtection="1">
      <alignment horizontal="center"/>
    </xf>
    <xf numFmtId="0" fontId="16" fillId="2" borderId="24" xfId="8" applyFont="1" applyFill="1" applyBorder="1" applyAlignment="1">
      <alignment horizontal="right" vertical="top" wrapText="1"/>
    </xf>
    <xf numFmtId="0" fontId="16" fillId="2" borderId="2" xfId="8" applyFont="1" applyFill="1" applyBorder="1" applyAlignment="1">
      <alignment horizontal="right" vertical="top" wrapText="1"/>
    </xf>
    <xf numFmtId="0" fontId="16" fillId="2" borderId="3" xfId="8" applyFont="1" applyFill="1" applyBorder="1" applyAlignment="1">
      <alignment horizontal="right" vertical="top" wrapText="1"/>
    </xf>
    <xf numFmtId="0" fontId="16" fillId="2" borderId="12" xfId="8" applyFont="1" applyFill="1" applyBorder="1" applyAlignment="1">
      <alignment horizontal="center" vertical="top" wrapText="1"/>
    </xf>
    <xf numFmtId="0" fontId="24" fillId="2" borderId="2" xfId="8" applyFont="1" applyFill="1" applyBorder="1" applyAlignment="1">
      <alignment horizontal="center" vertical="top" wrapText="1"/>
    </xf>
    <xf numFmtId="0" fontId="24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20" xfId="8" applyNumberFormat="1" applyFont="1" applyFill="1" applyBorder="1" applyAlignment="1">
      <alignment horizontal="center"/>
    </xf>
    <xf numFmtId="0" fontId="29" fillId="0" borderId="0" xfId="8" applyFont="1" applyAlignment="1">
      <alignment vertical="top" wrapText="1"/>
    </xf>
    <xf numFmtId="0" fontId="3" fillId="2" borderId="19" xfId="8" applyFont="1" applyFill="1" applyBorder="1" applyAlignment="1">
      <alignment horizontal="right" vertical="top" wrapText="1"/>
    </xf>
    <xf numFmtId="0" fontId="39" fillId="2" borderId="0" xfId="8" applyFont="1" applyFill="1" applyAlignment="1">
      <alignment horizontal="right" vertical="top" wrapText="1"/>
    </xf>
    <xf numFmtId="0" fontId="16" fillId="3" borderId="0" xfId="8" applyFont="1" applyFill="1" applyAlignment="1">
      <alignment horizontal="right" vertical="top" wrapText="1"/>
    </xf>
    <xf numFmtId="0" fontId="16" fillId="2" borderId="0" xfId="8" applyFont="1" applyFill="1" applyAlignment="1">
      <alignment horizontal="center" vertical="top" wrapText="1"/>
    </xf>
    <xf numFmtId="0" fontId="16" fillId="2" borderId="5" xfId="8" applyFont="1" applyFill="1" applyBorder="1" applyAlignment="1">
      <alignment horizontal="center" vertical="top" wrapText="1"/>
    </xf>
    <xf numFmtId="0" fontId="24" fillId="2" borderId="7" xfId="8" applyFont="1" applyFill="1" applyBorder="1" applyAlignment="1">
      <alignment horizontal="center" vertical="top" wrapText="1"/>
    </xf>
    <xf numFmtId="0" fontId="40" fillId="2" borderId="12" xfId="8" applyFont="1" applyFill="1" applyBorder="1" applyAlignment="1">
      <alignment horizontal="center" vertical="top" wrapText="1"/>
    </xf>
    <xf numFmtId="0" fontId="6" fillId="0" borderId="29" xfId="2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/>
    </xf>
    <xf numFmtId="0" fontId="7" fillId="0" borderId="6" xfId="2" applyFont="1" applyBorder="1" applyAlignment="1">
      <alignment vertical="center"/>
    </xf>
    <xf numFmtId="0" fontId="7" fillId="0" borderId="7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41" fillId="0" borderId="10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2" fillId="2" borderId="12" xfId="8" applyFont="1" applyFill="1" applyBorder="1" applyAlignment="1">
      <alignment horizontal="center" vertical="top" wrapText="1"/>
    </xf>
    <xf numFmtId="0" fontId="40" fillId="2" borderId="9" xfId="8" applyFont="1" applyFill="1" applyBorder="1" applyAlignment="1">
      <alignment horizontal="left" vertical="top" wrapText="1"/>
    </xf>
    <xf numFmtId="0" fontId="40" fillId="2" borderId="11" xfId="8" applyFont="1" applyFill="1" applyBorder="1" applyAlignment="1">
      <alignment horizontal="left" vertical="top" wrapText="1"/>
    </xf>
    <xf numFmtId="0" fontId="7" fillId="0" borderId="31" xfId="2" applyFont="1" applyBorder="1" applyAlignment="1">
      <alignment horizontal="center" vertical="center"/>
    </xf>
    <xf numFmtId="0" fontId="7" fillId="0" borderId="12" xfId="2" applyFont="1" applyBorder="1" applyAlignment="1">
      <alignment vertical="center" wrapText="1"/>
    </xf>
    <xf numFmtId="0" fontId="39" fillId="0" borderId="9" xfId="11" applyFont="1" applyBorder="1" applyAlignment="1">
      <alignment horizontal="left" vertical="center" wrapText="1"/>
    </xf>
    <xf numFmtId="0" fontId="39" fillId="0" borderId="13" xfId="11" applyFont="1" applyBorder="1" applyAlignment="1">
      <alignment horizontal="left" vertical="center" wrapText="1"/>
    </xf>
    <xf numFmtId="0" fontId="39" fillId="0" borderId="11" xfId="11" applyFont="1" applyBorder="1" applyAlignment="1">
      <alignment horizontal="left" vertical="center" wrapText="1"/>
    </xf>
    <xf numFmtId="0" fontId="41" fillId="0" borderId="12" xfId="8" applyFont="1" applyBorder="1" applyAlignment="1">
      <alignment horizontal="center" vertical="top" wrapText="1"/>
    </xf>
    <xf numFmtId="0" fontId="41" fillId="0" borderId="12" xfId="8" applyFont="1" applyBorder="1" applyAlignment="1" applyProtection="1">
      <alignment horizontal="center" vertical="top" wrapText="1"/>
      <protection locked="0"/>
    </xf>
    <xf numFmtId="0" fontId="6" fillId="0" borderId="31" xfId="2" applyFont="1" applyBorder="1" applyAlignment="1">
      <alignment horizontal="center" vertical="center"/>
    </xf>
    <xf numFmtId="0" fontId="6" fillId="0" borderId="12" xfId="2" applyFont="1" applyBorder="1" applyAlignment="1">
      <alignment horizontal="left" vertical="center" wrapText="1"/>
    </xf>
    <xf numFmtId="0" fontId="7" fillId="0" borderId="9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0" fontId="7" fillId="0" borderId="11" xfId="2" applyFont="1" applyBorder="1" applyAlignment="1">
      <alignment vertical="center"/>
    </xf>
    <xf numFmtId="0" fontId="7" fillId="0" borderId="12" xfId="2" applyFont="1" applyBorder="1" applyAlignment="1">
      <alignment horizontal="left" vertical="center" wrapText="1"/>
    </xf>
    <xf numFmtId="0" fontId="39" fillId="0" borderId="9" xfId="11" applyFont="1" applyBorder="1" applyAlignment="1">
      <alignment vertical="center" wrapText="1"/>
    </xf>
    <xf numFmtId="0" fontId="39" fillId="0" borderId="13" xfId="11" applyFont="1" applyBorder="1" applyAlignment="1">
      <alignment vertical="center" wrapText="1"/>
    </xf>
    <xf numFmtId="0" fontId="39" fillId="0" borderId="11" xfId="11" applyFont="1" applyBorder="1" applyAlignment="1">
      <alignment vertical="center" wrapText="1"/>
    </xf>
    <xf numFmtId="0" fontId="40" fillId="2" borderId="11" xfId="8" applyFont="1" applyFill="1" applyBorder="1" applyAlignment="1">
      <alignment horizontal="center" vertical="top" wrapText="1"/>
    </xf>
    <xf numFmtId="0" fontId="40" fillId="2" borderId="9" xfId="8" applyFont="1" applyFill="1" applyBorder="1" applyAlignment="1">
      <alignment horizontal="left" vertical="top" wrapText="1"/>
    </xf>
    <xf numFmtId="0" fontId="40" fillId="2" borderId="11" xfId="8" applyFont="1" applyFill="1" applyBorder="1" applyAlignment="1">
      <alignment horizontal="left" vertical="top" wrapText="1"/>
    </xf>
    <xf numFmtId="0" fontId="7" fillId="0" borderId="9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6" fillId="2" borderId="5" xfId="8" applyFont="1" applyFill="1" applyBorder="1" applyAlignment="1">
      <alignment horizontal="center" vertical="center" wrapText="1"/>
    </xf>
    <xf numFmtId="0" fontId="6" fillId="2" borderId="32" xfId="2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left" vertical="center"/>
    </xf>
    <xf numFmtId="0" fontId="16" fillId="2" borderId="13" xfId="8" applyFont="1" applyFill="1" applyBorder="1" applyAlignment="1">
      <alignment horizontal="center" vertical="top" wrapText="1"/>
    </xf>
    <xf numFmtId="0" fontId="16" fillId="2" borderId="11" xfId="8" applyFont="1" applyFill="1" applyBorder="1" applyAlignment="1">
      <alignment horizontal="center" vertical="top" wrapText="1"/>
    </xf>
    <xf numFmtId="0" fontId="7" fillId="0" borderId="31" xfId="2" applyFont="1" applyBorder="1" applyAlignment="1">
      <alignment vertical="center"/>
    </xf>
    <xf numFmtId="0" fontId="6" fillId="0" borderId="9" xfId="2" applyFont="1" applyBorder="1" applyAlignment="1">
      <alignment vertical="center"/>
    </xf>
    <xf numFmtId="0" fontId="39" fillId="0" borderId="12" xfId="8" applyFont="1" applyBorder="1" applyAlignment="1">
      <alignment horizontal="center" vertical="top" wrapText="1"/>
    </xf>
    <xf numFmtId="0" fontId="16" fillId="0" borderId="12" xfId="8" applyFont="1" applyBorder="1" applyAlignment="1" applyProtection="1">
      <alignment horizontal="center" vertical="top" wrapText="1"/>
      <protection locked="0"/>
    </xf>
    <xf numFmtId="0" fontId="16" fillId="0" borderId="12" xfId="8" applyFont="1" applyBorder="1" applyAlignment="1">
      <alignment horizontal="center" vertical="top" wrapText="1"/>
    </xf>
    <xf numFmtId="0" fontId="16" fillId="2" borderId="32" xfId="8" applyFont="1" applyFill="1" applyBorder="1" applyAlignment="1">
      <alignment vertical="top" wrapText="1"/>
    </xf>
    <xf numFmtId="0" fontId="16" fillId="2" borderId="13" xfId="8" applyFont="1" applyFill="1" applyBorder="1" applyAlignment="1">
      <alignment horizontal="left" vertical="top" wrapText="1"/>
    </xf>
    <xf numFmtId="0" fontId="16" fillId="2" borderId="13" xfId="8" applyFont="1" applyFill="1" applyBorder="1" applyAlignment="1">
      <alignment vertical="top" wrapText="1"/>
    </xf>
    <xf numFmtId="0" fontId="43" fillId="2" borderId="0" xfId="8" applyFont="1" applyFill="1" applyAlignment="1">
      <alignment horizontal="center" vertical="top" wrapText="1"/>
    </xf>
    <xf numFmtId="0" fontId="12" fillId="7" borderId="19" xfId="8" applyFont="1" applyFill="1" applyBorder="1"/>
    <xf numFmtId="0" fontId="12" fillId="7" borderId="2" xfId="8" applyFont="1" applyFill="1" applyBorder="1" applyAlignment="1">
      <alignment horizontal="center"/>
    </xf>
    <xf numFmtId="0" fontId="44" fillId="2" borderId="2" xfId="8" applyFont="1" applyFill="1" applyBorder="1" applyAlignment="1">
      <alignment vertical="center" wrapText="1"/>
    </xf>
    <xf numFmtId="0" fontId="44" fillId="2" borderId="13" xfId="8" applyFont="1" applyFill="1" applyBorder="1" applyAlignment="1">
      <alignment horizontal="center" vertical="center" wrapText="1"/>
    </xf>
    <xf numFmtId="0" fontId="44" fillId="8" borderId="9" xfId="8" applyFont="1" applyFill="1" applyBorder="1" applyAlignment="1">
      <alignment horizontal="center" vertical="center" wrapText="1"/>
    </xf>
    <xf numFmtId="0" fontId="44" fillId="8" borderId="11" xfId="8" applyFont="1" applyFill="1" applyBorder="1" applyAlignment="1">
      <alignment horizontal="center" vertical="center" wrapText="1"/>
    </xf>
    <xf numFmtId="0" fontId="44" fillId="8" borderId="33" xfId="8" applyFont="1" applyFill="1" applyBorder="1" applyAlignment="1">
      <alignment horizontal="center" vertical="center" wrapText="1"/>
    </xf>
    <xf numFmtId="0" fontId="12" fillId="0" borderId="0" xfId="8" applyFont="1"/>
    <xf numFmtId="0" fontId="12" fillId="7" borderId="0" xfId="8" applyFont="1" applyFill="1" applyAlignment="1">
      <alignment horizontal="center"/>
    </xf>
    <xf numFmtId="0" fontId="44" fillId="0" borderId="9" xfId="8" applyFont="1" applyBorder="1" applyAlignment="1">
      <alignment horizontal="left" vertical="center" wrapText="1"/>
    </xf>
    <xf numFmtId="0" fontId="44" fillId="0" borderId="13" xfId="8" applyFont="1" applyBorder="1" applyAlignment="1">
      <alignment horizontal="left" vertical="center" wrapText="1"/>
    </xf>
    <xf numFmtId="0" fontId="44" fillId="0" borderId="11" xfId="8" applyFont="1" applyBorder="1" applyAlignment="1">
      <alignment horizontal="left" vertical="center" wrapText="1"/>
    </xf>
    <xf numFmtId="0" fontId="44" fillId="0" borderId="9" xfId="8" applyFont="1" applyBorder="1" applyAlignment="1">
      <alignment horizontal="center" vertical="center" wrapText="1"/>
    </xf>
    <xf numFmtId="0" fontId="44" fillId="0" borderId="13" xfId="8" applyFont="1" applyBorder="1" applyAlignment="1">
      <alignment horizontal="center" vertical="center" wrapText="1"/>
    </xf>
    <xf numFmtId="0" fontId="44" fillId="0" borderId="11" xfId="8" applyFont="1" applyBorder="1" applyAlignment="1">
      <alignment horizontal="center" vertical="center" wrapText="1"/>
    </xf>
    <xf numFmtId="2" fontId="44" fillId="8" borderId="9" xfId="8" applyNumberFormat="1" applyFont="1" applyFill="1" applyBorder="1" applyAlignment="1">
      <alignment horizontal="center" vertical="center" wrapText="1"/>
    </xf>
    <xf numFmtId="2" fontId="44" fillId="8" borderId="11" xfId="8" applyNumberFormat="1" applyFont="1" applyFill="1" applyBorder="1" applyAlignment="1">
      <alignment horizontal="center" vertical="center" wrapText="1"/>
    </xf>
    <xf numFmtId="2" fontId="45" fillId="2" borderId="1" xfId="14" applyNumberFormat="1" applyFont="1" applyFill="1" applyBorder="1" applyAlignment="1" applyProtection="1">
      <alignment horizontal="center" vertical="center" wrapText="1"/>
    </xf>
    <xf numFmtId="2" fontId="45" fillId="2" borderId="34" xfId="14" applyNumberFormat="1" applyFont="1" applyFill="1" applyBorder="1" applyAlignment="1" applyProtection="1">
      <alignment horizontal="center" vertical="center" wrapText="1"/>
    </xf>
    <xf numFmtId="2" fontId="45" fillId="2" borderId="4" xfId="14" applyNumberFormat="1" applyFont="1" applyFill="1" applyBorder="1" applyAlignment="1" applyProtection="1">
      <alignment horizontal="center" vertical="center" wrapText="1"/>
    </xf>
    <xf numFmtId="2" fontId="45" fillId="2" borderId="20" xfId="14" applyNumberFormat="1" applyFont="1" applyFill="1" applyBorder="1" applyAlignment="1" applyProtection="1">
      <alignment horizontal="center" vertical="center" wrapText="1"/>
    </xf>
    <xf numFmtId="0" fontId="12" fillId="7" borderId="7" xfId="8" applyFont="1" applyFill="1" applyBorder="1" applyAlignment="1">
      <alignment horizontal="center"/>
    </xf>
    <xf numFmtId="2" fontId="45" fillId="2" borderId="6" xfId="14" applyNumberFormat="1" applyFont="1" applyFill="1" applyBorder="1" applyAlignment="1" applyProtection="1">
      <alignment horizontal="center" vertical="center" wrapText="1"/>
    </xf>
    <xf numFmtId="2" fontId="45" fillId="2" borderId="35" xfId="14" applyNumberFormat="1" applyFont="1" applyFill="1" applyBorder="1" applyAlignment="1" applyProtection="1">
      <alignment horizontal="center" vertical="center" wrapText="1"/>
    </xf>
    <xf numFmtId="0" fontId="44" fillId="2" borderId="12" xfId="8" applyFont="1" applyFill="1" applyBorder="1" applyAlignment="1">
      <alignment horizontal="center" vertical="center" wrapText="1"/>
    </xf>
    <xf numFmtId="0" fontId="44" fillId="4" borderId="12" xfId="8" applyFont="1" applyFill="1" applyBorder="1" applyAlignment="1">
      <alignment vertical="center" wrapText="1"/>
    </xf>
    <xf numFmtId="0" fontId="44" fillId="4" borderId="30" xfId="8" applyFont="1" applyFill="1" applyBorder="1" applyAlignment="1">
      <alignment vertical="center" wrapText="1"/>
    </xf>
    <xf numFmtId="0" fontId="46" fillId="4" borderId="12" xfId="8" applyFont="1" applyFill="1" applyBorder="1" applyAlignment="1">
      <alignment horizontal="center" vertical="center" wrapText="1"/>
    </xf>
    <xf numFmtId="0" fontId="46" fillId="4" borderId="30" xfId="8" applyFont="1" applyFill="1" applyBorder="1" applyAlignment="1">
      <alignment horizontal="center" vertical="center" wrapText="1"/>
    </xf>
    <xf numFmtId="0" fontId="44" fillId="2" borderId="12" xfId="8" applyFont="1" applyFill="1" applyBorder="1" applyAlignment="1">
      <alignment horizontal="left" vertical="center" wrapText="1"/>
    </xf>
    <xf numFmtId="0" fontId="44" fillId="0" borderId="12" xfId="8" applyFont="1" applyBorder="1" applyAlignment="1">
      <alignment vertical="center" wrapText="1"/>
    </xf>
    <xf numFmtId="0" fontId="44" fillId="0" borderId="30" xfId="8" applyFont="1" applyBorder="1" applyAlignment="1">
      <alignment vertical="center" wrapText="1"/>
    </xf>
    <xf numFmtId="0" fontId="16" fillId="2" borderId="24" xfId="8" applyFont="1" applyFill="1" applyBorder="1" applyAlignment="1">
      <alignment vertical="center" wrapText="1"/>
    </xf>
    <xf numFmtId="0" fontId="16" fillId="2" borderId="3" xfId="8" applyFont="1" applyFill="1" applyBorder="1" applyAlignment="1">
      <alignment vertical="center" wrapText="1"/>
    </xf>
    <xf numFmtId="0" fontId="39" fillId="0" borderId="2" xfId="8" applyFont="1" applyBorder="1" applyAlignment="1">
      <alignment vertical="center" wrapText="1"/>
    </xf>
    <xf numFmtId="0" fontId="39" fillId="0" borderId="3" xfId="8" applyFont="1" applyBorder="1" applyAlignment="1">
      <alignment vertical="center" wrapText="1"/>
    </xf>
    <xf numFmtId="0" fontId="16" fillId="2" borderId="1" xfId="8" applyFont="1" applyFill="1" applyBorder="1" applyAlignment="1">
      <alignment vertical="center" wrapText="1"/>
    </xf>
    <xf numFmtId="0" fontId="39" fillId="0" borderId="2" xfId="8" applyFont="1" applyBorder="1" applyAlignment="1">
      <alignment horizontal="center" vertical="center" wrapText="1"/>
    </xf>
    <xf numFmtId="0" fontId="41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6" fillId="2" borderId="19" xfId="8" applyFont="1" applyFill="1" applyBorder="1" applyAlignment="1">
      <alignment vertical="center" wrapText="1"/>
    </xf>
    <xf numFmtId="0" fontId="16" fillId="2" borderId="5" xfId="8" applyFont="1" applyFill="1" applyBorder="1" applyAlignment="1">
      <alignment vertical="center" wrapText="1"/>
    </xf>
    <xf numFmtId="0" fontId="39" fillId="0" borderId="0" xfId="8" applyFont="1" applyAlignment="1">
      <alignment vertical="center" wrapText="1"/>
    </xf>
    <xf numFmtId="0" fontId="39" fillId="0" borderId="5" xfId="8" applyFont="1" applyBorder="1" applyAlignment="1">
      <alignment vertical="center" wrapText="1"/>
    </xf>
    <xf numFmtId="0" fontId="16" fillId="2" borderId="4" xfId="8" applyFont="1" applyFill="1" applyBorder="1" applyAlignment="1">
      <alignment vertical="center" wrapText="1"/>
    </xf>
    <xf numFmtId="0" fontId="39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6" fillId="2" borderId="36" xfId="8" applyFont="1" applyFill="1" applyBorder="1" applyAlignment="1">
      <alignment vertical="center" wrapText="1"/>
    </xf>
    <xf numFmtId="0" fontId="16" fillId="2" borderId="8" xfId="8" applyFont="1" applyFill="1" applyBorder="1" applyAlignment="1">
      <alignment vertical="center" wrapText="1"/>
    </xf>
    <xf numFmtId="0" fontId="39" fillId="0" borderId="7" xfId="8" applyFont="1" applyBorder="1" applyAlignment="1">
      <alignment vertical="center" wrapText="1"/>
    </xf>
    <xf numFmtId="0" fontId="39" fillId="0" borderId="8" xfId="8" applyFont="1" applyBorder="1" applyAlignment="1">
      <alignment vertical="center" wrapText="1"/>
    </xf>
    <xf numFmtId="0" fontId="16" fillId="2" borderId="6" xfId="8" applyFont="1" applyFill="1" applyBorder="1" applyAlignment="1">
      <alignment vertical="center" wrapText="1"/>
    </xf>
    <xf numFmtId="0" fontId="39" fillId="0" borderId="7" xfId="8" applyFont="1" applyBorder="1" applyAlignment="1">
      <alignment horizontal="center" vertical="center" wrapText="1"/>
    </xf>
    <xf numFmtId="0" fontId="16" fillId="3" borderId="24" xfId="8" applyFont="1" applyFill="1" applyBorder="1" applyAlignment="1">
      <alignment vertical="center" wrapText="1"/>
    </xf>
    <xf numFmtId="0" fontId="16" fillId="3" borderId="3" xfId="8" applyFont="1" applyFill="1" applyBorder="1" applyAlignment="1">
      <alignment vertical="center" wrapText="1"/>
    </xf>
    <xf numFmtId="0" fontId="16" fillId="3" borderId="1" xfId="8" applyFont="1" applyFill="1" applyBorder="1" applyAlignment="1">
      <alignment vertical="center" wrapText="1"/>
    </xf>
    <xf numFmtId="0" fontId="16" fillId="3" borderId="19" xfId="8" applyFont="1" applyFill="1" applyBorder="1" applyAlignment="1">
      <alignment vertical="center" wrapText="1"/>
    </xf>
    <xf numFmtId="0" fontId="16" fillId="3" borderId="5" xfId="8" applyFont="1" applyFill="1" applyBorder="1" applyAlignment="1">
      <alignment vertical="center" wrapText="1"/>
    </xf>
    <xf numFmtId="0" fontId="16" fillId="3" borderId="4" xfId="8" applyFont="1" applyFill="1" applyBorder="1" applyAlignment="1">
      <alignment vertical="center" wrapText="1"/>
    </xf>
    <xf numFmtId="0" fontId="16" fillId="3" borderId="6" xfId="8" applyFont="1" applyFill="1" applyBorder="1" applyAlignment="1">
      <alignment vertical="center" wrapText="1"/>
    </xf>
    <xf numFmtId="0" fontId="16" fillId="3" borderId="8" xfId="8" applyFont="1" applyFill="1" applyBorder="1" applyAlignment="1">
      <alignment vertical="center" wrapText="1"/>
    </xf>
    <xf numFmtId="0" fontId="29" fillId="3" borderId="21" xfId="8" applyFont="1" applyFill="1" applyBorder="1" applyAlignment="1">
      <alignment vertical="center" wrapText="1"/>
    </xf>
    <xf numFmtId="0" fontId="29" fillId="3" borderId="22" xfId="8" applyFont="1" applyFill="1" applyBorder="1" applyAlignment="1">
      <alignment vertical="center" wrapText="1"/>
    </xf>
    <xf numFmtId="0" fontId="8" fillId="3" borderId="22" xfId="8" applyFont="1" applyFill="1" applyBorder="1" applyAlignment="1">
      <alignment horizontal="center" vertical="top" wrapText="1"/>
    </xf>
    <xf numFmtId="0" fontId="29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7" fillId="3" borderId="0" xfId="3" applyFont="1" applyFill="1" applyAlignment="1">
      <alignment horizontal="left" vertical="center"/>
    </xf>
    <xf numFmtId="0" fontId="17" fillId="3" borderId="5" xfId="3" applyFont="1" applyFill="1" applyBorder="1" applyAlignment="1">
      <alignment horizontal="left" vertical="center"/>
    </xf>
    <xf numFmtId="0" fontId="17" fillId="0" borderId="8" xfId="3" applyFont="1" applyBorder="1" applyAlignment="1">
      <alignment horizontal="left"/>
    </xf>
    <xf numFmtId="0" fontId="17" fillId="3" borderId="10" xfId="3" applyFont="1" applyFill="1" applyBorder="1" applyAlignment="1">
      <alignment horizontal="left"/>
    </xf>
    <xf numFmtId="0" fontId="17" fillId="0" borderId="6" xfId="3" applyFont="1" applyBorder="1" applyAlignment="1">
      <alignment horizontal="left"/>
    </xf>
    <xf numFmtId="0" fontId="17" fillId="0" borderId="7" xfId="3" applyFont="1" applyBorder="1" applyAlignment="1">
      <alignment horizontal="left"/>
    </xf>
    <xf numFmtId="0" fontId="17" fillId="0" borderId="8" xfId="3" applyFont="1" applyBorder="1" applyAlignment="1">
      <alignment horizontal="left"/>
    </xf>
    <xf numFmtId="0" fontId="18" fillId="0" borderId="0" xfId="3" applyFont="1" applyAlignment="1">
      <alignment horizontal="left"/>
    </xf>
    <xf numFmtId="0" fontId="17" fillId="3" borderId="0" xfId="3" applyFont="1" applyFill="1" applyAlignment="1">
      <alignment horizontal="left"/>
    </xf>
    <xf numFmtId="0" fontId="17" fillId="3" borderId="5" xfId="3" applyFont="1" applyFill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17" fillId="3" borderId="12" xfId="3" applyFont="1" applyFill="1" applyBorder="1" applyAlignment="1">
      <alignment horizontal="left"/>
    </xf>
    <xf numFmtId="0" fontId="48" fillId="0" borderId="11" xfId="4" applyFont="1" applyBorder="1" applyAlignment="1">
      <alignment horizontal="left"/>
    </xf>
    <xf numFmtId="0" fontId="47" fillId="0" borderId="9" xfId="3" applyFont="1" applyBorder="1" applyAlignment="1">
      <alignment horizontal="left"/>
    </xf>
    <xf numFmtId="0" fontId="47" fillId="0" borderId="13" xfId="3" applyFont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49" fillId="0" borderId="11" xfId="1" quotePrefix="1" applyFont="1" applyBorder="1" applyAlignment="1">
      <alignment horizontal="left"/>
    </xf>
    <xf numFmtId="0" fontId="26" fillId="0" borderId="9" xfId="5" applyFont="1" applyBorder="1" applyAlignment="1">
      <alignment horizontal="left"/>
    </xf>
    <xf numFmtId="0" fontId="26" fillId="0" borderId="14" xfId="2" applyFont="1" applyBorder="1" applyAlignment="1">
      <alignment horizontal="center" vertical="center"/>
    </xf>
    <xf numFmtId="0" fontId="26" fillId="0" borderId="14" xfId="2" applyFont="1" applyBorder="1" applyAlignment="1">
      <alignment horizontal="left" vertical="center" wrapText="1"/>
    </xf>
    <xf numFmtId="2" fontId="26" fillId="0" borderId="14" xfId="2" applyNumberFormat="1" applyFont="1" applyBorder="1" applyAlignment="1">
      <alignment horizontal="center" vertical="center"/>
    </xf>
    <xf numFmtId="0" fontId="26" fillId="0" borderId="15" xfId="2" applyFont="1" applyBorder="1" applyAlignment="1">
      <alignment horizontal="center" vertical="center"/>
    </xf>
    <xf numFmtId="0" fontId="26" fillId="0" borderId="15" xfId="2" applyFont="1" applyBorder="1" applyAlignment="1">
      <alignment horizontal="left" vertical="center" wrapText="1"/>
    </xf>
    <xf numFmtId="2" fontId="26" fillId="0" borderId="15" xfId="2" applyNumberFormat="1" applyFont="1" applyBorder="1" applyAlignment="1">
      <alignment horizontal="center" vertical="center"/>
    </xf>
    <xf numFmtId="0" fontId="26" fillId="0" borderId="10" xfId="2" applyFont="1" applyBorder="1" applyAlignment="1">
      <alignment horizontal="center" vertical="center"/>
    </xf>
    <xf numFmtId="0" fontId="26" fillId="0" borderId="10" xfId="2" applyFont="1" applyBorder="1" applyAlignment="1">
      <alignment horizontal="left" vertical="center" wrapText="1"/>
    </xf>
    <xf numFmtId="2" fontId="26" fillId="0" borderId="10" xfId="2" applyNumberFormat="1" applyFont="1" applyBorder="1" applyAlignment="1">
      <alignment horizontal="center" vertical="center"/>
    </xf>
    <xf numFmtId="2" fontId="26" fillId="0" borderId="12" xfId="2" applyNumberFormat="1" applyFont="1" applyBorder="1" applyAlignment="1">
      <alignment horizontal="center" vertical="center"/>
    </xf>
    <xf numFmtId="2" fontId="26" fillId="0" borderId="14" xfId="2" applyNumberFormat="1" applyFont="1" applyBorder="1" applyAlignment="1">
      <alignment horizontal="center" vertical="center" wrapText="1"/>
    </xf>
    <xf numFmtId="2" fontId="26" fillId="0" borderId="10" xfId="2" applyNumberFormat="1" applyFont="1" applyBorder="1" applyAlignment="1">
      <alignment horizontal="center" vertical="center" wrapText="1"/>
    </xf>
    <xf numFmtId="0" fontId="26" fillId="0" borderId="14" xfId="2" applyFont="1" applyBorder="1" applyAlignment="1">
      <alignment horizontal="left" vertical="center" wrapText="1"/>
    </xf>
  </cellXfs>
  <cellStyles count="15">
    <cellStyle name="Hyperlink" xfId="1" builtinId="8"/>
    <cellStyle name="Hyperlink 2" xfId="4" xr:uid="{DD064579-9848-41C7-BE5D-E4DFF69DF349}"/>
    <cellStyle name="Normal" xfId="0" builtinId="0"/>
    <cellStyle name="Normal 2 2" xfId="11" xr:uid="{4D8477EE-9A23-4F59-99AB-BB5BC4152967}"/>
    <cellStyle name="Normal 2 2 3 2" xfId="13" xr:uid="{E8ED0CB5-5F1C-4182-9D4A-9C3BF26593C6}"/>
    <cellStyle name="Normal 2 3" xfId="2" xr:uid="{E9134D3D-02B8-4408-9E50-B4563C93E2C9}"/>
    <cellStyle name="Normal 2 3 2" xfId="6" xr:uid="{380C2410-E01A-4209-9F27-2B627C18C32C}"/>
    <cellStyle name="Normal 2 3 5" xfId="10" xr:uid="{0B2DB7EE-51F4-411E-BEB0-F31773C928D9}"/>
    <cellStyle name="Normal 2 3 6" xfId="3" xr:uid="{9D76E8A5-83F1-46F0-A1D1-C9451CD3F8BF}"/>
    <cellStyle name="Normal 2 4 2" xfId="5" xr:uid="{E8C622DB-5D3B-47B1-BD57-B7BC83FF55F0}"/>
    <cellStyle name="Normal 2 5 2 2" xfId="9" xr:uid="{0CE3F9D8-3460-4BF5-A718-4F3D9D32CF74}"/>
    <cellStyle name="Normal 2 7" xfId="12" xr:uid="{F01CC9E7-9C3E-44FD-A034-9FFE2AF2CCE6}"/>
    <cellStyle name="Normal 4 2 2 2 2" xfId="8" xr:uid="{F868111C-4B8A-4C00-9C88-9D8B18BA4F78}"/>
    <cellStyle name="Normal 5 2 2" xfId="7" xr:uid="{E7D24A47-2BEE-4194-98C2-18329CFB9E95}"/>
    <cellStyle name="Percent 2 2" xfId="14" xr:uid="{A778ABC2-9E2D-4E39-9A05-09CA25046A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5EC0E8A4-58CB-4CCE-9DA7-05362576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E3399D1-F9CA-443B-A90A-5E88324B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F99EBFD-CCB8-43A3-9A27-4C4E6E22A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4EBCF66B-FF84-4B9D-B334-5E8B87565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025F-6F60-49CC-BD53-8E9984930F1D}">
  <sheetPr>
    <pageSetUpPr fitToPage="1"/>
  </sheetPr>
  <dimension ref="A1:R89"/>
  <sheetViews>
    <sheetView tabSelected="1" zoomScale="30" zoomScaleNormal="30" workbookViewId="0">
      <selection activeCell="A19" sqref="A19:O49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160</v>
      </c>
      <c r="C5" s="16" t="s">
        <v>2</v>
      </c>
      <c r="D5" s="17" t="s">
        <v>161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.75" x14ac:dyDescent="0.6">
      <c r="A8" s="255" t="s">
        <v>12</v>
      </c>
      <c r="B8" s="256"/>
      <c r="C8" s="257">
        <v>88712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54" customFormat="1" ht="39" x14ac:dyDescent="0.6">
      <c r="A10" s="247" t="s">
        <v>4</v>
      </c>
      <c r="B10" s="248"/>
      <c r="C10" s="249" t="s">
        <v>18</v>
      </c>
      <c r="D10" s="250" t="s">
        <v>6</v>
      </c>
      <c r="E10" s="249" t="s">
        <v>19</v>
      </c>
      <c r="F10" s="250" t="s">
        <v>8</v>
      </c>
      <c r="G10" s="251" t="s">
        <v>20</v>
      </c>
      <c r="H10" s="250" t="s">
        <v>10</v>
      </c>
      <c r="I10" s="252" t="s">
        <v>21</v>
      </c>
      <c r="J10" s="253"/>
      <c r="K10" s="21"/>
      <c r="L10" s="22"/>
      <c r="M10" s="22"/>
      <c r="N10" s="22"/>
      <c r="O10" s="22"/>
      <c r="P10" s="22"/>
      <c r="Q10" s="22"/>
      <c r="R10" s="23"/>
    </row>
    <row r="11" spans="1:18" s="254" customFormat="1" ht="39.75" x14ac:dyDescent="0.6">
      <c r="A11" s="255" t="s">
        <v>12</v>
      </c>
      <c r="B11" s="256"/>
      <c r="C11" s="257">
        <v>60694</v>
      </c>
      <c r="D11" s="258" t="s">
        <v>13</v>
      </c>
      <c r="E11" s="259" t="s">
        <v>22</v>
      </c>
      <c r="F11" s="258" t="s">
        <v>14</v>
      </c>
      <c r="G11" s="260"/>
      <c r="H11" s="258" t="s">
        <v>15</v>
      </c>
      <c r="I11" s="261" t="s">
        <v>16</v>
      </c>
      <c r="J11" s="262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10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63" t="s">
        <v>28</v>
      </c>
      <c r="F14" s="46" t="s">
        <v>14</v>
      </c>
      <c r="G14" s="264"/>
      <c r="H14" s="45" t="s">
        <v>15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162</v>
      </c>
      <c r="Q17" s="71" t="s">
        <v>163</v>
      </c>
      <c r="R17" s="72" t="s">
        <v>164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165</v>
      </c>
      <c r="K18" s="78" t="s">
        <v>166</v>
      </c>
      <c r="L18" s="78" t="s">
        <v>167</v>
      </c>
      <c r="M18" s="77" t="s">
        <v>168</v>
      </c>
      <c r="N18" s="77" t="s">
        <v>169</v>
      </c>
      <c r="O18" s="77" t="s">
        <v>170</v>
      </c>
      <c r="P18" s="79"/>
      <c r="Q18" s="79"/>
      <c r="R18" s="80"/>
    </row>
    <row r="19" spans="1:18" s="92" customFormat="1" ht="147" customHeight="1" x14ac:dyDescent="0.25">
      <c r="A19" s="265">
        <v>1</v>
      </c>
      <c r="B19" s="266" t="s">
        <v>46</v>
      </c>
      <c r="C19" s="267">
        <f>0.25 *1.28791886111175</f>
        <v>0.32197971527793751</v>
      </c>
      <c r="D19" s="82" t="s">
        <v>47</v>
      </c>
      <c r="E19" s="83">
        <f>C19/5</f>
        <v>6.4395943055587504E-2</v>
      </c>
      <c r="F19" s="83">
        <f t="shared" ref="F19:F49" si="0">E19/$E$50 * 100</f>
        <v>0.1897629657240644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49" si="1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49" si="2">F19*Q19/100</f>
        <v>0</v>
      </c>
    </row>
    <row r="20" spans="1:18" s="92" customFormat="1" ht="147" customHeight="1" x14ac:dyDescent="0.25">
      <c r="A20" s="268"/>
      <c r="B20" s="269"/>
      <c r="C20" s="270"/>
      <c r="D20" s="82" t="s">
        <v>51</v>
      </c>
      <c r="E20" s="83">
        <f>C19/5</f>
        <v>6.4395943055587504E-2</v>
      </c>
      <c r="F20" s="83">
        <f t="shared" si="0"/>
        <v>0.1897629657240644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1"/>
        <v>0</v>
      </c>
      <c r="R20" s="91">
        <f t="shared" si="2"/>
        <v>0</v>
      </c>
    </row>
    <row r="21" spans="1:18" s="92" customFormat="1" ht="147" customHeight="1" x14ac:dyDescent="0.25">
      <c r="A21" s="268"/>
      <c r="B21" s="269"/>
      <c r="C21" s="270"/>
      <c r="D21" s="82" t="s">
        <v>53</v>
      </c>
      <c r="E21" s="83">
        <f>C19/5</f>
        <v>6.4395943055587504E-2</v>
      </c>
      <c r="F21" s="83">
        <f t="shared" si="0"/>
        <v>0.1897629657240644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1"/>
        <v>0</v>
      </c>
      <c r="R21" s="91">
        <f t="shared" si="2"/>
        <v>0</v>
      </c>
    </row>
    <row r="22" spans="1:18" s="92" customFormat="1" ht="147" customHeight="1" x14ac:dyDescent="0.25">
      <c r="A22" s="268"/>
      <c r="B22" s="269"/>
      <c r="C22" s="270"/>
      <c r="D22" s="82" t="s">
        <v>55</v>
      </c>
      <c r="E22" s="83">
        <f>C19/5</f>
        <v>6.4395943055587504E-2</v>
      </c>
      <c r="F22" s="83">
        <f t="shared" si="0"/>
        <v>0.1897629657240644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1"/>
        <v>0</v>
      </c>
      <c r="R22" s="91">
        <f t="shared" si="2"/>
        <v>0</v>
      </c>
    </row>
    <row r="23" spans="1:18" s="92" customFormat="1" ht="147" customHeight="1" x14ac:dyDescent="0.25">
      <c r="A23" s="271"/>
      <c r="B23" s="272"/>
      <c r="C23" s="273"/>
      <c r="D23" s="82" t="s">
        <v>59</v>
      </c>
      <c r="E23" s="83">
        <f>C19/5</f>
        <v>6.4395943055587504E-2</v>
      </c>
      <c r="F23" s="83">
        <f t="shared" si="0"/>
        <v>0.1897629657240644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1"/>
        <v>0</v>
      </c>
      <c r="R23" s="91">
        <f t="shared" si="2"/>
        <v>0</v>
      </c>
    </row>
    <row r="24" spans="1:18" s="92" customFormat="1" ht="147" customHeight="1" x14ac:dyDescent="0.25">
      <c r="A24" s="81">
        <v>2</v>
      </c>
      <c r="B24" s="82" t="s">
        <v>61</v>
      </c>
      <c r="C24" s="274">
        <f>0.25 *0.77275131666705</f>
        <v>0.1931878291667625</v>
      </c>
      <c r="D24" s="82" t="s">
        <v>62</v>
      </c>
      <c r="E24" s="83">
        <f>C24</f>
        <v>0.1931878291667625</v>
      </c>
      <c r="F24" s="83">
        <f t="shared" si="0"/>
        <v>0.56928889717219311</v>
      </c>
      <c r="G24" s="84" t="s">
        <v>63</v>
      </c>
      <c r="H24" s="85">
        <v>0.5</v>
      </c>
      <c r="I24" s="86" t="s">
        <v>49</v>
      </c>
      <c r="J24" s="87" t="s">
        <v>64</v>
      </c>
      <c r="K24" s="88">
        <v>50</v>
      </c>
      <c r="L24" s="88">
        <v>45</v>
      </c>
      <c r="M24" s="88">
        <v>40</v>
      </c>
      <c r="N24" s="88">
        <v>25</v>
      </c>
      <c r="O24" s="88" t="s">
        <v>65</v>
      </c>
      <c r="P24" s="89"/>
      <c r="Q24" s="90">
        <f t="shared" si="1"/>
        <v>0</v>
      </c>
      <c r="R24" s="91">
        <f t="shared" si="2"/>
        <v>0</v>
      </c>
    </row>
    <row r="25" spans="1:18" s="92" customFormat="1" ht="147" customHeight="1" x14ac:dyDescent="0.25">
      <c r="A25" s="265">
        <v>2</v>
      </c>
      <c r="B25" s="266" t="s">
        <v>66</v>
      </c>
      <c r="C25" s="267">
        <f>0.25 *68.7196706607483</f>
        <v>17.179917665187077</v>
      </c>
      <c r="D25" s="82" t="s">
        <v>67</v>
      </c>
      <c r="E25" s="83">
        <f>C25/10</f>
        <v>1.7179917665187077</v>
      </c>
      <c r="F25" s="83">
        <f t="shared" si="0"/>
        <v>5.0626048355669981</v>
      </c>
      <c r="G25" s="82" t="s">
        <v>68</v>
      </c>
      <c r="H25" s="93">
        <v>80</v>
      </c>
      <c r="I25" s="93" t="s">
        <v>49</v>
      </c>
      <c r="J25" s="87" t="s">
        <v>69</v>
      </c>
      <c r="K25" s="88">
        <v>80</v>
      </c>
      <c r="L25" s="88">
        <v>75</v>
      </c>
      <c r="M25" s="88">
        <v>70</v>
      </c>
      <c r="N25" s="88">
        <v>50</v>
      </c>
      <c r="O25" s="88" t="s">
        <v>70</v>
      </c>
      <c r="P25" s="89"/>
      <c r="Q25" s="90">
        <f t="shared" si="1"/>
        <v>0</v>
      </c>
      <c r="R25" s="91">
        <f t="shared" si="2"/>
        <v>0</v>
      </c>
    </row>
    <row r="26" spans="1:18" s="92" customFormat="1" ht="147" customHeight="1" x14ac:dyDescent="0.25">
      <c r="A26" s="268"/>
      <c r="B26" s="269"/>
      <c r="C26" s="270"/>
      <c r="D26" s="82" t="s">
        <v>71</v>
      </c>
      <c r="E26" s="83">
        <f>C25/10</f>
        <v>1.7179917665187077</v>
      </c>
      <c r="F26" s="83">
        <f t="shared" si="0"/>
        <v>5.0626048355669981</v>
      </c>
      <c r="G26" s="82" t="s">
        <v>72</v>
      </c>
      <c r="H26" s="93">
        <v>80</v>
      </c>
      <c r="I26" s="93" t="s">
        <v>49</v>
      </c>
      <c r="J26" s="87" t="s">
        <v>69</v>
      </c>
      <c r="K26" s="88">
        <v>80</v>
      </c>
      <c r="L26" s="88">
        <v>75</v>
      </c>
      <c r="M26" s="88">
        <v>70</v>
      </c>
      <c r="N26" s="88">
        <v>50</v>
      </c>
      <c r="O26" s="88" t="s">
        <v>70</v>
      </c>
      <c r="P26" s="89"/>
      <c r="Q26" s="90">
        <f t="shared" si="1"/>
        <v>0</v>
      </c>
      <c r="R26" s="91">
        <f t="shared" si="2"/>
        <v>0</v>
      </c>
    </row>
    <row r="27" spans="1:18" s="92" customFormat="1" ht="147" customHeight="1" x14ac:dyDescent="0.25">
      <c r="A27" s="268"/>
      <c r="B27" s="269"/>
      <c r="C27" s="270"/>
      <c r="D27" s="82" t="s">
        <v>73</v>
      </c>
      <c r="E27" s="83">
        <f>C25/10</f>
        <v>1.7179917665187077</v>
      </c>
      <c r="F27" s="83">
        <f t="shared" si="0"/>
        <v>5.0626048355669981</v>
      </c>
      <c r="G27" s="82" t="s">
        <v>74</v>
      </c>
      <c r="H27" s="94">
        <v>0.9</v>
      </c>
      <c r="I27" s="93" t="s">
        <v>49</v>
      </c>
      <c r="J27" s="87" t="s">
        <v>75</v>
      </c>
      <c r="K27" s="88">
        <v>90</v>
      </c>
      <c r="L27" s="88">
        <v>80</v>
      </c>
      <c r="M27" s="88">
        <v>70</v>
      </c>
      <c r="N27" s="88">
        <v>50</v>
      </c>
      <c r="O27" s="88" t="s">
        <v>70</v>
      </c>
      <c r="P27" s="89"/>
      <c r="Q27" s="90">
        <f t="shared" ref="Q27:Q44" si="3">IF(OR(TRIM(P27)="",P27=0),0,
IF(P27&lt;N27,50,
IF(P27&lt;M27,60,
IF(P27&lt;L27,70,
IF(P27&lt;K27,80,
IF(ISNUMBER(J27),
    IF(P27&lt;J27,IF(P27&gt;=K27,90,80),100),
    IF(P27=K27,90,100)
))))))</f>
        <v>0</v>
      </c>
      <c r="R27" s="91">
        <f t="shared" ref="R27:R44" si="4">F27*Q27/100</f>
        <v>0</v>
      </c>
    </row>
    <row r="28" spans="1:18" s="92" customFormat="1" ht="147" customHeight="1" x14ac:dyDescent="0.25">
      <c r="A28" s="268"/>
      <c r="B28" s="269"/>
      <c r="C28" s="270"/>
      <c r="D28" s="82" t="s">
        <v>76</v>
      </c>
      <c r="E28" s="83">
        <f>C25/10</f>
        <v>1.7179917665187077</v>
      </c>
      <c r="F28" s="83">
        <f t="shared" si="0"/>
        <v>5.0626048355669981</v>
      </c>
      <c r="G28" s="82" t="s">
        <v>77</v>
      </c>
      <c r="H28" s="93">
        <v>80</v>
      </c>
      <c r="I28" s="93" t="s">
        <v>49</v>
      </c>
      <c r="J28" s="87" t="s">
        <v>69</v>
      </c>
      <c r="K28" s="88">
        <v>80</v>
      </c>
      <c r="L28" s="88">
        <v>75</v>
      </c>
      <c r="M28" s="88">
        <v>70</v>
      </c>
      <c r="N28" s="88">
        <v>50</v>
      </c>
      <c r="O28" s="88" t="s">
        <v>70</v>
      </c>
      <c r="P28" s="89"/>
      <c r="Q28" s="90">
        <f t="shared" si="3"/>
        <v>0</v>
      </c>
      <c r="R28" s="91">
        <f t="shared" si="4"/>
        <v>0</v>
      </c>
    </row>
    <row r="29" spans="1:18" s="92" customFormat="1" ht="147" customHeight="1" x14ac:dyDescent="0.25">
      <c r="A29" s="268"/>
      <c r="B29" s="269"/>
      <c r="C29" s="270"/>
      <c r="D29" s="82" t="s">
        <v>78</v>
      </c>
      <c r="E29" s="83">
        <f>C25/10</f>
        <v>1.7179917665187077</v>
      </c>
      <c r="F29" s="83">
        <f t="shared" si="0"/>
        <v>5.0626048355669981</v>
      </c>
      <c r="G29" s="82" t="s">
        <v>79</v>
      </c>
      <c r="H29" s="94">
        <v>0.9</v>
      </c>
      <c r="I29" s="93" t="s">
        <v>49</v>
      </c>
      <c r="J29" s="87" t="s">
        <v>75</v>
      </c>
      <c r="K29" s="88">
        <v>90</v>
      </c>
      <c r="L29" s="88">
        <v>80</v>
      </c>
      <c r="M29" s="88">
        <v>70</v>
      </c>
      <c r="N29" s="88">
        <v>50</v>
      </c>
      <c r="O29" s="88" t="s">
        <v>70</v>
      </c>
      <c r="P29" s="89"/>
      <c r="Q29" s="90">
        <f t="shared" si="3"/>
        <v>0</v>
      </c>
      <c r="R29" s="91">
        <f t="shared" si="4"/>
        <v>0</v>
      </c>
    </row>
    <row r="30" spans="1:18" s="92" customFormat="1" ht="147" customHeight="1" x14ac:dyDescent="0.25">
      <c r="A30" s="268"/>
      <c r="B30" s="269"/>
      <c r="C30" s="270"/>
      <c r="D30" s="82" t="s">
        <v>80</v>
      </c>
      <c r="E30" s="83">
        <f>C25/10</f>
        <v>1.7179917665187077</v>
      </c>
      <c r="F30" s="83">
        <f t="shared" si="0"/>
        <v>5.0626048355669981</v>
      </c>
      <c r="G30" s="82" t="s">
        <v>81</v>
      </c>
      <c r="H30" s="94">
        <v>0.8</v>
      </c>
      <c r="I30" s="93" t="s">
        <v>49</v>
      </c>
      <c r="J30" s="87" t="s">
        <v>69</v>
      </c>
      <c r="K30" s="88">
        <v>80</v>
      </c>
      <c r="L30" s="88">
        <v>75</v>
      </c>
      <c r="M30" s="88">
        <v>70</v>
      </c>
      <c r="N30" s="88">
        <v>50</v>
      </c>
      <c r="O30" s="88" t="s">
        <v>70</v>
      </c>
      <c r="P30" s="89"/>
      <c r="Q30" s="90">
        <f t="shared" si="3"/>
        <v>0</v>
      </c>
      <c r="R30" s="91">
        <f t="shared" si="4"/>
        <v>0</v>
      </c>
    </row>
    <row r="31" spans="1:18" s="92" customFormat="1" ht="147" customHeight="1" x14ac:dyDescent="0.25">
      <c r="A31" s="268"/>
      <c r="B31" s="269"/>
      <c r="C31" s="270"/>
      <c r="D31" s="82" t="s">
        <v>82</v>
      </c>
      <c r="E31" s="83">
        <f>C25/10</f>
        <v>1.7179917665187077</v>
      </c>
      <c r="F31" s="83">
        <f t="shared" si="0"/>
        <v>5.0626048355669981</v>
      </c>
      <c r="G31" s="82" t="s">
        <v>83</v>
      </c>
      <c r="H31" s="94">
        <v>0.9</v>
      </c>
      <c r="I31" s="93" t="s">
        <v>49</v>
      </c>
      <c r="J31" s="87" t="s">
        <v>75</v>
      </c>
      <c r="K31" s="88">
        <v>90</v>
      </c>
      <c r="L31" s="88">
        <v>80</v>
      </c>
      <c r="M31" s="88">
        <v>70</v>
      </c>
      <c r="N31" s="88">
        <v>50</v>
      </c>
      <c r="O31" s="88" t="s">
        <v>70</v>
      </c>
      <c r="P31" s="89"/>
      <c r="Q31" s="90">
        <f t="shared" si="3"/>
        <v>0</v>
      </c>
      <c r="R31" s="91">
        <f t="shared" si="4"/>
        <v>0</v>
      </c>
    </row>
    <row r="32" spans="1:18" s="92" customFormat="1" ht="147" customHeight="1" x14ac:dyDescent="0.25">
      <c r="A32" s="268"/>
      <c r="B32" s="269"/>
      <c r="C32" s="270"/>
      <c r="D32" s="82" t="s">
        <v>84</v>
      </c>
      <c r="E32" s="83">
        <f>C25/10</f>
        <v>1.7179917665187077</v>
      </c>
      <c r="F32" s="83">
        <f t="shared" si="0"/>
        <v>5.0626048355669981</v>
      </c>
      <c r="G32" s="82" t="s">
        <v>85</v>
      </c>
      <c r="H32" s="94">
        <v>0.8</v>
      </c>
      <c r="I32" s="93" t="s">
        <v>49</v>
      </c>
      <c r="J32" s="87" t="s">
        <v>69</v>
      </c>
      <c r="K32" s="88">
        <v>80</v>
      </c>
      <c r="L32" s="88">
        <v>75</v>
      </c>
      <c r="M32" s="88">
        <v>70</v>
      </c>
      <c r="N32" s="88">
        <v>50</v>
      </c>
      <c r="O32" s="88" t="s">
        <v>70</v>
      </c>
      <c r="P32" s="89"/>
      <c r="Q32" s="90">
        <f t="shared" si="3"/>
        <v>0</v>
      </c>
      <c r="R32" s="91">
        <f t="shared" si="4"/>
        <v>0</v>
      </c>
    </row>
    <row r="33" spans="1:18" s="92" customFormat="1" ht="147" customHeight="1" x14ac:dyDescent="0.25">
      <c r="A33" s="268"/>
      <c r="B33" s="269"/>
      <c r="C33" s="270"/>
      <c r="D33" s="82" t="s">
        <v>86</v>
      </c>
      <c r="E33" s="83">
        <f>C25/10</f>
        <v>1.7179917665187077</v>
      </c>
      <c r="F33" s="83">
        <f t="shared" si="0"/>
        <v>5.0626048355669981</v>
      </c>
      <c r="G33" s="82" t="s">
        <v>87</v>
      </c>
      <c r="H33" s="94">
        <v>0.8</v>
      </c>
      <c r="I33" s="93" t="s">
        <v>49</v>
      </c>
      <c r="J33" s="87" t="s">
        <v>69</v>
      </c>
      <c r="K33" s="88">
        <v>80</v>
      </c>
      <c r="L33" s="88">
        <v>75</v>
      </c>
      <c r="M33" s="88">
        <v>70</v>
      </c>
      <c r="N33" s="88">
        <v>50</v>
      </c>
      <c r="O33" s="88" t="s">
        <v>70</v>
      </c>
      <c r="P33" s="89"/>
      <c r="Q33" s="90">
        <f t="shared" si="3"/>
        <v>0</v>
      </c>
      <c r="R33" s="91">
        <f t="shared" si="4"/>
        <v>0</v>
      </c>
    </row>
    <row r="34" spans="1:18" s="92" customFormat="1" ht="147" customHeight="1" x14ac:dyDescent="0.25">
      <c r="A34" s="271"/>
      <c r="B34" s="272"/>
      <c r="C34" s="273"/>
      <c r="D34" s="82" t="s">
        <v>88</v>
      </c>
      <c r="E34" s="83">
        <f>C25/10</f>
        <v>1.7179917665187077</v>
      </c>
      <c r="F34" s="83">
        <f t="shared" si="0"/>
        <v>5.0626048355669981</v>
      </c>
      <c r="G34" s="82" t="s">
        <v>89</v>
      </c>
      <c r="H34" s="94">
        <v>0.9</v>
      </c>
      <c r="I34" s="93" t="s">
        <v>49</v>
      </c>
      <c r="J34" s="87" t="s">
        <v>75</v>
      </c>
      <c r="K34" s="88">
        <v>90</v>
      </c>
      <c r="L34" s="88">
        <v>80</v>
      </c>
      <c r="M34" s="88">
        <v>70</v>
      </c>
      <c r="N34" s="88">
        <v>50</v>
      </c>
      <c r="O34" s="88" t="s">
        <v>70</v>
      </c>
      <c r="P34" s="89"/>
      <c r="Q34" s="90">
        <f t="shared" si="3"/>
        <v>0</v>
      </c>
      <c r="R34" s="91">
        <f t="shared" si="4"/>
        <v>0</v>
      </c>
    </row>
    <row r="35" spans="1:18" s="92" customFormat="1" ht="147" customHeight="1" x14ac:dyDescent="0.25">
      <c r="A35" s="265">
        <v>4</v>
      </c>
      <c r="B35" s="266" t="s">
        <v>90</v>
      </c>
      <c r="C35" s="267">
        <v>14.489087187507183</v>
      </c>
      <c r="D35" s="266" t="s">
        <v>91</v>
      </c>
      <c r="E35" s="83">
        <f>C35/8</f>
        <v>1.8111358984383978</v>
      </c>
      <c r="F35" s="83">
        <f t="shared" si="0"/>
        <v>5.3370834109893091</v>
      </c>
      <c r="G35" s="82" t="s">
        <v>92</v>
      </c>
      <c r="H35" s="94">
        <v>1</v>
      </c>
      <c r="I35" s="86" t="s">
        <v>49</v>
      </c>
      <c r="J35" s="87">
        <v>100</v>
      </c>
      <c r="K35" s="88">
        <v>95</v>
      </c>
      <c r="L35" s="88">
        <v>90</v>
      </c>
      <c r="M35" s="88">
        <v>85</v>
      </c>
      <c r="N35" s="88">
        <v>80</v>
      </c>
      <c r="O35" s="88" t="s">
        <v>50</v>
      </c>
      <c r="P35" s="89"/>
      <c r="Q35" s="90">
        <f t="shared" si="3"/>
        <v>0</v>
      </c>
      <c r="R35" s="91">
        <f t="shared" si="4"/>
        <v>0</v>
      </c>
    </row>
    <row r="36" spans="1:18" s="92" customFormat="1" ht="147" customHeight="1" x14ac:dyDescent="0.25">
      <c r="A36" s="268"/>
      <c r="B36" s="269"/>
      <c r="C36" s="270"/>
      <c r="D36" s="269"/>
      <c r="E36" s="83">
        <f>C35/8</f>
        <v>1.8111358984383978</v>
      </c>
      <c r="F36" s="83">
        <f t="shared" si="0"/>
        <v>5.3370834109893091</v>
      </c>
      <c r="G36" s="82" t="s">
        <v>93</v>
      </c>
      <c r="H36" s="94">
        <v>1</v>
      </c>
      <c r="I36" s="86" t="s">
        <v>49</v>
      </c>
      <c r="J36" s="87">
        <v>100</v>
      </c>
      <c r="K36" s="88">
        <v>95</v>
      </c>
      <c r="L36" s="88">
        <v>90</v>
      </c>
      <c r="M36" s="88">
        <v>85</v>
      </c>
      <c r="N36" s="88">
        <v>80</v>
      </c>
      <c r="O36" s="88" t="s">
        <v>50</v>
      </c>
      <c r="P36" s="89"/>
      <c r="Q36" s="90">
        <f t="shared" si="3"/>
        <v>0</v>
      </c>
      <c r="R36" s="91">
        <f t="shared" si="4"/>
        <v>0</v>
      </c>
    </row>
    <row r="37" spans="1:18" s="92" customFormat="1" ht="147" customHeight="1" x14ac:dyDescent="0.25">
      <c r="A37" s="268"/>
      <c r="B37" s="269"/>
      <c r="C37" s="270"/>
      <c r="D37" s="269"/>
      <c r="E37" s="83">
        <f>C35/8</f>
        <v>1.8111358984383978</v>
      </c>
      <c r="F37" s="83">
        <f t="shared" si="0"/>
        <v>5.3370834109893091</v>
      </c>
      <c r="G37" s="82" t="s">
        <v>94</v>
      </c>
      <c r="H37" s="94">
        <v>0.9</v>
      </c>
      <c r="I37" s="93" t="s">
        <v>49</v>
      </c>
      <c r="J37" s="87" t="s">
        <v>75</v>
      </c>
      <c r="K37" s="88">
        <v>90</v>
      </c>
      <c r="L37" s="88">
        <v>80</v>
      </c>
      <c r="M37" s="88">
        <v>70</v>
      </c>
      <c r="N37" s="88">
        <v>50</v>
      </c>
      <c r="O37" s="88" t="s">
        <v>70</v>
      </c>
      <c r="P37" s="89"/>
      <c r="Q37" s="90">
        <f t="shared" si="3"/>
        <v>0</v>
      </c>
      <c r="R37" s="91">
        <f t="shared" si="4"/>
        <v>0</v>
      </c>
    </row>
    <row r="38" spans="1:18" s="92" customFormat="1" ht="147" customHeight="1" x14ac:dyDescent="0.25">
      <c r="A38" s="268"/>
      <c r="B38" s="269"/>
      <c r="C38" s="270"/>
      <c r="D38" s="269"/>
      <c r="E38" s="83">
        <f>C35/8</f>
        <v>1.8111358984383978</v>
      </c>
      <c r="F38" s="83">
        <f t="shared" si="0"/>
        <v>5.3370834109893091</v>
      </c>
      <c r="G38" s="82" t="s">
        <v>95</v>
      </c>
      <c r="H38" s="94">
        <v>0.9</v>
      </c>
      <c r="I38" s="93" t="s">
        <v>49</v>
      </c>
      <c r="J38" s="87" t="s">
        <v>75</v>
      </c>
      <c r="K38" s="88">
        <v>90</v>
      </c>
      <c r="L38" s="88">
        <v>80</v>
      </c>
      <c r="M38" s="88">
        <v>70</v>
      </c>
      <c r="N38" s="88">
        <v>50</v>
      </c>
      <c r="O38" s="88" t="s">
        <v>70</v>
      </c>
      <c r="P38" s="89"/>
      <c r="Q38" s="90">
        <f t="shared" si="3"/>
        <v>0</v>
      </c>
      <c r="R38" s="91">
        <f t="shared" si="4"/>
        <v>0</v>
      </c>
    </row>
    <row r="39" spans="1:18" s="92" customFormat="1" ht="147" customHeight="1" x14ac:dyDescent="0.25">
      <c r="A39" s="268"/>
      <c r="B39" s="269"/>
      <c r="C39" s="270"/>
      <c r="D39" s="269"/>
      <c r="E39" s="83">
        <f>C35/8</f>
        <v>1.8111358984383978</v>
      </c>
      <c r="F39" s="83">
        <f t="shared" si="0"/>
        <v>5.3370834109893091</v>
      </c>
      <c r="G39" s="82" t="s">
        <v>96</v>
      </c>
      <c r="H39" s="94">
        <v>0.8</v>
      </c>
      <c r="I39" s="93" t="s">
        <v>49</v>
      </c>
      <c r="J39" s="87" t="s">
        <v>69</v>
      </c>
      <c r="K39" s="88">
        <v>80</v>
      </c>
      <c r="L39" s="88">
        <v>75</v>
      </c>
      <c r="M39" s="88">
        <v>70</v>
      </c>
      <c r="N39" s="88">
        <v>50</v>
      </c>
      <c r="O39" s="88" t="s">
        <v>70</v>
      </c>
      <c r="P39" s="89"/>
      <c r="Q39" s="90">
        <f t="shared" si="3"/>
        <v>0</v>
      </c>
      <c r="R39" s="91">
        <f t="shared" si="4"/>
        <v>0</v>
      </c>
    </row>
    <row r="40" spans="1:18" s="92" customFormat="1" ht="147" customHeight="1" x14ac:dyDescent="0.25">
      <c r="A40" s="268"/>
      <c r="B40" s="269"/>
      <c r="C40" s="270"/>
      <c r="D40" s="269"/>
      <c r="E40" s="83">
        <f>C35/8</f>
        <v>1.8111358984383978</v>
      </c>
      <c r="F40" s="83">
        <f t="shared" si="0"/>
        <v>5.3370834109893091</v>
      </c>
      <c r="G40" s="82" t="s">
        <v>97</v>
      </c>
      <c r="H40" s="94">
        <v>1</v>
      </c>
      <c r="I40" s="86" t="s">
        <v>49</v>
      </c>
      <c r="J40" s="87">
        <v>100</v>
      </c>
      <c r="K40" s="88">
        <v>95</v>
      </c>
      <c r="L40" s="88">
        <v>90</v>
      </c>
      <c r="M40" s="88">
        <v>85</v>
      </c>
      <c r="N40" s="88">
        <v>80</v>
      </c>
      <c r="O40" s="88" t="s">
        <v>50</v>
      </c>
      <c r="P40" s="89"/>
      <c r="Q40" s="90">
        <f t="shared" si="3"/>
        <v>0</v>
      </c>
      <c r="R40" s="91">
        <f t="shared" si="4"/>
        <v>0</v>
      </c>
    </row>
    <row r="41" spans="1:18" s="92" customFormat="1" ht="147" customHeight="1" x14ac:dyDescent="0.25">
      <c r="A41" s="268"/>
      <c r="B41" s="269"/>
      <c r="C41" s="270"/>
      <c r="D41" s="269"/>
      <c r="E41" s="83">
        <f>C35/8</f>
        <v>1.8111358984383978</v>
      </c>
      <c r="F41" s="83">
        <f t="shared" si="0"/>
        <v>5.3370834109893091</v>
      </c>
      <c r="G41" s="82" t="s">
        <v>98</v>
      </c>
      <c r="H41" s="94">
        <v>1</v>
      </c>
      <c r="I41" s="86" t="s">
        <v>49</v>
      </c>
      <c r="J41" s="87">
        <v>100</v>
      </c>
      <c r="K41" s="88">
        <v>95</v>
      </c>
      <c r="L41" s="88">
        <v>90</v>
      </c>
      <c r="M41" s="88">
        <v>85</v>
      </c>
      <c r="N41" s="88">
        <v>80</v>
      </c>
      <c r="O41" s="88" t="s">
        <v>50</v>
      </c>
      <c r="P41" s="89"/>
      <c r="Q41" s="90">
        <f t="shared" si="3"/>
        <v>0</v>
      </c>
      <c r="R41" s="91">
        <f t="shared" si="4"/>
        <v>0</v>
      </c>
    </row>
    <row r="42" spans="1:18" s="92" customFormat="1" ht="147" customHeight="1" x14ac:dyDescent="0.25">
      <c r="A42" s="271"/>
      <c r="B42" s="272"/>
      <c r="C42" s="273"/>
      <c r="D42" s="272"/>
      <c r="E42" s="83">
        <f>C35/8</f>
        <v>1.8111358984383978</v>
      </c>
      <c r="F42" s="83">
        <f t="shared" si="0"/>
        <v>5.3370834109893091</v>
      </c>
      <c r="G42" s="82" t="s">
        <v>99</v>
      </c>
      <c r="H42" s="94">
        <v>1</v>
      </c>
      <c r="I42" s="86" t="s">
        <v>49</v>
      </c>
      <c r="J42" s="87">
        <v>100</v>
      </c>
      <c r="K42" s="88">
        <v>95</v>
      </c>
      <c r="L42" s="88">
        <v>90</v>
      </c>
      <c r="M42" s="88">
        <v>85</v>
      </c>
      <c r="N42" s="88">
        <v>80</v>
      </c>
      <c r="O42" s="88" t="s">
        <v>50</v>
      </c>
      <c r="P42" s="89"/>
      <c r="Q42" s="90">
        <f t="shared" si="3"/>
        <v>0</v>
      </c>
      <c r="R42" s="91">
        <f t="shared" si="4"/>
        <v>0</v>
      </c>
    </row>
    <row r="43" spans="1:18" s="92" customFormat="1" ht="147" customHeight="1" x14ac:dyDescent="0.25">
      <c r="A43" s="81">
        <v>5</v>
      </c>
      <c r="B43" s="82" t="s">
        <v>100</v>
      </c>
      <c r="C43" s="95">
        <f>0.25 *1.20742393229227</f>
        <v>0.30185598307306749</v>
      </c>
      <c r="D43" s="82" t="s">
        <v>101</v>
      </c>
      <c r="E43" s="83">
        <f>C43</f>
        <v>0.30185598307306749</v>
      </c>
      <c r="F43" s="83">
        <f t="shared" si="0"/>
        <v>0.88951390183155499</v>
      </c>
      <c r="G43" s="84" t="s">
        <v>102</v>
      </c>
      <c r="H43" s="93">
        <v>5</v>
      </c>
      <c r="I43" s="86" t="s">
        <v>57</v>
      </c>
      <c r="J43" s="87" t="s">
        <v>58</v>
      </c>
      <c r="K43" s="88">
        <v>5</v>
      </c>
      <c r="L43" s="88">
        <v>4</v>
      </c>
      <c r="M43" s="88">
        <v>3</v>
      </c>
      <c r="N43" s="88">
        <v>2</v>
      </c>
      <c r="O43" s="88">
        <v>1</v>
      </c>
      <c r="P43" s="89"/>
      <c r="Q43" s="90">
        <f t="shared" si="3"/>
        <v>0</v>
      </c>
      <c r="R43" s="91">
        <f t="shared" si="4"/>
        <v>0</v>
      </c>
    </row>
    <row r="44" spans="1:18" s="92" customFormat="1" ht="147" customHeight="1" x14ac:dyDescent="0.25">
      <c r="A44" s="265">
        <v>7</v>
      </c>
      <c r="B44" s="266" t="s">
        <v>103</v>
      </c>
      <c r="C44" s="275">
        <f>0.25 *2.41484786458453</f>
        <v>0.60371196614613254</v>
      </c>
      <c r="D44" s="82" t="s">
        <v>104</v>
      </c>
      <c r="E44" s="83">
        <f>C44/2</f>
        <v>0.30185598307306627</v>
      </c>
      <c r="F44" s="83">
        <f t="shared" si="0"/>
        <v>0.88951390183155143</v>
      </c>
      <c r="G44" s="84" t="s">
        <v>105</v>
      </c>
      <c r="H44" s="93">
        <v>5</v>
      </c>
      <c r="I44" s="93" t="s">
        <v>57</v>
      </c>
      <c r="J44" s="87" t="s">
        <v>58</v>
      </c>
      <c r="K44" s="88">
        <v>5</v>
      </c>
      <c r="L44" s="88">
        <v>4</v>
      </c>
      <c r="M44" s="88">
        <v>3</v>
      </c>
      <c r="N44" s="88">
        <v>2</v>
      </c>
      <c r="O44" s="88">
        <v>1</v>
      </c>
      <c r="P44" s="89"/>
      <c r="Q44" s="90">
        <f t="shared" si="3"/>
        <v>0</v>
      </c>
      <c r="R44" s="91">
        <f t="shared" si="4"/>
        <v>0</v>
      </c>
    </row>
    <row r="45" spans="1:18" s="92" customFormat="1" ht="147" customHeight="1" x14ac:dyDescent="0.25">
      <c r="A45" s="271"/>
      <c r="B45" s="272"/>
      <c r="C45" s="276"/>
      <c r="D45" s="82" t="s">
        <v>106</v>
      </c>
      <c r="E45" s="83">
        <f>C44/2</f>
        <v>0.30185598307306627</v>
      </c>
      <c r="F45" s="83">
        <f t="shared" si="0"/>
        <v>0.88951390183155143</v>
      </c>
      <c r="G45" s="84" t="s">
        <v>107</v>
      </c>
      <c r="H45" s="94">
        <v>0.8</v>
      </c>
      <c r="I45" s="93" t="s">
        <v>49</v>
      </c>
      <c r="J45" s="87" t="s">
        <v>69</v>
      </c>
      <c r="K45" s="88">
        <v>80</v>
      </c>
      <c r="L45" s="88">
        <v>75</v>
      </c>
      <c r="M45" s="88">
        <v>70</v>
      </c>
      <c r="N45" s="88">
        <v>50</v>
      </c>
      <c r="O45" s="88" t="s">
        <v>70</v>
      </c>
      <c r="P45" s="89"/>
      <c r="Q45" s="90">
        <f t="shared" si="1"/>
        <v>0</v>
      </c>
      <c r="R45" s="91">
        <f t="shared" si="2"/>
        <v>0</v>
      </c>
    </row>
    <row r="46" spans="1:18" s="92" customFormat="1" ht="147" customHeight="1" x14ac:dyDescent="0.25">
      <c r="A46" s="265">
        <v>8</v>
      </c>
      <c r="B46" s="266" t="s">
        <v>108</v>
      </c>
      <c r="C46" s="275">
        <f>0.25 *0.804949288194844</f>
        <v>0.201237322048711</v>
      </c>
      <c r="D46" s="82" t="s">
        <v>109</v>
      </c>
      <c r="E46" s="83">
        <f>C46/2</f>
        <v>0.1006186610243555</v>
      </c>
      <c r="F46" s="83">
        <f t="shared" si="0"/>
        <v>0.29650463394385068</v>
      </c>
      <c r="G46" s="84" t="s">
        <v>110</v>
      </c>
      <c r="H46" s="93">
        <v>5</v>
      </c>
      <c r="I46" s="93" t="s">
        <v>57</v>
      </c>
      <c r="J46" s="87" t="s">
        <v>58</v>
      </c>
      <c r="K46" s="88">
        <v>5</v>
      </c>
      <c r="L46" s="88">
        <v>4</v>
      </c>
      <c r="M46" s="88">
        <v>3</v>
      </c>
      <c r="N46" s="88">
        <v>2</v>
      </c>
      <c r="O46" s="88">
        <v>1</v>
      </c>
      <c r="P46" s="89"/>
      <c r="Q46" s="90">
        <f t="shared" si="1"/>
        <v>0</v>
      </c>
      <c r="R46" s="91">
        <f t="shared" si="2"/>
        <v>0</v>
      </c>
    </row>
    <row r="47" spans="1:18" s="92" customFormat="1" ht="147" customHeight="1" x14ac:dyDescent="0.25">
      <c r="A47" s="271"/>
      <c r="B47" s="272"/>
      <c r="C47" s="276"/>
      <c r="D47" s="82" t="s">
        <v>111</v>
      </c>
      <c r="E47" s="83">
        <f>C46/2</f>
        <v>0.1006186610243555</v>
      </c>
      <c r="F47" s="83">
        <f t="shared" si="0"/>
        <v>0.29650463394385068</v>
      </c>
      <c r="G47" s="84" t="s">
        <v>112</v>
      </c>
      <c r="H47" s="94">
        <v>0.8</v>
      </c>
      <c r="I47" s="93" t="s">
        <v>49</v>
      </c>
      <c r="J47" s="87" t="s">
        <v>69</v>
      </c>
      <c r="K47" s="88">
        <v>80</v>
      </c>
      <c r="L47" s="88">
        <v>75</v>
      </c>
      <c r="M47" s="88">
        <v>70</v>
      </c>
      <c r="N47" s="88">
        <v>50</v>
      </c>
      <c r="O47" s="88" t="s">
        <v>70</v>
      </c>
      <c r="P47" s="89"/>
      <c r="Q47" s="90">
        <f t="shared" si="1"/>
        <v>0</v>
      </c>
      <c r="R47" s="91">
        <f t="shared" si="2"/>
        <v>0</v>
      </c>
    </row>
    <row r="48" spans="1:18" s="92" customFormat="1" ht="147" customHeight="1" x14ac:dyDescent="0.25">
      <c r="A48" s="81">
        <v>10</v>
      </c>
      <c r="B48" s="82" t="s">
        <v>113</v>
      </c>
      <c r="C48" s="95">
        <f>0.25 *0.321979715277938</f>
        <v>8.0494928819484501E-2</v>
      </c>
      <c r="D48" s="277" t="s">
        <v>114</v>
      </c>
      <c r="E48" s="83">
        <v>0.32197971527793745</v>
      </c>
      <c r="F48" s="83">
        <f t="shared" si="0"/>
        <v>0.94881482862032174</v>
      </c>
      <c r="G48" s="84" t="s">
        <v>115</v>
      </c>
      <c r="H48" s="85">
        <v>0.7</v>
      </c>
      <c r="I48" s="93" t="s">
        <v>49</v>
      </c>
      <c r="J48" s="87" t="s">
        <v>116</v>
      </c>
      <c r="K48" s="88">
        <v>70</v>
      </c>
      <c r="L48" s="88">
        <v>60</v>
      </c>
      <c r="M48" s="88">
        <v>50</v>
      </c>
      <c r="N48" s="88">
        <v>40</v>
      </c>
      <c r="O48" s="88" t="s">
        <v>117</v>
      </c>
      <c r="P48" s="89"/>
      <c r="Q48" s="90">
        <f t="shared" si="1"/>
        <v>0</v>
      </c>
      <c r="R48" s="91">
        <f t="shared" si="2"/>
        <v>0</v>
      </c>
    </row>
    <row r="49" spans="1:18" s="92" customFormat="1" ht="147" customHeight="1" x14ac:dyDescent="0.25">
      <c r="A49" s="81"/>
      <c r="B49" s="82" t="s">
        <v>118</v>
      </c>
      <c r="C49" s="95">
        <f>0.25 *0.321979715277938</f>
        <v>8.0494928819484501E-2</v>
      </c>
      <c r="D49" s="84" t="s">
        <v>119</v>
      </c>
      <c r="E49" s="83">
        <v>0.32197971527793745</v>
      </c>
      <c r="F49" s="83">
        <f t="shared" si="0"/>
        <v>0.94881482862032174</v>
      </c>
      <c r="G49" s="84" t="s">
        <v>120</v>
      </c>
      <c r="H49" s="85">
        <v>0.5</v>
      </c>
      <c r="I49" s="86" t="s">
        <v>49</v>
      </c>
      <c r="J49" s="87" t="s">
        <v>64</v>
      </c>
      <c r="K49" s="88">
        <v>50</v>
      </c>
      <c r="L49" s="88">
        <v>45</v>
      </c>
      <c r="M49" s="88">
        <v>40</v>
      </c>
      <c r="N49" s="88">
        <v>25</v>
      </c>
      <c r="O49" s="88" t="s">
        <v>65</v>
      </c>
      <c r="P49" s="89">
        <v>0</v>
      </c>
      <c r="Q49" s="90">
        <f t="shared" si="1"/>
        <v>0</v>
      </c>
      <c r="R49" s="91">
        <f t="shared" si="2"/>
        <v>0</v>
      </c>
    </row>
    <row r="50" spans="1:18" s="106" customFormat="1" ht="44.25" x14ac:dyDescent="0.25">
      <c r="A50" s="96"/>
      <c r="B50" s="97" t="s">
        <v>121</v>
      </c>
      <c r="C50" s="98">
        <f>SUM(C19:C49)</f>
        <v>33.451967526045834</v>
      </c>
      <c r="D50" s="97"/>
      <c r="E50" s="98">
        <f>SUM(E19:E49)</f>
        <v>33.934937098962756</v>
      </c>
      <c r="F50" s="98">
        <f>SUM(F19:F49)</f>
        <v>99.999999999999986</v>
      </c>
      <c r="G50" s="99"/>
      <c r="H50" s="100"/>
      <c r="I50" s="101"/>
      <c r="J50" s="102"/>
      <c r="K50" s="102"/>
      <c r="L50" s="102"/>
      <c r="M50" s="102"/>
      <c r="N50" s="102"/>
      <c r="O50" s="102"/>
      <c r="P50" s="103"/>
      <c r="Q50" s="104"/>
      <c r="R50" s="105">
        <f>SUM(R19:R49)</f>
        <v>0</v>
      </c>
    </row>
    <row r="51" spans="1:18" s="108" customFormat="1" ht="66" customHeight="1" x14ac:dyDescent="0.7">
      <c r="A51" s="107"/>
      <c r="G51" s="109"/>
      <c r="H51" s="109"/>
      <c r="I51" s="110" t="s">
        <v>171</v>
      </c>
      <c r="J51" s="111"/>
      <c r="K51" s="111"/>
      <c r="L51" s="111"/>
      <c r="M51" s="111"/>
      <c r="N51" s="111"/>
      <c r="O51" s="111"/>
      <c r="P51" s="111"/>
      <c r="Q51" s="112"/>
      <c r="R51" s="113">
        <f>R50/100 * 70</f>
        <v>0</v>
      </c>
    </row>
    <row r="52" spans="1:18" s="122" customFormat="1" ht="36" x14ac:dyDescent="0.55000000000000004">
      <c r="A52" s="114" t="s">
        <v>122</v>
      </c>
      <c r="B52" s="115"/>
      <c r="C52" s="115"/>
      <c r="D52" s="115"/>
      <c r="E52" s="115"/>
      <c r="F52" s="115"/>
      <c r="G52" s="116"/>
      <c r="H52" s="117"/>
      <c r="I52" s="117"/>
      <c r="J52" s="117"/>
      <c r="K52" s="117"/>
      <c r="L52" s="71" t="s">
        <v>127</v>
      </c>
      <c r="M52" s="118" t="s">
        <v>123</v>
      </c>
      <c r="N52" s="118"/>
      <c r="O52" s="118"/>
      <c r="P52" s="119"/>
      <c r="Q52" s="120"/>
      <c r="R52" s="121"/>
    </row>
    <row r="53" spans="1:18" s="122" customFormat="1" ht="31.5" customHeight="1" x14ac:dyDescent="0.55000000000000004">
      <c r="A53" s="123"/>
      <c r="B53" s="124"/>
      <c r="C53" s="125" t="s">
        <v>124</v>
      </c>
      <c r="D53" s="125"/>
      <c r="E53" s="125"/>
      <c r="F53" s="125"/>
      <c r="G53" s="125"/>
      <c r="H53" s="126" t="s">
        <v>172</v>
      </c>
      <c r="I53" s="126" t="s">
        <v>173</v>
      </c>
      <c r="J53" s="126"/>
      <c r="K53" s="127"/>
      <c r="L53" s="79"/>
      <c r="M53" s="128"/>
      <c r="N53" s="128"/>
      <c r="O53" s="128"/>
      <c r="P53" s="129"/>
      <c r="Q53" s="120"/>
      <c r="R53" s="121"/>
    </row>
    <row r="54" spans="1:18" s="122" customFormat="1" ht="36" customHeight="1" x14ac:dyDescent="0.55000000000000004">
      <c r="A54" s="130">
        <v>1</v>
      </c>
      <c r="B54" s="131" t="s">
        <v>128</v>
      </c>
      <c r="C54" s="132"/>
      <c r="D54" s="133"/>
      <c r="E54" s="133"/>
      <c r="F54" s="133"/>
      <c r="G54" s="134"/>
      <c r="H54" s="135"/>
      <c r="I54" s="135"/>
      <c r="J54" s="135"/>
      <c r="K54" s="135"/>
      <c r="L54" s="136"/>
      <c r="M54" s="137" t="s">
        <v>40</v>
      </c>
      <c r="N54" s="138" t="s">
        <v>129</v>
      </c>
      <c r="O54" s="139"/>
      <c r="P54" s="129"/>
      <c r="Q54" s="120"/>
      <c r="R54" s="121"/>
    </row>
    <row r="55" spans="1:18" s="122" customFormat="1" ht="84.75" customHeight="1" x14ac:dyDescent="0.55000000000000004">
      <c r="A55" s="140" t="s">
        <v>130</v>
      </c>
      <c r="B55" s="141" t="s">
        <v>174</v>
      </c>
      <c r="C55" s="142"/>
      <c r="D55" s="143"/>
      <c r="E55" s="143"/>
      <c r="F55" s="143"/>
      <c r="G55" s="144"/>
      <c r="H55" s="145">
        <v>4</v>
      </c>
      <c r="I55" s="146"/>
      <c r="J55" s="145"/>
      <c r="K55" s="145"/>
      <c r="L55" s="136"/>
      <c r="M55" s="137" t="s">
        <v>41</v>
      </c>
      <c r="N55" s="138" t="s">
        <v>131</v>
      </c>
      <c r="O55" s="139"/>
      <c r="P55" s="129"/>
      <c r="Q55" s="120"/>
      <c r="R55" s="121"/>
    </row>
    <row r="56" spans="1:18" s="122" customFormat="1" ht="82.5" customHeight="1" x14ac:dyDescent="0.55000000000000004">
      <c r="A56" s="140" t="s">
        <v>132</v>
      </c>
      <c r="B56" s="141" t="s">
        <v>175</v>
      </c>
      <c r="C56" s="142"/>
      <c r="D56" s="143"/>
      <c r="E56" s="143"/>
      <c r="F56" s="143"/>
      <c r="G56" s="144"/>
      <c r="H56" s="145">
        <v>2</v>
      </c>
      <c r="I56" s="146"/>
      <c r="J56" s="145"/>
      <c r="K56" s="145"/>
      <c r="L56" s="136"/>
      <c r="M56" s="137" t="s">
        <v>42</v>
      </c>
      <c r="N56" s="138" t="s">
        <v>133</v>
      </c>
      <c r="O56" s="139"/>
      <c r="P56" s="129"/>
      <c r="Q56" s="120"/>
      <c r="R56" s="121"/>
    </row>
    <row r="57" spans="1:18" s="122" customFormat="1" ht="78.75" customHeight="1" x14ac:dyDescent="0.55000000000000004">
      <c r="A57" s="140" t="s">
        <v>134</v>
      </c>
      <c r="B57" s="141" t="s">
        <v>135</v>
      </c>
      <c r="C57" s="142"/>
      <c r="D57" s="143"/>
      <c r="E57" s="143"/>
      <c r="F57" s="143"/>
      <c r="G57" s="144"/>
      <c r="H57" s="145">
        <v>2</v>
      </c>
      <c r="I57" s="146"/>
      <c r="J57" s="145"/>
      <c r="K57" s="145"/>
      <c r="L57" s="136"/>
      <c r="M57" s="137" t="s">
        <v>43</v>
      </c>
      <c r="N57" s="138" t="s">
        <v>136</v>
      </c>
      <c r="O57" s="139"/>
      <c r="P57" s="129"/>
      <c r="Q57" s="120"/>
      <c r="R57" s="121"/>
    </row>
    <row r="58" spans="1:18" s="122" customFormat="1" ht="36" x14ac:dyDescent="0.55000000000000004">
      <c r="A58" s="147">
        <v>2</v>
      </c>
      <c r="B58" s="148" t="s">
        <v>137</v>
      </c>
      <c r="C58" s="149"/>
      <c r="D58" s="150"/>
      <c r="E58" s="150"/>
      <c r="F58" s="150"/>
      <c r="G58" s="151"/>
      <c r="H58" s="145"/>
      <c r="I58" s="146"/>
      <c r="J58" s="145"/>
      <c r="K58" s="145"/>
      <c r="L58" s="136"/>
      <c r="M58" s="137" t="s">
        <v>44</v>
      </c>
      <c r="N58" s="138" t="s">
        <v>138</v>
      </c>
      <c r="O58" s="139"/>
      <c r="P58" s="129"/>
      <c r="Q58" s="120"/>
      <c r="R58" s="121"/>
    </row>
    <row r="59" spans="1:18" s="122" customFormat="1" ht="82.5" customHeight="1" x14ac:dyDescent="0.55000000000000004">
      <c r="A59" s="140" t="s">
        <v>130</v>
      </c>
      <c r="B59" s="152" t="s">
        <v>176</v>
      </c>
      <c r="C59" s="153"/>
      <c r="D59" s="154"/>
      <c r="E59" s="154"/>
      <c r="F59" s="154"/>
      <c r="G59" s="155"/>
      <c r="H59" s="145">
        <v>2</v>
      </c>
      <c r="I59" s="146"/>
      <c r="J59" s="145"/>
      <c r="K59" s="145"/>
      <c r="L59" s="136"/>
      <c r="M59" s="137" t="s">
        <v>45</v>
      </c>
      <c r="N59" s="138" t="s">
        <v>139</v>
      </c>
      <c r="O59" s="139"/>
      <c r="P59" s="156"/>
      <c r="Q59" s="120"/>
      <c r="R59" s="121"/>
    </row>
    <row r="60" spans="1:18" s="122" customFormat="1" ht="114.75" customHeight="1" x14ac:dyDescent="0.55000000000000004">
      <c r="A60" s="140" t="s">
        <v>132</v>
      </c>
      <c r="B60" s="152" t="s">
        <v>177</v>
      </c>
      <c r="C60" s="153"/>
      <c r="D60" s="154"/>
      <c r="E60" s="154"/>
      <c r="F60" s="154"/>
      <c r="G60" s="155"/>
      <c r="H60" s="145">
        <v>2</v>
      </c>
      <c r="I60" s="146"/>
      <c r="J60" s="145"/>
      <c r="K60" s="145"/>
      <c r="L60" s="136"/>
      <c r="M60" s="129" t="s">
        <v>127</v>
      </c>
      <c r="N60" s="157" t="s">
        <v>140</v>
      </c>
      <c r="O60" s="158"/>
      <c r="P60" s="156"/>
      <c r="Q60" s="120"/>
      <c r="R60" s="121"/>
    </row>
    <row r="61" spans="1:18" s="122" customFormat="1" ht="72" customHeight="1" x14ac:dyDescent="0.55000000000000004">
      <c r="A61" s="140" t="s">
        <v>134</v>
      </c>
      <c r="B61" s="152" t="s">
        <v>178</v>
      </c>
      <c r="C61" s="153"/>
      <c r="D61" s="154"/>
      <c r="E61" s="154"/>
      <c r="F61" s="154"/>
      <c r="G61" s="155"/>
      <c r="H61" s="145">
        <v>2</v>
      </c>
      <c r="I61" s="146"/>
      <c r="J61" s="145"/>
      <c r="K61" s="145"/>
      <c r="L61" s="136"/>
      <c r="M61" s="129" t="s">
        <v>141</v>
      </c>
      <c r="N61" s="157" t="s">
        <v>142</v>
      </c>
      <c r="O61" s="158"/>
      <c r="P61" s="156"/>
      <c r="Q61" s="120"/>
      <c r="R61" s="121"/>
    </row>
    <row r="62" spans="1:18" s="122" customFormat="1" ht="66" customHeight="1" x14ac:dyDescent="0.55000000000000004">
      <c r="A62" s="147">
        <v>3</v>
      </c>
      <c r="B62" s="148" t="s">
        <v>143</v>
      </c>
      <c r="C62" s="149"/>
      <c r="D62" s="150"/>
      <c r="E62" s="150"/>
      <c r="F62" s="150"/>
      <c r="G62" s="151"/>
      <c r="H62" s="145"/>
      <c r="I62" s="146"/>
      <c r="J62" s="145"/>
      <c r="K62" s="145"/>
      <c r="L62" s="136"/>
      <c r="M62" s="129" t="s">
        <v>125</v>
      </c>
      <c r="N62" s="157" t="s">
        <v>144</v>
      </c>
      <c r="O62" s="158"/>
      <c r="P62" s="156"/>
      <c r="Q62" s="120"/>
      <c r="R62" s="121"/>
    </row>
    <row r="63" spans="1:18" s="122" customFormat="1" ht="72" customHeight="1" x14ac:dyDescent="0.55000000000000004">
      <c r="A63" s="140" t="s">
        <v>130</v>
      </c>
      <c r="B63" s="152" t="s">
        <v>145</v>
      </c>
      <c r="C63" s="159"/>
      <c r="D63" s="160"/>
      <c r="E63" s="160"/>
      <c r="F63" s="160"/>
      <c r="G63" s="161"/>
      <c r="H63" s="145">
        <v>2</v>
      </c>
      <c r="I63" s="146"/>
      <c r="J63" s="145"/>
      <c r="K63" s="145"/>
      <c r="L63" s="136"/>
      <c r="M63" s="129" t="s">
        <v>126</v>
      </c>
      <c r="N63" s="157" t="s">
        <v>146</v>
      </c>
      <c r="O63" s="158"/>
      <c r="P63" s="156"/>
      <c r="Q63" s="120"/>
      <c r="R63" s="121"/>
    </row>
    <row r="64" spans="1:18" s="122" customFormat="1" ht="72" customHeight="1" x14ac:dyDescent="0.55000000000000004">
      <c r="A64" s="140" t="s">
        <v>132</v>
      </c>
      <c r="B64" s="152" t="s">
        <v>179</v>
      </c>
      <c r="C64" s="159"/>
      <c r="D64" s="160"/>
      <c r="E64" s="160"/>
      <c r="F64" s="160"/>
      <c r="G64" s="161"/>
      <c r="H64" s="145">
        <v>2</v>
      </c>
      <c r="I64" s="146"/>
      <c r="J64" s="145"/>
      <c r="K64" s="145"/>
      <c r="L64" s="136"/>
      <c r="M64" s="129" t="s">
        <v>147</v>
      </c>
      <c r="N64" s="157" t="s">
        <v>148</v>
      </c>
      <c r="O64" s="158"/>
      <c r="P64" s="156"/>
      <c r="Q64" s="120"/>
      <c r="R64" s="121"/>
    </row>
    <row r="65" spans="1:18" s="122" customFormat="1" ht="44.25" customHeight="1" x14ac:dyDescent="0.55000000000000004">
      <c r="A65" s="140" t="s">
        <v>134</v>
      </c>
      <c r="B65" s="152" t="s">
        <v>180</v>
      </c>
      <c r="C65" s="159"/>
      <c r="D65" s="160"/>
      <c r="E65" s="160"/>
      <c r="F65" s="160"/>
      <c r="G65" s="161"/>
      <c r="H65" s="145">
        <v>2</v>
      </c>
      <c r="I65" s="146"/>
      <c r="J65" s="145"/>
      <c r="K65" s="145"/>
      <c r="L65" s="136"/>
      <c r="M65" s="162"/>
      <c r="N65" s="162"/>
      <c r="O65" s="162"/>
      <c r="P65" s="163"/>
      <c r="Q65" s="120"/>
      <c r="R65" s="121"/>
    </row>
    <row r="66" spans="1:18" s="122" customFormat="1" ht="31.5" customHeight="1" x14ac:dyDescent="0.55000000000000004">
      <c r="A66" s="164" t="s">
        <v>149</v>
      </c>
      <c r="B66" s="165"/>
      <c r="C66" s="165"/>
      <c r="D66" s="165"/>
      <c r="E66" s="165"/>
      <c r="F66" s="165"/>
      <c r="G66" s="165"/>
      <c r="H66" s="166">
        <f>SUM(H55:H65)</f>
        <v>20</v>
      </c>
      <c r="I66" s="166">
        <f>SUM(I55:I65)</f>
        <v>0</v>
      </c>
      <c r="J66" s="166"/>
      <c r="K66" s="167"/>
      <c r="L66" s="136"/>
      <c r="M66" s="162"/>
      <c r="N66" s="162"/>
      <c r="O66" s="162"/>
      <c r="P66" s="163"/>
      <c r="Q66" s="120"/>
      <c r="R66" s="121"/>
    </row>
    <row r="67" spans="1:18" s="122" customFormat="1" ht="36" customHeight="1" x14ac:dyDescent="0.55000000000000004">
      <c r="A67" s="168" t="s">
        <v>130</v>
      </c>
      <c r="B67" s="169" t="s">
        <v>150</v>
      </c>
      <c r="C67" s="153" t="s">
        <v>151</v>
      </c>
      <c r="D67" s="154"/>
      <c r="E67" s="154"/>
      <c r="F67" s="154"/>
      <c r="G67" s="155"/>
      <c r="H67" s="170">
        <v>4</v>
      </c>
      <c r="I67" s="171"/>
      <c r="J67" s="170"/>
      <c r="K67" s="172"/>
      <c r="L67" s="136"/>
      <c r="M67" s="162"/>
      <c r="N67" s="162"/>
      <c r="O67" s="162"/>
      <c r="P67" s="163"/>
      <c r="Q67" s="120"/>
      <c r="R67" s="121"/>
    </row>
    <row r="68" spans="1:18" s="122" customFormat="1" ht="129" customHeight="1" x14ac:dyDescent="0.55000000000000004">
      <c r="A68" s="168" t="s">
        <v>132</v>
      </c>
      <c r="B68" s="169" t="s">
        <v>152</v>
      </c>
      <c r="C68" s="153" t="s">
        <v>153</v>
      </c>
      <c r="D68" s="154"/>
      <c r="E68" s="154"/>
      <c r="F68" s="154"/>
      <c r="G68" s="155"/>
      <c r="H68" s="170">
        <v>3</v>
      </c>
      <c r="I68" s="171"/>
      <c r="J68" s="170"/>
      <c r="K68" s="172"/>
      <c r="L68" s="136"/>
      <c r="M68" s="162"/>
      <c r="N68" s="162"/>
      <c r="O68" s="162"/>
      <c r="P68" s="163"/>
      <c r="Q68" s="120"/>
      <c r="R68" s="121"/>
    </row>
    <row r="69" spans="1:18" s="122" customFormat="1" ht="69" customHeight="1" x14ac:dyDescent="0.55000000000000004">
      <c r="A69" s="168" t="s">
        <v>132</v>
      </c>
      <c r="B69" s="169" t="s">
        <v>154</v>
      </c>
      <c r="C69" s="153" t="s">
        <v>155</v>
      </c>
      <c r="D69" s="154"/>
      <c r="E69" s="154"/>
      <c r="F69" s="154"/>
      <c r="G69" s="155"/>
      <c r="H69" s="170">
        <v>3</v>
      </c>
      <c r="I69" s="171"/>
      <c r="J69" s="170"/>
      <c r="K69" s="172"/>
      <c r="L69" s="136"/>
      <c r="M69" s="162"/>
      <c r="N69" s="162"/>
      <c r="O69" s="162"/>
      <c r="P69" s="163"/>
      <c r="Q69" s="120"/>
      <c r="R69" s="121"/>
    </row>
    <row r="70" spans="1:18" s="122" customFormat="1" ht="46.5" customHeight="1" x14ac:dyDescent="0.55000000000000004">
      <c r="A70" s="173"/>
      <c r="B70" s="174" t="s">
        <v>156</v>
      </c>
      <c r="C70" s="174"/>
      <c r="D70" s="174"/>
      <c r="E70" s="175"/>
      <c r="F70" s="175"/>
      <c r="G70" s="175"/>
      <c r="H70" s="166">
        <f>SUM(H67:H69)</f>
        <v>10</v>
      </c>
      <c r="I70" s="166">
        <f>SUM(I67:I69)</f>
        <v>0</v>
      </c>
      <c r="J70" s="175"/>
      <c r="K70" s="176"/>
      <c r="L70" s="162"/>
      <c r="M70" s="162"/>
      <c r="N70" s="162"/>
      <c r="O70" s="162"/>
      <c r="P70" s="163"/>
      <c r="Q70" s="120"/>
      <c r="R70" s="121"/>
    </row>
    <row r="71" spans="1:18" s="184" customFormat="1" ht="45" customHeight="1" x14ac:dyDescent="0.7">
      <c r="A71" s="177"/>
      <c r="B71" s="178"/>
      <c r="C71" s="179"/>
      <c r="D71" s="179"/>
      <c r="E71" s="179"/>
      <c r="F71" s="180"/>
      <c r="G71" s="180"/>
      <c r="H71" s="180"/>
      <c r="I71" s="180"/>
      <c r="J71" s="180"/>
      <c r="K71" s="179"/>
      <c r="L71" s="179"/>
      <c r="M71" s="179"/>
      <c r="N71" s="179"/>
      <c r="O71" s="181" t="s">
        <v>181</v>
      </c>
      <c r="P71" s="182"/>
      <c r="Q71" s="181" t="s">
        <v>182</v>
      </c>
      <c r="R71" s="183"/>
    </row>
    <row r="72" spans="1:18" s="184" customFormat="1" ht="45" customHeight="1" x14ac:dyDescent="0.7">
      <c r="A72" s="177"/>
      <c r="B72" s="185"/>
      <c r="C72" s="186" t="s">
        <v>183</v>
      </c>
      <c r="D72" s="187"/>
      <c r="E72" s="187"/>
      <c r="F72" s="187"/>
      <c r="G72" s="187"/>
      <c r="H72" s="187"/>
      <c r="I72" s="187"/>
      <c r="J72" s="187"/>
      <c r="K72" s="188"/>
      <c r="L72" s="189"/>
      <c r="M72" s="190"/>
      <c r="N72" s="191"/>
      <c r="O72" s="192">
        <f>R51</f>
        <v>0</v>
      </c>
      <c r="P72" s="193"/>
      <c r="Q72" s="194">
        <f>O75/100 * 20</f>
        <v>0</v>
      </c>
      <c r="R72" s="195"/>
    </row>
    <row r="73" spans="1:18" s="184" customFormat="1" ht="45" customHeight="1" x14ac:dyDescent="0.7">
      <c r="A73" s="177"/>
      <c r="B73" s="185"/>
      <c r="C73" s="187" t="s">
        <v>184</v>
      </c>
      <c r="D73" s="187"/>
      <c r="E73" s="187"/>
      <c r="F73" s="187"/>
      <c r="G73" s="187"/>
      <c r="H73" s="187"/>
      <c r="I73" s="187"/>
      <c r="J73" s="187"/>
      <c r="K73" s="187"/>
      <c r="L73" s="190"/>
      <c r="M73" s="190"/>
      <c r="N73" s="191"/>
      <c r="O73" s="192">
        <f>I66</f>
        <v>0</v>
      </c>
      <c r="P73" s="193"/>
      <c r="Q73" s="196"/>
      <c r="R73" s="197"/>
    </row>
    <row r="74" spans="1:18" s="184" customFormat="1" ht="45" customHeight="1" x14ac:dyDescent="0.7">
      <c r="A74" s="177"/>
      <c r="B74" s="185"/>
      <c r="C74" s="186" t="s">
        <v>185</v>
      </c>
      <c r="D74" s="187"/>
      <c r="E74" s="187"/>
      <c r="F74" s="187"/>
      <c r="G74" s="187"/>
      <c r="H74" s="187"/>
      <c r="I74" s="187"/>
      <c r="J74" s="187"/>
      <c r="K74" s="188"/>
      <c r="L74" s="189"/>
      <c r="M74" s="190"/>
      <c r="N74" s="191"/>
      <c r="O74" s="192">
        <f>I70</f>
        <v>0</v>
      </c>
      <c r="P74" s="193"/>
      <c r="Q74" s="196"/>
      <c r="R74" s="197"/>
    </row>
    <row r="75" spans="1:18" s="184" customFormat="1" ht="45" customHeight="1" x14ac:dyDescent="0.7">
      <c r="A75" s="177"/>
      <c r="B75" s="198"/>
      <c r="C75" s="186" t="s">
        <v>186</v>
      </c>
      <c r="D75" s="187"/>
      <c r="E75" s="187"/>
      <c r="F75" s="187"/>
      <c r="G75" s="187"/>
      <c r="H75" s="187"/>
      <c r="I75" s="187"/>
      <c r="J75" s="187"/>
      <c r="K75" s="188"/>
      <c r="L75" s="189"/>
      <c r="M75" s="190"/>
      <c r="N75" s="191"/>
      <c r="O75" s="192">
        <f>SUM(O72:P74)</f>
        <v>0</v>
      </c>
      <c r="P75" s="193"/>
      <c r="Q75" s="199"/>
      <c r="R75" s="200"/>
    </row>
    <row r="76" spans="1:18" s="184" customFormat="1" ht="64.900000000000006" customHeight="1" x14ac:dyDescent="0.7">
      <c r="A76" s="177"/>
      <c r="B76" s="201" t="s">
        <v>187</v>
      </c>
      <c r="C76" s="201"/>
      <c r="D76" s="201"/>
      <c r="E76" s="201"/>
      <c r="F76" s="201"/>
      <c r="G76" s="201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s="184" customFormat="1" ht="64.900000000000006" customHeight="1" x14ac:dyDescent="0.7">
      <c r="A77" s="177"/>
      <c r="B77" s="204" t="s">
        <v>188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5"/>
    </row>
    <row r="78" spans="1:18" s="184" customFormat="1" ht="48.75" customHeight="1" x14ac:dyDescent="0.7">
      <c r="A78" s="177"/>
      <c r="B78" s="206" t="s">
        <v>189</v>
      </c>
      <c r="C78" s="206"/>
      <c r="D78" s="206"/>
      <c r="E78" s="206"/>
      <c r="F78" s="206"/>
      <c r="G78" s="206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8"/>
    </row>
    <row r="79" spans="1:18" s="184" customFormat="1" ht="45.75" x14ac:dyDescent="0.7">
      <c r="A79" s="177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5"/>
    </row>
    <row r="80" spans="1:18" s="122" customFormat="1" ht="31.5" customHeight="1" x14ac:dyDescent="0.55000000000000004">
      <c r="A80" s="209" t="s">
        <v>190</v>
      </c>
      <c r="B80" s="210"/>
      <c r="C80" s="211"/>
      <c r="D80" s="212"/>
      <c r="E80" s="213" t="s">
        <v>191</v>
      </c>
      <c r="F80" s="214"/>
      <c r="G80" s="210" t="s">
        <v>192</v>
      </c>
      <c r="H80" s="211"/>
      <c r="I80" s="211"/>
      <c r="J80" s="211"/>
      <c r="K80" s="215"/>
      <c r="L80" s="136"/>
      <c r="M80" s="216"/>
      <c r="N80" s="216"/>
      <c r="O80" s="216"/>
      <c r="P80" s="216"/>
      <c r="Q80" s="216"/>
      <c r="R80" s="121"/>
    </row>
    <row r="81" spans="1:18" s="122" customFormat="1" ht="31.5" customHeight="1" x14ac:dyDescent="0.55000000000000004">
      <c r="A81" s="217"/>
      <c r="B81" s="218"/>
      <c r="C81" s="219"/>
      <c r="D81" s="220"/>
      <c r="E81" s="221"/>
      <c r="F81" s="222"/>
      <c r="G81" s="218"/>
      <c r="H81" s="219"/>
      <c r="I81" s="219"/>
      <c r="J81" s="219"/>
      <c r="K81" s="215"/>
      <c r="L81" s="136"/>
      <c r="M81" s="223"/>
      <c r="N81" s="223"/>
      <c r="O81" s="223"/>
      <c r="P81" s="223"/>
      <c r="Q81" s="223"/>
      <c r="R81" s="121"/>
    </row>
    <row r="82" spans="1:18" s="122" customFormat="1" ht="31.5" customHeight="1" x14ac:dyDescent="0.55000000000000004">
      <c r="A82" s="217"/>
      <c r="B82" s="218"/>
      <c r="C82" s="219"/>
      <c r="D82" s="220"/>
      <c r="E82" s="221"/>
      <c r="F82" s="222"/>
      <c r="G82" s="218"/>
      <c r="H82" s="219"/>
      <c r="I82" s="219"/>
      <c r="J82" s="219"/>
      <c r="K82" s="215"/>
      <c r="L82" s="136"/>
      <c r="M82" s="223"/>
      <c r="N82" s="223"/>
      <c r="O82" s="223"/>
      <c r="P82" s="223"/>
      <c r="Q82" s="223"/>
      <c r="R82" s="121"/>
    </row>
    <row r="83" spans="1:18" s="122" customFormat="1" ht="31.5" customHeight="1" x14ac:dyDescent="0.55000000000000004">
      <c r="A83" s="224"/>
      <c r="B83" s="225"/>
      <c r="C83" s="226"/>
      <c r="D83" s="227"/>
      <c r="E83" s="228"/>
      <c r="F83" s="229"/>
      <c r="G83" s="225"/>
      <c r="H83" s="226"/>
      <c r="I83" s="226"/>
      <c r="J83" s="226"/>
      <c r="K83" s="215"/>
      <c r="L83" s="136"/>
      <c r="M83" s="223"/>
      <c r="N83" s="223"/>
      <c r="O83" s="223"/>
      <c r="P83" s="223"/>
      <c r="Q83" s="223"/>
      <c r="R83" s="121"/>
    </row>
    <row r="84" spans="1:18" s="122" customFormat="1" ht="31.5" customHeight="1" x14ac:dyDescent="0.55000000000000004">
      <c r="A84" s="230" t="s">
        <v>157</v>
      </c>
      <c r="B84" s="231"/>
      <c r="C84" s="211"/>
      <c r="D84" s="212"/>
      <c r="E84" s="232" t="s">
        <v>193</v>
      </c>
      <c r="F84" s="214"/>
      <c r="G84" s="231" t="s">
        <v>193</v>
      </c>
      <c r="H84" s="211"/>
      <c r="I84" s="211"/>
      <c r="J84" s="211"/>
      <c r="K84" s="215"/>
      <c r="L84" s="136"/>
      <c r="M84" s="223"/>
      <c r="N84" s="223"/>
      <c r="O84" s="223"/>
      <c r="P84" s="223"/>
      <c r="Q84" s="223"/>
      <c r="R84" s="121"/>
    </row>
    <row r="85" spans="1:18" s="122" customFormat="1" ht="31.5" customHeight="1" x14ac:dyDescent="0.55000000000000004">
      <c r="A85" s="233"/>
      <c r="B85" s="234"/>
      <c r="C85" s="219"/>
      <c r="D85" s="220"/>
      <c r="E85" s="235"/>
      <c r="F85" s="222"/>
      <c r="G85" s="234"/>
      <c r="H85" s="219"/>
      <c r="I85" s="219"/>
      <c r="J85" s="219"/>
      <c r="K85" s="215"/>
      <c r="L85" s="136"/>
      <c r="M85" s="223"/>
      <c r="N85" s="223"/>
      <c r="O85" s="223"/>
      <c r="P85" s="223"/>
      <c r="Q85" s="223"/>
      <c r="R85" s="121"/>
    </row>
    <row r="86" spans="1:18" s="122" customFormat="1" ht="31.5" customHeight="1" x14ac:dyDescent="0.55000000000000004">
      <c r="A86" s="233"/>
      <c r="B86" s="234"/>
      <c r="C86" s="226"/>
      <c r="D86" s="227"/>
      <c r="E86" s="236"/>
      <c r="F86" s="229"/>
      <c r="G86" s="237"/>
      <c r="H86" s="226"/>
      <c r="I86" s="226"/>
      <c r="J86" s="226"/>
      <c r="K86" s="215"/>
      <c r="L86" s="136"/>
      <c r="M86" s="223"/>
      <c r="N86" s="223"/>
      <c r="O86" s="223"/>
      <c r="P86" s="223"/>
      <c r="Q86" s="223"/>
      <c r="R86" s="121"/>
    </row>
    <row r="87" spans="1:18" s="122" customFormat="1" ht="31.5" customHeight="1" x14ac:dyDescent="0.55000000000000004">
      <c r="A87" s="217" t="s">
        <v>158</v>
      </c>
      <c r="B87" s="218"/>
      <c r="C87" s="211"/>
      <c r="D87" s="212"/>
      <c r="E87" s="213" t="s">
        <v>194</v>
      </c>
      <c r="F87" s="214"/>
      <c r="G87" s="210" t="s">
        <v>194</v>
      </c>
      <c r="H87" s="211"/>
      <c r="I87" s="211"/>
      <c r="J87" s="211"/>
      <c r="K87" s="215"/>
      <c r="L87" s="136"/>
      <c r="M87" s="223"/>
      <c r="N87" s="223"/>
      <c r="O87" s="223"/>
      <c r="P87" s="223"/>
      <c r="Q87" s="223"/>
      <c r="R87" s="121"/>
    </row>
    <row r="88" spans="1:18" s="122" customFormat="1" ht="31.5" customHeight="1" x14ac:dyDescent="0.55000000000000004">
      <c r="A88" s="217"/>
      <c r="B88" s="218"/>
      <c r="C88" s="226"/>
      <c r="D88" s="227"/>
      <c r="E88" s="228"/>
      <c r="F88" s="229"/>
      <c r="G88" s="225"/>
      <c r="H88" s="226"/>
      <c r="I88" s="226"/>
      <c r="J88" s="226"/>
      <c r="K88" s="215"/>
      <c r="L88" s="136"/>
      <c r="M88" s="223"/>
      <c r="N88" s="223"/>
      <c r="O88" s="223"/>
      <c r="P88" s="223"/>
      <c r="Q88" s="223"/>
      <c r="R88" s="121"/>
    </row>
    <row r="89" spans="1:18" s="122" customFormat="1" ht="31.5" customHeight="1" thickBot="1" x14ac:dyDescent="0.6">
      <c r="A89" s="238"/>
      <c r="B89" s="239"/>
      <c r="C89" s="239"/>
      <c r="D89" s="239"/>
      <c r="E89" s="239"/>
      <c r="F89" s="239"/>
      <c r="G89" s="239"/>
      <c r="H89" s="239"/>
      <c r="I89" s="239"/>
      <c r="J89" s="239"/>
      <c r="K89" s="240"/>
      <c r="L89" s="241"/>
      <c r="M89" s="242"/>
      <c r="N89" s="242"/>
      <c r="O89" s="242"/>
      <c r="P89" s="242"/>
      <c r="Q89" s="242"/>
      <c r="R89" s="243"/>
    </row>
  </sheetData>
  <mergeCells count="119">
    <mergeCell ref="A46:A47"/>
    <mergeCell ref="B46:B47"/>
    <mergeCell ref="C46:C47"/>
    <mergeCell ref="A89:J89"/>
    <mergeCell ref="A19:A23"/>
    <mergeCell ref="B19:B23"/>
    <mergeCell ref="C19:C23"/>
    <mergeCell ref="A25:A34"/>
    <mergeCell ref="B25:B34"/>
    <mergeCell ref="C25:C34"/>
    <mergeCell ref="A35:A42"/>
    <mergeCell ref="B35:B42"/>
    <mergeCell ref="C35:C42"/>
    <mergeCell ref="A87:B88"/>
    <mergeCell ref="C87:D88"/>
    <mergeCell ref="E87:E88"/>
    <mergeCell ref="F87:F88"/>
    <mergeCell ref="G87:G88"/>
    <mergeCell ref="H87:J88"/>
    <mergeCell ref="A84:B86"/>
    <mergeCell ref="C84:D86"/>
    <mergeCell ref="E84:E86"/>
    <mergeCell ref="F84:F86"/>
    <mergeCell ref="G84:G86"/>
    <mergeCell ref="H84:J86"/>
    <mergeCell ref="B77:R77"/>
    <mergeCell ref="B78:G78"/>
    <mergeCell ref="B79:R79"/>
    <mergeCell ref="A80:B83"/>
    <mergeCell ref="C80:D83"/>
    <mergeCell ref="E80:E83"/>
    <mergeCell ref="F80:F83"/>
    <mergeCell ref="G80:G83"/>
    <mergeCell ref="H80:J83"/>
    <mergeCell ref="M80:Q89"/>
    <mergeCell ref="L74:N74"/>
    <mergeCell ref="O74:P74"/>
    <mergeCell ref="C75:K75"/>
    <mergeCell ref="L75:N75"/>
    <mergeCell ref="O75:P75"/>
    <mergeCell ref="B76:G76"/>
    <mergeCell ref="O71:P71"/>
    <mergeCell ref="Q71:R71"/>
    <mergeCell ref="C72:K72"/>
    <mergeCell ref="L72:N72"/>
    <mergeCell ref="O72:P72"/>
    <mergeCell ref="Q72:R75"/>
    <mergeCell ref="C73:K73"/>
    <mergeCell ref="L73:N73"/>
    <mergeCell ref="O73:P73"/>
    <mergeCell ref="C74:K74"/>
    <mergeCell ref="A66:G66"/>
    <mergeCell ref="C67:G67"/>
    <mergeCell ref="C68:G68"/>
    <mergeCell ref="C69:G69"/>
    <mergeCell ref="B70:D70"/>
    <mergeCell ref="B71:B75"/>
    <mergeCell ref="F71:J71"/>
    <mergeCell ref="C60:G60"/>
    <mergeCell ref="C61:G61"/>
    <mergeCell ref="C62:G62"/>
    <mergeCell ref="C63:G63"/>
    <mergeCell ref="C64:G64"/>
    <mergeCell ref="C65:G65"/>
    <mergeCell ref="C57:G57"/>
    <mergeCell ref="N57:O57"/>
    <mergeCell ref="C58:G58"/>
    <mergeCell ref="N58:O58"/>
    <mergeCell ref="C59:G59"/>
    <mergeCell ref="N59:O59"/>
    <mergeCell ref="C54:G54"/>
    <mergeCell ref="N54:O54"/>
    <mergeCell ref="C55:G55"/>
    <mergeCell ref="N55:O55"/>
    <mergeCell ref="C56:G56"/>
    <mergeCell ref="N56:O56"/>
    <mergeCell ref="R17:R18"/>
    <mergeCell ref="I51:Q51"/>
    <mergeCell ref="A52:G52"/>
    <mergeCell ref="H52:K52"/>
    <mergeCell ref="L52:L53"/>
    <mergeCell ref="C53:G53"/>
    <mergeCell ref="D35:D42"/>
    <mergeCell ref="A44:A45"/>
    <mergeCell ref="B44:B45"/>
    <mergeCell ref="C44:C45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4F244888-49A4-44AF-A197-4F71D8FF5625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BB3C-7C29-4EF6-9B38-CFFB66FA8A02}">
  <sheetPr>
    <pageSetUpPr fitToPage="1"/>
  </sheetPr>
  <dimension ref="A1:R89"/>
  <sheetViews>
    <sheetView topLeftCell="H5" zoomScale="30" zoomScaleNormal="30" workbookViewId="0">
      <selection activeCell="A19" sqref="A19:O49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195</v>
      </c>
      <c r="C5" s="16" t="s">
        <v>2</v>
      </c>
      <c r="D5" s="17" t="s">
        <v>196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.75" x14ac:dyDescent="0.6">
      <c r="A8" s="255" t="s">
        <v>12</v>
      </c>
      <c r="B8" s="256"/>
      <c r="C8" s="257">
        <v>88712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54" customFormat="1" ht="39" x14ac:dyDescent="0.6">
      <c r="A10" s="247" t="s">
        <v>4</v>
      </c>
      <c r="B10" s="248"/>
      <c r="C10" s="249" t="s">
        <v>18</v>
      </c>
      <c r="D10" s="250" t="s">
        <v>6</v>
      </c>
      <c r="E10" s="249" t="s">
        <v>19</v>
      </c>
      <c r="F10" s="250" t="s">
        <v>8</v>
      </c>
      <c r="G10" s="251" t="s">
        <v>20</v>
      </c>
      <c r="H10" s="250" t="s">
        <v>10</v>
      </c>
      <c r="I10" s="252" t="s">
        <v>21</v>
      </c>
      <c r="J10" s="253"/>
      <c r="K10" s="21"/>
      <c r="L10" s="22"/>
      <c r="M10" s="22"/>
      <c r="N10" s="22"/>
      <c r="O10" s="22"/>
      <c r="P10" s="22"/>
      <c r="Q10" s="22"/>
      <c r="R10" s="23"/>
    </row>
    <row r="11" spans="1:18" s="254" customFormat="1" ht="39.75" x14ac:dyDescent="0.6">
      <c r="A11" s="255" t="s">
        <v>12</v>
      </c>
      <c r="B11" s="256"/>
      <c r="C11" s="257">
        <v>60694</v>
      </c>
      <c r="D11" s="258" t="s">
        <v>13</v>
      </c>
      <c r="E11" s="259" t="s">
        <v>22</v>
      </c>
      <c r="F11" s="258" t="s">
        <v>14</v>
      </c>
      <c r="G11" s="260"/>
      <c r="H11" s="258" t="s">
        <v>15</v>
      </c>
      <c r="I11" s="261" t="s">
        <v>16</v>
      </c>
      <c r="J11" s="262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10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63" t="s">
        <v>28</v>
      </c>
      <c r="F14" s="46" t="s">
        <v>14</v>
      </c>
      <c r="G14" s="264"/>
      <c r="H14" s="45" t="s">
        <v>15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162</v>
      </c>
      <c r="Q17" s="71" t="s">
        <v>163</v>
      </c>
      <c r="R17" s="72" t="s">
        <v>164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165</v>
      </c>
      <c r="K18" s="78" t="s">
        <v>166</v>
      </c>
      <c r="L18" s="78" t="s">
        <v>167</v>
      </c>
      <c r="M18" s="77" t="s">
        <v>168</v>
      </c>
      <c r="N18" s="77" t="s">
        <v>169</v>
      </c>
      <c r="O18" s="77" t="s">
        <v>170</v>
      </c>
      <c r="P18" s="79"/>
      <c r="Q18" s="79"/>
      <c r="R18" s="80"/>
    </row>
    <row r="19" spans="1:18" s="92" customFormat="1" ht="147" customHeight="1" x14ac:dyDescent="0.25">
      <c r="A19" s="265">
        <v>1</v>
      </c>
      <c r="B19" s="266" t="s">
        <v>46</v>
      </c>
      <c r="C19" s="267">
        <f>0.25 *1.28791886111175</f>
        <v>0.32197971527793751</v>
      </c>
      <c r="D19" s="82" t="s">
        <v>47</v>
      </c>
      <c r="E19" s="83">
        <f>C19/5</f>
        <v>6.4395943055587504E-2</v>
      </c>
      <c r="F19" s="83">
        <f t="shared" ref="F19:F49" si="0">E19/$E$50 * 100</f>
        <v>0.1897629657240644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49" si="1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49" si="2">F19*Q19/100</f>
        <v>0</v>
      </c>
    </row>
    <row r="20" spans="1:18" s="92" customFormat="1" ht="147" customHeight="1" x14ac:dyDescent="0.25">
      <c r="A20" s="268"/>
      <c r="B20" s="269"/>
      <c r="C20" s="270"/>
      <c r="D20" s="82" t="s">
        <v>51</v>
      </c>
      <c r="E20" s="83">
        <f>C19/5</f>
        <v>6.4395943055587504E-2</v>
      </c>
      <c r="F20" s="83">
        <f t="shared" si="0"/>
        <v>0.1897629657240644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1"/>
        <v>0</v>
      </c>
      <c r="R20" s="91">
        <f t="shared" si="2"/>
        <v>0</v>
      </c>
    </row>
    <row r="21" spans="1:18" s="92" customFormat="1" ht="147" customHeight="1" x14ac:dyDescent="0.25">
      <c r="A21" s="268"/>
      <c r="B21" s="269"/>
      <c r="C21" s="270"/>
      <c r="D21" s="82" t="s">
        <v>53</v>
      </c>
      <c r="E21" s="83">
        <f>C19/5</f>
        <v>6.4395943055587504E-2</v>
      </c>
      <c r="F21" s="83">
        <f t="shared" si="0"/>
        <v>0.1897629657240644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1"/>
        <v>0</v>
      </c>
      <c r="R21" s="91">
        <f t="shared" si="2"/>
        <v>0</v>
      </c>
    </row>
    <row r="22" spans="1:18" s="92" customFormat="1" ht="147" customHeight="1" x14ac:dyDescent="0.25">
      <c r="A22" s="268"/>
      <c r="B22" s="269"/>
      <c r="C22" s="270"/>
      <c r="D22" s="82" t="s">
        <v>55</v>
      </c>
      <c r="E22" s="83">
        <f>C19/5</f>
        <v>6.4395943055587504E-2</v>
      </c>
      <c r="F22" s="83">
        <f t="shared" si="0"/>
        <v>0.1897629657240644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1"/>
        <v>0</v>
      </c>
      <c r="R22" s="91">
        <f t="shared" si="2"/>
        <v>0</v>
      </c>
    </row>
    <row r="23" spans="1:18" s="92" customFormat="1" ht="147" customHeight="1" x14ac:dyDescent="0.25">
      <c r="A23" s="271"/>
      <c r="B23" s="272"/>
      <c r="C23" s="273"/>
      <c r="D23" s="82" t="s">
        <v>59</v>
      </c>
      <c r="E23" s="83">
        <f>C19/5</f>
        <v>6.4395943055587504E-2</v>
      </c>
      <c r="F23" s="83">
        <f t="shared" si="0"/>
        <v>0.1897629657240644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1"/>
        <v>0</v>
      </c>
      <c r="R23" s="91">
        <f t="shared" si="2"/>
        <v>0</v>
      </c>
    </row>
    <row r="24" spans="1:18" s="92" customFormat="1" ht="147" customHeight="1" x14ac:dyDescent="0.25">
      <c r="A24" s="81">
        <v>2</v>
      </c>
      <c r="B24" s="82" t="s">
        <v>61</v>
      </c>
      <c r="C24" s="274">
        <f>0.25 *0.77275131666705</f>
        <v>0.1931878291667625</v>
      </c>
      <c r="D24" s="82" t="s">
        <v>62</v>
      </c>
      <c r="E24" s="83">
        <f>C24</f>
        <v>0.1931878291667625</v>
      </c>
      <c r="F24" s="83">
        <f t="shared" si="0"/>
        <v>0.56928889717219311</v>
      </c>
      <c r="G24" s="84" t="s">
        <v>63</v>
      </c>
      <c r="H24" s="85">
        <v>0.5</v>
      </c>
      <c r="I24" s="86" t="s">
        <v>49</v>
      </c>
      <c r="J24" s="87" t="s">
        <v>64</v>
      </c>
      <c r="K24" s="88">
        <v>50</v>
      </c>
      <c r="L24" s="88">
        <v>45</v>
      </c>
      <c r="M24" s="88">
        <v>40</v>
      </c>
      <c r="N24" s="88">
        <v>25</v>
      </c>
      <c r="O24" s="88" t="s">
        <v>65</v>
      </c>
      <c r="P24" s="89"/>
      <c r="Q24" s="90">
        <f t="shared" si="1"/>
        <v>0</v>
      </c>
      <c r="R24" s="91">
        <f t="shared" si="2"/>
        <v>0</v>
      </c>
    </row>
    <row r="25" spans="1:18" s="92" customFormat="1" ht="147" customHeight="1" x14ac:dyDescent="0.25">
      <c r="A25" s="265">
        <v>2</v>
      </c>
      <c r="B25" s="266" t="s">
        <v>66</v>
      </c>
      <c r="C25" s="267">
        <f>0.25 *68.7196706607483</f>
        <v>17.179917665187077</v>
      </c>
      <c r="D25" s="82" t="s">
        <v>67</v>
      </c>
      <c r="E25" s="83">
        <f>C25/10</f>
        <v>1.7179917665187077</v>
      </c>
      <c r="F25" s="83">
        <f t="shared" si="0"/>
        <v>5.0626048355669981</v>
      </c>
      <c r="G25" s="82" t="s">
        <v>68</v>
      </c>
      <c r="H25" s="93">
        <v>80</v>
      </c>
      <c r="I25" s="93" t="s">
        <v>49</v>
      </c>
      <c r="J25" s="87" t="s">
        <v>69</v>
      </c>
      <c r="K25" s="88">
        <v>80</v>
      </c>
      <c r="L25" s="88">
        <v>75</v>
      </c>
      <c r="M25" s="88">
        <v>70</v>
      </c>
      <c r="N25" s="88">
        <v>50</v>
      </c>
      <c r="O25" s="88" t="s">
        <v>70</v>
      </c>
      <c r="P25" s="89"/>
      <c r="Q25" s="90">
        <f t="shared" si="1"/>
        <v>0</v>
      </c>
      <c r="R25" s="91">
        <f t="shared" si="2"/>
        <v>0</v>
      </c>
    </row>
    <row r="26" spans="1:18" s="92" customFormat="1" ht="147" customHeight="1" x14ac:dyDescent="0.25">
      <c r="A26" s="268"/>
      <c r="B26" s="269"/>
      <c r="C26" s="270"/>
      <c r="D26" s="82" t="s">
        <v>71</v>
      </c>
      <c r="E26" s="83">
        <f>C25/10</f>
        <v>1.7179917665187077</v>
      </c>
      <c r="F26" s="83">
        <f t="shared" si="0"/>
        <v>5.0626048355669981</v>
      </c>
      <c r="G26" s="82" t="s">
        <v>72</v>
      </c>
      <c r="H26" s="93">
        <v>80</v>
      </c>
      <c r="I26" s="93" t="s">
        <v>49</v>
      </c>
      <c r="J26" s="87" t="s">
        <v>69</v>
      </c>
      <c r="K26" s="88">
        <v>80</v>
      </c>
      <c r="L26" s="88">
        <v>75</v>
      </c>
      <c r="M26" s="88">
        <v>70</v>
      </c>
      <c r="N26" s="88">
        <v>50</v>
      </c>
      <c r="O26" s="88" t="s">
        <v>70</v>
      </c>
      <c r="P26" s="89"/>
      <c r="Q26" s="90">
        <f t="shared" si="1"/>
        <v>0</v>
      </c>
      <c r="R26" s="91">
        <f t="shared" si="2"/>
        <v>0</v>
      </c>
    </row>
    <row r="27" spans="1:18" s="92" customFormat="1" ht="147" customHeight="1" x14ac:dyDescent="0.25">
      <c r="A27" s="268"/>
      <c r="B27" s="269"/>
      <c r="C27" s="270"/>
      <c r="D27" s="82" t="s">
        <v>73</v>
      </c>
      <c r="E27" s="83">
        <f>C25/10</f>
        <v>1.7179917665187077</v>
      </c>
      <c r="F27" s="83">
        <f t="shared" si="0"/>
        <v>5.0626048355669981</v>
      </c>
      <c r="G27" s="82" t="s">
        <v>74</v>
      </c>
      <c r="H27" s="94">
        <v>0.9</v>
      </c>
      <c r="I27" s="93" t="s">
        <v>49</v>
      </c>
      <c r="J27" s="87" t="s">
        <v>75</v>
      </c>
      <c r="K27" s="88">
        <v>90</v>
      </c>
      <c r="L27" s="88">
        <v>80</v>
      </c>
      <c r="M27" s="88">
        <v>70</v>
      </c>
      <c r="N27" s="88">
        <v>50</v>
      </c>
      <c r="O27" s="88" t="s">
        <v>70</v>
      </c>
      <c r="P27" s="89"/>
      <c r="Q27" s="90">
        <f t="shared" ref="Q27:Q44" si="3">IF(OR(TRIM(P27)="",P27=0),0,
IF(P27&lt;N27,50,
IF(P27&lt;M27,60,
IF(P27&lt;L27,70,
IF(P27&lt;K27,80,
IF(ISNUMBER(J27),
    IF(P27&lt;J27,IF(P27&gt;=K27,90,80),100),
    IF(P27=K27,90,100)
))))))</f>
        <v>0</v>
      </c>
      <c r="R27" s="91">
        <f t="shared" ref="R27:R44" si="4">F27*Q27/100</f>
        <v>0</v>
      </c>
    </row>
    <row r="28" spans="1:18" s="92" customFormat="1" ht="147" customHeight="1" x14ac:dyDescent="0.25">
      <c r="A28" s="268"/>
      <c r="B28" s="269"/>
      <c r="C28" s="270"/>
      <c r="D28" s="82" t="s">
        <v>76</v>
      </c>
      <c r="E28" s="83">
        <f>C25/10</f>
        <v>1.7179917665187077</v>
      </c>
      <c r="F28" s="83">
        <f t="shared" si="0"/>
        <v>5.0626048355669981</v>
      </c>
      <c r="G28" s="82" t="s">
        <v>77</v>
      </c>
      <c r="H28" s="93">
        <v>80</v>
      </c>
      <c r="I28" s="93" t="s">
        <v>49</v>
      </c>
      <c r="J28" s="87" t="s">
        <v>69</v>
      </c>
      <c r="K28" s="88">
        <v>80</v>
      </c>
      <c r="L28" s="88">
        <v>75</v>
      </c>
      <c r="M28" s="88">
        <v>70</v>
      </c>
      <c r="N28" s="88">
        <v>50</v>
      </c>
      <c r="O28" s="88" t="s">
        <v>70</v>
      </c>
      <c r="P28" s="89"/>
      <c r="Q28" s="90">
        <f t="shared" si="3"/>
        <v>0</v>
      </c>
      <c r="R28" s="91">
        <f t="shared" si="4"/>
        <v>0</v>
      </c>
    </row>
    <row r="29" spans="1:18" s="92" customFormat="1" ht="147" customHeight="1" x14ac:dyDescent="0.25">
      <c r="A29" s="268"/>
      <c r="B29" s="269"/>
      <c r="C29" s="270"/>
      <c r="D29" s="82" t="s">
        <v>78</v>
      </c>
      <c r="E29" s="83">
        <f>C25/10</f>
        <v>1.7179917665187077</v>
      </c>
      <c r="F29" s="83">
        <f t="shared" si="0"/>
        <v>5.0626048355669981</v>
      </c>
      <c r="G29" s="82" t="s">
        <v>79</v>
      </c>
      <c r="H29" s="94">
        <v>0.9</v>
      </c>
      <c r="I29" s="93" t="s">
        <v>49</v>
      </c>
      <c r="J29" s="87" t="s">
        <v>75</v>
      </c>
      <c r="K29" s="88">
        <v>90</v>
      </c>
      <c r="L29" s="88">
        <v>80</v>
      </c>
      <c r="M29" s="88">
        <v>70</v>
      </c>
      <c r="N29" s="88">
        <v>50</v>
      </c>
      <c r="O29" s="88" t="s">
        <v>70</v>
      </c>
      <c r="P29" s="89"/>
      <c r="Q29" s="90">
        <f t="shared" si="3"/>
        <v>0</v>
      </c>
      <c r="R29" s="91">
        <f t="shared" si="4"/>
        <v>0</v>
      </c>
    </row>
    <row r="30" spans="1:18" s="92" customFormat="1" ht="147" customHeight="1" x14ac:dyDescent="0.25">
      <c r="A30" s="268"/>
      <c r="B30" s="269"/>
      <c r="C30" s="270"/>
      <c r="D30" s="82" t="s">
        <v>80</v>
      </c>
      <c r="E30" s="83">
        <f>C25/10</f>
        <v>1.7179917665187077</v>
      </c>
      <c r="F30" s="83">
        <f t="shared" si="0"/>
        <v>5.0626048355669981</v>
      </c>
      <c r="G30" s="82" t="s">
        <v>81</v>
      </c>
      <c r="H30" s="94">
        <v>0.8</v>
      </c>
      <c r="I30" s="93" t="s">
        <v>49</v>
      </c>
      <c r="J30" s="87" t="s">
        <v>69</v>
      </c>
      <c r="K30" s="88">
        <v>80</v>
      </c>
      <c r="L30" s="88">
        <v>75</v>
      </c>
      <c r="M30" s="88">
        <v>70</v>
      </c>
      <c r="N30" s="88">
        <v>50</v>
      </c>
      <c r="O30" s="88" t="s">
        <v>70</v>
      </c>
      <c r="P30" s="89"/>
      <c r="Q30" s="90">
        <f t="shared" si="3"/>
        <v>0</v>
      </c>
      <c r="R30" s="91">
        <f t="shared" si="4"/>
        <v>0</v>
      </c>
    </row>
    <row r="31" spans="1:18" s="92" customFormat="1" ht="147" customHeight="1" x14ac:dyDescent="0.25">
      <c r="A31" s="268"/>
      <c r="B31" s="269"/>
      <c r="C31" s="270"/>
      <c r="D31" s="82" t="s">
        <v>82</v>
      </c>
      <c r="E31" s="83">
        <f>C25/10</f>
        <v>1.7179917665187077</v>
      </c>
      <c r="F31" s="83">
        <f t="shared" si="0"/>
        <v>5.0626048355669981</v>
      </c>
      <c r="G31" s="82" t="s">
        <v>83</v>
      </c>
      <c r="H31" s="94">
        <v>0.9</v>
      </c>
      <c r="I31" s="93" t="s">
        <v>49</v>
      </c>
      <c r="J31" s="87" t="s">
        <v>75</v>
      </c>
      <c r="K31" s="88">
        <v>90</v>
      </c>
      <c r="L31" s="88">
        <v>80</v>
      </c>
      <c r="M31" s="88">
        <v>70</v>
      </c>
      <c r="N31" s="88">
        <v>50</v>
      </c>
      <c r="O31" s="88" t="s">
        <v>70</v>
      </c>
      <c r="P31" s="89"/>
      <c r="Q31" s="90">
        <f t="shared" si="3"/>
        <v>0</v>
      </c>
      <c r="R31" s="91">
        <f t="shared" si="4"/>
        <v>0</v>
      </c>
    </row>
    <row r="32" spans="1:18" s="92" customFormat="1" ht="147" customHeight="1" x14ac:dyDescent="0.25">
      <c r="A32" s="268"/>
      <c r="B32" s="269"/>
      <c r="C32" s="270"/>
      <c r="D32" s="82" t="s">
        <v>84</v>
      </c>
      <c r="E32" s="83">
        <f>C25/10</f>
        <v>1.7179917665187077</v>
      </c>
      <c r="F32" s="83">
        <f t="shared" si="0"/>
        <v>5.0626048355669981</v>
      </c>
      <c r="G32" s="82" t="s">
        <v>85</v>
      </c>
      <c r="H32" s="94">
        <v>0.8</v>
      </c>
      <c r="I32" s="93" t="s">
        <v>49</v>
      </c>
      <c r="J32" s="87" t="s">
        <v>69</v>
      </c>
      <c r="K32" s="88">
        <v>80</v>
      </c>
      <c r="L32" s="88">
        <v>75</v>
      </c>
      <c r="M32" s="88">
        <v>70</v>
      </c>
      <c r="N32" s="88">
        <v>50</v>
      </c>
      <c r="O32" s="88" t="s">
        <v>70</v>
      </c>
      <c r="P32" s="89"/>
      <c r="Q32" s="90">
        <f t="shared" si="3"/>
        <v>0</v>
      </c>
      <c r="R32" s="91">
        <f t="shared" si="4"/>
        <v>0</v>
      </c>
    </row>
    <row r="33" spans="1:18" s="92" customFormat="1" ht="147" customHeight="1" x14ac:dyDescent="0.25">
      <c r="A33" s="268"/>
      <c r="B33" s="269"/>
      <c r="C33" s="270"/>
      <c r="D33" s="82" t="s">
        <v>86</v>
      </c>
      <c r="E33" s="83">
        <f>C25/10</f>
        <v>1.7179917665187077</v>
      </c>
      <c r="F33" s="83">
        <f t="shared" si="0"/>
        <v>5.0626048355669981</v>
      </c>
      <c r="G33" s="82" t="s">
        <v>87</v>
      </c>
      <c r="H33" s="94">
        <v>0.8</v>
      </c>
      <c r="I33" s="93" t="s">
        <v>49</v>
      </c>
      <c r="J33" s="87" t="s">
        <v>69</v>
      </c>
      <c r="K33" s="88">
        <v>80</v>
      </c>
      <c r="L33" s="88">
        <v>75</v>
      </c>
      <c r="M33" s="88">
        <v>70</v>
      </c>
      <c r="N33" s="88">
        <v>50</v>
      </c>
      <c r="O33" s="88" t="s">
        <v>70</v>
      </c>
      <c r="P33" s="89"/>
      <c r="Q33" s="90">
        <f t="shared" si="3"/>
        <v>0</v>
      </c>
      <c r="R33" s="91">
        <f t="shared" si="4"/>
        <v>0</v>
      </c>
    </row>
    <row r="34" spans="1:18" s="92" customFormat="1" ht="147" customHeight="1" x14ac:dyDescent="0.25">
      <c r="A34" s="271"/>
      <c r="B34" s="272"/>
      <c r="C34" s="273"/>
      <c r="D34" s="82" t="s">
        <v>88</v>
      </c>
      <c r="E34" s="83">
        <f>C25/10</f>
        <v>1.7179917665187077</v>
      </c>
      <c r="F34" s="83">
        <f t="shared" si="0"/>
        <v>5.0626048355669981</v>
      </c>
      <c r="G34" s="82" t="s">
        <v>89</v>
      </c>
      <c r="H34" s="94">
        <v>0.9</v>
      </c>
      <c r="I34" s="93" t="s">
        <v>49</v>
      </c>
      <c r="J34" s="87" t="s">
        <v>75</v>
      </c>
      <c r="K34" s="88">
        <v>90</v>
      </c>
      <c r="L34" s="88">
        <v>80</v>
      </c>
      <c r="M34" s="88">
        <v>70</v>
      </c>
      <c r="N34" s="88">
        <v>50</v>
      </c>
      <c r="O34" s="88" t="s">
        <v>70</v>
      </c>
      <c r="P34" s="89"/>
      <c r="Q34" s="90">
        <f t="shared" si="3"/>
        <v>0</v>
      </c>
      <c r="R34" s="91">
        <f t="shared" si="4"/>
        <v>0</v>
      </c>
    </row>
    <row r="35" spans="1:18" s="92" customFormat="1" ht="147" customHeight="1" x14ac:dyDescent="0.25">
      <c r="A35" s="265">
        <v>4</v>
      </c>
      <c r="B35" s="266" t="s">
        <v>90</v>
      </c>
      <c r="C35" s="267">
        <v>14.489087187507183</v>
      </c>
      <c r="D35" s="266" t="s">
        <v>91</v>
      </c>
      <c r="E35" s="83">
        <f>C35/8</f>
        <v>1.8111358984383978</v>
      </c>
      <c r="F35" s="83">
        <f t="shared" si="0"/>
        <v>5.3370834109893091</v>
      </c>
      <c r="G35" s="82" t="s">
        <v>92</v>
      </c>
      <c r="H35" s="94">
        <v>1</v>
      </c>
      <c r="I35" s="86" t="s">
        <v>49</v>
      </c>
      <c r="J35" s="87">
        <v>100</v>
      </c>
      <c r="K35" s="88">
        <v>95</v>
      </c>
      <c r="L35" s="88">
        <v>90</v>
      </c>
      <c r="M35" s="88">
        <v>85</v>
      </c>
      <c r="N35" s="88">
        <v>80</v>
      </c>
      <c r="O35" s="88" t="s">
        <v>50</v>
      </c>
      <c r="P35" s="89"/>
      <c r="Q35" s="90">
        <f t="shared" si="3"/>
        <v>0</v>
      </c>
      <c r="R35" s="91">
        <f t="shared" si="4"/>
        <v>0</v>
      </c>
    </row>
    <row r="36" spans="1:18" s="92" customFormat="1" ht="147" customHeight="1" x14ac:dyDescent="0.25">
      <c r="A36" s="268"/>
      <c r="B36" s="269"/>
      <c r="C36" s="270"/>
      <c r="D36" s="269"/>
      <c r="E36" s="83">
        <f>C35/8</f>
        <v>1.8111358984383978</v>
      </c>
      <c r="F36" s="83">
        <f t="shared" si="0"/>
        <v>5.3370834109893091</v>
      </c>
      <c r="G36" s="82" t="s">
        <v>93</v>
      </c>
      <c r="H36" s="94">
        <v>1</v>
      </c>
      <c r="I36" s="86" t="s">
        <v>49</v>
      </c>
      <c r="J36" s="87">
        <v>100</v>
      </c>
      <c r="K36" s="88">
        <v>95</v>
      </c>
      <c r="L36" s="88">
        <v>90</v>
      </c>
      <c r="M36" s="88">
        <v>85</v>
      </c>
      <c r="N36" s="88">
        <v>80</v>
      </c>
      <c r="O36" s="88" t="s">
        <v>50</v>
      </c>
      <c r="P36" s="89"/>
      <c r="Q36" s="90">
        <f t="shared" si="3"/>
        <v>0</v>
      </c>
      <c r="R36" s="91">
        <f t="shared" si="4"/>
        <v>0</v>
      </c>
    </row>
    <row r="37" spans="1:18" s="92" customFormat="1" ht="147" customHeight="1" x14ac:dyDescent="0.25">
      <c r="A37" s="268"/>
      <c r="B37" s="269"/>
      <c r="C37" s="270"/>
      <c r="D37" s="269"/>
      <c r="E37" s="83">
        <f>C35/8</f>
        <v>1.8111358984383978</v>
      </c>
      <c r="F37" s="83">
        <f t="shared" si="0"/>
        <v>5.3370834109893091</v>
      </c>
      <c r="G37" s="82" t="s">
        <v>94</v>
      </c>
      <c r="H37" s="94">
        <v>0.9</v>
      </c>
      <c r="I37" s="93" t="s">
        <v>49</v>
      </c>
      <c r="J37" s="87" t="s">
        <v>75</v>
      </c>
      <c r="K37" s="88">
        <v>90</v>
      </c>
      <c r="L37" s="88">
        <v>80</v>
      </c>
      <c r="M37" s="88">
        <v>70</v>
      </c>
      <c r="N37" s="88">
        <v>50</v>
      </c>
      <c r="O37" s="88" t="s">
        <v>70</v>
      </c>
      <c r="P37" s="89"/>
      <c r="Q37" s="90">
        <f t="shared" si="3"/>
        <v>0</v>
      </c>
      <c r="R37" s="91">
        <f t="shared" si="4"/>
        <v>0</v>
      </c>
    </row>
    <row r="38" spans="1:18" s="92" customFormat="1" ht="147" customHeight="1" x14ac:dyDescent="0.25">
      <c r="A38" s="268"/>
      <c r="B38" s="269"/>
      <c r="C38" s="270"/>
      <c r="D38" s="269"/>
      <c r="E38" s="83">
        <f>C35/8</f>
        <v>1.8111358984383978</v>
      </c>
      <c r="F38" s="83">
        <f t="shared" si="0"/>
        <v>5.3370834109893091</v>
      </c>
      <c r="G38" s="82" t="s">
        <v>95</v>
      </c>
      <c r="H38" s="94">
        <v>0.9</v>
      </c>
      <c r="I38" s="93" t="s">
        <v>49</v>
      </c>
      <c r="J38" s="87" t="s">
        <v>75</v>
      </c>
      <c r="K38" s="88">
        <v>90</v>
      </c>
      <c r="L38" s="88">
        <v>80</v>
      </c>
      <c r="M38" s="88">
        <v>70</v>
      </c>
      <c r="N38" s="88">
        <v>50</v>
      </c>
      <c r="O38" s="88" t="s">
        <v>70</v>
      </c>
      <c r="P38" s="89"/>
      <c r="Q38" s="90">
        <f t="shared" si="3"/>
        <v>0</v>
      </c>
      <c r="R38" s="91">
        <f t="shared" si="4"/>
        <v>0</v>
      </c>
    </row>
    <row r="39" spans="1:18" s="92" customFormat="1" ht="147" customHeight="1" x14ac:dyDescent="0.25">
      <c r="A39" s="268"/>
      <c r="B39" s="269"/>
      <c r="C39" s="270"/>
      <c r="D39" s="269"/>
      <c r="E39" s="83">
        <f>C35/8</f>
        <v>1.8111358984383978</v>
      </c>
      <c r="F39" s="83">
        <f t="shared" si="0"/>
        <v>5.3370834109893091</v>
      </c>
      <c r="G39" s="82" t="s">
        <v>96</v>
      </c>
      <c r="H39" s="94">
        <v>0.8</v>
      </c>
      <c r="I39" s="93" t="s">
        <v>49</v>
      </c>
      <c r="J39" s="87" t="s">
        <v>69</v>
      </c>
      <c r="K39" s="88">
        <v>80</v>
      </c>
      <c r="L39" s="88">
        <v>75</v>
      </c>
      <c r="M39" s="88">
        <v>70</v>
      </c>
      <c r="N39" s="88">
        <v>50</v>
      </c>
      <c r="O39" s="88" t="s">
        <v>70</v>
      </c>
      <c r="P39" s="89"/>
      <c r="Q39" s="90">
        <f t="shared" si="3"/>
        <v>0</v>
      </c>
      <c r="R39" s="91">
        <f t="shared" si="4"/>
        <v>0</v>
      </c>
    </row>
    <row r="40" spans="1:18" s="92" customFormat="1" ht="147" customHeight="1" x14ac:dyDescent="0.25">
      <c r="A40" s="268"/>
      <c r="B40" s="269"/>
      <c r="C40" s="270"/>
      <c r="D40" s="269"/>
      <c r="E40" s="83">
        <f>C35/8</f>
        <v>1.8111358984383978</v>
      </c>
      <c r="F40" s="83">
        <f t="shared" si="0"/>
        <v>5.3370834109893091</v>
      </c>
      <c r="G40" s="82" t="s">
        <v>97</v>
      </c>
      <c r="H40" s="94">
        <v>1</v>
      </c>
      <c r="I40" s="86" t="s">
        <v>49</v>
      </c>
      <c r="J40" s="87">
        <v>100</v>
      </c>
      <c r="K40" s="88">
        <v>95</v>
      </c>
      <c r="L40" s="88">
        <v>90</v>
      </c>
      <c r="M40" s="88">
        <v>85</v>
      </c>
      <c r="N40" s="88">
        <v>80</v>
      </c>
      <c r="O40" s="88" t="s">
        <v>50</v>
      </c>
      <c r="P40" s="89"/>
      <c r="Q40" s="90">
        <f t="shared" si="3"/>
        <v>0</v>
      </c>
      <c r="R40" s="91">
        <f t="shared" si="4"/>
        <v>0</v>
      </c>
    </row>
    <row r="41" spans="1:18" s="92" customFormat="1" ht="147" customHeight="1" x14ac:dyDescent="0.25">
      <c r="A41" s="268"/>
      <c r="B41" s="269"/>
      <c r="C41" s="270"/>
      <c r="D41" s="269"/>
      <c r="E41" s="83">
        <f>C35/8</f>
        <v>1.8111358984383978</v>
      </c>
      <c r="F41" s="83">
        <f t="shared" si="0"/>
        <v>5.3370834109893091</v>
      </c>
      <c r="G41" s="82" t="s">
        <v>98</v>
      </c>
      <c r="H41" s="94">
        <v>1</v>
      </c>
      <c r="I41" s="86" t="s">
        <v>49</v>
      </c>
      <c r="J41" s="87">
        <v>100</v>
      </c>
      <c r="K41" s="88">
        <v>95</v>
      </c>
      <c r="L41" s="88">
        <v>90</v>
      </c>
      <c r="M41" s="88">
        <v>85</v>
      </c>
      <c r="N41" s="88">
        <v>80</v>
      </c>
      <c r="O41" s="88" t="s">
        <v>50</v>
      </c>
      <c r="P41" s="89"/>
      <c r="Q41" s="90">
        <f t="shared" si="3"/>
        <v>0</v>
      </c>
      <c r="R41" s="91">
        <f t="shared" si="4"/>
        <v>0</v>
      </c>
    </row>
    <row r="42" spans="1:18" s="92" customFormat="1" ht="147" customHeight="1" x14ac:dyDescent="0.25">
      <c r="A42" s="271"/>
      <c r="B42" s="272"/>
      <c r="C42" s="273"/>
      <c r="D42" s="272"/>
      <c r="E42" s="83">
        <f>C35/8</f>
        <v>1.8111358984383978</v>
      </c>
      <c r="F42" s="83">
        <f t="shared" si="0"/>
        <v>5.3370834109893091</v>
      </c>
      <c r="G42" s="82" t="s">
        <v>99</v>
      </c>
      <c r="H42" s="94">
        <v>1</v>
      </c>
      <c r="I42" s="86" t="s">
        <v>49</v>
      </c>
      <c r="J42" s="87">
        <v>100</v>
      </c>
      <c r="K42" s="88">
        <v>95</v>
      </c>
      <c r="L42" s="88">
        <v>90</v>
      </c>
      <c r="M42" s="88">
        <v>85</v>
      </c>
      <c r="N42" s="88">
        <v>80</v>
      </c>
      <c r="O42" s="88" t="s">
        <v>50</v>
      </c>
      <c r="P42" s="89"/>
      <c r="Q42" s="90">
        <f t="shared" si="3"/>
        <v>0</v>
      </c>
      <c r="R42" s="91">
        <f t="shared" si="4"/>
        <v>0</v>
      </c>
    </row>
    <row r="43" spans="1:18" s="92" customFormat="1" ht="147" customHeight="1" x14ac:dyDescent="0.25">
      <c r="A43" s="81">
        <v>5</v>
      </c>
      <c r="B43" s="82" t="s">
        <v>100</v>
      </c>
      <c r="C43" s="95">
        <f>0.25 *1.20742393229227</f>
        <v>0.30185598307306749</v>
      </c>
      <c r="D43" s="82" t="s">
        <v>101</v>
      </c>
      <c r="E43" s="83">
        <f>C43</f>
        <v>0.30185598307306749</v>
      </c>
      <c r="F43" s="83">
        <f t="shared" si="0"/>
        <v>0.88951390183155499</v>
      </c>
      <c r="G43" s="84" t="s">
        <v>102</v>
      </c>
      <c r="H43" s="93">
        <v>5</v>
      </c>
      <c r="I43" s="86" t="s">
        <v>57</v>
      </c>
      <c r="J43" s="87" t="s">
        <v>58</v>
      </c>
      <c r="K43" s="88">
        <v>5</v>
      </c>
      <c r="L43" s="88">
        <v>4</v>
      </c>
      <c r="M43" s="88">
        <v>3</v>
      </c>
      <c r="N43" s="88">
        <v>2</v>
      </c>
      <c r="O43" s="88">
        <v>1</v>
      </c>
      <c r="P43" s="89"/>
      <c r="Q43" s="90">
        <f t="shared" si="3"/>
        <v>0</v>
      </c>
      <c r="R43" s="91">
        <f t="shared" si="4"/>
        <v>0</v>
      </c>
    </row>
    <row r="44" spans="1:18" s="92" customFormat="1" ht="147" customHeight="1" x14ac:dyDescent="0.25">
      <c r="A44" s="265">
        <v>7</v>
      </c>
      <c r="B44" s="266" t="s">
        <v>103</v>
      </c>
      <c r="C44" s="275">
        <f>0.25 *2.41484786458453</f>
        <v>0.60371196614613254</v>
      </c>
      <c r="D44" s="82" t="s">
        <v>104</v>
      </c>
      <c r="E44" s="83">
        <f>C44/2</f>
        <v>0.30185598307306627</v>
      </c>
      <c r="F44" s="83">
        <f t="shared" si="0"/>
        <v>0.88951390183155143</v>
      </c>
      <c r="G44" s="84" t="s">
        <v>105</v>
      </c>
      <c r="H44" s="93">
        <v>5</v>
      </c>
      <c r="I44" s="93" t="s">
        <v>57</v>
      </c>
      <c r="J44" s="87" t="s">
        <v>58</v>
      </c>
      <c r="K44" s="88">
        <v>5</v>
      </c>
      <c r="L44" s="88">
        <v>4</v>
      </c>
      <c r="M44" s="88">
        <v>3</v>
      </c>
      <c r="N44" s="88">
        <v>2</v>
      </c>
      <c r="O44" s="88">
        <v>1</v>
      </c>
      <c r="P44" s="89"/>
      <c r="Q44" s="90">
        <f t="shared" si="3"/>
        <v>0</v>
      </c>
      <c r="R44" s="91">
        <f t="shared" si="4"/>
        <v>0</v>
      </c>
    </row>
    <row r="45" spans="1:18" s="92" customFormat="1" ht="147" customHeight="1" x14ac:dyDescent="0.25">
      <c r="A45" s="271"/>
      <c r="B45" s="272"/>
      <c r="C45" s="276"/>
      <c r="D45" s="82" t="s">
        <v>106</v>
      </c>
      <c r="E45" s="83">
        <f>C44/2</f>
        <v>0.30185598307306627</v>
      </c>
      <c r="F45" s="83">
        <f t="shared" si="0"/>
        <v>0.88951390183155143</v>
      </c>
      <c r="G45" s="84" t="s">
        <v>107</v>
      </c>
      <c r="H45" s="94">
        <v>0.8</v>
      </c>
      <c r="I45" s="93" t="s">
        <v>49</v>
      </c>
      <c r="J45" s="87" t="s">
        <v>69</v>
      </c>
      <c r="K45" s="88">
        <v>80</v>
      </c>
      <c r="L45" s="88">
        <v>75</v>
      </c>
      <c r="M45" s="88">
        <v>70</v>
      </c>
      <c r="N45" s="88">
        <v>50</v>
      </c>
      <c r="O45" s="88" t="s">
        <v>70</v>
      </c>
      <c r="P45" s="89"/>
      <c r="Q45" s="90">
        <f t="shared" si="1"/>
        <v>0</v>
      </c>
      <c r="R45" s="91">
        <f t="shared" si="2"/>
        <v>0</v>
      </c>
    </row>
    <row r="46" spans="1:18" s="92" customFormat="1" ht="147" customHeight="1" x14ac:dyDescent="0.25">
      <c r="A46" s="265">
        <v>8</v>
      </c>
      <c r="B46" s="266" t="s">
        <v>108</v>
      </c>
      <c r="C46" s="275">
        <f>0.25 *0.804949288194844</f>
        <v>0.201237322048711</v>
      </c>
      <c r="D46" s="82" t="s">
        <v>109</v>
      </c>
      <c r="E46" s="83">
        <f>C46/2</f>
        <v>0.1006186610243555</v>
      </c>
      <c r="F46" s="83">
        <f t="shared" si="0"/>
        <v>0.29650463394385068</v>
      </c>
      <c r="G46" s="84" t="s">
        <v>110</v>
      </c>
      <c r="H46" s="93">
        <v>5</v>
      </c>
      <c r="I46" s="93" t="s">
        <v>57</v>
      </c>
      <c r="J46" s="87" t="s">
        <v>58</v>
      </c>
      <c r="K46" s="88">
        <v>5</v>
      </c>
      <c r="L46" s="88">
        <v>4</v>
      </c>
      <c r="M46" s="88">
        <v>3</v>
      </c>
      <c r="N46" s="88">
        <v>2</v>
      </c>
      <c r="O46" s="88">
        <v>1</v>
      </c>
      <c r="P46" s="89"/>
      <c r="Q46" s="90">
        <f t="shared" si="1"/>
        <v>0</v>
      </c>
      <c r="R46" s="91">
        <f t="shared" si="2"/>
        <v>0</v>
      </c>
    </row>
    <row r="47" spans="1:18" s="92" customFormat="1" ht="147" customHeight="1" x14ac:dyDescent="0.25">
      <c r="A47" s="271"/>
      <c r="B47" s="272"/>
      <c r="C47" s="276"/>
      <c r="D47" s="82" t="s">
        <v>111</v>
      </c>
      <c r="E47" s="83">
        <f>C46/2</f>
        <v>0.1006186610243555</v>
      </c>
      <c r="F47" s="83">
        <f t="shared" si="0"/>
        <v>0.29650463394385068</v>
      </c>
      <c r="G47" s="84" t="s">
        <v>112</v>
      </c>
      <c r="H47" s="94">
        <v>0.8</v>
      </c>
      <c r="I47" s="93" t="s">
        <v>49</v>
      </c>
      <c r="J47" s="87" t="s">
        <v>69</v>
      </c>
      <c r="K47" s="88">
        <v>80</v>
      </c>
      <c r="L47" s="88">
        <v>75</v>
      </c>
      <c r="M47" s="88">
        <v>70</v>
      </c>
      <c r="N47" s="88">
        <v>50</v>
      </c>
      <c r="O47" s="88" t="s">
        <v>70</v>
      </c>
      <c r="P47" s="89"/>
      <c r="Q47" s="90">
        <f t="shared" si="1"/>
        <v>0</v>
      </c>
      <c r="R47" s="91">
        <f t="shared" si="2"/>
        <v>0</v>
      </c>
    </row>
    <row r="48" spans="1:18" s="92" customFormat="1" ht="147" customHeight="1" x14ac:dyDescent="0.25">
      <c r="A48" s="81">
        <v>10</v>
      </c>
      <c r="B48" s="82" t="s">
        <v>113</v>
      </c>
      <c r="C48" s="95">
        <f>0.25 *0.321979715277938</f>
        <v>8.0494928819484501E-2</v>
      </c>
      <c r="D48" s="277" t="s">
        <v>114</v>
      </c>
      <c r="E48" s="83">
        <v>0.32197971527793745</v>
      </c>
      <c r="F48" s="83">
        <f t="shared" si="0"/>
        <v>0.94881482862032174</v>
      </c>
      <c r="G48" s="84" t="s">
        <v>115</v>
      </c>
      <c r="H48" s="85">
        <v>0.7</v>
      </c>
      <c r="I48" s="93" t="s">
        <v>49</v>
      </c>
      <c r="J48" s="87" t="s">
        <v>116</v>
      </c>
      <c r="K48" s="88">
        <v>70</v>
      </c>
      <c r="L48" s="88">
        <v>60</v>
      </c>
      <c r="M48" s="88">
        <v>50</v>
      </c>
      <c r="N48" s="88">
        <v>40</v>
      </c>
      <c r="O48" s="88" t="s">
        <v>117</v>
      </c>
      <c r="P48" s="89"/>
      <c r="Q48" s="90">
        <f t="shared" si="1"/>
        <v>0</v>
      </c>
      <c r="R48" s="91">
        <f t="shared" si="2"/>
        <v>0</v>
      </c>
    </row>
    <row r="49" spans="1:18" s="92" customFormat="1" ht="147" customHeight="1" x14ac:dyDescent="0.25">
      <c r="A49" s="81"/>
      <c r="B49" s="82" t="s">
        <v>118</v>
      </c>
      <c r="C49" s="95">
        <f>0.25 *0.321979715277938</f>
        <v>8.0494928819484501E-2</v>
      </c>
      <c r="D49" s="84" t="s">
        <v>119</v>
      </c>
      <c r="E49" s="83">
        <v>0.32197971527793745</v>
      </c>
      <c r="F49" s="83">
        <f t="shared" si="0"/>
        <v>0.94881482862032174</v>
      </c>
      <c r="G49" s="84" t="s">
        <v>120</v>
      </c>
      <c r="H49" s="85">
        <v>0.5</v>
      </c>
      <c r="I49" s="86" t="s">
        <v>49</v>
      </c>
      <c r="J49" s="87" t="s">
        <v>64</v>
      </c>
      <c r="K49" s="88">
        <v>50</v>
      </c>
      <c r="L49" s="88">
        <v>45</v>
      </c>
      <c r="M49" s="88">
        <v>40</v>
      </c>
      <c r="N49" s="88">
        <v>25</v>
      </c>
      <c r="O49" s="88" t="s">
        <v>65</v>
      </c>
      <c r="P49" s="89">
        <v>0</v>
      </c>
      <c r="Q49" s="90">
        <f t="shared" si="1"/>
        <v>0</v>
      </c>
      <c r="R49" s="91">
        <f t="shared" si="2"/>
        <v>0</v>
      </c>
    </row>
    <row r="50" spans="1:18" s="106" customFormat="1" ht="44.25" x14ac:dyDescent="0.25">
      <c r="A50" s="96"/>
      <c r="B50" s="97" t="s">
        <v>121</v>
      </c>
      <c r="C50" s="98">
        <f>SUM(C19:C49)</f>
        <v>33.451967526045834</v>
      </c>
      <c r="D50" s="97"/>
      <c r="E50" s="98">
        <f>SUM(E19:E49)</f>
        <v>33.934937098962756</v>
      </c>
      <c r="F50" s="98">
        <f>SUM(F19:F49)</f>
        <v>99.999999999999986</v>
      </c>
      <c r="G50" s="99"/>
      <c r="H50" s="100"/>
      <c r="I50" s="101"/>
      <c r="J50" s="102"/>
      <c r="K50" s="102"/>
      <c r="L50" s="102"/>
      <c r="M50" s="102"/>
      <c r="N50" s="102"/>
      <c r="O50" s="102"/>
      <c r="P50" s="103"/>
      <c r="Q50" s="104"/>
      <c r="R50" s="105">
        <f>SUM(R19:R49)</f>
        <v>0</v>
      </c>
    </row>
    <row r="51" spans="1:18" s="108" customFormat="1" ht="66" customHeight="1" x14ac:dyDescent="0.7">
      <c r="A51" s="107"/>
      <c r="G51" s="109"/>
      <c r="H51" s="109"/>
      <c r="I51" s="110" t="s">
        <v>171</v>
      </c>
      <c r="J51" s="111"/>
      <c r="K51" s="111"/>
      <c r="L51" s="111"/>
      <c r="M51" s="111"/>
      <c r="N51" s="111"/>
      <c r="O51" s="111"/>
      <c r="P51" s="111"/>
      <c r="Q51" s="112"/>
      <c r="R51" s="113">
        <f>R50/100 * 70</f>
        <v>0</v>
      </c>
    </row>
    <row r="52" spans="1:18" s="122" customFormat="1" ht="36" x14ac:dyDescent="0.55000000000000004">
      <c r="A52" s="114" t="s">
        <v>122</v>
      </c>
      <c r="B52" s="115"/>
      <c r="C52" s="115"/>
      <c r="D52" s="115"/>
      <c r="E52" s="115"/>
      <c r="F52" s="115"/>
      <c r="G52" s="116"/>
      <c r="H52" s="117"/>
      <c r="I52" s="117"/>
      <c r="J52" s="117"/>
      <c r="K52" s="117"/>
      <c r="L52" s="71" t="s">
        <v>127</v>
      </c>
      <c r="M52" s="118" t="s">
        <v>123</v>
      </c>
      <c r="N52" s="118"/>
      <c r="O52" s="118"/>
      <c r="P52" s="119"/>
      <c r="Q52" s="120"/>
      <c r="R52" s="121"/>
    </row>
    <row r="53" spans="1:18" s="122" customFormat="1" ht="31.5" customHeight="1" x14ac:dyDescent="0.55000000000000004">
      <c r="A53" s="123"/>
      <c r="B53" s="124"/>
      <c r="C53" s="125" t="s">
        <v>124</v>
      </c>
      <c r="D53" s="125"/>
      <c r="E53" s="125"/>
      <c r="F53" s="125"/>
      <c r="G53" s="125"/>
      <c r="H53" s="126" t="s">
        <v>172</v>
      </c>
      <c r="I53" s="126" t="s">
        <v>173</v>
      </c>
      <c r="J53" s="126"/>
      <c r="K53" s="127"/>
      <c r="L53" s="79"/>
      <c r="M53" s="128"/>
      <c r="N53" s="128"/>
      <c r="O53" s="128"/>
      <c r="P53" s="129"/>
      <c r="Q53" s="120"/>
      <c r="R53" s="121"/>
    </row>
    <row r="54" spans="1:18" s="122" customFormat="1" ht="36" customHeight="1" x14ac:dyDescent="0.55000000000000004">
      <c r="A54" s="130">
        <v>1</v>
      </c>
      <c r="B54" s="131" t="s">
        <v>128</v>
      </c>
      <c r="C54" s="132"/>
      <c r="D54" s="133"/>
      <c r="E54" s="133"/>
      <c r="F54" s="133"/>
      <c r="G54" s="134"/>
      <c r="H54" s="135"/>
      <c r="I54" s="135"/>
      <c r="J54" s="135"/>
      <c r="K54" s="135"/>
      <c r="L54" s="136"/>
      <c r="M54" s="137" t="s">
        <v>40</v>
      </c>
      <c r="N54" s="138" t="s">
        <v>129</v>
      </c>
      <c r="O54" s="139"/>
      <c r="P54" s="129"/>
      <c r="Q54" s="120"/>
      <c r="R54" s="121"/>
    </row>
    <row r="55" spans="1:18" s="122" customFormat="1" ht="84.75" customHeight="1" x14ac:dyDescent="0.55000000000000004">
      <c r="A55" s="140" t="s">
        <v>130</v>
      </c>
      <c r="B55" s="141" t="s">
        <v>174</v>
      </c>
      <c r="C55" s="142"/>
      <c r="D55" s="143"/>
      <c r="E55" s="143"/>
      <c r="F55" s="143"/>
      <c r="G55" s="144"/>
      <c r="H55" s="145">
        <v>4</v>
      </c>
      <c r="I55" s="146"/>
      <c r="J55" s="145"/>
      <c r="K55" s="145"/>
      <c r="L55" s="136"/>
      <c r="M55" s="137" t="s">
        <v>41</v>
      </c>
      <c r="N55" s="138" t="s">
        <v>131</v>
      </c>
      <c r="O55" s="139"/>
      <c r="P55" s="129"/>
      <c r="Q55" s="120"/>
      <c r="R55" s="121"/>
    </row>
    <row r="56" spans="1:18" s="122" customFormat="1" ht="82.5" customHeight="1" x14ac:dyDescent="0.55000000000000004">
      <c r="A56" s="140" t="s">
        <v>132</v>
      </c>
      <c r="B56" s="141" t="s">
        <v>175</v>
      </c>
      <c r="C56" s="142"/>
      <c r="D56" s="143"/>
      <c r="E56" s="143"/>
      <c r="F56" s="143"/>
      <c r="G56" s="144"/>
      <c r="H56" s="145">
        <v>2</v>
      </c>
      <c r="I56" s="146"/>
      <c r="J56" s="145"/>
      <c r="K56" s="145"/>
      <c r="L56" s="136"/>
      <c r="M56" s="137" t="s">
        <v>42</v>
      </c>
      <c r="N56" s="138" t="s">
        <v>133</v>
      </c>
      <c r="O56" s="139"/>
      <c r="P56" s="129"/>
      <c r="Q56" s="120"/>
      <c r="R56" s="121"/>
    </row>
    <row r="57" spans="1:18" s="122" customFormat="1" ht="78.75" customHeight="1" x14ac:dyDescent="0.55000000000000004">
      <c r="A57" s="140" t="s">
        <v>134</v>
      </c>
      <c r="B57" s="141" t="s">
        <v>135</v>
      </c>
      <c r="C57" s="142"/>
      <c r="D57" s="143"/>
      <c r="E57" s="143"/>
      <c r="F57" s="143"/>
      <c r="G57" s="144"/>
      <c r="H57" s="145">
        <v>2</v>
      </c>
      <c r="I57" s="146"/>
      <c r="J57" s="145"/>
      <c r="K57" s="145"/>
      <c r="L57" s="136"/>
      <c r="M57" s="137" t="s">
        <v>43</v>
      </c>
      <c r="N57" s="138" t="s">
        <v>136</v>
      </c>
      <c r="O57" s="139"/>
      <c r="P57" s="129"/>
      <c r="Q57" s="120"/>
      <c r="R57" s="121"/>
    </row>
    <row r="58" spans="1:18" s="122" customFormat="1" ht="36" x14ac:dyDescent="0.55000000000000004">
      <c r="A58" s="147">
        <v>2</v>
      </c>
      <c r="B58" s="148" t="s">
        <v>137</v>
      </c>
      <c r="C58" s="149"/>
      <c r="D58" s="150"/>
      <c r="E58" s="150"/>
      <c r="F58" s="150"/>
      <c r="G58" s="151"/>
      <c r="H58" s="145"/>
      <c r="I58" s="146"/>
      <c r="J58" s="145"/>
      <c r="K58" s="145"/>
      <c r="L58" s="136"/>
      <c r="M58" s="137" t="s">
        <v>44</v>
      </c>
      <c r="N58" s="138" t="s">
        <v>138</v>
      </c>
      <c r="O58" s="139"/>
      <c r="P58" s="129"/>
      <c r="Q58" s="120"/>
      <c r="R58" s="121"/>
    </row>
    <row r="59" spans="1:18" s="122" customFormat="1" ht="82.5" customHeight="1" x14ac:dyDescent="0.55000000000000004">
      <c r="A59" s="140" t="s">
        <v>130</v>
      </c>
      <c r="B59" s="152" t="s">
        <v>176</v>
      </c>
      <c r="C59" s="153"/>
      <c r="D59" s="154"/>
      <c r="E59" s="154"/>
      <c r="F59" s="154"/>
      <c r="G59" s="155"/>
      <c r="H59" s="145">
        <v>2</v>
      </c>
      <c r="I59" s="146"/>
      <c r="J59" s="145"/>
      <c r="K59" s="145"/>
      <c r="L59" s="136"/>
      <c r="M59" s="137" t="s">
        <v>45</v>
      </c>
      <c r="N59" s="138" t="s">
        <v>139</v>
      </c>
      <c r="O59" s="139"/>
      <c r="P59" s="156"/>
      <c r="Q59" s="120"/>
      <c r="R59" s="121"/>
    </row>
    <row r="60" spans="1:18" s="122" customFormat="1" ht="114.75" customHeight="1" x14ac:dyDescent="0.55000000000000004">
      <c r="A60" s="140" t="s">
        <v>132</v>
      </c>
      <c r="B60" s="152" t="s">
        <v>177</v>
      </c>
      <c r="C60" s="153"/>
      <c r="D60" s="154"/>
      <c r="E60" s="154"/>
      <c r="F60" s="154"/>
      <c r="G60" s="155"/>
      <c r="H60" s="145">
        <v>2</v>
      </c>
      <c r="I60" s="146"/>
      <c r="J60" s="145"/>
      <c r="K60" s="145"/>
      <c r="L60" s="136"/>
      <c r="M60" s="129" t="s">
        <v>127</v>
      </c>
      <c r="N60" s="157" t="s">
        <v>140</v>
      </c>
      <c r="O60" s="158"/>
      <c r="P60" s="156"/>
      <c r="Q60" s="120"/>
      <c r="R60" s="121"/>
    </row>
    <row r="61" spans="1:18" s="122" customFormat="1" ht="72" customHeight="1" x14ac:dyDescent="0.55000000000000004">
      <c r="A61" s="140" t="s">
        <v>134</v>
      </c>
      <c r="B61" s="152" t="s">
        <v>178</v>
      </c>
      <c r="C61" s="153"/>
      <c r="D61" s="154"/>
      <c r="E61" s="154"/>
      <c r="F61" s="154"/>
      <c r="G61" s="155"/>
      <c r="H61" s="145">
        <v>2</v>
      </c>
      <c r="I61" s="146"/>
      <c r="J61" s="145"/>
      <c r="K61" s="145"/>
      <c r="L61" s="136"/>
      <c r="M61" s="129" t="s">
        <v>141</v>
      </c>
      <c r="N61" s="157" t="s">
        <v>142</v>
      </c>
      <c r="O61" s="158"/>
      <c r="P61" s="156"/>
      <c r="Q61" s="120"/>
      <c r="R61" s="121"/>
    </row>
    <row r="62" spans="1:18" s="122" customFormat="1" ht="66" customHeight="1" x14ac:dyDescent="0.55000000000000004">
      <c r="A62" s="147">
        <v>3</v>
      </c>
      <c r="B62" s="148" t="s">
        <v>143</v>
      </c>
      <c r="C62" s="149"/>
      <c r="D62" s="150"/>
      <c r="E62" s="150"/>
      <c r="F62" s="150"/>
      <c r="G62" s="151"/>
      <c r="H62" s="145"/>
      <c r="I62" s="146"/>
      <c r="J62" s="145"/>
      <c r="K62" s="145"/>
      <c r="L62" s="136"/>
      <c r="M62" s="129" t="s">
        <v>125</v>
      </c>
      <c r="N62" s="157" t="s">
        <v>144</v>
      </c>
      <c r="O62" s="158"/>
      <c r="P62" s="156"/>
      <c r="Q62" s="120"/>
      <c r="R62" s="121"/>
    </row>
    <row r="63" spans="1:18" s="122" customFormat="1" ht="72" customHeight="1" x14ac:dyDescent="0.55000000000000004">
      <c r="A63" s="140" t="s">
        <v>130</v>
      </c>
      <c r="B63" s="152" t="s">
        <v>145</v>
      </c>
      <c r="C63" s="159"/>
      <c r="D63" s="160"/>
      <c r="E63" s="160"/>
      <c r="F63" s="160"/>
      <c r="G63" s="161"/>
      <c r="H63" s="145">
        <v>2</v>
      </c>
      <c r="I63" s="146"/>
      <c r="J63" s="145"/>
      <c r="K63" s="145"/>
      <c r="L63" s="136"/>
      <c r="M63" s="129" t="s">
        <v>126</v>
      </c>
      <c r="N63" s="157" t="s">
        <v>146</v>
      </c>
      <c r="O63" s="158"/>
      <c r="P63" s="156"/>
      <c r="Q63" s="120"/>
      <c r="R63" s="121"/>
    </row>
    <row r="64" spans="1:18" s="122" customFormat="1" ht="72" customHeight="1" x14ac:dyDescent="0.55000000000000004">
      <c r="A64" s="140" t="s">
        <v>132</v>
      </c>
      <c r="B64" s="152" t="s">
        <v>179</v>
      </c>
      <c r="C64" s="159"/>
      <c r="D64" s="160"/>
      <c r="E64" s="160"/>
      <c r="F64" s="160"/>
      <c r="G64" s="161"/>
      <c r="H64" s="145">
        <v>2</v>
      </c>
      <c r="I64" s="146"/>
      <c r="J64" s="145"/>
      <c r="K64" s="145"/>
      <c r="L64" s="136"/>
      <c r="M64" s="129" t="s">
        <v>147</v>
      </c>
      <c r="N64" s="157" t="s">
        <v>148</v>
      </c>
      <c r="O64" s="158"/>
      <c r="P64" s="156"/>
      <c r="Q64" s="120"/>
      <c r="R64" s="121"/>
    </row>
    <row r="65" spans="1:18" s="122" customFormat="1" ht="44.25" customHeight="1" x14ac:dyDescent="0.55000000000000004">
      <c r="A65" s="140" t="s">
        <v>134</v>
      </c>
      <c r="B65" s="152" t="s">
        <v>180</v>
      </c>
      <c r="C65" s="159"/>
      <c r="D65" s="160"/>
      <c r="E65" s="160"/>
      <c r="F65" s="160"/>
      <c r="G65" s="161"/>
      <c r="H65" s="145">
        <v>2</v>
      </c>
      <c r="I65" s="146"/>
      <c r="J65" s="145"/>
      <c r="K65" s="145"/>
      <c r="L65" s="136"/>
      <c r="M65" s="162"/>
      <c r="N65" s="162"/>
      <c r="O65" s="162"/>
      <c r="P65" s="163"/>
      <c r="Q65" s="120"/>
      <c r="R65" s="121"/>
    </row>
    <row r="66" spans="1:18" s="122" customFormat="1" ht="31.5" customHeight="1" x14ac:dyDescent="0.55000000000000004">
      <c r="A66" s="164" t="s">
        <v>149</v>
      </c>
      <c r="B66" s="165"/>
      <c r="C66" s="165"/>
      <c r="D66" s="165"/>
      <c r="E66" s="165"/>
      <c r="F66" s="165"/>
      <c r="G66" s="165"/>
      <c r="H66" s="166">
        <f>SUM(H55:H65)</f>
        <v>20</v>
      </c>
      <c r="I66" s="166">
        <f>SUM(I55:I65)</f>
        <v>0</v>
      </c>
      <c r="J66" s="166"/>
      <c r="K66" s="167"/>
      <c r="L66" s="136"/>
      <c r="M66" s="162"/>
      <c r="N66" s="162"/>
      <c r="O66" s="162"/>
      <c r="P66" s="163"/>
      <c r="Q66" s="120"/>
      <c r="R66" s="121"/>
    </row>
    <row r="67" spans="1:18" s="122" customFormat="1" ht="36" customHeight="1" x14ac:dyDescent="0.55000000000000004">
      <c r="A67" s="168" t="s">
        <v>130</v>
      </c>
      <c r="B67" s="169" t="s">
        <v>150</v>
      </c>
      <c r="C67" s="153" t="s">
        <v>151</v>
      </c>
      <c r="D67" s="154"/>
      <c r="E67" s="154"/>
      <c r="F67" s="154"/>
      <c r="G67" s="155"/>
      <c r="H67" s="170">
        <v>4</v>
      </c>
      <c r="I67" s="171"/>
      <c r="J67" s="170"/>
      <c r="K67" s="172"/>
      <c r="L67" s="136"/>
      <c r="M67" s="162"/>
      <c r="N67" s="162"/>
      <c r="O67" s="162"/>
      <c r="P67" s="163"/>
      <c r="Q67" s="120"/>
      <c r="R67" s="121"/>
    </row>
    <row r="68" spans="1:18" s="122" customFormat="1" ht="129" customHeight="1" x14ac:dyDescent="0.55000000000000004">
      <c r="A68" s="168" t="s">
        <v>132</v>
      </c>
      <c r="B68" s="169" t="s">
        <v>152</v>
      </c>
      <c r="C68" s="153" t="s">
        <v>153</v>
      </c>
      <c r="D68" s="154"/>
      <c r="E68" s="154"/>
      <c r="F68" s="154"/>
      <c r="G68" s="155"/>
      <c r="H68" s="170">
        <v>3</v>
      </c>
      <c r="I68" s="171"/>
      <c r="J68" s="170"/>
      <c r="K68" s="172"/>
      <c r="L68" s="136"/>
      <c r="M68" s="162"/>
      <c r="N68" s="162"/>
      <c r="O68" s="162"/>
      <c r="P68" s="163"/>
      <c r="Q68" s="120"/>
      <c r="R68" s="121"/>
    </row>
    <row r="69" spans="1:18" s="122" customFormat="1" ht="69" customHeight="1" x14ac:dyDescent="0.55000000000000004">
      <c r="A69" s="168" t="s">
        <v>132</v>
      </c>
      <c r="B69" s="169" t="s">
        <v>154</v>
      </c>
      <c r="C69" s="153" t="s">
        <v>155</v>
      </c>
      <c r="D69" s="154"/>
      <c r="E69" s="154"/>
      <c r="F69" s="154"/>
      <c r="G69" s="155"/>
      <c r="H69" s="170">
        <v>3</v>
      </c>
      <c r="I69" s="171"/>
      <c r="J69" s="170"/>
      <c r="K69" s="172"/>
      <c r="L69" s="136"/>
      <c r="M69" s="162"/>
      <c r="N69" s="162"/>
      <c r="O69" s="162"/>
      <c r="P69" s="163"/>
      <c r="Q69" s="120"/>
      <c r="R69" s="121"/>
    </row>
    <row r="70" spans="1:18" s="122" customFormat="1" ht="46.5" customHeight="1" x14ac:dyDescent="0.55000000000000004">
      <c r="A70" s="173"/>
      <c r="B70" s="174" t="s">
        <v>156</v>
      </c>
      <c r="C70" s="174"/>
      <c r="D70" s="174"/>
      <c r="E70" s="175"/>
      <c r="F70" s="175"/>
      <c r="G70" s="175"/>
      <c r="H70" s="166">
        <f>SUM(H67:H69)</f>
        <v>10</v>
      </c>
      <c r="I70" s="166">
        <f>SUM(I67:I69)</f>
        <v>0</v>
      </c>
      <c r="J70" s="175"/>
      <c r="K70" s="176"/>
      <c r="L70" s="162"/>
      <c r="M70" s="162"/>
      <c r="N70" s="162"/>
      <c r="O70" s="162"/>
      <c r="P70" s="163"/>
      <c r="Q70" s="120"/>
      <c r="R70" s="121"/>
    </row>
    <row r="71" spans="1:18" s="184" customFormat="1" ht="45" customHeight="1" x14ac:dyDescent="0.7">
      <c r="A71" s="177"/>
      <c r="B71" s="178"/>
      <c r="C71" s="179"/>
      <c r="D71" s="179"/>
      <c r="E71" s="179"/>
      <c r="F71" s="180"/>
      <c r="G71" s="180"/>
      <c r="H71" s="180"/>
      <c r="I71" s="180"/>
      <c r="J71" s="180"/>
      <c r="K71" s="179"/>
      <c r="L71" s="179"/>
      <c r="M71" s="179"/>
      <c r="N71" s="179"/>
      <c r="O71" s="181" t="s">
        <v>181</v>
      </c>
      <c r="P71" s="182"/>
      <c r="Q71" s="181" t="s">
        <v>182</v>
      </c>
      <c r="R71" s="183"/>
    </row>
    <row r="72" spans="1:18" s="184" customFormat="1" ht="45" customHeight="1" x14ac:dyDescent="0.7">
      <c r="A72" s="177"/>
      <c r="B72" s="185"/>
      <c r="C72" s="186" t="s">
        <v>183</v>
      </c>
      <c r="D72" s="187"/>
      <c r="E72" s="187"/>
      <c r="F72" s="187"/>
      <c r="G72" s="187"/>
      <c r="H72" s="187"/>
      <c r="I72" s="187"/>
      <c r="J72" s="187"/>
      <c r="K72" s="188"/>
      <c r="L72" s="189"/>
      <c r="M72" s="190"/>
      <c r="N72" s="191"/>
      <c r="O72" s="192">
        <f>R51</f>
        <v>0</v>
      </c>
      <c r="P72" s="193"/>
      <c r="Q72" s="194">
        <f>O75/100 * 20</f>
        <v>0</v>
      </c>
      <c r="R72" s="195"/>
    </row>
    <row r="73" spans="1:18" s="184" customFormat="1" ht="45" customHeight="1" x14ac:dyDescent="0.7">
      <c r="A73" s="177"/>
      <c r="B73" s="185"/>
      <c r="C73" s="187" t="s">
        <v>184</v>
      </c>
      <c r="D73" s="187"/>
      <c r="E73" s="187"/>
      <c r="F73" s="187"/>
      <c r="G73" s="187"/>
      <c r="H73" s="187"/>
      <c r="I73" s="187"/>
      <c r="J73" s="187"/>
      <c r="K73" s="187"/>
      <c r="L73" s="190"/>
      <c r="M73" s="190"/>
      <c r="N73" s="191"/>
      <c r="O73" s="192">
        <f>I66</f>
        <v>0</v>
      </c>
      <c r="P73" s="193"/>
      <c r="Q73" s="196"/>
      <c r="R73" s="197"/>
    </row>
    <row r="74" spans="1:18" s="184" customFormat="1" ht="45" customHeight="1" x14ac:dyDescent="0.7">
      <c r="A74" s="177"/>
      <c r="B74" s="185"/>
      <c r="C74" s="186" t="s">
        <v>185</v>
      </c>
      <c r="D74" s="187"/>
      <c r="E74" s="187"/>
      <c r="F74" s="187"/>
      <c r="G74" s="187"/>
      <c r="H74" s="187"/>
      <c r="I74" s="187"/>
      <c r="J74" s="187"/>
      <c r="K74" s="188"/>
      <c r="L74" s="189"/>
      <c r="M74" s="190"/>
      <c r="N74" s="191"/>
      <c r="O74" s="192">
        <f>I70</f>
        <v>0</v>
      </c>
      <c r="P74" s="193"/>
      <c r="Q74" s="196"/>
      <c r="R74" s="197"/>
    </row>
    <row r="75" spans="1:18" s="184" customFormat="1" ht="45" customHeight="1" x14ac:dyDescent="0.7">
      <c r="A75" s="177"/>
      <c r="B75" s="198"/>
      <c r="C75" s="186" t="s">
        <v>186</v>
      </c>
      <c r="D75" s="187"/>
      <c r="E75" s="187"/>
      <c r="F75" s="187"/>
      <c r="G75" s="187"/>
      <c r="H75" s="187"/>
      <c r="I75" s="187"/>
      <c r="J75" s="187"/>
      <c r="K75" s="188"/>
      <c r="L75" s="189"/>
      <c r="M75" s="190"/>
      <c r="N75" s="191"/>
      <c r="O75" s="192">
        <f>SUM(O72:P74)</f>
        <v>0</v>
      </c>
      <c r="P75" s="193"/>
      <c r="Q75" s="199"/>
      <c r="R75" s="200"/>
    </row>
    <row r="76" spans="1:18" s="184" customFormat="1" ht="64.900000000000006" customHeight="1" x14ac:dyDescent="0.7">
      <c r="A76" s="177"/>
      <c r="B76" s="201" t="s">
        <v>187</v>
      </c>
      <c r="C76" s="201"/>
      <c r="D76" s="201"/>
      <c r="E76" s="201"/>
      <c r="F76" s="201"/>
      <c r="G76" s="201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s="184" customFormat="1" ht="64.900000000000006" customHeight="1" x14ac:dyDescent="0.7">
      <c r="A77" s="177"/>
      <c r="B77" s="204" t="s">
        <v>188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5"/>
    </row>
    <row r="78" spans="1:18" s="184" customFormat="1" ht="48.75" customHeight="1" x14ac:dyDescent="0.7">
      <c r="A78" s="177"/>
      <c r="B78" s="206" t="s">
        <v>189</v>
      </c>
      <c r="C78" s="206"/>
      <c r="D78" s="206"/>
      <c r="E78" s="206"/>
      <c r="F78" s="206"/>
      <c r="G78" s="206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8"/>
    </row>
    <row r="79" spans="1:18" s="184" customFormat="1" ht="45.75" x14ac:dyDescent="0.7">
      <c r="A79" s="177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5"/>
    </row>
    <row r="80" spans="1:18" s="122" customFormat="1" ht="31.5" customHeight="1" x14ac:dyDescent="0.55000000000000004">
      <c r="A80" s="209" t="s">
        <v>190</v>
      </c>
      <c r="B80" s="210"/>
      <c r="C80" s="211"/>
      <c r="D80" s="212"/>
      <c r="E80" s="213" t="s">
        <v>191</v>
      </c>
      <c r="F80" s="214"/>
      <c r="G80" s="210" t="s">
        <v>192</v>
      </c>
      <c r="H80" s="211"/>
      <c r="I80" s="211"/>
      <c r="J80" s="211"/>
      <c r="K80" s="215"/>
      <c r="L80" s="136"/>
      <c r="M80" s="216"/>
      <c r="N80" s="216"/>
      <c r="O80" s="216"/>
      <c r="P80" s="216"/>
      <c r="Q80" s="216"/>
      <c r="R80" s="121"/>
    </row>
    <row r="81" spans="1:18" s="122" customFormat="1" ht="31.5" customHeight="1" x14ac:dyDescent="0.55000000000000004">
      <c r="A81" s="217"/>
      <c r="B81" s="218"/>
      <c r="C81" s="219"/>
      <c r="D81" s="220"/>
      <c r="E81" s="221"/>
      <c r="F81" s="222"/>
      <c r="G81" s="218"/>
      <c r="H81" s="219"/>
      <c r="I81" s="219"/>
      <c r="J81" s="219"/>
      <c r="K81" s="215"/>
      <c r="L81" s="136"/>
      <c r="M81" s="223"/>
      <c r="N81" s="223"/>
      <c r="O81" s="223"/>
      <c r="P81" s="223"/>
      <c r="Q81" s="223"/>
      <c r="R81" s="121"/>
    </row>
    <row r="82" spans="1:18" s="122" customFormat="1" ht="31.5" customHeight="1" x14ac:dyDescent="0.55000000000000004">
      <c r="A82" s="217"/>
      <c r="B82" s="218"/>
      <c r="C82" s="219"/>
      <c r="D82" s="220"/>
      <c r="E82" s="221"/>
      <c r="F82" s="222"/>
      <c r="G82" s="218"/>
      <c r="H82" s="219"/>
      <c r="I82" s="219"/>
      <c r="J82" s="219"/>
      <c r="K82" s="215"/>
      <c r="L82" s="136"/>
      <c r="M82" s="223"/>
      <c r="N82" s="223"/>
      <c r="O82" s="223"/>
      <c r="P82" s="223"/>
      <c r="Q82" s="223"/>
      <c r="R82" s="121"/>
    </row>
    <row r="83" spans="1:18" s="122" customFormat="1" ht="31.5" customHeight="1" x14ac:dyDescent="0.55000000000000004">
      <c r="A83" s="224"/>
      <c r="B83" s="225"/>
      <c r="C83" s="226"/>
      <c r="D83" s="227"/>
      <c r="E83" s="228"/>
      <c r="F83" s="229"/>
      <c r="G83" s="225"/>
      <c r="H83" s="226"/>
      <c r="I83" s="226"/>
      <c r="J83" s="226"/>
      <c r="K83" s="215"/>
      <c r="L83" s="136"/>
      <c r="M83" s="223"/>
      <c r="N83" s="223"/>
      <c r="O83" s="223"/>
      <c r="P83" s="223"/>
      <c r="Q83" s="223"/>
      <c r="R83" s="121"/>
    </row>
    <row r="84" spans="1:18" s="122" customFormat="1" ht="31.5" customHeight="1" x14ac:dyDescent="0.55000000000000004">
      <c r="A84" s="230" t="s">
        <v>157</v>
      </c>
      <c r="B84" s="231"/>
      <c r="C84" s="211"/>
      <c r="D84" s="212"/>
      <c r="E84" s="232" t="s">
        <v>193</v>
      </c>
      <c r="F84" s="214"/>
      <c r="G84" s="231" t="s">
        <v>193</v>
      </c>
      <c r="H84" s="211"/>
      <c r="I84" s="211"/>
      <c r="J84" s="211"/>
      <c r="K84" s="215"/>
      <c r="L84" s="136"/>
      <c r="M84" s="223"/>
      <c r="N84" s="223"/>
      <c r="O84" s="223"/>
      <c r="P84" s="223"/>
      <c r="Q84" s="223"/>
      <c r="R84" s="121"/>
    </row>
    <row r="85" spans="1:18" s="122" customFormat="1" ht="31.5" customHeight="1" x14ac:dyDescent="0.55000000000000004">
      <c r="A85" s="233"/>
      <c r="B85" s="234"/>
      <c r="C85" s="219"/>
      <c r="D85" s="220"/>
      <c r="E85" s="235"/>
      <c r="F85" s="222"/>
      <c r="G85" s="234"/>
      <c r="H85" s="219"/>
      <c r="I85" s="219"/>
      <c r="J85" s="219"/>
      <c r="K85" s="215"/>
      <c r="L85" s="136"/>
      <c r="M85" s="223"/>
      <c r="N85" s="223"/>
      <c r="O85" s="223"/>
      <c r="P85" s="223"/>
      <c r="Q85" s="223"/>
      <c r="R85" s="121"/>
    </row>
    <row r="86" spans="1:18" s="122" customFormat="1" ht="31.5" customHeight="1" x14ac:dyDescent="0.55000000000000004">
      <c r="A86" s="233"/>
      <c r="B86" s="234"/>
      <c r="C86" s="226"/>
      <c r="D86" s="227"/>
      <c r="E86" s="236"/>
      <c r="F86" s="229"/>
      <c r="G86" s="237"/>
      <c r="H86" s="226"/>
      <c r="I86" s="226"/>
      <c r="J86" s="226"/>
      <c r="K86" s="215"/>
      <c r="L86" s="136"/>
      <c r="M86" s="223"/>
      <c r="N86" s="223"/>
      <c r="O86" s="223"/>
      <c r="P86" s="223"/>
      <c r="Q86" s="223"/>
      <c r="R86" s="121"/>
    </row>
    <row r="87" spans="1:18" s="122" customFormat="1" ht="31.5" customHeight="1" x14ac:dyDescent="0.55000000000000004">
      <c r="A87" s="217" t="s">
        <v>158</v>
      </c>
      <c r="B87" s="218"/>
      <c r="C87" s="211"/>
      <c r="D87" s="212"/>
      <c r="E87" s="213" t="s">
        <v>194</v>
      </c>
      <c r="F87" s="214"/>
      <c r="G87" s="210" t="s">
        <v>194</v>
      </c>
      <c r="H87" s="211"/>
      <c r="I87" s="211"/>
      <c r="J87" s="211"/>
      <c r="K87" s="215"/>
      <c r="L87" s="136"/>
      <c r="M87" s="223"/>
      <c r="N87" s="223"/>
      <c r="O87" s="223"/>
      <c r="P87" s="223"/>
      <c r="Q87" s="223"/>
      <c r="R87" s="121"/>
    </row>
    <row r="88" spans="1:18" s="122" customFormat="1" ht="31.5" customHeight="1" x14ac:dyDescent="0.55000000000000004">
      <c r="A88" s="217"/>
      <c r="B88" s="218"/>
      <c r="C88" s="226"/>
      <c r="D88" s="227"/>
      <c r="E88" s="228"/>
      <c r="F88" s="229"/>
      <c r="G88" s="225"/>
      <c r="H88" s="226"/>
      <c r="I88" s="226"/>
      <c r="J88" s="226"/>
      <c r="K88" s="215"/>
      <c r="L88" s="136"/>
      <c r="M88" s="223"/>
      <c r="N88" s="223"/>
      <c r="O88" s="223"/>
      <c r="P88" s="223"/>
      <c r="Q88" s="223"/>
      <c r="R88" s="121"/>
    </row>
    <row r="89" spans="1:18" s="122" customFormat="1" ht="31.5" customHeight="1" thickBot="1" x14ac:dyDescent="0.6">
      <c r="A89" s="238"/>
      <c r="B89" s="239"/>
      <c r="C89" s="239"/>
      <c r="D89" s="239"/>
      <c r="E89" s="239"/>
      <c r="F89" s="239"/>
      <c r="G89" s="239"/>
      <c r="H89" s="239"/>
      <c r="I89" s="239"/>
      <c r="J89" s="239"/>
      <c r="K89" s="240"/>
      <c r="L89" s="241"/>
      <c r="M89" s="242"/>
      <c r="N89" s="242"/>
      <c r="O89" s="242"/>
      <c r="P89" s="242"/>
      <c r="Q89" s="242"/>
      <c r="R89" s="243"/>
    </row>
  </sheetData>
  <mergeCells count="119">
    <mergeCell ref="A46:A47"/>
    <mergeCell ref="B46:B47"/>
    <mergeCell ref="C46:C47"/>
    <mergeCell ref="A89:J89"/>
    <mergeCell ref="A19:A23"/>
    <mergeCell ref="B19:B23"/>
    <mergeCell ref="C19:C23"/>
    <mergeCell ref="A25:A34"/>
    <mergeCell ref="B25:B34"/>
    <mergeCell ref="C25:C34"/>
    <mergeCell ref="A35:A42"/>
    <mergeCell ref="B35:B42"/>
    <mergeCell ref="C35:C42"/>
    <mergeCell ref="A87:B88"/>
    <mergeCell ref="C87:D88"/>
    <mergeCell ref="E87:E88"/>
    <mergeCell ref="F87:F88"/>
    <mergeCell ref="G87:G88"/>
    <mergeCell ref="H87:J88"/>
    <mergeCell ref="A84:B86"/>
    <mergeCell ref="C84:D86"/>
    <mergeCell ref="E84:E86"/>
    <mergeCell ref="F84:F86"/>
    <mergeCell ref="G84:G86"/>
    <mergeCell ref="H84:J86"/>
    <mergeCell ref="B77:R77"/>
    <mergeCell ref="B78:G78"/>
    <mergeCell ref="B79:R79"/>
    <mergeCell ref="A80:B83"/>
    <mergeCell ref="C80:D83"/>
    <mergeCell ref="E80:E83"/>
    <mergeCell ref="F80:F83"/>
    <mergeCell ref="G80:G83"/>
    <mergeCell ref="H80:J83"/>
    <mergeCell ref="M80:Q89"/>
    <mergeCell ref="L74:N74"/>
    <mergeCell ref="O74:P74"/>
    <mergeCell ref="C75:K75"/>
    <mergeCell ref="L75:N75"/>
    <mergeCell ref="O75:P75"/>
    <mergeCell ref="B76:G76"/>
    <mergeCell ref="O71:P71"/>
    <mergeCell ref="Q71:R71"/>
    <mergeCell ref="C72:K72"/>
    <mergeCell ref="L72:N72"/>
    <mergeCell ref="O72:P72"/>
    <mergeCell ref="Q72:R75"/>
    <mergeCell ref="C73:K73"/>
    <mergeCell ref="L73:N73"/>
    <mergeCell ref="O73:P73"/>
    <mergeCell ref="C74:K74"/>
    <mergeCell ref="A66:G66"/>
    <mergeCell ref="C67:G67"/>
    <mergeCell ref="C68:G68"/>
    <mergeCell ref="C69:G69"/>
    <mergeCell ref="B70:D70"/>
    <mergeCell ref="B71:B75"/>
    <mergeCell ref="F71:J71"/>
    <mergeCell ref="C60:G60"/>
    <mergeCell ref="C61:G61"/>
    <mergeCell ref="C62:G62"/>
    <mergeCell ref="C63:G63"/>
    <mergeCell ref="C64:G64"/>
    <mergeCell ref="C65:G65"/>
    <mergeCell ref="C57:G57"/>
    <mergeCell ref="N57:O57"/>
    <mergeCell ref="C58:G58"/>
    <mergeCell ref="N58:O58"/>
    <mergeCell ref="C59:G59"/>
    <mergeCell ref="N59:O59"/>
    <mergeCell ref="C54:G54"/>
    <mergeCell ref="N54:O54"/>
    <mergeCell ref="C55:G55"/>
    <mergeCell ref="N55:O55"/>
    <mergeCell ref="C56:G56"/>
    <mergeCell ref="N56:O56"/>
    <mergeCell ref="R17:R18"/>
    <mergeCell ref="I51:Q51"/>
    <mergeCell ref="A52:G52"/>
    <mergeCell ref="H52:K52"/>
    <mergeCell ref="L52:L53"/>
    <mergeCell ref="C53:G53"/>
    <mergeCell ref="D35:D42"/>
    <mergeCell ref="A44:A45"/>
    <mergeCell ref="B44:B45"/>
    <mergeCell ref="C44:C45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CF2F9FFE-67C5-44ED-B350-48D108492B6A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56029-670B-44C0-A935-41CE4301262D}">
  <sheetPr>
    <pageSetUpPr fitToPage="1"/>
  </sheetPr>
  <dimension ref="A1:R89"/>
  <sheetViews>
    <sheetView zoomScale="30" zoomScaleNormal="30" workbookViewId="0">
      <selection activeCell="A19" sqref="A19:O49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197</v>
      </c>
      <c r="C5" s="16" t="s">
        <v>2</v>
      </c>
      <c r="D5" s="17" t="s">
        <v>198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.75" x14ac:dyDescent="0.6">
      <c r="A8" s="255" t="s">
        <v>12</v>
      </c>
      <c r="B8" s="256"/>
      <c r="C8" s="257">
        <v>88712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54" customFormat="1" ht="39" x14ac:dyDescent="0.6">
      <c r="A10" s="247" t="s">
        <v>4</v>
      </c>
      <c r="B10" s="248"/>
      <c r="C10" s="249" t="s">
        <v>18</v>
      </c>
      <c r="D10" s="250" t="s">
        <v>6</v>
      </c>
      <c r="E10" s="249" t="s">
        <v>19</v>
      </c>
      <c r="F10" s="250" t="s">
        <v>8</v>
      </c>
      <c r="G10" s="251" t="s">
        <v>20</v>
      </c>
      <c r="H10" s="250" t="s">
        <v>10</v>
      </c>
      <c r="I10" s="252" t="s">
        <v>21</v>
      </c>
      <c r="J10" s="253"/>
      <c r="K10" s="21"/>
      <c r="L10" s="22"/>
      <c r="M10" s="22"/>
      <c r="N10" s="22"/>
      <c r="O10" s="22"/>
      <c r="P10" s="22"/>
      <c r="Q10" s="22"/>
      <c r="R10" s="23"/>
    </row>
    <row r="11" spans="1:18" s="254" customFormat="1" ht="39.75" x14ac:dyDescent="0.6">
      <c r="A11" s="255" t="s">
        <v>12</v>
      </c>
      <c r="B11" s="256"/>
      <c r="C11" s="257">
        <v>60694</v>
      </c>
      <c r="D11" s="258" t="s">
        <v>13</v>
      </c>
      <c r="E11" s="259" t="s">
        <v>22</v>
      </c>
      <c r="F11" s="258" t="s">
        <v>14</v>
      </c>
      <c r="G11" s="260"/>
      <c r="H11" s="258" t="s">
        <v>15</v>
      </c>
      <c r="I11" s="261" t="s">
        <v>16</v>
      </c>
      <c r="J11" s="262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10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63" t="s">
        <v>28</v>
      </c>
      <c r="F14" s="46" t="s">
        <v>14</v>
      </c>
      <c r="G14" s="264"/>
      <c r="H14" s="45" t="s">
        <v>15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162</v>
      </c>
      <c r="Q17" s="71" t="s">
        <v>163</v>
      </c>
      <c r="R17" s="72" t="s">
        <v>164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165</v>
      </c>
      <c r="K18" s="78" t="s">
        <v>166</v>
      </c>
      <c r="L18" s="78" t="s">
        <v>167</v>
      </c>
      <c r="M18" s="77" t="s">
        <v>168</v>
      </c>
      <c r="N18" s="77" t="s">
        <v>169</v>
      </c>
      <c r="O18" s="77" t="s">
        <v>170</v>
      </c>
      <c r="P18" s="79"/>
      <c r="Q18" s="79"/>
      <c r="R18" s="80"/>
    </row>
    <row r="19" spans="1:18" s="92" customFormat="1" ht="147" customHeight="1" x14ac:dyDescent="0.25">
      <c r="A19" s="265">
        <v>1</v>
      </c>
      <c r="B19" s="266" t="s">
        <v>46</v>
      </c>
      <c r="C19" s="267">
        <f>0.25 *1.28791886111175</f>
        <v>0.32197971527793751</v>
      </c>
      <c r="D19" s="82" t="s">
        <v>47</v>
      </c>
      <c r="E19" s="83">
        <f>C19/5</f>
        <v>6.4395943055587504E-2</v>
      </c>
      <c r="F19" s="83">
        <f t="shared" ref="F19:F49" si="0">E19/$E$50 * 100</f>
        <v>0.1897629657240644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49" si="1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49" si="2">F19*Q19/100</f>
        <v>0</v>
      </c>
    </row>
    <row r="20" spans="1:18" s="92" customFormat="1" ht="147" customHeight="1" x14ac:dyDescent="0.25">
      <c r="A20" s="268"/>
      <c r="B20" s="269"/>
      <c r="C20" s="270"/>
      <c r="D20" s="82" t="s">
        <v>51</v>
      </c>
      <c r="E20" s="83">
        <f>C19/5</f>
        <v>6.4395943055587504E-2</v>
      </c>
      <c r="F20" s="83">
        <f t="shared" si="0"/>
        <v>0.1897629657240644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1"/>
        <v>0</v>
      </c>
      <c r="R20" s="91">
        <f t="shared" si="2"/>
        <v>0</v>
      </c>
    </row>
    <row r="21" spans="1:18" s="92" customFormat="1" ht="147" customHeight="1" x14ac:dyDescent="0.25">
      <c r="A21" s="268"/>
      <c r="B21" s="269"/>
      <c r="C21" s="270"/>
      <c r="D21" s="82" t="s">
        <v>53</v>
      </c>
      <c r="E21" s="83">
        <f>C19/5</f>
        <v>6.4395943055587504E-2</v>
      </c>
      <c r="F21" s="83">
        <f t="shared" si="0"/>
        <v>0.1897629657240644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1"/>
        <v>0</v>
      </c>
      <c r="R21" s="91">
        <f t="shared" si="2"/>
        <v>0</v>
      </c>
    </row>
    <row r="22" spans="1:18" s="92" customFormat="1" ht="147" customHeight="1" x14ac:dyDescent="0.25">
      <c r="A22" s="268"/>
      <c r="B22" s="269"/>
      <c r="C22" s="270"/>
      <c r="D22" s="82" t="s">
        <v>55</v>
      </c>
      <c r="E22" s="83">
        <f>C19/5</f>
        <v>6.4395943055587504E-2</v>
      </c>
      <c r="F22" s="83">
        <f t="shared" si="0"/>
        <v>0.1897629657240644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1"/>
        <v>0</v>
      </c>
      <c r="R22" s="91">
        <f t="shared" si="2"/>
        <v>0</v>
      </c>
    </row>
    <row r="23" spans="1:18" s="92" customFormat="1" ht="147" customHeight="1" x14ac:dyDescent="0.25">
      <c r="A23" s="271"/>
      <c r="B23" s="272"/>
      <c r="C23" s="273"/>
      <c r="D23" s="82" t="s">
        <v>59</v>
      </c>
      <c r="E23" s="83">
        <f>C19/5</f>
        <v>6.4395943055587504E-2</v>
      </c>
      <c r="F23" s="83">
        <f t="shared" si="0"/>
        <v>0.1897629657240644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1"/>
        <v>0</v>
      </c>
      <c r="R23" s="91">
        <f t="shared" si="2"/>
        <v>0</v>
      </c>
    </row>
    <row r="24" spans="1:18" s="92" customFormat="1" ht="147" customHeight="1" x14ac:dyDescent="0.25">
      <c r="A24" s="81">
        <v>2</v>
      </c>
      <c r="B24" s="82" t="s">
        <v>61</v>
      </c>
      <c r="C24" s="274">
        <f>0.25 *0.77275131666705</f>
        <v>0.1931878291667625</v>
      </c>
      <c r="D24" s="82" t="s">
        <v>62</v>
      </c>
      <c r="E24" s="83">
        <f>C24</f>
        <v>0.1931878291667625</v>
      </c>
      <c r="F24" s="83">
        <f t="shared" si="0"/>
        <v>0.56928889717219311</v>
      </c>
      <c r="G24" s="84" t="s">
        <v>63</v>
      </c>
      <c r="H24" s="85">
        <v>0.5</v>
      </c>
      <c r="I24" s="86" t="s">
        <v>49</v>
      </c>
      <c r="J24" s="87" t="s">
        <v>64</v>
      </c>
      <c r="K24" s="88">
        <v>50</v>
      </c>
      <c r="L24" s="88">
        <v>45</v>
      </c>
      <c r="M24" s="88">
        <v>40</v>
      </c>
      <c r="N24" s="88">
        <v>25</v>
      </c>
      <c r="O24" s="88" t="s">
        <v>65</v>
      </c>
      <c r="P24" s="89"/>
      <c r="Q24" s="90">
        <f t="shared" si="1"/>
        <v>0</v>
      </c>
      <c r="R24" s="91">
        <f t="shared" si="2"/>
        <v>0</v>
      </c>
    </row>
    <row r="25" spans="1:18" s="92" customFormat="1" ht="147" customHeight="1" x14ac:dyDescent="0.25">
      <c r="A25" s="265">
        <v>2</v>
      </c>
      <c r="B25" s="266" t="s">
        <v>66</v>
      </c>
      <c r="C25" s="267">
        <f>0.25 *68.7196706607483</f>
        <v>17.179917665187077</v>
      </c>
      <c r="D25" s="82" t="s">
        <v>67</v>
      </c>
      <c r="E25" s="83">
        <f>C25/10</f>
        <v>1.7179917665187077</v>
      </c>
      <c r="F25" s="83">
        <f t="shared" si="0"/>
        <v>5.0626048355669981</v>
      </c>
      <c r="G25" s="82" t="s">
        <v>68</v>
      </c>
      <c r="H25" s="93">
        <v>80</v>
      </c>
      <c r="I25" s="93" t="s">
        <v>49</v>
      </c>
      <c r="J25" s="87" t="s">
        <v>69</v>
      </c>
      <c r="K25" s="88">
        <v>80</v>
      </c>
      <c r="L25" s="88">
        <v>75</v>
      </c>
      <c r="M25" s="88">
        <v>70</v>
      </c>
      <c r="N25" s="88">
        <v>50</v>
      </c>
      <c r="O25" s="88" t="s">
        <v>70</v>
      </c>
      <c r="P25" s="89"/>
      <c r="Q25" s="90">
        <f t="shared" si="1"/>
        <v>0</v>
      </c>
      <c r="R25" s="91">
        <f t="shared" si="2"/>
        <v>0</v>
      </c>
    </row>
    <row r="26" spans="1:18" s="92" customFormat="1" ht="147" customHeight="1" x14ac:dyDescent="0.25">
      <c r="A26" s="268"/>
      <c r="B26" s="269"/>
      <c r="C26" s="270"/>
      <c r="D26" s="82" t="s">
        <v>71</v>
      </c>
      <c r="E26" s="83">
        <f>C25/10</f>
        <v>1.7179917665187077</v>
      </c>
      <c r="F26" s="83">
        <f t="shared" si="0"/>
        <v>5.0626048355669981</v>
      </c>
      <c r="G26" s="82" t="s">
        <v>72</v>
      </c>
      <c r="H26" s="93">
        <v>80</v>
      </c>
      <c r="I26" s="93" t="s">
        <v>49</v>
      </c>
      <c r="J26" s="87" t="s">
        <v>69</v>
      </c>
      <c r="K26" s="88">
        <v>80</v>
      </c>
      <c r="L26" s="88">
        <v>75</v>
      </c>
      <c r="M26" s="88">
        <v>70</v>
      </c>
      <c r="N26" s="88">
        <v>50</v>
      </c>
      <c r="O26" s="88" t="s">
        <v>70</v>
      </c>
      <c r="P26" s="89"/>
      <c r="Q26" s="90">
        <f t="shared" si="1"/>
        <v>0</v>
      </c>
      <c r="R26" s="91">
        <f t="shared" si="2"/>
        <v>0</v>
      </c>
    </row>
    <row r="27" spans="1:18" s="92" customFormat="1" ht="147" customHeight="1" x14ac:dyDescent="0.25">
      <c r="A27" s="268"/>
      <c r="B27" s="269"/>
      <c r="C27" s="270"/>
      <c r="D27" s="82" t="s">
        <v>73</v>
      </c>
      <c r="E27" s="83">
        <f>C25/10</f>
        <v>1.7179917665187077</v>
      </c>
      <c r="F27" s="83">
        <f t="shared" si="0"/>
        <v>5.0626048355669981</v>
      </c>
      <c r="G27" s="82" t="s">
        <v>74</v>
      </c>
      <c r="H27" s="94">
        <v>0.9</v>
      </c>
      <c r="I27" s="93" t="s">
        <v>49</v>
      </c>
      <c r="J27" s="87" t="s">
        <v>75</v>
      </c>
      <c r="K27" s="88">
        <v>90</v>
      </c>
      <c r="L27" s="88">
        <v>80</v>
      </c>
      <c r="M27" s="88">
        <v>70</v>
      </c>
      <c r="N27" s="88">
        <v>50</v>
      </c>
      <c r="O27" s="88" t="s">
        <v>70</v>
      </c>
      <c r="P27" s="89"/>
      <c r="Q27" s="90">
        <f t="shared" ref="Q27:Q44" si="3">IF(OR(TRIM(P27)="",P27=0),0,
IF(P27&lt;N27,50,
IF(P27&lt;M27,60,
IF(P27&lt;L27,70,
IF(P27&lt;K27,80,
IF(ISNUMBER(J27),
    IF(P27&lt;J27,IF(P27&gt;=K27,90,80),100),
    IF(P27=K27,90,100)
))))))</f>
        <v>0</v>
      </c>
      <c r="R27" s="91">
        <f t="shared" ref="R27:R44" si="4">F27*Q27/100</f>
        <v>0</v>
      </c>
    </row>
    <row r="28" spans="1:18" s="92" customFormat="1" ht="147" customHeight="1" x14ac:dyDescent="0.25">
      <c r="A28" s="268"/>
      <c r="B28" s="269"/>
      <c r="C28" s="270"/>
      <c r="D28" s="82" t="s">
        <v>76</v>
      </c>
      <c r="E28" s="83">
        <f>C25/10</f>
        <v>1.7179917665187077</v>
      </c>
      <c r="F28" s="83">
        <f t="shared" si="0"/>
        <v>5.0626048355669981</v>
      </c>
      <c r="G28" s="82" t="s">
        <v>77</v>
      </c>
      <c r="H28" s="93">
        <v>80</v>
      </c>
      <c r="I28" s="93" t="s">
        <v>49</v>
      </c>
      <c r="J28" s="87" t="s">
        <v>69</v>
      </c>
      <c r="K28" s="88">
        <v>80</v>
      </c>
      <c r="L28" s="88">
        <v>75</v>
      </c>
      <c r="M28" s="88">
        <v>70</v>
      </c>
      <c r="N28" s="88">
        <v>50</v>
      </c>
      <c r="O28" s="88" t="s">
        <v>70</v>
      </c>
      <c r="P28" s="89"/>
      <c r="Q28" s="90">
        <f t="shared" si="3"/>
        <v>0</v>
      </c>
      <c r="R28" s="91">
        <f t="shared" si="4"/>
        <v>0</v>
      </c>
    </row>
    <row r="29" spans="1:18" s="92" customFormat="1" ht="147" customHeight="1" x14ac:dyDescent="0.25">
      <c r="A29" s="268"/>
      <c r="B29" s="269"/>
      <c r="C29" s="270"/>
      <c r="D29" s="82" t="s">
        <v>78</v>
      </c>
      <c r="E29" s="83">
        <f>C25/10</f>
        <v>1.7179917665187077</v>
      </c>
      <c r="F29" s="83">
        <f t="shared" si="0"/>
        <v>5.0626048355669981</v>
      </c>
      <c r="G29" s="82" t="s">
        <v>79</v>
      </c>
      <c r="H29" s="94">
        <v>0.9</v>
      </c>
      <c r="I29" s="93" t="s">
        <v>49</v>
      </c>
      <c r="J29" s="87" t="s">
        <v>75</v>
      </c>
      <c r="K29" s="88">
        <v>90</v>
      </c>
      <c r="L29" s="88">
        <v>80</v>
      </c>
      <c r="M29" s="88">
        <v>70</v>
      </c>
      <c r="N29" s="88">
        <v>50</v>
      </c>
      <c r="O29" s="88" t="s">
        <v>70</v>
      </c>
      <c r="P29" s="89"/>
      <c r="Q29" s="90">
        <f t="shared" si="3"/>
        <v>0</v>
      </c>
      <c r="R29" s="91">
        <f t="shared" si="4"/>
        <v>0</v>
      </c>
    </row>
    <row r="30" spans="1:18" s="92" customFormat="1" ht="147" customHeight="1" x14ac:dyDescent="0.25">
      <c r="A30" s="268"/>
      <c r="B30" s="269"/>
      <c r="C30" s="270"/>
      <c r="D30" s="82" t="s">
        <v>80</v>
      </c>
      <c r="E30" s="83">
        <f>C25/10</f>
        <v>1.7179917665187077</v>
      </c>
      <c r="F30" s="83">
        <f t="shared" si="0"/>
        <v>5.0626048355669981</v>
      </c>
      <c r="G30" s="82" t="s">
        <v>81</v>
      </c>
      <c r="H30" s="94">
        <v>0.8</v>
      </c>
      <c r="I30" s="93" t="s">
        <v>49</v>
      </c>
      <c r="J30" s="87" t="s">
        <v>69</v>
      </c>
      <c r="K30" s="88">
        <v>80</v>
      </c>
      <c r="L30" s="88">
        <v>75</v>
      </c>
      <c r="M30" s="88">
        <v>70</v>
      </c>
      <c r="N30" s="88">
        <v>50</v>
      </c>
      <c r="O30" s="88" t="s">
        <v>70</v>
      </c>
      <c r="P30" s="89"/>
      <c r="Q30" s="90">
        <f t="shared" si="3"/>
        <v>0</v>
      </c>
      <c r="R30" s="91">
        <f t="shared" si="4"/>
        <v>0</v>
      </c>
    </row>
    <row r="31" spans="1:18" s="92" customFormat="1" ht="147" customHeight="1" x14ac:dyDescent="0.25">
      <c r="A31" s="268"/>
      <c r="B31" s="269"/>
      <c r="C31" s="270"/>
      <c r="D31" s="82" t="s">
        <v>82</v>
      </c>
      <c r="E31" s="83">
        <f>C25/10</f>
        <v>1.7179917665187077</v>
      </c>
      <c r="F31" s="83">
        <f t="shared" si="0"/>
        <v>5.0626048355669981</v>
      </c>
      <c r="G31" s="82" t="s">
        <v>83</v>
      </c>
      <c r="H31" s="94">
        <v>0.9</v>
      </c>
      <c r="I31" s="93" t="s">
        <v>49</v>
      </c>
      <c r="J31" s="87" t="s">
        <v>75</v>
      </c>
      <c r="K31" s="88">
        <v>90</v>
      </c>
      <c r="L31" s="88">
        <v>80</v>
      </c>
      <c r="M31" s="88">
        <v>70</v>
      </c>
      <c r="N31" s="88">
        <v>50</v>
      </c>
      <c r="O31" s="88" t="s">
        <v>70</v>
      </c>
      <c r="P31" s="89"/>
      <c r="Q31" s="90">
        <f t="shared" si="3"/>
        <v>0</v>
      </c>
      <c r="R31" s="91">
        <f t="shared" si="4"/>
        <v>0</v>
      </c>
    </row>
    <row r="32" spans="1:18" s="92" customFormat="1" ht="147" customHeight="1" x14ac:dyDescent="0.25">
      <c r="A32" s="268"/>
      <c r="B32" s="269"/>
      <c r="C32" s="270"/>
      <c r="D32" s="82" t="s">
        <v>84</v>
      </c>
      <c r="E32" s="83">
        <f>C25/10</f>
        <v>1.7179917665187077</v>
      </c>
      <c r="F32" s="83">
        <f t="shared" si="0"/>
        <v>5.0626048355669981</v>
      </c>
      <c r="G32" s="82" t="s">
        <v>85</v>
      </c>
      <c r="H32" s="94">
        <v>0.8</v>
      </c>
      <c r="I32" s="93" t="s">
        <v>49</v>
      </c>
      <c r="J32" s="87" t="s">
        <v>69</v>
      </c>
      <c r="K32" s="88">
        <v>80</v>
      </c>
      <c r="L32" s="88">
        <v>75</v>
      </c>
      <c r="M32" s="88">
        <v>70</v>
      </c>
      <c r="N32" s="88">
        <v>50</v>
      </c>
      <c r="O32" s="88" t="s">
        <v>70</v>
      </c>
      <c r="P32" s="89"/>
      <c r="Q32" s="90">
        <f t="shared" si="3"/>
        <v>0</v>
      </c>
      <c r="R32" s="91">
        <f t="shared" si="4"/>
        <v>0</v>
      </c>
    </row>
    <row r="33" spans="1:18" s="92" customFormat="1" ht="147" customHeight="1" x14ac:dyDescent="0.25">
      <c r="A33" s="268"/>
      <c r="B33" s="269"/>
      <c r="C33" s="270"/>
      <c r="D33" s="82" t="s">
        <v>86</v>
      </c>
      <c r="E33" s="83">
        <f>C25/10</f>
        <v>1.7179917665187077</v>
      </c>
      <c r="F33" s="83">
        <f t="shared" si="0"/>
        <v>5.0626048355669981</v>
      </c>
      <c r="G33" s="82" t="s">
        <v>87</v>
      </c>
      <c r="H33" s="94">
        <v>0.8</v>
      </c>
      <c r="I33" s="93" t="s">
        <v>49</v>
      </c>
      <c r="J33" s="87" t="s">
        <v>69</v>
      </c>
      <c r="K33" s="88">
        <v>80</v>
      </c>
      <c r="L33" s="88">
        <v>75</v>
      </c>
      <c r="M33" s="88">
        <v>70</v>
      </c>
      <c r="N33" s="88">
        <v>50</v>
      </c>
      <c r="O33" s="88" t="s">
        <v>70</v>
      </c>
      <c r="P33" s="89"/>
      <c r="Q33" s="90">
        <f t="shared" si="3"/>
        <v>0</v>
      </c>
      <c r="R33" s="91">
        <f t="shared" si="4"/>
        <v>0</v>
      </c>
    </row>
    <row r="34" spans="1:18" s="92" customFormat="1" ht="147" customHeight="1" x14ac:dyDescent="0.25">
      <c r="A34" s="271"/>
      <c r="B34" s="272"/>
      <c r="C34" s="273"/>
      <c r="D34" s="82" t="s">
        <v>88</v>
      </c>
      <c r="E34" s="83">
        <f>C25/10</f>
        <v>1.7179917665187077</v>
      </c>
      <c r="F34" s="83">
        <f t="shared" si="0"/>
        <v>5.0626048355669981</v>
      </c>
      <c r="G34" s="82" t="s">
        <v>89</v>
      </c>
      <c r="H34" s="94">
        <v>0.9</v>
      </c>
      <c r="I34" s="93" t="s">
        <v>49</v>
      </c>
      <c r="J34" s="87" t="s">
        <v>75</v>
      </c>
      <c r="K34" s="88">
        <v>90</v>
      </c>
      <c r="L34" s="88">
        <v>80</v>
      </c>
      <c r="M34" s="88">
        <v>70</v>
      </c>
      <c r="N34" s="88">
        <v>50</v>
      </c>
      <c r="O34" s="88" t="s">
        <v>70</v>
      </c>
      <c r="P34" s="89"/>
      <c r="Q34" s="90">
        <f t="shared" si="3"/>
        <v>0</v>
      </c>
      <c r="R34" s="91">
        <f t="shared" si="4"/>
        <v>0</v>
      </c>
    </row>
    <row r="35" spans="1:18" s="92" customFormat="1" ht="147" customHeight="1" x14ac:dyDescent="0.25">
      <c r="A35" s="265">
        <v>4</v>
      </c>
      <c r="B35" s="266" t="s">
        <v>90</v>
      </c>
      <c r="C35" s="267">
        <v>14.489087187507183</v>
      </c>
      <c r="D35" s="266" t="s">
        <v>91</v>
      </c>
      <c r="E35" s="83">
        <f>C35/8</f>
        <v>1.8111358984383978</v>
      </c>
      <c r="F35" s="83">
        <f t="shared" si="0"/>
        <v>5.3370834109893091</v>
      </c>
      <c r="G35" s="82" t="s">
        <v>92</v>
      </c>
      <c r="H35" s="94">
        <v>1</v>
      </c>
      <c r="I35" s="86" t="s">
        <v>49</v>
      </c>
      <c r="J35" s="87">
        <v>100</v>
      </c>
      <c r="K35" s="88">
        <v>95</v>
      </c>
      <c r="L35" s="88">
        <v>90</v>
      </c>
      <c r="M35" s="88">
        <v>85</v>
      </c>
      <c r="N35" s="88">
        <v>80</v>
      </c>
      <c r="O35" s="88" t="s">
        <v>50</v>
      </c>
      <c r="P35" s="89"/>
      <c r="Q35" s="90">
        <f t="shared" si="3"/>
        <v>0</v>
      </c>
      <c r="R35" s="91">
        <f t="shared" si="4"/>
        <v>0</v>
      </c>
    </row>
    <row r="36" spans="1:18" s="92" customFormat="1" ht="147" customHeight="1" x14ac:dyDescent="0.25">
      <c r="A36" s="268"/>
      <c r="B36" s="269"/>
      <c r="C36" s="270"/>
      <c r="D36" s="269"/>
      <c r="E36" s="83">
        <f>C35/8</f>
        <v>1.8111358984383978</v>
      </c>
      <c r="F36" s="83">
        <f t="shared" si="0"/>
        <v>5.3370834109893091</v>
      </c>
      <c r="G36" s="82" t="s">
        <v>93</v>
      </c>
      <c r="H36" s="94">
        <v>1</v>
      </c>
      <c r="I36" s="86" t="s">
        <v>49</v>
      </c>
      <c r="J36" s="87">
        <v>100</v>
      </c>
      <c r="K36" s="88">
        <v>95</v>
      </c>
      <c r="L36" s="88">
        <v>90</v>
      </c>
      <c r="M36" s="88">
        <v>85</v>
      </c>
      <c r="N36" s="88">
        <v>80</v>
      </c>
      <c r="O36" s="88" t="s">
        <v>50</v>
      </c>
      <c r="P36" s="89"/>
      <c r="Q36" s="90">
        <f t="shared" si="3"/>
        <v>0</v>
      </c>
      <c r="R36" s="91">
        <f t="shared" si="4"/>
        <v>0</v>
      </c>
    </row>
    <row r="37" spans="1:18" s="92" customFormat="1" ht="147" customHeight="1" x14ac:dyDescent="0.25">
      <c r="A37" s="268"/>
      <c r="B37" s="269"/>
      <c r="C37" s="270"/>
      <c r="D37" s="269"/>
      <c r="E37" s="83">
        <f>C35/8</f>
        <v>1.8111358984383978</v>
      </c>
      <c r="F37" s="83">
        <f t="shared" si="0"/>
        <v>5.3370834109893091</v>
      </c>
      <c r="G37" s="82" t="s">
        <v>94</v>
      </c>
      <c r="H37" s="94">
        <v>0.9</v>
      </c>
      <c r="I37" s="93" t="s">
        <v>49</v>
      </c>
      <c r="J37" s="87" t="s">
        <v>75</v>
      </c>
      <c r="K37" s="88">
        <v>90</v>
      </c>
      <c r="L37" s="88">
        <v>80</v>
      </c>
      <c r="M37" s="88">
        <v>70</v>
      </c>
      <c r="N37" s="88">
        <v>50</v>
      </c>
      <c r="O37" s="88" t="s">
        <v>70</v>
      </c>
      <c r="P37" s="89"/>
      <c r="Q37" s="90">
        <f t="shared" si="3"/>
        <v>0</v>
      </c>
      <c r="R37" s="91">
        <f t="shared" si="4"/>
        <v>0</v>
      </c>
    </row>
    <row r="38" spans="1:18" s="92" customFormat="1" ht="147" customHeight="1" x14ac:dyDescent="0.25">
      <c r="A38" s="268"/>
      <c r="B38" s="269"/>
      <c r="C38" s="270"/>
      <c r="D38" s="269"/>
      <c r="E38" s="83">
        <f>C35/8</f>
        <v>1.8111358984383978</v>
      </c>
      <c r="F38" s="83">
        <f t="shared" si="0"/>
        <v>5.3370834109893091</v>
      </c>
      <c r="G38" s="82" t="s">
        <v>95</v>
      </c>
      <c r="H38" s="94">
        <v>0.9</v>
      </c>
      <c r="I38" s="93" t="s">
        <v>49</v>
      </c>
      <c r="J38" s="87" t="s">
        <v>75</v>
      </c>
      <c r="K38" s="88">
        <v>90</v>
      </c>
      <c r="L38" s="88">
        <v>80</v>
      </c>
      <c r="M38" s="88">
        <v>70</v>
      </c>
      <c r="N38" s="88">
        <v>50</v>
      </c>
      <c r="O38" s="88" t="s">
        <v>70</v>
      </c>
      <c r="P38" s="89"/>
      <c r="Q38" s="90">
        <f t="shared" si="3"/>
        <v>0</v>
      </c>
      <c r="R38" s="91">
        <f t="shared" si="4"/>
        <v>0</v>
      </c>
    </row>
    <row r="39" spans="1:18" s="92" customFormat="1" ht="147" customHeight="1" x14ac:dyDescent="0.25">
      <c r="A39" s="268"/>
      <c r="B39" s="269"/>
      <c r="C39" s="270"/>
      <c r="D39" s="269"/>
      <c r="E39" s="83">
        <f>C35/8</f>
        <v>1.8111358984383978</v>
      </c>
      <c r="F39" s="83">
        <f t="shared" si="0"/>
        <v>5.3370834109893091</v>
      </c>
      <c r="G39" s="82" t="s">
        <v>96</v>
      </c>
      <c r="H39" s="94">
        <v>0.8</v>
      </c>
      <c r="I39" s="93" t="s">
        <v>49</v>
      </c>
      <c r="J39" s="87" t="s">
        <v>69</v>
      </c>
      <c r="K39" s="88">
        <v>80</v>
      </c>
      <c r="L39" s="88">
        <v>75</v>
      </c>
      <c r="M39" s="88">
        <v>70</v>
      </c>
      <c r="N39" s="88">
        <v>50</v>
      </c>
      <c r="O39" s="88" t="s">
        <v>70</v>
      </c>
      <c r="P39" s="89"/>
      <c r="Q39" s="90">
        <f t="shared" si="3"/>
        <v>0</v>
      </c>
      <c r="R39" s="91">
        <f t="shared" si="4"/>
        <v>0</v>
      </c>
    </row>
    <row r="40" spans="1:18" s="92" customFormat="1" ht="147" customHeight="1" x14ac:dyDescent="0.25">
      <c r="A40" s="268"/>
      <c r="B40" s="269"/>
      <c r="C40" s="270"/>
      <c r="D40" s="269"/>
      <c r="E40" s="83">
        <f>C35/8</f>
        <v>1.8111358984383978</v>
      </c>
      <c r="F40" s="83">
        <f t="shared" si="0"/>
        <v>5.3370834109893091</v>
      </c>
      <c r="G40" s="82" t="s">
        <v>97</v>
      </c>
      <c r="H40" s="94">
        <v>1</v>
      </c>
      <c r="I40" s="86" t="s">
        <v>49</v>
      </c>
      <c r="J40" s="87">
        <v>100</v>
      </c>
      <c r="K40" s="88">
        <v>95</v>
      </c>
      <c r="L40" s="88">
        <v>90</v>
      </c>
      <c r="M40" s="88">
        <v>85</v>
      </c>
      <c r="N40" s="88">
        <v>80</v>
      </c>
      <c r="O40" s="88" t="s">
        <v>50</v>
      </c>
      <c r="P40" s="89"/>
      <c r="Q40" s="90">
        <f t="shared" si="3"/>
        <v>0</v>
      </c>
      <c r="R40" s="91">
        <f t="shared" si="4"/>
        <v>0</v>
      </c>
    </row>
    <row r="41" spans="1:18" s="92" customFormat="1" ht="147" customHeight="1" x14ac:dyDescent="0.25">
      <c r="A41" s="268"/>
      <c r="B41" s="269"/>
      <c r="C41" s="270"/>
      <c r="D41" s="269"/>
      <c r="E41" s="83">
        <f>C35/8</f>
        <v>1.8111358984383978</v>
      </c>
      <c r="F41" s="83">
        <f t="shared" si="0"/>
        <v>5.3370834109893091</v>
      </c>
      <c r="G41" s="82" t="s">
        <v>98</v>
      </c>
      <c r="H41" s="94">
        <v>1</v>
      </c>
      <c r="I41" s="86" t="s">
        <v>49</v>
      </c>
      <c r="J41" s="87">
        <v>100</v>
      </c>
      <c r="K41" s="88">
        <v>95</v>
      </c>
      <c r="L41" s="88">
        <v>90</v>
      </c>
      <c r="M41" s="88">
        <v>85</v>
      </c>
      <c r="N41" s="88">
        <v>80</v>
      </c>
      <c r="O41" s="88" t="s">
        <v>50</v>
      </c>
      <c r="P41" s="89"/>
      <c r="Q41" s="90">
        <f t="shared" si="3"/>
        <v>0</v>
      </c>
      <c r="R41" s="91">
        <f t="shared" si="4"/>
        <v>0</v>
      </c>
    </row>
    <row r="42" spans="1:18" s="92" customFormat="1" ht="147" customHeight="1" x14ac:dyDescent="0.25">
      <c r="A42" s="271"/>
      <c r="B42" s="272"/>
      <c r="C42" s="273"/>
      <c r="D42" s="272"/>
      <c r="E42" s="83">
        <f>C35/8</f>
        <v>1.8111358984383978</v>
      </c>
      <c r="F42" s="83">
        <f t="shared" si="0"/>
        <v>5.3370834109893091</v>
      </c>
      <c r="G42" s="82" t="s">
        <v>99</v>
      </c>
      <c r="H42" s="94">
        <v>1</v>
      </c>
      <c r="I42" s="86" t="s">
        <v>49</v>
      </c>
      <c r="J42" s="87">
        <v>100</v>
      </c>
      <c r="K42" s="88">
        <v>95</v>
      </c>
      <c r="L42" s="88">
        <v>90</v>
      </c>
      <c r="M42" s="88">
        <v>85</v>
      </c>
      <c r="N42" s="88">
        <v>80</v>
      </c>
      <c r="O42" s="88" t="s">
        <v>50</v>
      </c>
      <c r="P42" s="89"/>
      <c r="Q42" s="90">
        <f t="shared" si="3"/>
        <v>0</v>
      </c>
      <c r="R42" s="91">
        <f t="shared" si="4"/>
        <v>0</v>
      </c>
    </row>
    <row r="43" spans="1:18" s="92" customFormat="1" ht="147" customHeight="1" x14ac:dyDescent="0.25">
      <c r="A43" s="81">
        <v>5</v>
      </c>
      <c r="B43" s="82" t="s">
        <v>100</v>
      </c>
      <c r="C43" s="95">
        <f>0.25 *1.20742393229227</f>
        <v>0.30185598307306749</v>
      </c>
      <c r="D43" s="82" t="s">
        <v>101</v>
      </c>
      <c r="E43" s="83">
        <f>C43</f>
        <v>0.30185598307306749</v>
      </c>
      <c r="F43" s="83">
        <f t="shared" si="0"/>
        <v>0.88951390183155499</v>
      </c>
      <c r="G43" s="84" t="s">
        <v>102</v>
      </c>
      <c r="H43" s="93">
        <v>5</v>
      </c>
      <c r="I43" s="86" t="s">
        <v>57</v>
      </c>
      <c r="J43" s="87" t="s">
        <v>58</v>
      </c>
      <c r="K43" s="88">
        <v>5</v>
      </c>
      <c r="L43" s="88">
        <v>4</v>
      </c>
      <c r="M43" s="88">
        <v>3</v>
      </c>
      <c r="N43" s="88">
        <v>2</v>
      </c>
      <c r="O43" s="88">
        <v>1</v>
      </c>
      <c r="P43" s="89"/>
      <c r="Q43" s="90">
        <f t="shared" si="3"/>
        <v>0</v>
      </c>
      <c r="R43" s="91">
        <f t="shared" si="4"/>
        <v>0</v>
      </c>
    </row>
    <row r="44" spans="1:18" s="92" customFormat="1" ht="147" customHeight="1" x14ac:dyDescent="0.25">
      <c r="A44" s="265">
        <v>7</v>
      </c>
      <c r="B44" s="266" t="s">
        <v>103</v>
      </c>
      <c r="C44" s="275">
        <f>0.25 *2.41484786458453</f>
        <v>0.60371196614613254</v>
      </c>
      <c r="D44" s="82" t="s">
        <v>104</v>
      </c>
      <c r="E44" s="83">
        <f>C44/2</f>
        <v>0.30185598307306627</v>
      </c>
      <c r="F44" s="83">
        <f t="shared" si="0"/>
        <v>0.88951390183155143</v>
      </c>
      <c r="G44" s="84" t="s">
        <v>105</v>
      </c>
      <c r="H44" s="93">
        <v>5</v>
      </c>
      <c r="I44" s="93" t="s">
        <v>57</v>
      </c>
      <c r="J44" s="87" t="s">
        <v>58</v>
      </c>
      <c r="K44" s="88">
        <v>5</v>
      </c>
      <c r="L44" s="88">
        <v>4</v>
      </c>
      <c r="M44" s="88">
        <v>3</v>
      </c>
      <c r="N44" s="88">
        <v>2</v>
      </c>
      <c r="O44" s="88">
        <v>1</v>
      </c>
      <c r="P44" s="89"/>
      <c r="Q44" s="90">
        <f t="shared" si="3"/>
        <v>0</v>
      </c>
      <c r="R44" s="91">
        <f t="shared" si="4"/>
        <v>0</v>
      </c>
    </row>
    <row r="45" spans="1:18" s="92" customFormat="1" ht="147" customHeight="1" x14ac:dyDescent="0.25">
      <c r="A45" s="271"/>
      <c r="B45" s="272"/>
      <c r="C45" s="276"/>
      <c r="D45" s="82" t="s">
        <v>106</v>
      </c>
      <c r="E45" s="83">
        <f>C44/2</f>
        <v>0.30185598307306627</v>
      </c>
      <c r="F45" s="83">
        <f t="shared" si="0"/>
        <v>0.88951390183155143</v>
      </c>
      <c r="G45" s="84" t="s">
        <v>107</v>
      </c>
      <c r="H45" s="94">
        <v>0.8</v>
      </c>
      <c r="I45" s="93" t="s">
        <v>49</v>
      </c>
      <c r="J45" s="87" t="s">
        <v>69</v>
      </c>
      <c r="K45" s="88">
        <v>80</v>
      </c>
      <c r="L45" s="88">
        <v>75</v>
      </c>
      <c r="M45" s="88">
        <v>70</v>
      </c>
      <c r="N45" s="88">
        <v>50</v>
      </c>
      <c r="O45" s="88" t="s">
        <v>70</v>
      </c>
      <c r="P45" s="89"/>
      <c r="Q45" s="90">
        <f t="shared" si="1"/>
        <v>0</v>
      </c>
      <c r="R45" s="91">
        <f t="shared" si="2"/>
        <v>0</v>
      </c>
    </row>
    <row r="46" spans="1:18" s="92" customFormat="1" ht="147" customHeight="1" x14ac:dyDescent="0.25">
      <c r="A46" s="265">
        <v>8</v>
      </c>
      <c r="B46" s="266" t="s">
        <v>108</v>
      </c>
      <c r="C46" s="275">
        <f>0.25 *0.804949288194844</f>
        <v>0.201237322048711</v>
      </c>
      <c r="D46" s="82" t="s">
        <v>109</v>
      </c>
      <c r="E46" s="83">
        <f>C46/2</f>
        <v>0.1006186610243555</v>
      </c>
      <c r="F46" s="83">
        <f t="shared" si="0"/>
        <v>0.29650463394385068</v>
      </c>
      <c r="G46" s="84" t="s">
        <v>110</v>
      </c>
      <c r="H46" s="93">
        <v>5</v>
      </c>
      <c r="I46" s="93" t="s">
        <v>57</v>
      </c>
      <c r="J46" s="87" t="s">
        <v>58</v>
      </c>
      <c r="K46" s="88">
        <v>5</v>
      </c>
      <c r="L46" s="88">
        <v>4</v>
      </c>
      <c r="M46" s="88">
        <v>3</v>
      </c>
      <c r="N46" s="88">
        <v>2</v>
      </c>
      <c r="O46" s="88">
        <v>1</v>
      </c>
      <c r="P46" s="89"/>
      <c r="Q46" s="90">
        <f t="shared" si="1"/>
        <v>0</v>
      </c>
      <c r="R46" s="91">
        <f t="shared" si="2"/>
        <v>0</v>
      </c>
    </row>
    <row r="47" spans="1:18" s="92" customFormat="1" ht="147" customHeight="1" x14ac:dyDescent="0.25">
      <c r="A47" s="271"/>
      <c r="B47" s="272"/>
      <c r="C47" s="276"/>
      <c r="D47" s="82" t="s">
        <v>111</v>
      </c>
      <c r="E47" s="83">
        <f>C46/2</f>
        <v>0.1006186610243555</v>
      </c>
      <c r="F47" s="83">
        <f t="shared" si="0"/>
        <v>0.29650463394385068</v>
      </c>
      <c r="G47" s="84" t="s">
        <v>112</v>
      </c>
      <c r="H47" s="94">
        <v>0.8</v>
      </c>
      <c r="I47" s="93" t="s">
        <v>49</v>
      </c>
      <c r="J47" s="87" t="s">
        <v>69</v>
      </c>
      <c r="K47" s="88">
        <v>80</v>
      </c>
      <c r="L47" s="88">
        <v>75</v>
      </c>
      <c r="M47" s="88">
        <v>70</v>
      </c>
      <c r="N47" s="88">
        <v>50</v>
      </c>
      <c r="O47" s="88" t="s">
        <v>70</v>
      </c>
      <c r="P47" s="89"/>
      <c r="Q47" s="90">
        <f t="shared" si="1"/>
        <v>0</v>
      </c>
      <c r="R47" s="91">
        <f t="shared" si="2"/>
        <v>0</v>
      </c>
    </row>
    <row r="48" spans="1:18" s="92" customFormat="1" ht="147" customHeight="1" x14ac:dyDescent="0.25">
      <c r="A48" s="81">
        <v>10</v>
      </c>
      <c r="B48" s="82" t="s">
        <v>113</v>
      </c>
      <c r="C48" s="95">
        <f>0.25 *0.321979715277938</f>
        <v>8.0494928819484501E-2</v>
      </c>
      <c r="D48" s="277" t="s">
        <v>114</v>
      </c>
      <c r="E48" s="83">
        <v>0.32197971527793745</v>
      </c>
      <c r="F48" s="83">
        <f t="shared" si="0"/>
        <v>0.94881482862032174</v>
      </c>
      <c r="G48" s="84" t="s">
        <v>115</v>
      </c>
      <c r="H48" s="85">
        <v>0.7</v>
      </c>
      <c r="I48" s="93" t="s">
        <v>49</v>
      </c>
      <c r="J48" s="87" t="s">
        <v>116</v>
      </c>
      <c r="K48" s="88">
        <v>70</v>
      </c>
      <c r="L48" s="88">
        <v>60</v>
      </c>
      <c r="M48" s="88">
        <v>50</v>
      </c>
      <c r="N48" s="88">
        <v>40</v>
      </c>
      <c r="O48" s="88" t="s">
        <v>117</v>
      </c>
      <c r="P48" s="89"/>
      <c r="Q48" s="90">
        <f t="shared" si="1"/>
        <v>0</v>
      </c>
      <c r="R48" s="91">
        <f t="shared" si="2"/>
        <v>0</v>
      </c>
    </row>
    <row r="49" spans="1:18" s="92" customFormat="1" ht="147" customHeight="1" x14ac:dyDescent="0.25">
      <c r="A49" s="81"/>
      <c r="B49" s="82" t="s">
        <v>118</v>
      </c>
      <c r="C49" s="95">
        <f>0.25 *0.321979715277938</f>
        <v>8.0494928819484501E-2</v>
      </c>
      <c r="D49" s="84" t="s">
        <v>119</v>
      </c>
      <c r="E49" s="83">
        <v>0.32197971527793745</v>
      </c>
      <c r="F49" s="83">
        <f t="shared" si="0"/>
        <v>0.94881482862032174</v>
      </c>
      <c r="G49" s="84" t="s">
        <v>120</v>
      </c>
      <c r="H49" s="85">
        <v>0.5</v>
      </c>
      <c r="I49" s="86" t="s">
        <v>49</v>
      </c>
      <c r="J49" s="87" t="s">
        <v>64</v>
      </c>
      <c r="K49" s="88">
        <v>50</v>
      </c>
      <c r="L49" s="88">
        <v>45</v>
      </c>
      <c r="M49" s="88">
        <v>40</v>
      </c>
      <c r="N49" s="88">
        <v>25</v>
      </c>
      <c r="O49" s="88" t="s">
        <v>65</v>
      </c>
      <c r="P49" s="89">
        <v>0</v>
      </c>
      <c r="Q49" s="90">
        <f t="shared" si="1"/>
        <v>0</v>
      </c>
      <c r="R49" s="91">
        <f t="shared" si="2"/>
        <v>0</v>
      </c>
    </row>
    <row r="50" spans="1:18" s="106" customFormat="1" ht="44.25" x14ac:dyDescent="0.25">
      <c r="A50" s="96"/>
      <c r="B50" s="97" t="s">
        <v>121</v>
      </c>
      <c r="C50" s="98">
        <f>SUM(C19:C49)</f>
        <v>33.451967526045834</v>
      </c>
      <c r="D50" s="97"/>
      <c r="E50" s="98">
        <f>SUM(E19:E49)</f>
        <v>33.934937098962756</v>
      </c>
      <c r="F50" s="98">
        <f>SUM(F19:F49)</f>
        <v>99.999999999999986</v>
      </c>
      <c r="G50" s="99"/>
      <c r="H50" s="100"/>
      <c r="I50" s="101"/>
      <c r="J50" s="102"/>
      <c r="K50" s="102"/>
      <c r="L50" s="102"/>
      <c r="M50" s="102"/>
      <c r="N50" s="102"/>
      <c r="O50" s="102"/>
      <c r="P50" s="103"/>
      <c r="Q50" s="104"/>
      <c r="R50" s="105">
        <f>SUM(R19:R49)</f>
        <v>0</v>
      </c>
    </row>
    <row r="51" spans="1:18" s="108" customFormat="1" ht="66" customHeight="1" x14ac:dyDescent="0.7">
      <c r="A51" s="107"/>
      <c r="G51" s="109"/>
      <c r="H51" s="109"/>
      <c r="I51" s="110" t="s">
        <v>171</v>
      </c>
      <c r="J51" s="111"/>
      <c r="K51" s="111"/>
      <c r="L51" s="111"/>
      <c r="M51" s="111"/>
      <c r="N51" s="111"/>
      <c r="O51" s="111"/>
      <c r="P51" s="111"/>
      <c r="Q51" s="112"/>
      <c r="R51" s="113">
        <f>R50/100 * 70</f>
        <v>0</v>
      </c>
    </row>
    <row r="52" spans="1:18" s="122" customFormat="1" ht="36" x14ac:dyDescent="0.55000000000000004">
      <c r="A52" s="114" t="s">
        <v>122</v>
      </c>
      <c r="B52" s="115"/>
      <c r="C52" s="115"/>
      <c r="D52" s="115"/>
      <c r="E52" s="115"/>
      <c r="F52" s="115"/>
      <c r="G52" s="116"/>
      <c r="H52" s="117"/>
      <c r="I52" s="117"/>
      <c r="J52" s="117"/>
      <c r="K52" s="117"/>
      <c r="L52" s="71" t="s">
        <v>127</v>
      </c>
      <c r="M52" s="118" t="s">
        <v>123</v>
      </c>
      <c r="N52" s="118"/>
      <c r="O52" s="118"/>
      <c r="P52" s="119"/>
      <c r="Q52" s="120"/>
      <c r="R52" s="121"/>
    </row>
    <row r="53" spans="1:18" s="122" customFormat="1" ht="31.5" customHeight="1" x14ac:dyDescent="0.55000000000000004">
      <c r="A53" s="123"/>
      <c r="B53" s="124"/>
      <c r="C53" s="125" t="s">
        <v>124</v>
      </c>
      <c r="D53" s="125"/>
      <c r="E53" s="125"/>
      <c r="F53" s="125"/>
      <c r="G53" s="125"/>
      <c r="H53" s="126" t="s">
        <v>172</v>
      </c>
      <c r="I53" s="126" t="s">
        <v>173</v>
      </c>
      <c r="J53" s="126"/>
      <c r="K53" s="127"/>
      <c r="L53" s="79"/>
      <c r="M53" s="128"/>
      <c r="N53" s="128"/>
      <c r="O53" s="128"/>
      <c r="P53" s="129"/>
      <c r="Q53" s="120"/>
      <c r="R53" s="121"/>
    </row>
    <row r="54" spans="1:18" s="122" customFormat="1" ht="36" customHeight="1" x14ac:dyDescent="0.55000000000000004">
      <c r="A54" s="130">
        <v>1</v>
      </c>
      <c r="B54" s="131" t="s">
        <v>128</v>
      </c>
      <c r="C54" s="132"/>
      <c r="D54" s="133"/>
      <c r="E54" s="133"/>
      <c r="F54" s="133"/>
      <c r="G54" s="134"/>
      <c r="H54" s="135"/>
      <c r="I54" s="135"/>
      <c r="J54" s="135"/>
      <c r="K54" s="135"/>
      <c r="L54" s="136"/>
      <c r="M54" s="137" t="s">
        <v>40</v>
      </c>
      <c r="N54" s="138" t="s">
        <v>129</v>
      </c>
      <c r="O54" s="139"/>
      <c r="P54" s="129"/>
      <c r="Q54" s="120"/>
      <c r="R54" s="121"/>
    </row>
    <row r="55" spans="1:18" s="122" customFormat="1" ht="84.75" customHeight="1" x14ac:dyDescent="0.55000000000000004">
      <c r="A55" s="140" t="s">
        <v>130</v>
      </c>
      <c r="B55" s="141" t="s">
        <v>174</v>
      </c>
      <c r="C55" s="142"/>
      <c r="D55" s="143"/>
      <c r="E55" s="143"/>
      <c r="F55" s="143"/>
      <c r="G55" s="144"/>
      <c r="H55" s="145">
        <v>4</v>
      </c>
      <c r="I55" s="146"/>
      <c r="J55" s="145"/>
      <c r="K55" s="145"/>
      <c r="L55" s="136"/>
      <c r="M55" s="137" t="s">
        <v>41</v>
      </c>
      <c r="N55" s="138" t="s">
        <v>131</v>
      </c>
      <c r="O55" s="139"/>
      <c r="P55" s="129"/>
      <c r="Q55" s="120"/>
      <c r="R55" s="121"/>
    </row>
    <row r="56" spans="1:18" s="122" customFormat="1" ht="82.5" customHeight="1" x14ac:dyDescent="0.55000000000000004">
      <c r="A56" s="140" t="s">
        <v>132</v>
      </c>
      <c r="B56" s="141" t="s">
        <v>175</v>
      </c>
      <c r="C56" s="142"/>
      <c r="D56" s="143"/>
      <c r="E56" s="143"/>
      <c r="F56" s="143"/>
      <c r="G56" s="144"/>
      <c r="H56" s="145">
        <v>2</v>
      </c>
      <c r="I56" s="146"/>
      <c r="J56" s="145"/>
      <c r="K56" s="145"/>
      <c r="L56" s="136"/>
      <c r="M56" s="137" t="s">
        <v>42</v>
      </c>
      <c r="N56" s="138" t="s">
        <v>133</v>
      </c>
      <c r="O56" s="139"/>
      <c r="P56" s="129"/>
      <c r="Q56" s="120"/>
      <c r="R56" s="121"/>
    </row>
    <row r="57" spans="1:18" s="122" customFormat="1" ht="78.75" customHeight="1" x14ac:dyDescent="0.55000000000000004">
      <c r="A57" s="140" t="s">
        <v>134</v>
      </c>
      <c r="B57" s="141" t="s">
        <v>135</v>
      </c>
      <c r="C57" s="142"/>
      <c r="D57" s="143"/>
      <c r="E57" s="143"/>
      <c r="F57" s="143"/>
      <c r="G57" s="144"/>
      <c r="H57" s="145">
        <v>2</v>
      </c>
      <c r="I57" s="146"/>
      <c r="J57" s="145"/>
      <c r="K57" s="145"/>
      <c r="L57" s="136"/>
      <c r="M57" s="137" t="s">
        <v>43</v>
      </c>
      <c r="N57" s="138" t="s">
        <v>136</v>
      </c>
      <c r="O57" s="139"/>
      <c r="P57" s="129"/>
      <c r="Q57" s="120"/>
      <c r="R57" s="121"/>
    </row>
    <row r="58" spans="1:18" s="122" customFormat="1" ht="36" x14ac:dyDescent="0.55000000000000004">
      <c r="A58" s="147">
        <v>2</v>
      </c>
      <c r="B58" s="148" t="s">
        <v>137</v>
      </c>
      <c r="C58" s="149"/>
      <c r="D58" s="150"/>
      <c r="E58" s="150"/>
      <c r="F58" s="150"/>
      <c r="G58" s="151"/>
      <c r="H58" s="145"/>
      <c r="I58" s="146"/>
      <c r="J58" s="145"/>
      <c r="K58" s="145"/>
      <c r="L58" s="136"/>
      <c r="M58" s="137" t="s">
        <v>44</v>
      </c>
      <c r="N58" s="138" t="s">
        <v>138</v>
      </c>
      <c r="O58" s="139"/>
      <c r="P58" s="129"/>
      <c r="Q58" s="120"/>
      <c r="R58" s="121"/>
    </row>
    <row r="59" spans="1:18" s="122" customFormat="1" ht="82.5" customHeight="1" x14ac:dyDescent="0.55000000000000004">
      <c r="A59" s="140" t="s">
        <v>130</v>
      </c>
      <c r="B59" s="152" t="s">
        <v>176</v>
      </c>
      <c r="C59" s="153"/>
      <c r="D59" s="154"/>
      <c r="E59" s="154"/>
      <c r="F59" s="154"/>
      <c r="G59" s="155"/>
      <c r="H59" s="145">
        <v>2</v>
      </c>
      <c r="I59" s="146"/>
      <c r="J59" s="145"/>
      <c r="K59" s="145"/>
      <c r="L59" s="136"/>
      <c r="M59" s="137" t="s">
        <v>45</v>
      </c>
      <c r="N59" s="138" t="s">
        <v>139</v>
      </c>
      <c r="O59" s="139"/>
      <c r="P59" s="156"/>
      <c r="Q59" s="120"/>
      <c r="R59" s="121"/>
    </row>
    <row r="60" spans="1:18" s="122" customFormat="1" ht="114.75" customHeight="1" x14ac:dyDescent="0.55000000000000004">
      <c r="A60" s="140" t="s">
        <v>132</v>
      </c>
      <c r="B60" s="152" t="s">
        <v>177</v>
      </c>
      <c r="C60" s="153"/>
      <c r="D60" s="154"/>
      <c r="E60" s="154"/>
      <c r="F60" s="154"/>
      <c r="G60" s="155"/>
      <c r="H60" s="145">
        <v>2</v>
      </c>
      <c r="I60" s="146"/>
      <c r="J60" s="145"/>
      <c r="K60" s="145"/>
      <c r="L60" s="136"/>
      <c r="M60" s="129" t="s">
        <v>127</v>
      </c>
      <c r="N60" s="157" t="s">
        <v>140</v>
      </c>
      <c r="O60" s="158"/>
      <c r="P60" s="156"/>
      <c r="Q60" s="120"/>
      <c r="R60" s="121"/>
    </row>
    <row r="61" spans="1:18" s="122" customFormat="1" ht="72" customHeight="1" x14ac:dyDescent="0.55000000000000004">
      <c r="A61" s="140" t="s">
        <v>134</v>
      </c>
      <c r="B61" s="152" t="s">
        <v>178</v>
      </c>
      <c r="C61" s="153"/>
      <c r="D61" s="154"/>
      <c r="E61" s="154"/>
      <c r="F61" s="154"/>
      <c r="G61" s="155"/>
      <c r="H61" s="145">
        <v>2</v>
      </c>
      <c r="I61" s="146"/>
      <c r="J61" s="145"/>
      <c r="K61" s="145"/>
      <c r="L61" s="136"/>
      <c r="M61" s="129" t="s">
        <v>141</v>
      </c>
      <c r="N61" s="157" t="s">
        <v>142</v>
      </c>
      <c r="O61" s="158"/>
      <c r="P61" s="156"/>
      <c r="Q61" s="120"/>
      <c r="R61" s="121"/>
    </row>
    <row r="62" spans="1:18" s="122" customFormat="1" ht="66" customHeight="1" x14ac:dyDescent="0.55000000000000004">
      <c r="A62" s="147">
        <v>3</v>
      </c>
      <c r="B62" s="148" t="s">
        <v>143</v>
      </c>
      <c r="C62" s="149"/>
      <c r="D62" s="150"/>
      <c r="E62" s="150"/>
      <c r="F62" s="150"/>
      <c r="G62" s="151"/>
      <c r="H62" s="145"/>
      <c r="I62" s="146"/>
      <c r="J62" s="145"/>
      <c r="K62" s="145"/>
      <c r="L62" s="136"/>
      <c r="M62" s="129" t="s">
        <v>125</v>
      </c>
      <c r="N62" s="157" t="s">
        <v>144</v>
      </c>
      <c r="O62" s="158"/>
      <c r="P62" s="156"/>
      <c r="Q62" s="120"/>
      <c r="R62" s="121"/>
    </row>
    <row r="63" spans="1:18" s="122" customFormat="1" ht="72" customHeight="1" x14ac:dyDescent="0.55000000000000004">
      <c r="A63" s="140" t="s">
        <v>130</v>
      </c>
      <c r="B63" s="152" t="s">
        <v>145</v>
      </c>
      <c r="C63" s="159"/>
      <c r="D63" s="160"/>
      <c r="E63" s="160"/>
      <c r="F63" s="160"/>
      <c r="G63" s="161"/>
      <c r="H63" s="145">
        <v>2</v>
      </c>
      <c r="I63" s="146"/>
      <c r="J63" s="145"/>
      <c r="K63" s="145"/>
      <c r="L63" s="136"/>
      <c r="M63" s="129" t="s">
        <v>126</v>
      </c>
      <c r="N63" s="157" t="s">
        <v>146</v>
      </c>
      <c r="O63" s="158"/>
      <c r="P63" s="156"/>
      <c r="Q63" s="120"/>
      <c r="R63" s="121"/>
    </row>
    <row r="64" spans="1:18" s="122" customFormat="1" ht="72" customHeight="1" x14ac:dyDescent="0.55000000000000004">
      <c r="A64" s="140" t="s">
        <v>132</v>
      </c>
      <c r="B64" s="152" t="s">
        <v>179</v>
      </c>
      <c r="C64" s="159"/>
      <c r="D64" s="160"/>
      <c r="E64" s="160"/>
      <c r="F64" s="160"/>
      <c r="G64" s="161"/>
      <c r="H64" s="145">
        <v>2</v>
      </c>
      <c r="I64" s="146"/>
      <c r="J64" s="145"/>
      <c r="K64" s="145"/>
      <c r="L64" s="136"/>
      <c r="M64" s="129" t="s">
        <v>147</v>
      </c>
      <c r="N64" s="157" t="s">
        <v>148</v>
      </c>
      <c r="O64" s="158"/>
      <c r="P64" s="156"/>
      <c r="Q64" s="120"/>
      <c r="R64" s="121"/>
    </row>
    <row r="65" spans="1:18" s="122" customFormat="1" ht="44.25" customHeight="1" x14ac:dyDescent="0.55000000000000004">
      <c r="A65" s="140" t="s">
        <v>134</v>
      </c>
      <c r="B65" s="152" t="s">
        <v>180</v>
      </c>
      <c r="C65" s="159"/>
      <c r="D65" s="160"/>
      <c r="E65" s="160"/>
      <c r="F65" s="160"/>
      <c r="G65" s="161"/>
      <c r="H65" s="145">
        <v>2</v>
      </c>
      <c r="I65" s="146"/>
      <c r="J65" s="145"/>
      <c r="K65" s="145"/>
      <c r="L65" s="136"/>
      <c r="M65" s="162"/>
      <c r="N65" s="162"/>
      <c r="O65" s="162"/>
      <c r="P65" s="163"/>
      <c r="Q65" s="120"/>
      <c r="R65" s="121"/>
    </row>
    <row r="66" spans="1:18" s="122" customFormat="1" ht="31.5" customHeight="1" x14ac:dyDescent="0.55000000000000004">
      <c r="A66" s="164" t="s">
        <v>149</v>
      </c>
      <c r="B66" s="165"/>
      <c r="C66" s="165"/>
      <c r="D66" s="165"/>
      <c r="E66" s="165"/>
      <c r="F66" s="165"/>
      <c r="G66" s="165"/>
      <c r="H66" s="166">
        <f>SUM(H55:H65)</f>
        <v>20</v>
      </c>
      <c r="I66" s="166">
        <f>SUM(I55:I65)</f>
        <v>0</v>
      </c>
      <c r="J66" s="166"/>
      <c r="K66" s="167"/>
      <c r="L66" s="136"/>
      <c r="M66" s="162"/>
      <c r="N66" s="162"/>
      <c r="O66" s="162"/>
      <c r="P66" s="163"/>
      <c r="Q66" s="120"/>
      <c r="R66" s="121"/>
    </row>
    <row r="67" spans="1:18" s="122" customFormat="1" ht="36" customHeight="1" x14ac:dyDescent="0.55000000000000004">
      <c r="A67" s="168" t="s">
        <v>130</v>
      </c>
      <c r="B67" s="169" t="s">
        <v>150</v>
      </c>
      <c r="C67" s="153" t="s">
        <v>151</v>
      </c>
      <c r="D67" s="154"/>
      <c r="E67" s="154"/>
      <c r="F67" s="154"/>
      <c r="G67" s="155"/>
      <c r="H67" s="170">
        <v>4</v>
      </c>
      <c r="I67" s="171"/>
      <c r="J67" s="170"/>
      <c r="K67" s="172"/>
      <c r="L67" s="136"/>
      <c r="M67" s="162"/>
      <c r="N67" s="162"/>
      <c r="O67" s="162"/>
      <c r="P67" s="163"/>
      <c r="Q67" s="120"/>
      <c r="R67" s="121"/>
    </row>
    <row r="68" spans="1:18" s="122" customFormat="1" ht="129" customHeight="1" x14ac:dyDescent="0.55000000000000004">
      <c r="A68" s="168" t="s">
        <v>132</v>
      </c>
      <c r="B68" s="169" t="s">
        <v>152</v>
      </c>
      <c r="C68" s="153" t="s">
        <v>153</v>
      </c>
      <c r="D68" s="154"/>
      <c r="E68" s="154"/>
      <c r="F68" s="154"/>
      <c r="G68" s="155"/>
      <c r="H68" s="170">
        <v>3</v>
      </c>
      <c r="I68" s="171"/>
      <c r="J68" s="170"/>
      <c r="K68" s="172"/>
      <c r="L68" s="136"/>
      <c r="M68" s="162"/>
      <c r="N68" s="162"/>
      <c r="O68" s="162"/>
      <c r="P68" s="163"/>
      <c r="Q68" s="120"/>
      <c r="R68" s="121"/>
    </row>
    <row r="69" spans="1:18" s="122" customFormat="1" ht="69" customHeight="1" x14ac:dyDescent="0.55000000000000004">
      <c r="A69" s="168" t="s">
        <v>132</v>
      </c>
      <c r="B69" s="169" t="s">
        <v>154</v>
      </c>
      <c r="C69" s="153" t="s">
        <v>155</v>
      </c>
      <c r="D69" s="154"/>
      <c r="E69" s="154"/>
      <c r="F69" s="154"/>
      <c r="G69" s="155"/>
      <c r="H69" s="170">
        <v>3</v>
      </c>
      <c r="I69" s="171"/>
      <c r="J69" s="170"/>
      <c r="K69" s="172"/>
      <c r="L69" s="136"/>
      <c r="M69" s="162"/>
      <c r="N69" s="162"/>
      <c r="O69" s="162"/>
      <c r="P69" s="163"/>
      <c r="Q69" s="120"/>
      <c r="R69" s="121"/>
    </row>
    <row r="70" spans="1:18" s="122" customFormat="1" ht="46.5" customHeight="1" x14ac:dyDescent="0.55000000000000004">
      <c r="A70" s="173"/>
      <c r="B70" s="174" t="s">
        <v>156</v>
      </c>
      <c r="C70" s="174"/>
      <c r="D70" s="174"/>
      <c r="E70" s="175"/>
      <c r="F70" s="175"/>
      <c r="G70" s="175"/>
      <c r="H70" s="166">
        <f>SUM(H67:H69)</f>
        <v>10</v>
      </c>
      <c r="I70" s="166">
        <f>SUM(I67:I69)</f>
        <v>0</v>
      </c>
      <c r="J70" s="175"/>
      <c r="K70" s="176"/>
      <c r="L70" s="162"/>
      <c r="M70" s="162"/>
      <c r="N70" s="162"/>
      <c r="O70" s="162"/>
      <c r="P70" s="163"/>
      <c r="Q70" s="120"/>
      <c r="R70" s="121"/>
    </row>
    <row r="71" spans="1:18" s="184" customFormat="1" ht="45" customHeight="1" x14ac:dyDescent="0.7">
      <c r="A71" s="177"/>
      <c r="B71" s="178"/>
      <c r="C71" s="179"/>
      <c r="D71" s="179"/>
      <c r="E71" s="179"/>
      <c r="F71" s="180"/>
      <c r="G71" s="180"/>
      <c r="H71" s="180"/>
      <c r="I71" s="180"/>
      <c r="J71" s="180"/>
      <c r="K71" s="179"/>
      <c r="L71" s="179"/>
      <c r="M71" s="179"/>
      <c r="N71" s="179"/>
      <c r="O71" s="181" t="s">
        <v>181</v>
      </c>
      <c r="P71" s="182"/>
      <c r="Q71" s="181" t="s">
        <v>182</v>
      </c>
      <c r="R71" s="183"/>
    </row>
    <row r="72" spans="1:18" s="184" customFormat="1" ht="45" customHeight="1" x14ac:dyDescent="0.7">
      <c r="A72" s="177"/>
      <c r="B72" s="185"/>
      <c r="C72" s="186" t="s">
        <v>183</v>
      </c>
      <c r="D72" s="187"/>
      <c r="E72" s="187"/>
      <c r="F72" s="187"/>
      <c r="G72" s="187"/>
      <c r="H72" s="187"/>
      <c r="I72" s="187"/>
      <c r="J72" s="187"/>
      <c r="K72" s="188"/>
      <c r="L72" s="189"/>
      <c r="M72" s="190"/>
      <c r="N72" s="191"/>
      <c r="O72" s="192">
        <f>R51</f>
        <v>0</v>
      </c>
      <c r="P72" s="193"/>
      <c r="Q72" s="194">
        <f>O75/100 * 20</f>
        <v>0</v>
      </c>
      <c r="R72" s="195"/>
    </row>
    <row r="73" spans="1:18" s="184" customFormat="1" ht="45" customHeight="1" x14ac:dyDescent="0.7">
      <c r="A73" s="177"/>
      <c r="B73" s="185"/>
      <c r="C73" s="187" t="s">
        <v>184</v>
      </c>
      <c r="D73" s="187"/>
      <c r="E73" s="187"/>
      <c r="F73" s="187"/>
      <c r="G73" s="187"/>
      <c r="H73" s="187"/>
      <c r="I73" s="187"/>
      <c r="J73" s="187"/>
      <c r="K73" s="187"/>
      <c r="L73" s="190"/>
      <c r="M73" s="190"/>
      <c r="N73" s="191"/>
      <c r="O73" s="192">
        <f>I66</f>
        <v>0</v>
      </c>
      <c r="P73" s="193"/>
      <c r="Q73" s="196"/>
      <c r="R73" s="197"/>
    </row>
    <row r="74" spans="1:18" s="184" customFormat="1" ht="45" customHeight="1" x14ac:dyDescent="0.7">
      <c r="A74" s="177"/>
      <c r="B74" s="185"/>
      <c r="C74" s="186" t="s">
        <v>185</v>
      </c>
      <c r="D74" s="187"/>
      <c r="E74" s="187"/>
      <c r="F74" s="187"/>
      <c r="G74" s="187"/>
      <c r="H74" s="187"/>
      <c r="I74" s="187"/>
      <c r="J74" s="187"/>
      <c r="K74" s="188"/>
      <c r="L74" s="189"/>
      <c r="M74" s="190"/>
      <c r="N74" s="191"/>
      <c r="O74" s="192">
        <f>I70</f>
        <v>0</v>
      </c>
      <c r="P74" s="193"/>
      <c r="Q74" s="196"/>
      <c r="R74" s="197"/>
    </row>
    <row r="75" spans="1:18" s="184" customFormat="1" ht="45" customHeight="1" x14ac:dyDescent="0.7">
      <c r="A75" s="177"/>
      <c r="B75" s="198"/>
      <c r="C75" s="186" t="s">
        <v>186</v>
      </c>
      <c r="D75" s="187"/>
      <c r="E75" s="187"/>
      <c r="F75" s="187"/>
      <c r="G75" s="187"/>
      <c r="H75" s="187"/>
      <c r="I75" s="187"/>
      <c r="J75" s="187"/>
      <c r="K75" s="188"/>
      <c r="L75" s="189"/>
      <c r="M75" s="190"/>
      <c r="N75" s="191"/>
      <c r="O75" s="192">
        <f>SUM(O72:P74)</f>
        <v>0</v>
      </c>
      <c r="P75" s="193"/>
      <c r="Q75" s="199"/>
      <c r="R75" s="200"/>
    </row>
    <row r="76" spans="1:18" s="184" customFormat="1" ht="64.900000000000006" customHeight="1" x14ac:dyDescent="0.7">
      <c r="A76" s="177"/>
      <c r="B76" s="201" t="s">
        <v>187</v>
      </c>
      <c r="C76" s="201"/>
      <c r="D76" s="201"/>
      <c r="E76" s="201"/>
      <c r="F76" s="201"/>
      <c r="G76" s="201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s="184" customFormat="1" ht="64.900000000000006" customHeight="1" x14ac:dyDescent="0.7">
      <c r="A77" s="177"/>
      <c r="B77" s="204" t="s">
        <v>188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5"/>
    </row>
    <row r="78" spans="1:18" s="184" customFormat="1" ht="48.75" customHeight="1" x14ac:dyDescent="0.7">
      <c r="A78" s="177"/>
      <c r="B78" s="206" t="s">
        <v>189</v>
      </c>
      <c r="C78" s="206"/>
      <c r="D78" s="206"/>
      <c r="E78" s="206"/>
      <c r="F78" s="206"/>
      <c r="G78" s="206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8"/>
    </row>
    <row r="79" spans="1:18" s="184" customFormat="1" ht="45.75" x14ac:dyDescent="0.7">
      <c r="A79" s="177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5"/>
    </row>
    <row r="80" spans="1:18" s="122" customFormat="1" ht="31.5" customHeight="1" x14ac:dyDescent="0.55000000000000004">
      <c r="A80" s="209" t="s">
        <v>190</v>
      </c>
      <c r="B80" s="210"/>
      <c r="C80" s="211"/>
      <c r="D80" s="212"/>
      <c r="E80" s="213" t="s">
        <v>191</v>
      </c>
      <c r="F80" s="214"/>
      <c r="G80" s="210" t="s">
        <v>192</v>
      </c>
      <c r="H80" s="211"/>
      <c r="I80" s="211"/>
      <c r="J80" s="211"/>
      <c r="K80" s="215"/>
      <c r="L80" s="136"/>
      <c r="M80" s="216"/>
      <c r="N80" s="216"/>
      <c r="O80" s="216"/>
      <c r="P80" s="216"/>
      <c r="Q80" s="216"/>
      <c r="R80" s="121"/>
    </row>
    <row r="81" spans="1:18" s="122" customFormat="1" ht="31.5" customHeight="1" x14ac:dyDescent="0.55000000000000004">
      <c r="A81" s="217"/>
      <c r="B81" s="218"/>
      <c r="C81" s="219"/>
      <c r="D81" s="220"/>
      <c r="E81" s="221"/>
      <c r="F81" s="222"/>
      <c r="G81" s="218"/>
      <c r="H81" s="219"/>
      <c r="I81" s="219"/>
      <c r="J81" s="219"/>
      <c r="K81" s="215"/>
      <c r="L81" s="136"/>
      <c r="M81" s="223"/>
      <c r="N81" s="223"/>
      <c r="O81" s="223"/>
      <c r="P81" s="223"/>
      <c r="Q81" s="223"/>
      <c r="R81" s="121"/>
    </row>
    <row r="82" spans="1:18" s="122" customFormat="1" ht="31.5" customHeight="1" x14ac:dyDescent="0.55000000000000004">
      <c r="A82" s="217"/>
      <c r="B82" s="218"/>
      <c r="C82" s="219"/>
      <c r="D82" s="220"/>
      <c r="E82" s="221"/>
      <c r="F82" s="222"/>
      <c r="G82" s="218"/>
      <c r="H82" s="219"/>
      <c r="I82" s="219"/>
      <c r="J82" s="219"/>
      <c r="K82" s="215"/>
      <c r="L82" s="136"/>
      <c r="M82" s="223"/>
      <c r="N82" s="223"/>
      <c r="O82" s="223"/>
      <c r="P82" s="223"/>
      <c r="Q82" s="223"/>
      <c r="R82" s="121"/>
    </row>
    <row r="83" spans="1:18" s="122" customFormat="1" ht="31.5" customHeight="1" x14ac:dyDescent="0.55000000000000004">
      <c r="A83" s="224"/>
      <c r="B83" s="225"/>
      <c r="C83" s="226"/>
      <c r="D83" s="227"/>
      <c r="E83" s="228"/>
      <c r="F83" s="229"/>
      <c r="G83" s="225"/>
      <c r="H83" s="226"/>
      <c r="I83" s="226"/>
      <c r="J83" s="226"/>
      <c r="K83" s="215"/>
      <c r="L83" s="136"/>
      <c r="M83" s="223"/>
      <c r="N83" s="223"/>
      <c r="O83" s="223"/>
      <c r="P83" s="223"/>
      <c r="Q83" s="223"/>
      <c r="R83" s="121"/>
    </row>
    <row r="84" spans="1:18" s="122" customFormat="1" ht="31.5" customHeight="1" x14ac:dyDescent="0.55000000000000004">
      <c r="A84" s="230" t="s">
        <v>157</v>
      </c>
      <c r="B84" s="231"/>
      <c r="C84" s="211"/>
      <c r="D84" s="212"/>
      <c r="E84" s="232" t="s">
        <v>193</v>
      </c>
      <c r="F84" s="214"/>
      <c r="G84" s="231" t="s">
        <v>193</v>
      </c>
      <c r="H84" s="211"/>
      <c r="I84" s="211"/>
      <c r="J84" s="211"/>
      <c r="K84" s="215"/>
      <c r="L84" s="136"/>
      <c r="M84" s="223"/>
      <c r="N84" s="223"/>
      <c r="O84" s="223"/>
      <c r="P84" s="223"/>
      <c r="Q84" s="223"/>
      <c r="R84" s="121"/>
    </row>
    <row r="85" spans="1:18" s="122" customFormat="1" ht="31.5" customHeight="1" x14ac:dyDescent="0.55000000000000004">
      <c r="A85" s="233"/>
      <c r="B85" s="234"/>
      <c r="C85" s="219"/>
      <c r="D85" s="220"/>
      <c r="E85" s="235"/>
      <c r="F85" s="222"/>
      <c r="G85" s="234"/>
      <c r="H85" s="219"/>
      <c r="I85" s="219"/>
      <c r="J85" s="219"/>
      <c r="K85" s="215"/>
      <c r="L85" s="136"/>
      <c r="M85" s="223"/>
      <c r="N85" s="223"/>
      <c r="O85" s="223"/>
      <c r="P85" s="223"/>
      <c r="Q85" s="223"/>
      <c r="R85" s="121"/>
    </row>
    <row r="86" spans="1:18" s="122" customFormat="1" ht="31.5" customHeight="1" x14ac:dyDescent="0.55000000000000004">
      <c r="A86" s="233"/>
      <c r="B86" s="234"/>
      <c r="C86" s="226"/>
      <c r="D86" s="227"/>
      <c r="E86" s="236"/>
      <c r="F86" s="229"/>
      <c r="G86" s="237"/>
      <c r="H86" s="226"/>
      <c r="I86" s="226"/>
      <c r="J86" s="226"/>
      <c r="K86" s="215"/>
      <c r="L86" s="136"/>
      <c r="M86" s="223"/>
      <c r="N86" s="223"/>
      <c r="O86" s="223"/>
      <c r="P86" s="223"/>
      <c r="Q86" s="223"/>
      <c r="R86" s="121"/>
    </row>
    <row r="87" spans="1:18" s="122" customFormat="1" ht="31.5" customHeight="1" x14ac:dyDescent="0.55000000000000004">
      <c r="A87" s="217" t="s">
        <v>158</v>
      </c>
      <c r="B87" s="218"/>
      <c r="C87" s="211"/>
      <c r="D87" s="212"/>
      <c r="E87" s="213" t="s">
        <v>194</v>
      </c>
      <c r="F87" s="214"/>
      <c r="G87" s="210" t="s">
        <v>194</v>
      </c>
      <c r="H87" s="211"/>
      <c r="I87" s="211"/>
      <c r="J87" s="211"/>
      <c r="K87" s="215"/>
      <c r="L87" s="136"/>
      <c r="M87" s="223"/>
      <c r="N87" s="223"/>
      <c r="O87" s="223"/>
      <c r="P87" s="223"/>
      <c r="Q87" s="223"/>
      <c r="R87" s="121"/>
    </row>
    <row r="88" spans="1:18" s="122" customFormat="1" ht="31.5" customHeight="1" x14ac:dyDescent="0.55000000000000004">
      <c r="A88" s="217"/>
      <c r="B88" s="218"/>
      <c r="C88" s="226"/>
      <c r="D88" s="227"/>
      <c r="E88" s="228"/>
      <c r="F88" s="229"/>
      <c r="G88" s="225"/>
      <c r="H88" s="226"/>
      <c r="I88" s="226"/>
      <c r="J88" s="226"/>
      <c r="K88" s="215"/>
      <c r="L88" s="136"/>
      <c r="M88" s="223"/>
      <c r="N88" s="223"/>
      <c r="O88" s="223"/>
      <c r="P88" s="223"/>
      <c r="Q88" s="223"/>
      <c r="R88" s="121"/>
    </row>
    <row r="89" spans="1:18" s="122" customFormat="1" ht="31.5" customHeight="1" thickBot="1" x14ac:dyDescent="0.6">
      <c r="A89" s="238"/>
      <c r="B89" s="239"/>
      <c r="C89" s="239"/>
      <c r="D89" s="239"/>
      <c r="E89" s="239"/>
      <c r="F89" s="239"/>
      <c r="G89" s="239"/>
      <c r="H89" s="239"/>
      <c r="I89" s="239"/>
      <c r="J89" s="239"/>
      <c r="K89" s="240"/>
      <c r="L89" s="241"/>
      <c r="M89" s="242"/>
      <c r="N89" s="242"/>
      <c r="O89" s="242"/>
      <c r="P89" s="242"/>
      <c r="Q89" s="242"/>
      <c r="R89" s="243"/>
    </row>
  </sheetData>
  <mergeCells count="119">
    <mergeCell ref="A46:A47"/>
    <mergeCell ref="B46:B47"/>
    <mergeCell ref="C46:C47"/>
    <mergeCell ref="A89:J89"/>
    <mergeCell ref="A19:A23"/>
    <mergeCell ref="B19:B23"/>
    <mergeCell ref="C19:C23"/>
    <mergeCell ref="A25:A34"/>
    <mergeCell ref="B25:B34"/>
    <mergeCell ref="C25:C34"/>
    <mergeCell ref="A35:A42"/>
    <mergeCell ref="B35:B42"/>
    <mergeCell ref="C35:C42"/>
    <mergeCell ref="A87:B88"/>
    <mergeCell ref="C87:D88"/>
    <mergeCell ref="E87:E88"/>
    <mergeCell ref="F87:F88"/>
    <mergeCell ref="G87:G88"/>
    <mergeCell ref="H87:J88"/>
    <mergeCell ref="A84:B86"/>
    <mergeCell ref="C84:D86"/>
    <mergeCell ref="E84:E86"/>
    <mergeCell ref="F84:F86"/>
    <mergeCell ref="G84:G86"/>
    <mergeCell ref="H84:J86"/>
    <mergeCell ref="B77:R77"/>
    <mergeCell ref="B78:G78"/>
    <mergeCell ref="B79:R79"/>
    <mergeCell ref="A80:B83"/>
    <mergeCell ref="C80:D83"/>
    <mergeCell ref="E80:E83"/>
    <mergeCell ref="F80:F83"/>
    <mergeCell ref="G80:G83"/>
    <mergeCell ref="H80:J83"/>
    <mergeCell ref="M80:Q89"/>
    <mergeCell ref="L74:N74"/>
    <mergeCell ref="O74:P74"/>
    <mergeCell ref="C75:K75"/>
    <mergeCell ref="L75:N75"/>
    <mergeCell ref="O75:P75"/>
    <mergeCell ref="B76:G76"/>
    <mergeCell ref="O71:P71"/>
    <mergeCell ref="Q71:R71"/>
    <mergeCell ref="C72:K72"/>
    <mergeCell ref="L72:N72"/>
    <mergeCell ref="O72:P72"/>
    <mergeCell ref="Q72:R75"/>
    <mergeCell ref="C73:K73"/>
    <mergeCell ref="L73:N73"/>
    <mergeCell ref="O73:P73"/>
    <mergeCell ref="C74:K74"/>
    <mergeCell ref="A66:G66"/>
    <mergeCell ref="C67:G67"/>
    <mergeCell ref="C68:G68"/>
    <mergeCell ref="C69:G69"/>
    <mergeCell ref="B70:D70"/>
    <mergeCell ref="B71:B75"/>
    <mergeCell ref="F71:J71"/>
    <mergeCell ref="C60:G60"/>
    <mergeCell ref="C61:G61"/>
    <mergeCell ref="C62:G62"/>
    <mergeCell ref="C63:G63"/>
    <mergeCell ref="C64:G64"/>
    <mergeCell ref="C65:G65"/>
    <mergeCell ref="C57:G57"/>
    <mergeCell ref="N57:O57"/>
    <mergeCell ref="C58:G58"/>
    <mergeCell ref="N58:O58"/>
    <mergeCell ref="C59:G59"/>
    <mergeCell ref="N59:O59"/>
    <mergeCell ref="C54:G54"/>
    <mergeCell ref="N54:O54"/>
    <mergeCell ref="C55:G55"/>
    <mergeCell ref="N55:O55"/>
    <mergeCell ref="C56:G56"/>
    <mergeCell ref="N56:O56"/>
    <mergeCell ref="R17:R18"/>
    <mergeCell ref="I51:Q51"/>
    <mergeCell ref="A52:G52"/>
    <mergeCell ref="H52:K52"/>
    <mergeCell ref="L52:L53"/>
    <mergeCell ref="C53:G53"/>
    <mergeCell ref="D35:D42"/>
    <mergeCell ref="A44:A45"/>
    <mergeCell ref="B44:B45"/>
    <mergeCell ref="C44:C45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DADD6225-E0C9-4985-9740-99EAC62DAE0A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261-668F-4B38-AC10-87CBBE95BC7F}">
  <sheetPr>
    <pageSetUpPr fitToPage="1"/>
  </sheetPr>
  <dimension ref="A1:R89"/>
  <sheetViews>
    <sheetView zoomScale="30" zoomScaleNormal="30" workbookViewId="0">
      <selection activeCell="A19" sqref="A19:O49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199</v>
      </c>
      <c r="C5" s="16" t="s">
        <v>2</v>
      </c>
      <c r="D5" s="17" t="s">
        <v>200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.75" x14ac:dyDescent="0.6">
      <c r="A8" s="255" t="s">
        <v>12</v>
      </c>
      <c r="B8" s="256"/>
      <c r="C8" s="257">
        <v>88712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54" customFormat="1" ht="39" x14ac:dyDescent="0.6">
      <c r="A10" s="247" t="s">
        <v>4</v>
      </c>
      <c r="B10" s="248"/>
      <c r="C10" s="249" t="s">
        <v>18</v>
      </c>
      <c r="D10" s="250" t="s">
        <v>6</v>
      </c>
      <c r="E10" s="249" t="s">
        <v>19</v>
      </c>
      <c r="F10" s="250" t="s">
        <v>8</v>
      </c>
      <c r="G10" s="251" t="s">
        <v>20</v>
      </c>
      <c r="H10" s="250" t="s">
        <v>10</v>
      </c>
      <c r="I10" s="252" t="s">
        <v>21</v>
      </c>
      <c r="J10" s="253"/>
      <c r="K10" s="21"/>
      <c r="L10" s="22"/>
      <c r="M10" s="22"/>
      <c r="N10" s="22"/>
      <c r="O10" s="22"/>
      <c r="P10" s="22"/>
      <c r="Q10" s="22"/>
      <c r="R10" s="23"/>
    </row>
    <row r="11" spans="1:18" s="254" customFormat="1" ht="39.75" x14ac:dyDescent="0.6">
      <c r="A11" s="255" t="s">
        <v>12</v>
      </c>
      <c r="B11" s="256"/>
      <c r="C11" s="257">
        <v>60694</v>
      </c>
      <c r="D11" s="258" t="s">
        <v>13</v>
      </c>
      <c r="E11" s="259" t="s">
        <v>22</v>
      </c>
      <c r="F11" s="258" t="s">
        <v>14</v>
      </c>
      <c r="G11" s="260"/>
      <c r="H11" s="258" t="s">
        <v>15</v>
      </c>
      <c r="I11" s="261" t="s">
        <v>16</v>
      </c>
      <c r="J11" s="262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10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63" t="s">
        <v>28</v>
      </c>
      <c r="F14" s="46" t="s">
        <v>14</v>
      </c>
      <c r="G14" s="264"/>
      <c r="H14" s="45" t="s">
        <v>15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162</v>
      </c>
      <c r="Q17" s="71" t="s">
        <v>163</v>
      </c>
      <c r="R17" s="72" t="s">
        <v>164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165</v>
      </c>
      <c r="K18" s="78" t="s">
        <v>166</v>
      </c>
      <c r="L18" s="78" t="s">
        <v>167</v>
      </c>
      <c r="M18" s="77" t="s">
        <v>168</v>
      </c>
      <c r="N18" s="77" t="s">
        <v>169</v>
      </c>
      <c r="O18" s="77" t="s">
        <v>170</v>
      </c>
      <c r="P18" s="79"/>
      <c r="Q18" s="79"/>
      <c r="R18" s="80"/>
    </row>
    <row r="19" spans="1:18" s="92" customFormat="1" ht="147" customHeight="1" x14ac:dyDescent="0.25">
      <c r="A19" s="265">
        <v>1</v>
      </c>
      <c r="B19" s="266" t="s">
        <v>46</v>
      </c>
      <c r="C19" s="267">
        <f>0.25 *1.28791886111175</f>
        <v>0.32197971527793751</v>
      </c>
      <c r="D19" s="82" t="s">
        <v>47</v>
      </c>
      <c r="E19" s="83">
        <f>C19/5</f>
        <v>6.4395943055587504E-2</v>
      </c>
      <c r="F19" s="83">
        <f t="shared" ref="F19:F49" si="0">E19/$E$50 * 100</f>
        <v>0.1897629657240644</v>
      </c>
      <c r="G19" s="84" t="s">
        <v>48</v>
      </c>
      <c r="H19" s="85">
        <v>1</v>
      </c>
      <c r="I19" s="86" t="s">
        <v>49</v>
      </c>
      <c r="J19" s="87">
        <v>100</v>
      </c>
      <c r="K19" s="88">
        <v>95</v>
      </c>
      <c r="L19" s="88">
        <v>90</v>
      </c>
      <c r="M19" s="88">
        <v>85</v>
      </c>
      <c r="N19" s="88">
        <v>80</v>
      </c>
      <c r="O19" s="88" t="s">
        <v>50</v>
      </c>
      <c r="P19" s="89"/>
      <c r="Q19" s="90">
        <f t="shared" ref="Q19:Q49" si="1">IF(OR(TRIM(P19)="",P19=0),0,
IF(P19&lt;N19,50,
IF(P19&lt;M19,60,
IF(P19&lt;L19,70,
IF(P19&lt;K19,80,
IF(ISNUMBER(J19),
    IF(P19&lt;J19,IF(P19&gt;=K19,90,80),100),
    IF(P19=K19,90,100)
))))))</f>
        <v>0</v>
      </c>
      <c r="R19" s="91">
        <f t="shared" ref="R19:R49" si="2">F19*Q19/100</f>
        <v>0</v>
      </c>
    </row>
    <row r="20" spans="1:18" s="92" customFormat="1" ht="147" customHeight="1" x14ac:dyDescent="0.25">
      <c r="A20" s="268"/>
      <c r="B20" s="269"/>
      <c r="C20" s="270"/>
      <c r="D20" s="82" t="s">
        <v>51</v>
      </c>
      <c r="E20" s="83">
        <f>C19/5</f>
        <v>6.4395943055587504E-2</v>
      </c>
      <c r="F20" s="83">
        <f t="shared" si="0"/>
        <v>0.1897629657240644</v>
      </c>
      <c r="G20" s="84" t="s">
        <v>52</v>
      </c>
      <c r="H20" s="85">
        <v>1</v>
      </c>
      <c r="I20" s="86" t="s">
        <v>49</v>
      </c>
      <c r="J20" s="87">
        <v>100</v>
      </c>
      <c r="K20" s="88">
        <v>95</v>
      </c>
      <c r="L20" s="88">
        <v>90</v>
      </c>
      <c r="M20" s="88">
        <v>85</v>
      </c>
      <c r="N20" s="88">
        <v>80</v>
      </c>
      <c r="O20" s="88" t="s">
        <v>50</v>
      </c>
      <c r="P20" s="89"/>
      <c r="Q20" s="90">
        <f t="shared" si="1"/>
        <v>0</v>
      </c>
      <c r="R20" s="91">
        <f t="shared" si="2"/>
        <v>0</v>
      </c>
    </row>
    <row r="21" spans="1:18" s="92" customFormat="1" ht="147" customHeight="1" x14ac:dyDescent="0.25">
      <c r="A21" s="268"/>
      <c r="B21" s="269"/>
      <c r="C21" s="270"/>
      <c r="D21" s="82" t="s">
        <v>53</v>
      </c>
      <c r="E21" s="83">
        <f>C19/5</f>
        <v>6.4395943055587504E-2</v>
      </c>
      <c r="F21" s="83">
        <f t="shared" si="0"/>
        <v>0.1897629657240644</v>
      </c>
      <c r="G21" s="84" t="s">
        <v>54</v>
      </c>
      <c r="H21" s="85">
        <v>1</v>
      </c>
      <c r="I21" s="86" t="s">
        <v>49</v>
      </c>
      <c r="J21" s="87">
        <v>100</v>
      </c>
      <c r="K21" s="88">
        <v>95</v>
      </c>
      <c r="L21" s="88">
        <v>90</v>
      </c>
      <c r="M21" s="88">
        <v>85</v>
      </c>
      <c r="N21" s="88">
        <v>80</v>
      </c>
      <c r="O21" s="88" t="s">
        <v>50</v>
      </c>
      <c r="P21" s="89"/>
      <c r="Q21" s="90">
        <f t="shared" si="1"/>
        <v>0</v>
      </c>
      <c r="R21" s="91">
        <f t="shared" si="2"/>
        <v>0</v>
      </c>
    </row>
    <row r="22" spans="1:18" s="92" customFormat="1" ht="147" customHeight="1" x14ac:dyDescent="0.25">
      <c r="A22" s="268"/>
      <c r="B22" s="269"/>
      <c r="C22" s="270"/>
      <c r="D22" s="82" t="s">
        <v>55</v>
      </c>
      <c r="E22" s="83">
        <f>C19/5</f>
        <v>6.4395943055587504E-2</v>
      </c>
      <c r="F22" s="83">
        <f t="shared" si="0"/>
        <v>0.1897629657240644</v>
      </c>
      <c r="G22" s="84" t="s">
        <v>56</v>
      </c>
      <c r="H22" s="93">
        <v>5</v>
      </c>
      <c r="I22" s="86" t="s">
        <v>57</v>
      </c>
      <c r="J22" s="87" t="s">
        <v>58</v>
      </c>
      <c r="K22" s="88">
        <v>5</v>
      </c>
      <c r="L22" s="88">
        <v>4</v>
      </c>
      <c r="M22" s="88">
        <v>3</v>
      </c>
      <c r="N22" s="88">
        <v>2</v>
      </c>
      <c r="O22" s="88">
        <v>1</v>
      </c>
      <c r="P22" s="89"/>
      <c r="Q22" s="90">
        <f t="shared" si="1"/>
        <v>0</v>
      </c>
      <c r="R22" s="91">
        <f t="shared" si="2"/>
        <v>0</v>
      </c>
    </row>
    <row r="23" spans="1:18" s="92" customFormat="1" ht="147" customHeight="1" x14ac:dyDescent="0.25">
      <c r="A23" s="271"/>
      <c r="B23" s="272"/>
      <c r="C23" s="273"/>
      <c r="D23" s="82" t="s">
        <v>59</v>
      </c>
      <c r="E23" s="83">
        <f>C19/5</f>
        <v>6.4395943055587504E-2</v>
      </c>
      <c r="F23" s="83">
        <f t="shared" si="0"/>
        <v>0.1897629657240644</v>
      </c>
      <c r="G23" s="84" t="s">
        <v>60</v>
      </c>
      <c r="H23" s="85">
        <v>1</v>
      </c>
      <c r="I23" s="86" t="s">
        <v>49</v>
      </c>
      <c r="J23" s="87">
        <v>100</v>
      </c>
      <c r="K23" s="88">
        <v>95</v>
      </c>
      <c r="L23" s="88">
        <v>90</v>
      </c>
      <c r="M23" s="88">
        <v>85</v>
      </c>
      <c r="N23" s="88">
        <v>80</v>
      </c>
      <c r="O23" s="88" t="s">
        <v>50</v>
      </c>
      <c r="P23" s="89"/>
      <c r="Q23" s="90">
        <f t="shared" si="1"/>
        <v>0</v>
      </c>
      <c r="R23" s="91">
        <f t="shared" si="2"/>
        <v>0</v>
      </c>
    </row>
    <row r="24" spans="1:18" s="92" customFormat="1" ht="147" customHeight="1" x14ac:dyDescent="0.25">
      <c r="A24" s="81">
        <v>2</v>
      </c>
      <c r="B24" s="82" t="s">
        <v>61</v>
      </c>
      <c r="C24" s="274">
        <f>0.25 *0.77275131666705</f>
        <v>0.1931878291667625</v>
      </c>
      <c r="D24" s="82" t="s">
        <v>62</v>
      </c>
      <c r="E24" s="83">
        <f>C24</f>
        <v>0.1931878291667625</v>
      </c>
      <c r="F24" s="83">
        <f t="shared" si="0"/>
        <v>0.56928889717219311</v>
      </c>
      <c r="G24" s="84" t="s">
        <v>63</v>
      </c>
      <c r="H24" s="85">
        <v>0.5</v>
      </c>
      <c r="I24" s="86" t="s">
        <v>49</v>
      </c>
      <c r="J24" s="87" t="s">
        <v>64</v>
      </c>
      <c r="K24" s="88">
        <v>50</v>
      </c>
      <c r="L24" s="88">
        <v>45</v>
      </c>
      <c r="M24" s="88">
        <v>40</v>
      </c>
      <c r="N24" s="88">
        <v>25</v>
      </c>
      <c r="O24" s="88" t="s">
        <v>65</v>
      </c>
      <c r="P24" s="89"/>
      <c r="Q24" s="90">
        <f t="shared" si="1"/>
        <v>0</v>
      </c>
      <c r="R24" s="91">
        <f t="shared" si="2"/>
        <v>0</v>
      </c>
    </row>
    <row r="25" spans="1:18" s="92" customFormat="1" ht="147" customHeight="1" x14ac:dyDescent="0.25">
      <c r="A25" s="265">
        <v>2</v>
      </c>
      <c r="B25" s="266" t="s">
        <v>66</v>
      </c>
      <c r="C25" s="267">
        <f>0.25 *68.7196706607483</f>
        <v>17.179917665187077</v>
      </c>
      <c r="D25" s="82" t="s">
        <v>67</v>
      </c>
      <c r="E25" s="83">
        <f>C25/10</f>
        <v>1.7179917665187077</v>
      </c>
      <c r="F25" s="83">
        <f t="shared" si="0"/>
        <v>5.0626048355669981</v>
      </c>
      <c r="G25" s="82" t="s">
        <v>68</v>
      </c>
      <c r="H25" s="93">
        <v>80</v>
      </c>
      <c r="I25" s="93" t="s">
        <v>49</v>
      </c>
      <c r="J25" s="87" t="s">
        <v>69</v>
      </c>
      <c r="K25" s="88">
        <v>80</v>
      </c>
      <c r="L25" s="88">
        <v>75</v>
      </c>
      <c r="M25" s="88">
        <v>70</v>
      </c>
      <c r="N25" s="88">
        <v>50</v>
      </c>
      <c r="O25" s="88" t="s">
        <v>70</v>
      </c>
      <c r="P25" s="89"/>
      <c r="Q25" s="90">
        <f t="shared" si="1"/>
        <v>0</v>
      </c>
      <c r="R25" s="91">
        <f t="shared" si="2"/>
        <v>0</v>
      </c>
    </row>
    <row r="26" spans="1:18" s="92" customFormat="1" ht="147" customHeight="1" x14ac:dyDescent="0.25">
      <c r="A26" s="268"/>
      <c r="B26" s="269"/>
      <c r="C26" s="270"/>
      <c r="D26" s="82" t="s">
        <v>71</v>
      </c>
      <c r="E26" s="83">
        <f>C25/10</f>
        <v>1.7179917665187077</v>
      </c>
      <c r="F26" s="83">
        <f t="shared" si="0"/>
        <v>5.0626048355669981</v>
      </c>
      <c r="G26" s="82" t="s">
        <v>72</v>
      </c>
      <c r="H26" s="93">
        <v>80</v>
      </c>
      <c r="I26" s="93" t="s">
        <v>49</v>
      </c>
      <c r="J26" s="87" t="s">
        <v>69</v>
      </c>
      <c r="K26" s="88">
        <v>80</v>
      </c>
      <c r="L26" s="88">
        <v>75</v>
      </c>
      <c r="M26" s="88">
        <v>70</v>
      </c>
      <c r="N26" s="88">
        <v>50</v>
      </c>
      <c r="O26" s="88" t="s">
        <v>70</v>
      </c>
      <c r="P26" s="89"/>
      <c r="Q26" s="90">
        <f t="shared" si="1"/>
        <v>0</v>
      </c>
      <c r="R26" s="91">
        <f t="shared" si="2"/>
        <v>0</v>
      </c>
    </row>
    <row r="27" spans="1:18" s="92" customFormat="1" ht="147" customHeight="1" x14ac:dyDescent="0.25">
      <c r="A27" s="268"/>
      <c r="B27" s="269"/>
      <c r="C27" s="270"/>
      <c r="D27" s="82" t="s">
        <v>73</v>
      </c>
      <c r="E27" s="83">
        <f>C25/10</f>
        <v>1.7179917665187077</v>
      </c>
      <c r="F27" s="83">
        <f t="shared" si="0"/>
        <v>5.0626048355669981</v>
      </c>
      <c r="G27" s="82" t="s">
        <v>74</v>
      </c>
      <c r="H27" s="94">
        <v>0.9</v>
      </c>
      <c r="I27" s="93" t="s">
        <v>49</v>
      </c>
      <c r="J27" s="87" t="s">
        <v>75</v>
      </c>
      <c r="K27" s="88">
        <v>90</v>
      </c>
      <c r="L27" s="88">
        <v>80</v>
      </c>
      <c r="M27" s="88">
        <v>70</v>
      </c>
      <c r="N27" s="88">
        <v>50</v>
      </c>
      <c r="O27" s="88" t="s">
        <v>70</v>
      </c>
      <c r="P27" s="89"/>
      <c r="Q27" s="90">
        <f t="shared" ref="Q27:Q44" si="3">IF(OR(TRIM(P27)="",P27=0),0,
IF(P27&lt;N27,50,
IF(P27&lt;M27,60,
IF(P27&lt;L27,70,
IF(P27&lt;K27,80,
IF(ISNUMBER(J27),
    IF(P27&lt;J27,IF(P27&gt;=K27,90,80),100),
    IF(P27=K27,90,100)
))))))</f>
        <v>0</v>
      </c>
      <c r="R27" s="91">
        <f t="shared" ref="R27:R44" si="4">F27*Q27/100</f>
        <v>0</v>
      </c>
    </row>
    <row r="28" spans="1:18" s="92" customFormat="1" ht="147" customHeight="1" x14ac:dyDescent="0.25">
      <c r="A28" s="268"/>
      <c r="B28" s="269"/>
      <c r="C28" s="270"/>
      <c r="D28" s="82" t="s">
        <v>76</v>
      </c>
      <c r="E28" s="83">
        <f>C25/10</f>
        <v>1.7179917665187077</v>
      </c>
      <c r="F28" s="83">
        <f t="shared" si="0"/>
        <v>5.0626048355669981</v>
      </c>
      <c r="G28" s="82" t="s">
        <v>77</v>
      </c>
      <c r="H28" s="93">
        <v>80</v>
      </c>
      <c r="I28" s="93" t="s">
        <v>49</v>
      </c>
      <c r="J28" s="87" t="s">
        <v>69</v>
      </c>
      <c r="K28" s="88">
        <v>80</v>
      </c>
      <c r="L28" s="88">
        <v>75</v>
      </c>
      <c r="M28" s="88">
        <v>70</v>
      </c>
      <c r="N28" s="88">
        <v>50</v>
      </c>
      <c r="O28" s="88" t="s">
        <v>70</v>
      </c>
      <c r="P28" s="89"/>
      <c r="Q28" s="90">
        <f t="shared" si="3"/>
        <v>0</v>
      </c>
      <c r="R28" s="91">
        <f t="shared" si="4"/>
        <v>0</v>
      </c>
    </row>
    <row r="29" spans="1:18" s="92" customFormat="1" ht="147" customHeight="1" x14ac:dyDescent="0.25">
      <c r="A29" s="268"/>
      <c r="B29" s="269"/>
      <c r="C29" s="270"/>
      <c r="D29" s="82" t="s">
        <v>78</v>
      </c>
      <c r="E29" s="83">
        <f>C25/10</f>
        <v>1.7179917665187077</v>
      </c>
      <c r="F29" s="83">
        <f t="shared" si="0"/>
        <v>5.0626048355669981</v>
      </c>
      <c r="G29" s="82" t="s">
        <v>79</v>
      </c>
      <c r="H29" s="94">
        <v>0.9</v>
      </c>
      <c r="I29" s="93" t="s">
        <v>49</v>
      </c>
      <c r="J29" s="87" t="s">
        <v>75</v>
      </c>
      <c r="K29" s="88">
        <v>90</v>
      </c>
      <c r="L29" s="88">
        <v>80</v>
      </c>
      <c r="M29" s="88">
        <v>70</v>
      </c>
      <c r="N29" s="88">
        <v>50</v>
      </c>
      <c r="O29" s="88" t="s">
        <v>70</v>
      </c>
      <c r="P29" s="89"/>
      <c r="Q29" s="90">
        <f t="shared" si="3"/>
        <v>0</v>
      </c>
      <c r="R29" s="91">
        <f t="shared" si="4"/>
        <v>0</v>
      </c>
    </row>
    <row r="30" spans="1:18" s="92" customFormat="1" ht="147" customHeight="1" x14ac:dyDescent="0.25">
      <c r="A30" s="268"/>
      <c r="B30" s="269"/>
      <c r="C30" s="270"/>
      <c r="D30" s="82" t="s">
        <v>80</v>
      </c>
      <c r="E30" s="83">
        <f>C25/10</f>
        <v>1.7179917665187077</v>
      </c>
      <c r="F30" s="83">
        <f t="shared" si="0"/>
        <v>5.0626048355669981</v>
      </c>
      <c r="G30" s="82" t="s">
        <v>81</v>
      </c>
      <c r="H30" s="94">
        <v>0.8</v>
      </c>
      <c r="I30" s="93" t="s">
        <v>49</v>
      </c>
      <c r="J30" s="87" t="s">
        <v>69</v>
      </c>
      <c r="K30" s="88">
        <v>80</v>
      </c>
      <c r="L30" s="88">
        <v>75</v>
      </c>
      <c r="M30" s="88">
        <v>70</v>
      </c>
      <c r="N30" s="88">
        <v>50</v>
      </c>
      <c r="O30" s="88" t="s">
        <v>70</v>
      </c>
      <c r="P30" s="89"/>
      <c r="Q30" s="90">
        <f t="shared" si="3"/>
        <v>0</v>
      </c>
      <c r="R30" s="91">
        <f t="shared" si="4"/>
        <v>0</v>
      </c>
    </row>
    <row r="31" spans="1:18" s="92" customFormat="1" ht="147" customHeight="1" x14ac:dyDescent="0.25">
      <c r="A31" s="268"/>
      <c r="B31" s="269"/>
      <c r="C31" s="270"/>
      <c r="D31" s="82" t="s">
        <v>82</v>
      </c>
      <c r="E31" s="83">
        <f>C25/10</f>
        <v>1.7179917665187077</v>
      </c>
      <c r="F31" s="83">
        <f t="shared" si="0"/>
        <v>5.0626048355669981</v>
      </c>
      <c r="G31" s="82" t="s">
        <v>83</v>
      </c>
      <c r="H31" s="94">
        <v>0.9</v>
      </c>
      <c r="I31" s="93" t="s">
        <v>49</v>
      </c>
      <c r="J31" s="87" t="s">
        <v>75</v>
      </c>
      <c r="K31" s="88">
        <v>90</v>
      </c>
      <c r="L31" s="88">
        <v>80</v>
      </c>
      <c r="M31" s="88">
        <v>70</v>
      </c>
      <c r="N31" s="88">
        <v>50</v>
      </c>
      <c r="O31" s="88" t="s">
        <v>70</v>
      </c>
      <c r="P31" s="89"/>
      <c r="Q31" s="90">
        <f t="shared" si="3"/>
        <v>0</v>
      </c>
      <c r="R31" s="91">
        <f t="shared" si="4"/>
        <v>0</v>
      </c>
    </row>
    <row r="32" spans="1:18" s="92" customFormat="1" ht="147" customHeight="1" x14ac:dyDescent="0.25">
      <c r="A32" s="268"/>
      <c r="B32" s="269"/>
      <c r="C32" s="270"/>
      <c r="D32" s="82" t="s">
        <v>84</v>
      </c>
      <c r="E32" s="83">
        <f>C25/10</f>
        <v>1.7179917665187077</v>
      </c>
      <c r="F32" s="83">
        <f t="shared" si="0"/>
        <v>5.0626048355669981</v>
      </c>
      <c r="G32" s="82" t="s">
        <v>85</v>
      </c>
      <c r="H32" s="94">
        <v>0.8</v>
      </c>
      <c r="I32" s="93" t="s">
        <v>49</v>
      </c>
      <c r="J32" s="87" t="s">
        <v>69</v>
      </c>
      <c r="K32" s="88">
        <v>80</v>
      </c>
      <c r="L32" s="88">
        <v>75</v>
      </c>
      <c r="M32" s="88">
        <v>70</v>
      </c>
      <c r="N32" s="88">
        <v>50</v>
      </c>
      <c r="O32" s="88" t="s">
        <v>70</v>
      </c>
      <c r="P32" s="89"/>
      <c r="Q32" s="90">
        <f t="shared" si="3"/>
        <v>0</v>
      </c>
      <c r="R32" s="91">
        <f t="shared" si="4"/>
        <v>0</v>
      </c>
    </row>
    <row r="33" spans="1:18" s="92" customFormat="1" ht="147" customHeight="1" x14ac:dyDescent="0.25">
      <c r="A33" s="268"/>
      <c r="B33" s="269"/>
      <c r="C33" s="270"/>
      <c r="D33" s="82" t="s">
        <v>86</v>
      </c>
      <c r="E33" s="83">
        <f>C25/10</f>
        <v>1.7179917665187077</v>
      </c>
      <c r="F33" s="83">
        <f t="shared" si="0"/>
        <v>5.0626048355669981</v>
      </c>
      <c r="G33" s="82" t="s">
        <v>87</v>
      </c>
      <c r="H33" s="94">
        <v>0.8</v>
      </c>
      <c r="I33" s="93" t="s">
        <v>49</v>
      </c>
      <c r="J33" s="87" t="s">
        <v>69</v>
      </c>
      <c r="K33" s="88">
        <v>80</v>
      </c>
      <c r="L33" s="88">
        <v>75</v>
      </c>
      <c r="M33" s="88">
        <v>70</v>
      </c>
      <c r="N33" s="88">
        <v>50</v>
      </c>
      <c r="O33" s="88" t="s">
        <v>70</v>
      </c>
      <c r="P33" s="89"/>
      <c r="Q33" s="90">
        <f t="shared" si="3"/>
        <v>0</v>
      </c>
      <c r="R33" s="91">
        <f t="shared" si="4"/>
        <v>0</v>
      </c>
    </row>
    <row r="34" spans="1:18" s="92" customFormat="1" ht="147" customHeight="1" x14ac:dyDescent="0.25">
      <c r="A34" s="271"/>
      <c r="B34" s="272"/>
      <c r="C34" s="273"/>
      <c r="D34" s="82" t="s">
        <v>88</v>
      </c>
      <c r="E34" s="83">
        <f>C25/10</f>
        <v>1.7179917665187077</v>
      </c>
      <c r="F34" s="83">
        <f t="shared" si="0"/>
        <v>5.0626048355669981</v>
      </c>
      <c r="G34" s="82" t="s">
        <v>89</v>
      </c>
      <c r="H34" s="94">
        <v>0.9</v>
      </c>
      <c r="I34" s="93" t="s">
        <v>49</v>
      </c>
      <c r="J34" s="87" t="s">
        <v>75</v>
      </c>
      <c r="K34" s="88">
        <v>90</v>
      </c>
      <c r="L34" s="88">
        <v>80</v>
      </c>
      <c r="M34" s="88">
        <v>70</v>
      </c>
      <c r="N34" s="88">
        <v>50</v>
      </c>
      <c r="O34" s="88" t="s">
        <v>70</v>
      </c>
      <c r="P34" s="89"/>
      <c r="Q34" s="90">
        <f t="shared" si="3"/>
        <v>0</v>
      </c>
      <c r="R34" s="91">
        <f t="shared" si="4"/>
        <v>0</v>
      </c>
    </row>
    <row r="35" spans="1:18" s="92" customFormat="1" ht="147" customHeight="1" x14ac:dyDescent="0.25">
      <c r="A35" s="265">
        <v>4</v>
      </c>
      <c r="B35" s="266" t="s">
        <v>90</v>
      </c>
      <c r="C35" s="267">
        <v>14.489087187507183</v>
      </c>
      <c r="D35" s="266" t="s">
        <v>91</v>
      </c>
      <c r="E35" s="83">
        <f>C35/8</f>
        <v>1.8111358984383978</v>
      </c>
      <c r="F35" s="83">
        <f t="shared" si="0"/>
        <v>5.3370834109893091</v>
      </c>
      <c r="G35" s="82" t="s">
        <v>92</v>
      </c>
      <c r="H35" s="94">
        <v>1</v>
      </c>
      <c r="I35" s="86" t="s">
        <v>49</v>
      </c>
      <c r="J35" s="87">
        <v>100</v>
      </c>
      <c r="K35" s="88">
        <v>95</v>
      </c>
      <c r="L35" s="88">
        <v>90</v>
      </c>
      <c r="M35" s="88">
        <v>85</v>
      </c>
      <c r="N35" s="88">
        <v>80</v>
      </c>
      <c r="O35" s="88" t="s">
        <v>50</v>
      </c>
      <c r="P35" s="89"/>
      <c r="Q35" s="90">
        <f t="shared" si="3"/>
        <v>0</v>
      </c>
      <c r="R35" s="91">
        <f t="shared" si="4"/>
        <v>0</v>
      </c>
    </row>
    <row r="36" spans="1:18" s="92" customFormat="1" ht="147" customHeight="1" x14ac:dyDescent="0.25">
      <c r="A36" s="268"/>
      <c r="B36" s="269"/>
      <c r="C36" s="270"/>
      <c r="D36" s="269"/>
      <c r="E36" s="83">
        <f>C35/8</f>
        <v>1.8111358984383978</v>
      </c>
      <c r="F36" s="83">
        <f t="shared" si="0"/>
        <v>5.3370834109893091</v>
      </c>
      <c r="G36" s="82" t="s">
        <v>93</v>
      </c>
      <c r="H36" s="94">
        <v>1</v>
      </c>
      <c r="I36" s="86" t="s">
        <v>49</v>
      </c>
      <c r="J36" s="87">
        <v>100</v>
      </c>
      <c r="K36" s="88">
        <v>95</v>
      </c>
      <c r="L36" s="88">
        <v>90</v>
      </c>
      <c r="M36" s="88">
        <v>85</v>
      </c>
      <c r="N36" s="88">
        <v>80</v>
      </c>
      <c r="O36" s="88" t="s">
        <v>50</v>
      </c>
      <c r="P36" s="89"/>
      <c r="Q36" s="90">
        <f t="shared" si="3"/>
        <v>0</v>
      </c>
      <c r="R36" s="91">
        <f t="shared" si="4"/>
        <v>0</v>
      </c>
    </row>
    <row r="37" spans="1:18" s="92" customFormat="1" ht="147" customHeight="1" x14ac:dyDescent="0.25">
      <c r="A37" s="268"/>
      <c r="B37" s="269"/>
      <c r="C37" s="270"/>
      <c r="D37" s="269"/>
      <c r="E37" s="83">
        <f>C35/8</f>
        <v>1.8111358984383978</v>
      </c>
      <c r="F37" s="83">
        <f t="shared" si="0"/>
        <v>5.3370834109893091</v>
      </c>
      <c r="G37" s="82" t="s">
        <v>94</v>
      </c>
      <c r="H37" s="94">
        <v>0.9</v>
      </c>
      <c r="I37" s="93" t="s">
        <v>49</v>
      </c>
      <c r="J37" s="87" t="s">
        <v>75</v>
      </c>
      <c r="K37" s="88">
        <v>90</v>
      </c>
      <c r="L37" s="88">
        <v>80</v>
      </c>
      <c r="M37" s="88">
        <v>70</v>
      </c>
      <c r="N37" s="88">
        <v>50</v>
      </c>
      <c r="O37" s="88" t="s">
        <v>70</v>
      </c>
      <c r="P37" s="89"/>
      <c r="Q37" s="90">
        <f t="shared" si="3"/>
        <v>0</v>
      </c>
      <c r="R37" s="91">
        <f t="shared" si="4"/>
        <v>0</v>
      </c>
    </row>
    <row r="38" spans="1:18" s="92" customFormat="1" ht="147" customHeight="1" x14ac:dyDescent="0.25">
      <c r="A38" s="268"/>
      <c r="B38" s="269"/>
      <c r="C38" s="270"/>
      <c r="D38" s="269"/>
      <c r="E38" s="83">
        <f>C35/8</f>
        <v>1.8111358984383978</v>
      </c>
      <c r="F38" s="83">
        <f t="shared" si="0"/>
        <v>5.3370834109893091</v>
      </c>
      <c r="G38" s="82" t="s">
        <v>95</v>
      </c>
      <c r="H38" s="94">
        <v>0.9</v>
      </c>
      <c r="I38" s="93" t="s">
        <v>49</v>
      </c>
      <c r="J38" s="87" t="s">
        <v>75</v>
      </c>
      <c r="K38" s="88">
        <v>90</v>
      </c>
      <c r="L38" s="88">
        <v>80</v>
      </c>
      <c r="M38" s="88">
        <v>70</v>
      </c>
      <c r="N38" s="88">
        <v>50</v>
      </c>
      <c r="O38" s="88" t="s">
        <v>70</v>
      </c>
      <c r="P38" s="89"/>
      <c r="Q38" s="90">
        <f t="shared" si="3"/>
        <v>0</v>
      </c>
      <c r="R38" s="91">
        <f t="shared" si="4"/>
        <v>0</v>
      </c>
    </row>
    <row r="39" spans="1:18" s="92" customFormat="1" ht="147" customHeight="1" x14ac:dyDescent="0.25">
      <c r="A39" s="268"/>
      <c r="B39" s="269"/>
      <c r="C39" s="270"/>
      <c r="D39" s="269"/>
      <c r="E39" s="83">
        <f>C35/8</f>
        <v>1.8111358984383978</v>
      </c>
      <c r="F39" s="83">
        <f t="shared" si="0"/>
        <v>5.3370834109893091</v>
      </c>
      <c r="G39" s="82" t="s">
        <v>96</v>
      </c>
      <c r="H39" s="94">
        <v>0.8</v>
      </c>
      <c r="I39" s="93" t="s">
        <v>49</v>
      </c>
      <c r="J39" s="87" t="s">
        <v>69</v>
      </c>
      <c r="K39" s="88">
        <v>80</v>
      </c>
      <c r="L39" s="88">
        <v>75</v>
      </c>
      <c r="M39" s="88">
        <v>70</v>
      </c>
      <c r="N39" s="88">
        <v>50</v>
      </c>
      <c r="O39" s="88" t="s">
        <v>70</v>
      </c>
      <c r="P39" s="89"/>
      <c r="Q39" s="90">
        <f t="shared" si="3"/>
        <v>0</v>
      </c>
      <c r="R39" s="91">
        <f t="shared" si="4"/>
        <v>0</v>
      </c>
    </row>
    <row r="40" spans="1:18" s="92" customFormat="1" ht="147" customHeight="1" x14ac:dyDescent="0.25">
      <c r="A40" s="268"/>
      <c r="B40" s="269"/>
      <c r="C40" s="270"/>
      <c r="D40" s="269"/>
      <c r="E40" s="83">
        <f>C35/8</f>
        <v>1.8111358984383978</v>
      </c>
      <c r="F40" s="83">
        <f t="shared" si="0"/>
        <v>5.3370834109893091</v>
      </c>
      <c r="G40" s="82" t="s">
        <v>97</v>
      </c>
      <c r="H40" s="94">
        <v>1</v>
      </c>
      <c r="I40" s="86" t="s">
        <v>49</v>
      </c>
      <c r="J40" s="87">
        <v>100</v>
      </c>
      <c r="K40" s="88">
        <v>95</v>
      </c>
      <c r="L40" s="88">
        <v>90</v>
      </c>
      <c r="M40" s="88">
        <v>85</v>
      </c>
      <c r="N40" s="88">
        <v>80</v>
      </c>
      <c r="O40" s="88" t="s">
        <v>50</v>
      </c>
      <c r="P40" s="89"/>
      <c r="Q40" s="90">
        <f t="shared" si="3"/>
        <v>0</v>
      </c>
      <c r="R40" s="91">
        <f t="shared" si="4"/>
        <v>0</v>
      </c>
    </row>
    <row r="41" spans="1:18" s="92" customFormat="1" ht="147" customHeight="1" x14ac:dyDescent="0.25">
      <c r="A41" s="268"/>
      <c r="B41" s="269"/>
      <c r="C41" s="270"/>
      <c r="D41" s="269"/>
      <c r="E41" s="83">
        <f>C35/8</f>
        <v>1.8111358984383978</v>
      </c>
      <c r="F41" s="83">
        <f t="shared" si="0"/>
        <v>5.3370834109893091</v>
      </c>
      <c r="G41" s="82" t="s">
        <v>98</v>
      </c>
      <c r="H41" s="94">
        <v>1</v>
      </c>
      <c r="I41" s="86" t="s">
        <v>49</v>
      </c>
      <c r="J41" s="87">
        <v>100</v>
      </c>
      <c r="K41" s="88">
        <v>95</v>
      </c>
      <c r="L41" s="88">
        <v>90</v>
      </c>
      <c r="M41" s="88">
        <v>85</v>
      </c>
      <c r="N41" s="88">
        <v>80</v>
      </c>
      <c r="O41" s="88" t="s">
        <v>50</v>
      </c>
      <c r="P41" s="89"/>
      <c r="Q41" s="90">
        <f t="shared" si="3"/>
        <v>0</v>
      </c>
      <c r="R41" s="91">
        <f t="shared" si="4"/>
        <v>0</v>
      </c>
    </row>
    <row r="42" spans="1:18" s="92" customFormat="1" ht="147" customHeight="1" x14ac:dyDescent="0.25">
      <c r="A42" s="271"/>
      <c r="B42" s="272"/>
      <c r="C42" s="273"/>
      <c r="D42" s="272"/>
      <c r="E42" s="83">
        <f>C35/8</f>
        <v>1.8111358984383978</v>
      </c>
      <c r="F42" s="83">
        <f t="shared" si="0"/>
        <v>5.3370834109893091</v>
      </c>
      <c r="G42" s="82" t="s">
        <v>99</v>
      </c>
      <c r="H42" s="94">
        <v>1</v>
      </c>
      <c r="I42" s="86" t="s">
        <v>49</v>
      </c>
      <c r="J42" s="87">
        <v>100</v>
      </c>
      <c r="K42" s="88">
        <v>95</v>
      </c>
      <c r="L42" s="88">
        <v>90</v>
      </c>
      <c r="M42" s="88">
        <v>85</v>
      </c>
      <c r="N42" s="88">
        <v>80</v>
      </c>
      <c r="O42" s="88" t="s">
        <v>50</v>
      </c>
      <c r="P42" s="89"/>
      <c r="Q42" s="90">
        <f t="shared" si="3"/>
        <v>0</v>
      </c>
      <c r="R42" s="91">
        <f t="shared" si="4"/>
        <v>0</v>
      </c>
    </row>
    <row r="43" spans="1:18" s="92" customFormat="1" ht="147" customHeight="1" x14ac:dyDescent="0.25">
      <c r="A43" s="81">
        <v>5</v>
      </c>
      <c r="B43" s="82" t="s">
        <v>100</v>
      </c>
      <c r="C43" s="95">
        <f>0.25 *1.20742393229227</f>
        <v>0.30185598307306749</v>
      </c>
      <c r="D43" s="82" t="s">
        <v>101</v>
      </c>
      <c r="E43" s="83">
        <f>C43</f>
        <v>0.30185598307306749</v>
      </c>
      <c r="F43" s="83">
        <f t="shared" si="0"/>
        <v>0.88951390183155499</v>
      </c>
      <c r="G43" s="84" t="s">
        <v>102</v>
      </c>
      <c r="H43" s="93">
        <v>5</v>
      </c>
      <c r="I43" s="86" t="s">
        <v>57</v>
      </c>
      <c r="J43" s="87" t="s">
        <v>58</v>
      </c>
      <c r="K43" s="88">
        <v>5</v>
      </c>
      <c r="L43" s="88">
        <v>4</v>
      </c>
      <c r="M43" s="88">
        <v>3</v>
      </c>
      <c r="N43" s="88">
        <v>2</v>
      </c>
      <c r="O43" s="88">
        <v>1</v>
      </c>
      <c r="P43" s="89"/>
      <c r="Q43" s="90">
        <f t="shared" si="3"/>
        <v>0</v>
      </c>
      <c r="R43" s="91">
        <f t="shared" si="4"/>
        <v>0</v>
      </c>
    </row>
    <row r="44" spans="1:18" s="92" customFormat="1" ht="147" customHeight="1" x14ac:dyDescent="0.25">
      <c r="A44" s="265">
        <v>7</v>
      </c>
      <c r="B44" s="266" t="s">
        <v>103</v>
      </c>
      <c r="C44" s="275">
        <f>0.25 *2.41484786458453</f>
        <v>0.60371196614613254</v>
      </c>
      <c r="D44" s="82" t="s">
        <v>104</v>
      </c>
      <c r="E44" s="83">
        <f>C44/2</f>
        <v>0.30185598307306627</v>
      </c>
      <c r="F44" s="83">
        <f t="shared" si="0"/>
        <v>0.88951390183155143</v>
      </c>
      <c r="G44" s="84" t="s">
        <v>105</v>
      </c>
      <c r="H44" s="93">
        <v>5</v>
      </c>
      <c r="I44" s="93" t="s">
        <v>57</v>
      </c>
      <c r="J44" s="87" t="s">
        <v>58</v>
      </c>
      <c r="K44" s="88">
        <v>5</v>
      </c>
      <c r="L44" s="88">
        <v>4</v>
      </c>
      <c r="M44" s="88">
        <v>3</v>
      </c>
      <c r="N44" s="88">
        <v>2</v>
      </c>
      <c r="O44" s="88">
        <v>1</v>
      </c>
      <c r="P44" s="89"/>
      <c r="Q44" s="90">
        <f t="shared" si="3"/>
        <v>0</v>
      </c>
      <c r="R44" s="91">
        <f t="shared" si="4"/>
        <v>0</v>
      </c>
    </row>
    <row r="45" spans="1:18" s="92" customFormat="1" ht="147" customHeight="1" x14ac:dyDescent="0.25">
      <c r="A45" s="271"/>
      <c r="B45" s="272"/>
      <c r="C45" s="276"/>
      <c r="D45" s="82" t="s">
        <v>106</v>
      </c>
      <c r="E45" s="83">
        <f>C44/2</f>
        <v>0.30185598307306627</v>
      </c>
      <c r="F45" s="83">
        <f t="shared" si="0"/>
        <v>0.88951390183155143</v>
      </c>
      <c r="G45" s="84" t="s">
        <v>107</v>
      </c>
      <c r="H45" s="94">
        <v>0.8</v>
      </c>
      <c r="I45" s="93" t="s">
        <v>49</v>
      </c>
      <c r="J45" s="87" t="s">
        <v>69</v>
      </c>
      <c r="K45" s="88">
        <v>80</v>
      </c>
      <c r="L45" s="88">
        <v>75</v>
      </c>
      <c r="M45" s="88">
        <v>70</v>
      </c>
      <c r="N45" s="88">
        <v>50</v>
      </c>
      <c r="O45" s="88" t="s">
        <v>70</v>
      </c>
      <c r="P45" s="89"/>
      <c r="Q45" s="90">
        <f t="shared" si="1"/>
        <v>0</v>
      </c>
      <c r="R45" s="91">
        <f t="shared" si="2"/>
        <v>0</v>
      </c>
    </row>
    <row r="46" spans="1:18" s="92" customFormat="1" ht="147" customHeight="1" x14ac:dyDescent="0.25">
      <c r="A46" s="265">
        <v>8</v>
      </c>
      <c r="B46" s="266" t="s">
        <v>108</v>
      </c>
      <c r="C46" s="275">
        <f>0.25 *0.804949288194844</f>
        <v>0.201237322048711</v>
      </c>
      <c r="D46" s="82" t="s">
        <v>109</v>
      </c>
      <c r="E46" s="83">
        <f>C46/2</f>
        <v>0.1006186610243555</v>
      </c>
      <c r="F46" s="83">
        <f t="shared" si="0"/>
        <v>0.29650463394385068</v>
      </c>
      <c r="G46" s="84" t="s">
        <v>110</v>
      </c>
      <c r="H46" s="93">
        <v>5</v>
      </c>
      <c r="I46" s="93" t="s">
        <v>57</v>
      </c>
      <c r="J46" s="87" t="s">
        <v>58</v>
      </c>
      <c r="K46" s="88">
        <v>5</v>
      </c>
      <c r="L46" s="88">
        <v>4</v>
      </c>
      <c r="M46" s="88">
        <v>3</v>
      </c>
      <c r="N46" s="88">
        <v>2</v>
      </c>
      <c r="O46" s="88">
        <v>1</v>
      </c>
      <c r="P46" s="89"/>
      <c r="Q46" s="90">
        <f t="shared" si="1"/>
        <v>0</v>
      </c>
      <c r="R46" s="91">
        <f t="shared" si="2"/>
        <v>0</v>
      </c>
    </row>
    <row r="47" spans="1:18" s="92" customFormat="1" ht="147" customHeight="1" x14ac:dyDescent="0.25">
      <c r="A47" s="271"/>
      <c r="B47" s="272"/>
      <c r="C47" s="276"/>
      <c r="D47" s="82" t="s">
        <v>111</v>
      </c>
      <c r="E47" s="83">
        <f>C46/2</f>
        <v>0.1006186610243555</v>
      </c>
      <c r="F47" s="83">
        <f t="shared" si="0"/>
        <v>0.29650463394385068</v>
      </c>
      <c r="G47" s="84" t="s">
        <v>112</v>
      </c>
      <c r="H47" s="94">
        <v>0.8</v>
      </c>
      <c r="I47" s="93" t="s">
        <v>49</v>
      </c>
      <c r="J47" s="87" t="s">
        <v>69</v>
      </c>
      <c r="K47" s="88">
        <v>80</v>
      </c>
      <c r="L47" s="88">
        <v>75</v>
      </c>
      <c r="M47" s="88">
        <v>70</v>
      </c>
      <c r="N47" s="88">
        <v>50</v>
      </c>
      <c r="O47" s="88" t="s">
        <v>70</v>
      </c>
      <c r="P47" s="89"/>
      <c r="Q47" s="90">
        <f t="shared" si="1"/>
        <v>0</v>
      </c>
      <c r="R47" s="91">
        <f t="shared" si="2"/>
        <v>0</v>
      </c>
    </row>
    <row r="48" spans="1:18" s="92" customFormat="1" ht="147" customHeight="1" x14ac:dyDescent="0.25">
      <c r="A48" s="81">
        <v>10</v>
      </c>
      <c r="B48" s="82" t="s">
        <v>113</v>
      </c>
      <c r="C48" s="95">
        <f>0.25 *0.321979715277938</f>
        <v>8.0494928819484501E-2</v>
      </c>
      <c r="D48" s="277" t="s">
        <v>114</v>
      </c>
      <c r="E48" s="83">
        <v>0.32197971527793745</v>
      </c>
      <c r="F48" s="83">
        <f t="shared" si="0"/>
        <v>0.94881482862032174</v>
      </c>
      <c r="G48" s="84" t="s">
        <v>115</v>
      </c>
      <c r="H48" s="85">
        <v>0.7</v>
      </c>
      <c r="I48" s="93" t="s">
        <v>49</v>
      </c>
      <c r="J48" s="87" t="s">
        <v>116</v>
      </c>
      <c r="K48" s="88">
        <v>70</v>
      </c>
      <c r="L48" s="88">
        <v>60</v>
      </c>
      <c r="M48" s="88">
        <v>50</v>
      </c>
      <c r="N48" s="88">
        <v>40</v>
      </c>
      <c r="O48" s="88" t="s">
        <v>117</v>
      </c>
      <c r="P48" s="89"/>
      <c r="Q48" s="90">
        <f t="shared" si="1"/>
        <v>0</v>
      </c>
      <c r="R48" s="91">
        <f t="shared" si="2"/>
        <v>0</v>
      </c>
    </row>
    <row r="49" spans="1:18" s="92" customFormat="1" ht="147" customHeight="1" x14ac:dyDescent="0.25">
      <c r="A49" s="81"/>
      <c r="B49" s="82" t="s">
        <v>118</v>
      </c>
      <c r="C49" s="95">
        <f>0.25 *0.321979715277938</f>
        <v>8.0494928819484501E-2</v>
      </c>
      <c r="D49" s="84" t="s">
        <v>119</v>
      </c>
      <c r="E49" s="83">
        <v>0.32197971527793745</v>
      </c>
      <c r="F49" s="83">
        <f t="shared" si="0"/>
        <v>0.94881482862032174</v>
      </c>
      <c r="G49" s="84" t="s">
        <v>120</v>
      </c>
      <c r="H49" s="85">
        <v>0.5</v>
      </c>
      <c r="I49" s="86" t="s">
        <v>49</v>
      </c>
      <c r="J49" s="87" t="s">
        <v>64</v>
      </c>
      <c r="K49" s="88">
        <v>50</v>
      </c>
      <c r="L49" s="88">
        <v>45</v>
      </c>
      <c r="M49" s="88">
        <v>40</v>
      </c>
      <c r="N49" s="88">
        <v>25</v>
      </c>
      <c r="O49" s="88" t="s">
        <v>65</v>
      </c>
      <c r="P49" s="89">
        <v>0</v>
      </c>
      <c r="Q49" s="90">
        <f t="shared" si="1"/>
        <v>0</v>
      </c>
      <c r="R49" s="91">
        <f t="shared" si="2"/>
        <v>0</v>
      </c>
    </row>
    <row r="50" spans="1:18" s="106" customFormat="1" ht="44.25" x14ac:dyDescent="0.25">
      <c r="A50" s="96"/>
      <c r="B50" s="97" t="s">
        <v>121</v>
      </c>
      <c r="C50" s="98">
        <f>SUM(C19:C49)</f>
        <v>33.451967526045834</v>
      </c>
      <c r="D50" s="97"/>
      <c r="E50" s="98">
        <f>SUM(E19:E49)</f>
        <v>33.934937098962756</v>
      </c>
      <c r="F50" s="98">
        <f>SUM(F19:F49)</f>
        <v>99.999999999999986</v>
      </c>
      <c r="G50" s="99"/>
      <c r="H50" s="100"/>
      <c r="I50" s="101"/>
      <c r="J50" s="102"/>
      <c r="K50" s="102"/>
      <c r="L50" s="102"/>
      <c r="M50" s="102"/>
      <c r="N50" s="102"/>
      <c r="O50" s="102"/>
      <c r="P50" s="103"/>
      <c r="Q50" s="104"/>
      <c r="R50" s="105">
        <f>SUM(R19:R49)</f>
        <v>0</v>
      </c>
    </row>
    <row r="51" spans="1:18" s="108" customFormat="1" ht="66" customHeight="1" x14ac:dyDescent="0.7">
      <c r="A51" s="107"/>
      <c r="G51" s="109"/>
      <c r="H51" s="109"/>
      <c r="I51" s="110" t="s">
        <v>171</v>
      </c>
      <c r="J51" s="111"/>
      <c r="K51" s="111"/>
      <c r="L51" s="111"/>
      <c r="M51" s="111"/>
      <c r="N51" s="111"/>
      <c r="O51" s="111"/>
      <c r="P51" s="111"/>
      <c r="Q51" s="112"/>
      <c r="R51" s="113">
        <f>R50/100 * 70</f>
        <v>0</v>
      </c>
    </row>
    <row r="52" spans="1:18" s="122" customFormat="1" ht="36" x14ac:dyDescent="0.55000000000000004">
      <c r="A52" s="114" t="s">
        <v>122</v>
      </c>
      <c r="B52" s="115"/>
      <c r="C52" s="115"/>
      <c r="D52" s="115"/>
      <c r="E52" s="115"/>
      <c r="F52" s="115"/>
      <c r="G52" s="116"/>
      <c r="H52" s="117"/>
      <c r="I52" s="117"/>
      <c r="J52" s="117"/>
      <c r="K52" s="117"/>
      <c r="L52" s="71" t="s">
        <v>127</v>
      </c>
      <c r="M52" s="118" t="s">
        <v>123</v>
      </c>
      <c r="N52" s="118"/>
      <c r="O52" s="118"/>
      <c r="P52" s="119"/>
      <c r="Q52" s="120"/>
      <c r="R52" s="121"/>
    </row>
    <row r="53" spans="1:18" s="122" customFormat="1" ht="31.5" customHeight="1" x14ac:dyDescent="0.55000000000000004">
      <c r="A53" s="123"/>
      <c r="B53" s="124"/>
      <c r="C53" s="125" t="s">
        <v>124</v>
      </c>
      <c r="D53" s="125"/>
      <c r="E53" s="125"/>
      <c r="F53" s="125"/>
      <c r="G53" s="125"/>
      <c r="H53" s="126" t="s">
        <v>172</v>
      </c>
      <c r="I53" s="126" t="s">
        <v>173</v>
      </c>
      <c r="J53" s="126"/>
      <c r="K53" s="127"/>
      <c r="L53" s="79"/>
      <c r="M53" s="128"/>
      <c r="N53" s="128"/>
      <c r="O53" s="128"/>
      <c r="P53" s="129"/>
      <c r="Q53" s="120"/>
      <c r="R53" s="121"/>
    </row>
    <row r="54" spans="1:18" s="122" customFormat="1" ht="36" customHeight="1" x14ac:dyDescent="0.55000000000000004">
      <c r="A54" s="130">
        <v>1</v>
      </c>
      <c r="B54" s="131" t="s">
        <v>128</v>
      </c>
      <c r="C54" s="132"/>
      <c r="D54" s="133"/>
      <c r="E54" s="133"/>
      <c r="F54" s="133"/>
      <c r="G54" s="134"/>
      <c r="H54" s="135"/>
      <c r="I54" s="135"/>
      <c r="J54" s="135"/>
      <c r="K54" s="135"/>
      <c r="L54" s="136"/>
      <c r="M54" s="137" t="s">
        <v>40</v>
      </c>
      <c r="N54" s="138" t="s">
        <v>129</v>
      </c>
      <c r="O54" s="139"/>
      <c r="P54" s="129"/>
      <c r="Q54" s="120"/>
      <c r="R54" s="121"/>
    </row>
    <row r="55" spans="1:18" s="122" customFormat="1" ht="84.75" customHeight="1" x14ac:dyDescent="0.55000000000000004">
      <c r="A55" s="140" t="s">
        <v>130</v>
      </c>
      <c r="B55" s="141" t="s">
        <v>174</v>
      </c>
      <c r="C55" s="142"/>
      <c r="D55" s="143"/>
      <c r="E55" s="143"/>
      <c r="F55" s="143"/>
      <c r="G55" s="144"/>
      <c r="H55" s="145">
        <v>4</v>
      </c>
      <c r="I55" s="146"/>
      <c r="J55" s="145"/>
      <c r="K55" s="145"/>
      <c r="L55" s="136"/>
      <c r="M55" s="137" t="s">
        <v>41</v>
      </c>
      <c r="N55" s="138" t="s">
        <v>131</v>
      </c>
      <c r="O55" s="139"/>
      <c r="P55" s="129"/>
      <c r="Q55" s="120"/>
      <c r="R55" s="121"/>
    </row>
    <row r="56" spans="1:18" s="122" customFormat="1" ht="82.5" customHeight="1" x14ac:dyDescent="0.55000000000000004">
      <c r="A56" s="140" t="s">
        <v>132</v>
      </c>
      <c r="B56" s="141" t="s">
        <v>175</v>
      </c>
      <c r="C56" s="142"/>
      <c r="D56" s="143"/>
      <c r="E56" s="143"/>
      <c r="F56" s="143"/>
      <c r="G56" s="144"/>
      <c r="H56" s="145">
        <v>2</v>
      </c>
      <c r="I56" s="146"/>
      <c r="J56" s="145"/>
      <c r="K56" s="145"/>
      <c r="L56" s="136"/>
      <c r="M56" s="137" t="s">
        <v>42</v>
      </c>
      <c r="N56" s="138" t="s">
        <v>133</v>
      </c>
      <c r="O56" s="139"/>
      <c r="P56" s="129"/>
      <c r="Q56" s="120"/>
      <c r="R56" s="121"/>
    </row>
    <row r="57" spans="1:18" s="122" customFormat="1" ht="78.75" customHeight="1" x14ac:dyDescent="0.55000000000000004">
      <c r="A57" s="140" t="s">
        <v>134</v>
      </c>
      <c r="B57" s="141" t="s">
        <v>135</v>
      </c>
      <c r="C57" s="142"/>
      <c r="D57" s="143"/>
      <c r="E57" s="143"/>
      <c r="F57" s="143"/>
      <c r="G57" s="144"/>
      <c r="H57" s="145">
        <v>2</v>
      </c>
      <c r="I57" s="146"/>
      <c r="J57" s="145"/>
      <c r="K57" s="145"/>
      <c r="L57" s="136"/>
      <c r="M57" s="137" t="s">
        <v>43</v>
      </c>
      <c r="N57" s="138" t="s">
        <v>136</v>
      </c>
      <c r="O57" s="139"/>
      <c r="P57" s="129"/>
      <c r="Q57" s="120"/>
      <c r="R57" s="121"/>
    </row>
    <row r="58" spans="1:18" s="122" customFormat="1" ht="36" x14ac:dyDescent="0.55000000000000004">
      <c r="A58" s="147">
        <v>2</v>
      </c>
      <c r="B58" s="148" t="s">
        <v>137</v>
      </c>
      <c r="C58" s="149"/>
      <c r="D58" s="150"/>
      <c r="E58" s="150"/>
      <c r="F58" s="150"/>
      <c r="G58" s="151"/>
      <c r="H58" s="145"/>
      <c r="I58" s="146"/>
      <c r="J58" s="145"/>
      <c r="K58" s="145"/>
      <c r="L58" s="136"/>
      <c r="M58" s="137" t="s">
        <v>44</v>
      </c>
      <c r="N58" s="138" t="s">
        <v>138</v>
      </c>
      <c r="O58" s="139"/>
      <c r="P58" s="129"/>
      <c r="Q58" s="120"/>
      <c r="R58" s="121"/>
    </row>
    <row r="59" spans="1:18" s="122" customFormat="1" ht="82.5" customHeight="1" x14ac:dyDescent="0.55000000000000004">
      <c r="A59" s="140" t="s">
        <v>130</v>
      </c>
      <c r="B59" s="152" t="s">
        <v>176</v>
      </c>
      <c r="C59" s="153"/>
      <c r="D59" s="154"/>
      <c r="E59" s="154"/>
      <c r="F59" s="154"/>
      <c r="G59" s="155"/>
      <c r="H59" s="145">
        <v>2</v>
      </c>
      <c r="I59" s="146"/>
      <c r="J59" s="145"/>
      <c r="K59" s="145"/>
      <c r="L59" s="136"/>
      <c r="M59" s="137" t="s">
        <v>45</v>
      </c>
      <c r="N59" s="138" t="s">
        <v>139</v>
      </c>
      <c r="O59" s="139"/>
      <c r="P59" s="156"/>
      <c r="Q59" s="120"/>
      <c r="R59" s="121"/>
    </row>
    <row r="60" spans="1:18" s="122" customFormat="1" ht="114.75" customHeight="1" x14ac:dyDescent="0.55000000000000004">
      <c r="A60" s="140" t="s">
        <v>132</v>
      </c>
      <c r="B60" s="152" t="s">
        <v>177</v>
      </c>
      <c r="C60" s="153"/>
      <c r="D60" s="154"/>
      <c r="E60" s="154"/>
      <c r="F60" s="154"/>
      <c r="G60" s="155"/>
      <c r="H60" s="145">
        <v>2</v>
      </c>
      <c r="I60" s="146"/>
      <c r="J60" s="145"/>
      <c r="K60" s="145"/>
      <c r="L60" s="136"/>
      <c r="M60" s="129" t="s">
        <v>127</v>
      </c>
      <c r="N60" s="157" t="s">
        <v>140</v>
      </c>
      <c r="O60" s="158"/>
      <c r="P60" s="156"/>
      <c r="Q60" s="120"/>
      <c r="R60" s="121"/>
    </row>
    <row r="61" spans="1:18" s="122" customFormat="1" ht="72" customHeight="1" x14ac:dyDescent="0.55000000000000004">
      <c r="A61" s="140" t="s">
        <v>134</v>
      </c>
      <c r="B61" s="152" t="s">
        <v>178</v>
      </c>
      <c r="C61" s="153"/>
      <c r="D61" s="154"/>
      <c r="E61" s="154"/>
      <c r="F61" s="154"/>
      <c r="G61" s="155"/>
      <c r="H61" s="145">
        <v>2</v>
      </c>
      <c r="I61" s="146"/>
      <c r="J61" s="145"/>
      <c r="K61" s="145"/>
      <c r="L61" s="136"/>
      <c r="M61" s="129" t="s">
        <v>141</v>
      </c>
      <c r="N61" s="157" t="s">
        <v>142</v>
      </c>
      <c r="O61" s="158"/>
      <c r="P61" s="156"/>
      <c r="Q61" s="120"/>
      <c r="R61" s="121"/>
    </row>
    <row r="62" spans="1:18" s="122" customFormat="1" ht="66" customHeight="1" x14ac:dyDescent="0.55000000000000004">
      <c r="A62" s="147">
        <v>3</v>
      </c>
      <c r="B62" s="148" t="s">
        <v>143</v>
      </c>
      <c r="C62" s="149"/>
      <c r="D62" s="150"/>
      <c r="E62" s="150"/>
      <c r="F62" s="150"/>
      <c r="G62" s="151"/>
      <c r="H62" s="145"/>
      <c r="I62" s="146"/>
      <c r="J62" s="145"/>
      <c r="K62" s="145"/>
      <c r="L62" s="136"/>
      <c r="M62" s="129" t="s">
        <v>125</v>
      </c>
      <c r="N62" s="157" t="s">
        <v>144</v>
      </c>
      <c r="O62" s="158"/>
      <c r="P62" s="156"/>
      <c r="Q62" s="120"/>
      <c r="R62" s="121"/>
    </row>
    <row r="63" spans="1:18" s="122" customFormat="1" ht="72" customHeight="1" x14ac:dyDescent="0.55000000000000004">
      <c r="A63" s="140" t="s">
        <v>130</v>
      </c>
      <c r="B63" s="152" t="s">
        <v>145</v>
      </c>
      <c r="C63" s="159"/>
      <c r="D63" s="160"/>
      <c r="E63" s="160"/>
      <c r="F63" s="160"/>
      <c r="G63" s="161"/>
      <c r="H63" s="145">
        <v>2</v>
      </c>
      <c r="I63" s="146"/>
      <c r="J63" s="145"/>
      <c r="K63" s="145"/>
      <c r="L63" s="136"/>
      <c r="M63" s="129" t="s">
        <v>126</v>
      </c>
      <c r="N63" s="157" t="s">
        <v>146</v>
      </c>
      <c r="O63" s="158"/>
      <c r="P63" s="156"/>
      <c r="Q63" s="120"/>
      <c r="R63" s="121"/>
    </row>
    <row r="64" spans="1:18" s="122" customFormat="1" ht="72" customHeight="1" x14ac:dyDescent="0.55000000000000004">
      <c r="A64" s="140" t="s">
        <v>132</v>
      </c>
      <c r="B64" s="152" t="s">
        <v>179</v>
      </c>
      <c r="C64" s="159"/>
      <c r="D64" s="160"/>
      <c r="E64" s="160"/>
      <c r="F64" s="160"/>
      <c r="G64" s="161"/>
      <c r="H64" s="145">
        <v>2</v>
      </c>
      <c r="I64" s="146"/>
      <c r="J64" s="145"/>
      <c r="K64" s="145"/>
      <c r="L64" s="136"/>
      <c r="M64" s="129" t="s">
        <v>147</v>
      </c>
      <c r="N64" s="157" t="s">
        <v>148</v>
      </c>
      <c r="O64" s="158"/>
      <c r="P64" s="156"/>
      <c r="Q64" s="120"/>
      <c r="R64" s="121"/>
    </row>
    <row r="65" spans="1:18" s="122" customFormat="1" ht="44.25" customHeight="1" x14ac:dyDescent="0.55000000000000004">
      <c r="A65" s="140" t="s">
        <v>134</v>
      </c>
      <c r="B65" s="152" t="s">
        <v>180</v>
      </c>
      <c r="C65" s="159"/>
      <c r="D65" s="160"/>
      <c r="E65" s="160"/>
      <c r="F65" s="160"/>
      <c r="G65" s="161"/>
      <c r="H65" s="145">
        <v>2</v>
      </c>
      <c r="I65" s="146"/>
      <c r="J65" s="145"/>
      <c r="K65" s="145"/>
      <c r="L65" s="136"/>
      <c r="M65" s="162"/>
      <c r="N65" s="162"/>
      <c r="O65" s="162"/>
      <c r="P65" s="163"/>
      <c r="Q65" s="120"/>
      <c r="R65" s="121"/>
    </row>
    <row r="66" spans="1:18" s="122" customFormat="1" ht="31.5" customHeight="1" x14ac:dyDescent="0.55000000000000004">
      <c r="A66" s="164" t="s">
        <v>149</v>
      </c>
      <c r="B66" s="165"/>
      <c r="C66" s="165"/>
      <c r="D66" s="165"/>
      <c r="E66" s="165"/>
      <c r="F66" s="165"/>
      <c r="G66" s="165"/>
      <c r="H66" s="166">
        <f>SUM(H55:H65)</f>
        <v>20</v>
      </c>
      <c r="I66" s="166">
        <f>SUM(I55:I65)</f>
        <v>0</v>
      </c>
      <c r="J66" s="166"/>
      <c r="K66" s="167"/>
      <c r="L66" s="136"/>
      <c r="M66" s="162"/>
      <c r="N66" s="162"/>
      <c r="O66" s="162"/>
      <c r="P66" s="163"/>
      <c r="Q66" s="120"/>
      <c r="R66" s="121"/>
    </row>
    <row r="67" spans="1:18" s="122" customFormat="1" ht="36" customHeight="1" x14ac:dyDescent="0.55000000000000004">
      <c r="A67" s="168" t="s">
        <v>130</v>
      </c>
      <c r="B67" s="169" t="s">
        <v>150</v>
      </c>
      <c r="C67" s="153" t="s">
        <v>151</v>
      </c>
      <c r="D67" s="154"/>
      <c r="E67" s="154"/>
      <c r="F67" s="154"/>
      <c r="G67" s="155"/>
      <c r="H67" s="170">
        <v>4</v>
      </c>
      <c r="I67" s="171"/>
      <c r="J67" s="170"/>
      <c r="K67" s="172"/>
      <c r="L67" s="136"/>
      <c r="M67" s="162"/>
      <c r="N67" s="162"/>
      <c r="O67" s="162"/>
      <c r="P67" s="163"/>
      <c r="Q67" s="120"/>
      <c r="R67" s="121"/>
    </row>
    <row r="68" spans="1:18" s="122" customFormat="1" ht="129" customHeight="1" x14ac:dyDescent="0.55000000000000004">
      <c r="A68" s="168" t="s">
        <v>132</v>
      </c>
      <c r="B68" s="169" t="s">
        <v>152</v>
      </c>
      <c r="C68" s="153" t="s">
        <v>153</v>
      </c>
      <c r="D68" s="154"/>
      <c r="E68" s="154"/>
      <c r="F68" s="154"/>
      <c r="G68" s="155"/>
      <c r="H68" s="170">
        <v>3</v>
      </c>
      <c r="I68" s="171"/>
      <c r="J68" s="170"/>
      <c r="K68" s="172"/>
      <c r="L68" s="136"/>
      <c r="M68" s="162"/>
      <c r="N68" s="162"/>
      <c r="O68" s="162"/>
      <c r="P68" s="163"/>
      <c r="Q68" s="120"/>
      <c r="R68" s="121"/>
    </row>
    <row r="69" spans="1:18" s="122" customFormat="1" ht="69" customHeight="1" x14ac:dyDescent="0.55000000000000004">
      <c r="A69" s="168" t="s">
        <v>132</v>
      </c>
      <c r="B69" s="169" t="s">
        <v>154</v>
      </c>
      <c r="C69" s="153" t="s">
        <v>155</v>
      </c>
      <c r="D69" s="154"/>
      <c r="E69" s="154"/>
      <c r="F69" s="154"/>
      <c r="G69" s="155"/>
      <c r="H69" s="170">
        <v>3</v>
      </c>
      <c r="I69" s="171"/>
      <c r="J69" s="170"/>
      <c r="K69" s="172"/>
      <c r="L69" s="136"/>
      <c r="M69" s="162"/>
      <c r="N69" s="162"/>
      <c r="O69" s="162"/>
      <c r="P69" s="163"/>
      <c r="Q69" s="120"/>
      <c r="R69" s="121"/>
    </row>
    <row r="70" spans="1:18" s="122" customFormat="1" ht="46.5" customHeight="1" x14ac:dyDescent="0.55000000000000004">
      <c r="A70" s="173"/>
      <c r="B70" s="174" t="s">
        <v>156</v>
      </c>
      <c r="C70" s="174"/>
      <c r="D70" s="174"/>
      <c r="E70" s="175"/>
      <c r="F70" s="175"/>
      <c r="G70" s="175"/>
      <c r="H70" s="166">
        <f>SUM(H67:H69)</f>
        <v>10</v>
      </c>
      <c r="I70" s="166">
        <f>SUM(I67:I69)</f>
        <v>0</v>
      </c>
      <c r="J70" s="175"/>
      <c r="K70" s="176"/>
      <c r="L70" s="162"/>
      <c r="M70" s="162"/>
      <c r="N70" s="162"/>
      <c r="O70" s="162"/>
      <c r="P70" s="163"/>
      <c r="Q70" s="120"/>
      <c r="R70" s="121"/>
    </row>
    <row r="71" spans="1:18" s="184" customFormat="1" ht="45" customHeight="1" x14ac:dyDescent="0.7">
      <c r="A71" s="177"/>
      <c r="B71" s="178"/>
      <c r="C71" s="179"/>
      <c r="D71" s="179"/>
      <c r="E71" s="179"/>
      <c r="F71" s="180"/>
      <c r="G71" s="180"/>
      <c r="H71" s="180"/>
      <c r="I71" s="180"/>
      <c r="J71" s="180"/>
      <c r="K71" s="179"/>
      <c r="L71" s="179"/>
      <c r="M71" s="179"/>
      <c r="N71" s="179"/>
      <c r="O71" s="181" t="s">
        <v>181</v>
      </c>
      <c r="P71" s="182"/>
      <c r="Q71" s="181" t="s">
        <v>182</v>
      </c>
      <c r="R71" s="183"/>
    </row>
    <row r="72" spans="1:18" s="184" customFormat="1" ht="45" customHeight="1" x14ac:dyDescent="0.7">
      <c r="A72" s="177"/>
      <c r="B72" s="185"/>
      <c r="C72" s="186" t="s">
        <v>183</v>
      </c>
      <c r="D72" s="187"/>
      <c r="E72" s="187"/>
      <c r="F72" s="187"/>
      <c r="G72" s="187"/>
      <c r="H72" s="187"/>
      <c r="I72" s="187"/>
      <c r="J72" s="187"/>
      <c r="K72" s="188"/>
      <c r="L72" s="189"/>
      <c r="M72" s="190"/>
      <c r="N72" s="191"/>
      <c r="O72" s="192">
        <f>R51</f>
        <v>0</v>
      </c>
      <c r="P72" s="193"/>
      <c r="Q72" s="194">
        <f>O75/100 * 20</f>
        <v>0</v>
      </c>
      <c r="R72" s="195"/>
    </row>
    <row r="73" spans="1:18" s="184" customFormat="1" ht="45" customHeight="1" x14ac:dyDescent="0.7">
      <c r="A73" s="177"/>
      <c r="B73" s="185"/>
      <c r="C73" s="187" t="s">
        <v>184</v>
      </c>
      <c r="D73" s="187"/>
      <c r="E73" s="187"/>
      <c r="F73" s="187"/>
      <c r="G73" s="187"/>
      <c r="H73" s="187"/>
      <c r="I73" s="187"/>
      <c r="J73" s="187"/>
      <c r="K73" s="187"/>
      <c r="L73" s="190"/>
      <c r="M73" s="190"/>
      <c r="N73" s="191"/>
      <c r="O73" s="192">
        <f>I66</f>
        <v>0</v>
      </c>
      <c r="P73" s="193"/>
      <c r="Q73" s="196"/>
      <c r="R73" s="197"/>
    </row>
    <row r="74" spans="1:18" s="184" customFormat="1" ht="45" customHeight="1" x14ac:dyDescent="0.7">
      <c r="A74" s="177"/>
      <c r="B74" s="185"/>
      <c r="C74" s="186" t="s">
        <v>185</v>
      </c>
      <c r="D74" s="187"/>
      <c r="E74" s="187"/>
      <c r="F74" s="187"/>
      <c r="G74" s="187"/>
      <c r="H74" s="187"/>
      <c r="I74" s="187"/>
      <c r="J74" s="187"/>
      <c r="K74" s="188"/>
      <c r="L74" s="189"/>
      <c r="M74" s="190"/>
      <c r="N74" s="191"/>
      <c r="O74" s="192">
        <f>I70</f>
        <v>0</v>
      </c>
      <c r="P74" s="193"/>
      <c r="Q74" s="196"/>
      <c r="R74" s="197"/>
    </row>
    <row r="75" spans="1:18" s="184" customFormat="1" ht="45" customHeight="1" x14ac:dyDescent="0.7">
      <c r="A75" s="177"/>
      <c r="B75" s="198"/>
      <c r="C75" s="186" t="s">
        <v>186</v>
      </c>
      <c r="D75" s="187"/>
      <c r="E75" s="187"/>
      <c r="F75" s="187"/>
      <c r="G75" s="187"/>
      <c r="H75" s="187"/>
      <c r="I75" s="187"/>
      <c r="J75" s="187"/>
      <c r="K75" s="188"/>
      <c r="L75" s="189"/>
      <c r="M75" s="190"/>
      <c r="N75" s="191"/>
      <c r="O75" s="192">
        <f>SUM(O72:P74)</f>
        <v>0</v>
      </c>
      <c r="P75" s="193"/>
      <c r="Q75" s="199"/>
      <c r="R75" s="200"/>
    </row>
    <row r="76" spans="1:18" s="184" customFormat="1" ht="64.900000000000006" customHeight="1" x14ac:dyDescent="0.7">
      <c r="A76" s="177"/>
      <c r="B76" s="201" t="s">
        <v>187</v>
      </c>
      <c r="C76" s="201"/>
      <c r="D76" s="201"/>
      <c r="E76" s="201"/>
      <c r="F76" s="201"/>
      <c r="G76" s="201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3"/>
    </row>
    <row r="77" spans="1:18" s="184" customFormat="1" ht="64.900000000000006" customHeight="1" x14ac:dyDescent="0.7">
      <c r="A77" s="177"/>
      <c r="B77" s="204" t="s">
        <v>188</v>
      </c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5"/>
    </row>
    <row r="78" spans="1:18" s="184" customFormat="1" ht="48.75" customHeight="1" x14ac:dyDescent="0.7">
      <c r="A78" s="177"/>
      <c r="B78" s="206" t="s">
        <v>189</v>
      </c>
      <c r="C78" s="206"/>
      <c r="D78" s="206"/>
      <c r="E78" s="206"/>
      <c r="F78" s="206"/>
      <c r="G78" s="206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8"/>
    </row>
    <row r="79" spans="1:18" s="184" customFormat="1" ht="45.75" x14ac:dyDescent="0.7">
      <c r="A79" s="177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5"/>
    </row>
    <row r="80" spans="1:18" s="122" customFormat="1" ht="31.5" customHeight="1" x14ac:dyDescent="0.55000000000000004">
      <c r="A80" s="209" t="s">
        <v>190</v>
      </c>
      <c r="B80" s="210"/>
      <c r="C80" s="211"/>
      <c r="D80" s="212"/>
      <c r="E80" s="213" t="s">
        <v>191</v>
      </c>
      <c r="F80" s="214"/>
      <c r="G80" s="210" t="s">
        <v>192</v>
      </c>
      <c r="H80" s="211"/>
      <c r="I80" s="211"/>
      <c r="J80" s="211"/>
      <c r="K80" s="215"/>
      <c r="L80" s="136"/>
      <c r="M80" s="216"/>
      <c r="N80" s="216"/>
      <c r="O80" s="216"/>
      <c r="P80" s="216"/>
      <c r="Q80" s="216"/>
      <c r="R80" s="121"/>
    </row>
    <row r="81" spans="1:18" s="122" customFormat="1" ht="31.5" customHeight="1" x14ac:dyDescent="0.55000000000000004">
      <c r="A81" s="217"/>
      <c r="B81" s="218"/>
      <c r="C81" s="219"/>
      <c r="D81" s="220"/>
      <c r="E81" s="221"/>
      <c r="F81" s="222"/>
      <c r="G81" s="218"/>
      <c r="H81" s="219"/>
      <c r="I81" s="219"/>
      <c r="J81" s="219"/>
      <c r="K81" s="215"/>
      <c r="L81" s="136"/>
      <c r="M81" s="223"/>
      <c r="N81" s="223"/>
      <c r="O81" s="223"/>
      <c r="P81" s="223"/>
      <c r="Q81" s="223"/>
      <c r="R81" s="121"/>
    </row>
    <row r="82" spans="1:18" s="122" customFormat="1" ht="31.5" customHeight="1" x14ac:dyDescent="0.55000000000000004">
      <c r="A82" s="217"/>
      <c r="B82" s="218"/>
      <c r="C82" s="219"/>
      <c r="D82" s="220"/>
      <c r="E82" s="221"/>
      <c r="F82" s="222"/>
      <c r="G82" s="218"/>
      <c r="H82" s="219"/>
      <c r="I82" s="219"/>
      <c r="J82" s="219"/>
      <c r="K82" s="215"/>
      <c r="L82" s="136"/>
      <c r="M82" s="223"/>
      <c r="N82" s="223"/>
      <c r="O82" s="223"/>
      <c r="P82" s="223"/>
      <c r="Q82" s="223"/>
      <c r="R82" s="121"/>
    </row>
    <row r="83" spans="1:18" s="122" customFormat="1" ht="31.5" customHeight="1" x14ac:dyDescent="0.55000000000000004">
      <c r="A83" s="224"/>
      <c r="B83" s="225"/>
      <c r="C83" s="226"/>
      <c r="D83" s="227"/>
      <c r="E83" s="228"/>
      <c r="F83" s="229"/>
      <c r="G83" s="225"/>
      <c r="H83" s="226"/>
      <c r="I83" s="226"/>
      <c r="J83" s="226"/>
      <c r="K83" s="215"/>
      <c r="L83" s="136"/>
      <c r="M83" s="223"/>
      <c r="N83" s="223"/>
      <c r="O83" s="223"/>
      <c r="P83" s="223"/>
      <c r="Q83" s="223"/>
      <c r="R83" s="121"/>
    </row>
    <row r="84" spans="1:18" s="122" customFormat="1" ht="31.5" customHeight="1" x14ac:dyDescent="0.55000000000000004">
      <c r="A84" s="230" t="s">
        <v>157</v>
      </c>
      <c r="B84" s="231"/>
      <c r="C84" s="211"/>
      <c r="D84" s="212"/>
      <c r="E84" s="232" t="s">
        <v>193</v>
      </c>
      <c r="F84" s="214"/>
      <c r="G84" s="231" t="s">
        <v>193</v>
      </c>
      <c r="H84" s="211"/>
      <c r="I84" s="211"/>
      <c r="J84" s="211"/>
      <c r="K84" s="215"/>
      <c r="L84" s="136"/>
      <c r="M84" s="223"/>
      <c r="N84" s="223"/>
      <c r="O84" s="223"/>
      <c r="P84" s="223"/>
      <c r="Q84" s="223"/>
      <c r="R84" s="121"/>
    </row>
    <row r="85" spans="1:18" s="122" customFormat="1" ht="31.5" customHeight="1" x14ac:dyDescent="0.55000000000000004">
      <c r="A85" s="233"/>
      <c r="B85" s="234"/>
      <c r="C85" s="219"/>
      <c r="D85" s="220"/>
      <c r="E85" s="235"/>
      <c r="F85" s="222"/>
      <c r="G85" s="234"/>
      <c r="H85" s="219"/>
      <c r="I85" s="219"/>
      <c r="J85" s="219"/>
      <c r="K85" s="215"/>
      <c r="L85" s="136"/>
      <c r="M85" s="223"/>
      <c r="N85" s="223"/>
      <c r="O85" s="223"/>
      <c r="P85" s="223"/>
      <c r="Q85" s="223"/>
      <c r="R85" s="121"/>
    </row>
    <row r="86" spans="1:18" s="122" customFormat="1" ht="31.5" customHeight="1" x14ac:dyDescent="0.55000000000000004">
      <c r="A86" s="233"/>
      <c r="B86" s="234"/>
      <c r="C86" s="226"/>
      <c r="D86" s="227"/>
      <c r="E86" s="236"/>
      <c r="F86" s="229"/>
      <c r="G86" s="237"/>
      <c r="H86" s="226"/>
      <c r="I86" s="226"/>
      <c r="J86" s="226"/>
      <c r="K86" s="215"/>
      <c r="L86" s="136"/>
      <c r="M86" s="223"/>
      <c r="N86" s="223"/>
      <c r="O86" s="223"/>
      <c r="P86" s="223"/>
      <c r="Q86" s="223"/>
      <c r="R86" s="121"/>
    </row>
    <row r="87" spans="1:18" s="122" customFormat="1" ht="31.5" customHeight="1" x14ac:dyDescent="0.55000000000000004">
      <c r="A87" s="217" t="s">
        <v>158</v>
      </c>
      <c r="B87" s="218"/>
      <c r="C87" s="211"/>
      <c r="D87" s="212"/>
      <c r="E87" s="213" t="s">
        <v>194</v>
      </c>
      <c r="F87" s="214"/>
      <c r="G87" s="210" t="s">
        <v>194</v>
      </c>
      <c r="H87" s="211"/>
      <c r="I87" s="211"/>
      <c r="J87" s="211"/>
      <c r="K87" s="215"/>
      <c r="L87" s="136"/>
      <c r="M87" s="223"/>
      <c r="N87" s="223"/>
      <c r="O87" s="223"/>
      <c r="P87" s="223"/>
      <c r="Q87" s="223"/>
      <c r="R87" s="121"/>
    </row>
    <row r="88" spans="1:18" s="122" customFormat="1" ht="31.5" customHeight="1" x14ac:dyDescent="0.55000000000000004">
      <c r="A88" s="217"/>
      <c r="B88" s="218"/>
      <c r="C88" s="226"/>
      <c r="D88" s="227"/>
      <c r="E88" s="228"/>
      <c r="F88" s="229"/>
      <c r="G88" s="225"/>
      <c r="H88" s="226"/>
      <c r="I88" s="226"/>
      <c r="J88" s="226"/>
      <c r="K88" s="215"/>
      <c r="L88" s="136"/>
      <c r="M88" s="223"/>
      <c r="N88" s="223"/>
      <c r="O88" s="223"/>
      <c r="P88" s="223"/>
      <c r="Q88" s="223"/>
      <c r="R88" s="121"/>
    </row>
    <row r="89" spans="1:18" s="122" customFormat="1" ht="31.5" customHeight="1" thickBot="1" x14ac:dyDescent="0.6">
      <c r="A89" s="238"/>
      <c r="B89" s="239"/>
      <c r="C89" s="239"/>
      <c r="D89" s="239"/>
      <c r="E89" s="239"/>
      <c r="F89" s="239"/>
      <c r="G89" s="239"/>
      <c r="H89" s="239"/>
      <c r="I89" s="239"/>
      <c r="J89" s="239"/>
      <c r="K89" s="240"/>
      <c r="L89" s="241"/>
      <c r="M89" s="242"/>
      <c r="N89" s="242"/>
      <c r="O89" s="242"/>
      <c r="P89" s="242"/>
      <c r="Q89" s="242"/>
      <c r="R89" s="243"/>
    </row>
  </sheetData>
  <mergeCells count="119">
    <mergeCell ref="A46:A47"/>
    <mergeCell ref="B46:B47"/>
    <mergeCell ref="C46:C47"/>
    <mergeCell ref="A89:J89"/>
    <mergeCell ref="A19:A23"/>
    <mergeCell ref="B19:B23"/>
    <mergeCell ref="C19:C23"/>
    <mergeCell ref="A25:A34"/>
    <mergeCell ref="B25:B34"/>
    <mergeCell ref="C25:C34"/>
    <mergeCell ref="A35:A42"/>
    <mergeCell ref="B35:B42"/>
    <mergeCell ref="C35:C42"/>
    <mergeCell ref="A87:B88"/>
    <mergeCell ref="C87:D88"/>
    <mergeCell ref="E87:E88"/>
    <mergeCell ref="F87:F88"/>
    <mergeCell ref="G87:G88"/>
    <mergeCell ref="H87:J88"/>
    <mergeCell ref="A84:B86"/>
    <mergeCell ref="C84:D86"/>
    <mergeCell ref="E84:E86"/>
    <mergeCell ref="F84:F86"/>
    <mergeCell ref="G84:G86"/>
    <mergeCell ref="H84:J86"/>
    <mergeCell ref="B77:R77"/>
    <mergeCell ref="B78:G78"/>
    <mergeCell ref="B79:R79"/>
    <mergeCell ref="A80:B83"/>
    <mergeCell ref="C80:D83"/>
    <mergeCell ref="E80:E83"/>
    <mergeCell ref="F80:F83"/>
    <mergeCell ref="G80:G83"/>
    <mergeCell ref="H80:J83"/>
    <mergeCell ref="M80:Q89"/>
    <mergeCell ref="L74:N74"/>
    <mergeCell ref="O74:P74"/>
    <mergeCell ref="C75:K75"/>
    <mergeCell ref="L75:N75"/>
    <mergeCell ref="O75:P75"/>
    <mergeCell ref="B76:G76"/>
    <mergeCell ref="O71:P71"/>
    <mergeCell ref="Q71:R71"/>
    <mergeCell ref="C72:K72"/>
    <mergeCell ref="L72:N72"/>
    <mergeCell ref="O72:P72"/>
    <mergeCell ref="Q72:R75"/>
    <mergeCell ref="C73:K73"/>
    <mergeCell ref="L73:N73"/>
    <mergeCell ref="O73:P73"/>
    <mergeCell ref="C74:K74"/>
    <mergeCell ref="A66:G66"/>
    <mergeCell ref="C67:G67"/>
    <mergeCell ref="C68:G68"/>
    <mergeCell ref="C69:G69"/>
    <mergeCell ref="B70:D70"/>
    <mergeCell ref="B71:B75"/>
    <mergeCell ref="F71:J71"/>
    <mergeCell ref="C60:G60"/>
    <mergeCell ref="C61:G61"/>
    <mergeCell ref="C62:G62"/>
    <mergeCell ref="C63:G63"/>
    <mergeCell ref="C64:G64"/>
    <mergeCell ref="C65:G65"/>
    <mergeCell ref="C57:G57"/>
    <mergeCell ref="N57:O57"/>
    <mergeCell ref="C58:G58"/>
    <mergeCell ref="N58:O58"/>
    <mergeCell ref="C59:G59"/>
    <mergeCell ref="N59:O59"/>
    <mergeCell ref="C54:G54"/>
    <mergeCell ref="N54:O54"/>
    <mergeCell ref="C55:G55"/>
    <mergeCell ref="N55:O55"/>
    <mergeCell ref="C56:G56"/>
    <mergeCell ref="N56:O56"/>
    <mergeCell ref="R17:R18"/>
    <mergeCell ref="I51:Q51"/>
    <mergeCell ref="A52:G52"/>
    <mergeCell ref="H52:K52"/>
    <mergeCell ref="L52:L53"/>
    <mergeCell ref="C53:G53"/>
    <mergeCell ref="D35:D42"/>
    <mergeCell ref="A44:A45"/>
    <mergeCell ref="B44:B45"/>
    <mergeCell ref="C44:C45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174E2CF3-03DC-4D50-9235-1549A8B5FFC6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2026-04-09T13:39:03Z</dcterms:created>
  <dcterms:modified xsi:type="dcterms:W3CDTF">2026-04-09T20:20:48Z</dcterms:modified>
</cp:coreProperties>
</file>