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26\OPERATIONS\B\"/>
    </mc:Choice>
  </mc:AlternateContent>
  <xr:revisionPtr revIDLastSave="0" documentId="8_{DE289FC6-6EAB-4DE3-A010-3B7B714F8A5E}" xr6:coauthVersionLast="47" xr6:coauthVersionMax="47" xr10:uidLastSave="{00000000-0000-0000-0000-000000000000}"/>
  <bookViews>
    <workbookView xWindow="-120" yWindow="-120" windowWidth="20730" windowHeight="11040" xr2:uid="{AA9CA86E-782E-49E4-AF45-F99D9C975079}"/>
  </bookViews>
  <sheets>
    <sheet name="SESUGH_DURUBA" sheetId="1" r:id="rId1"/>
  </sheets>
  <definedNames>
    <definedName name="_xlnm.Print_Area" localSheetId="0">SESUGH_DURUBA!$A$1:$O$69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E40" i="1" s="1"/>
  <c r="E39" i="1"/>
  <c r="C39" i="1"/>
  <c r="C38" i="1"/>
  <c r="E38" i="1" s="1"/>
  <c r="E37" i="1"/>
  <c r="E36" i="1"/>
  <c r="C36" i="1"/>
  <c r="C35" i="1"/>
  <c r="E35" i="1" s="1"/>
  <c r="E34" i="1"/>
  <c r="E33" i="1"/>
  <c r="E32" i="1"/>
  <c r="E31" i="1"/>
  <c r="E30" i="1"/>
  <c r="E29" i="1"/>
  <c r="E28" i="1"/>
  <c r="E27" i="1"/>
  <c r="E26" i="1"/>
  <c r="E25" i="1"/>
  <c r="C25" i="1"/>
  <c r="C24" i="1"/>
  <c r="E24" i="1" s="1"/>
  <c r="E23" i="1"/>
  <c r="E22" i="1"/>
  <c r="E21" i="1"/>
  <c r="E20" i="1"/>
  <c r="E19" i="1"/>
  <c r="C19" i="1"/>
  <c r="C41" i="1" s="1"/>
  <c r="F31" i="1" l="1"/>
  <c r="F28" i="1"/>
  <c r="F29" i="1"/>
  <c r="F19" i="1"/>
  <c r="F34" i="1"/>
  <c r="E41" i="1"/>
  <c r="F20" i="1" s="1"/>
  <c r="F30" i="1" l="1"/>
  <c r="F39" i="1"/>
  <c r="F25" i="1"/>
  <c r="F21" i="1"/>
  <c r="F41" i="1" s="1"/>
  <c r="F27" i="1"/>
  <c r="F40" i="1"/>
  <c r="F26" i="1"/>
  <c r="F36" i="1"/>
  <c r="F22" i="1"/>
  <c r="F38" i="1"/>
  <c r="F24" i="1"/>
  <c r="F37" i="1"/>
  <c r="F23" i="1"/>
  <c r="F33" i="1"/>
  <c r="F32" i="1"/>
  <c r="F35" i="1"/>
</calcChain>
</file>

<file path=xl/sharedStrings.xml><?xml version="1.0" encoding="utf-8"?>
<sst xmlns="http://schemas.openxmlformats.org/spreadsheetml/2006/main" count="246" uniqueCount="157">
  <si>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</si>
  <si>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</si>
  <si>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</si>
  <si>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</si>
  <si>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</si>
  <si>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</si>
  <si>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</si>
  <si>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</si>
  <si>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SESUGH</t>
  </si>
  <si>
    <t>Firstname</t>
  </si>
  <si>
    <t>DURUBA</t>
  </si>
  <si>
    <t>Othername</t>
  </si>
  <si>
    <t>Designation</t>
  </si>
  <si>
    <t>ASST. CHIEF PROG ANALYST</t>
  </si>
  <si>
    <t>IPPIS No.</t>
  </si>
  <si>
    <t>Email</t>
  </si>
  <si>
    <t>Phone No.</t>
  </si>
  <si>
    <t>Department</t>
  </si>
  <si>
    <t>OPERATIONS UNIT</t>
  </si>
  <si>
    <t>SECTION 2: SUPERVISOR INFORMATION</t>
  </si>
  <si>
    <t>ONCHE</t>
  </si>
  <si>
    <t>BEN</t>
  </si>
  <si>
    <t>OLOFO</t>
  </si>
  <si>
    <t>CHIEF ADMIN OFFICER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</si>
  <si>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</si>
  <si>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</si>
  <si>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</si>
  <si>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</si>
  <si>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</si>
  <si>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</si>
  <si>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</si>
  <si>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</si>
  <si>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</si>
  <si>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</si>
  <si>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</si>
  <si>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</si>
  <si>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</si>
  <si>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</si>
  <si>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</si>
  <si>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</si>
  <si>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</si>
  <si>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</si>
  <si>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</si>
  <si>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</si>
  <si>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</si>
  <si>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</si>
  <si>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</si>
  <si>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</si>
  <si>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</si>
  <si>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</si>
  <si>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</si>
  <si>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</si>
  <si>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</si>
  <si>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</si>
  <si>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</si>
  <si>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</si>
  <si>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</si>
  <si>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</si>
  <si>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</si>
  <si>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</si>
  <si>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</si>
  <si>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</si>
  <si>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</si>
  <si>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</si>
  <si>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</si>
  <si>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</si>
  <si>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</si>
  <si>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Participate in SERVICOM Compliance Evaluations (SCE)</t>
  </si>
  <si>
    <t>Percentage  of assigned evaluations completed</t>
  </si>
  <si>
    <t>&gt;80</t>
  </si>
  <si>
    <t>&lt;50</t>
  </si>
  <si>
    <t>Collect and document data during evaluations</t>
  </si>
  <si>
    <t>Percentage  of data collected accurately and completely</t>
  </si>
  <si>
    <t>Support analysis of service delivery performance in MDAs</t>
  </si>
  <si>
    <t>Percentage  of analysis completed and submitted on time</t>
  </si>
  <si>
    <t>&gt;90</t>
  </si>
  <si>
    <t>Assist in preparation of evaluation reports</t>
  </si>
  <si>
    <t>Percentage  of reports prepared without errors</t>
  </si>
  <si>
    <t>Assist in assessing SERVICOM structures in MDAs</t>
  </si>
  <si>
    <t>Percentage  of assessments conducted as assigned</t>
  </si>
  <si>
    <t>Support development of Service Charters</t>
  </si>
  <si>
    <t>Percentage  of charter documents supported and completed</t>
  </si>
  <si>
    <t>Track implementation of recommendations by MDAs</t>
  </si>
  <si>
    <t>Percentage  of follow-up activities completed</t>
  </si>
  <si>
    <t>Maintain proper documentation of evaluation activities</t>
  </si>
  <si>
    <t>Percentage  of records properly filed and retrievable</t>
  </si>
  <si>
    <t>Provide field reports and feedback to Team Lead</t>
  </si>
  <si>
    <t>Percentage  of reports submitted on time</t>
  </si>
  <si>
    <t>Support year-end review and lessons learned documentation</t>
  </si>
  <si>
    <t>Percentage  of inputs submitted as required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</si>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</sst>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name val="Calibri"/>
      <family val="2"/>
      <charset val="1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</cellStyleXfs>
  <cellXfs count="17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0" xfId="1"/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4" fillId="2" borderId="0" xfId="1" applyFont="1" applyFill="1"/>
    <xf numFmtId="0" fontId="4" fillId="0" borderId="0" xfId="1" applyFont="1"/>
    <xf numFmtId="0" fontId="3" fillId="3" borderId="0" xfId="1" applyFont="1" applyFill="1" applyAlignment="1">
      <alignment vertical="center"/>
    </xf>
    <xf numFmtId="49" fontId="3" fillId="4" borderId="0" xfId="1" applyNumberFormat="1" applyFont="1" applyFill="1" applyAlignment="1">
      <alignment vertical="center"/>
    </xf>
    <xf numFmtId="0" fontId="3" fillId="3" borderId="0" xfId="1" applyFont="1" applyFill="1" applyAlignment="1">
      <alignment horizontal="center" vertical="center"/>
    </xf>
    <xf numFmtId="49" fontId="3" fillId="0" borderId="9" xfId="1" applyNumberFormat="1" applyFont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6" fillId="2" borderId="0" xfId="1" applyFont="1" applyFill="1" applyAlignment="1">
      <alignment horizontal="left"/>
    </xf>
    <xf numFmtId="0" fontId="7" fillId="2" borderId="0" xfId="1" applyFont="1" applyFill="1"/>
    <xf numFmtId="0" fontId="7" fillId="0" borderId="0" xfId="1" applyFont="1"/>
    <xf numFmtId="0" fontId="3" fillId="3" borderId="0" xfId="2" applyFont="1" applyFill="1" applyAlignment="1">
      <alignment horizontal="left" vertical="center"/>
    </xf>
    <xf numFmtId="0" fontId="3" fillId="3" borderId="5" xfId="2" applyFont="1" applyFill="1" applyBorder="1" applyAlignment="1">
      <alignment horizontal="left" vertical="center"/>
    </xf>
    <xf numFmtId="0" fontId="3" fillId="0" borderId="8" xfId="2" applyFont="1" applyBorder="1" applyAlignment="1">
      <alignment horizontal="left"/>
    </xf>
    <xf numFmtId="0" fontId="3" fillId="3" borderId="10" xfId="2" applyFont="1" applyFill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0" borderId="7" xfId="2" applyFont="1" applyBorder="1" applyAlignment="1">
      <alignment horizontal="left"/>
    </xf>
    <xf numFmtId="0" fontId="3" fillId="0" borderId="8" xfId="2" applyFont="1" applyBorder="1" applyAlignment="1">
      <alignment horizontal="left"/>
    </xf>
    <xf numFmtId="0" fontId="4" fillId="2" borderId="0" xfId="2" applyFont="1" applyFill="1" applyAlignment="1">
      <alignment horizontal="left"/>
    </xf>
    <xf numFmtId="0" fontId="4" fillId="0" borderId="0" xfId="2" applyFont="1" applyAlignment="1">
      <alignment horizontal="left"/>
    </xf>
    <xf numFmtId="0" fontId="3" fillId="3" borderId="0" xfId="2" applyFont="1" applyFill="1" applyAlignment="1">
      <alignment horizontal="left"/>
    </xf>
    <xf numFmtId="0" fontId="3" fillId="3" borderId="5" xfId="2" applyFont="1" applyFill="1" applyBorder="1" applyAlignment="1">
      <alignment horizontal="left"/>
    </xf>
    <xf numFmtId="0" fontId="5" fillId="0" borderId="11" xfId="2" applyFont="1" applyBorder="1" applyAlignment="1">
      <alignment horizontal="left"/>
    </xf>
    <xf numFmtId="0" fontId="3" fillId="3" borderId="12" xfId="2" applyFont="1" applyFill="1" applyBorder="1" applyAlignment="1">
      <alignment horizontal="left"/>
    </xf>
    <xf numFmtId="0" fontId="9" fillId="0" borderId="11" xfId="3" applyFont="1" applyBorder="1" applyAlignment="1">
      <alignment horizontal="left"/>
    </xf>
    <xf numFmtId="0" fontId="5" fillId="0" borderId="9" xfId="2" applyFont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5" fillId="0" borderId="11" xfId="2" applyFont="1" applyBorder="1" applyAlignment="1">
      <alignment horizontal="left"/>
    </xf>
    <xf numFmtId="0" fontId="10" fillId="2" borderId="0" xfId="1" applyFont="1" applyFill="1" applyAlignment="1">
      <alignment horizontal="left"/>
    </xf>
    <xf numFmtId="0" fontId="10" fillId="2" borderId="0" xfId="1" applyFont="1" applyFill="1" applyAlignment="1">
      <alignment horizontal="left"/>
    </xf>
    <xf numFmtId="0" fontId="11" fillId="2" borderId="0" xfId="1" applyFont="1" applyFill="1" applyAlignment="1">
      <alignment horizontal="left"/>
    </xf>
    <xf numFmtId="0" fontId="11" fillId="0" borderId="0" xfId="1" applyFont="1" applyAlignment="1">
      <alignment horizontal="left"/>
    </xf>
    <xf numFmtId="0" fontId="12" fillId="2" borderId="0" xfId="1" applyFont="1" applyFill="1"/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" fillId="2" borderId="0" xfId="1" applyFill="1"/>
    <xf numFmtId="0" fontId="15" fillId="3" borderId="0" xfId="1" applyFont="1" applyFill="1" applyAlignment="1">
      <alignment horizontal="left"/>
    </xf>
    <xf numFmtId="0" fontId="15" fillId="3" borderId="0" xfId="1" applyFont="1" applyFill="1" applyAlignment="1">
      <alignment horizontal="left"/>
    </xf>
    <xf numFmtId="0" fontId="16" fillId="3" borderId="0" xfId="1" applyFont="1" applyFill="1"/>
    <xf numFmtId="0" fontId="17" fillId="3" borderId="0" xfId="1" applyFont="1" applyFill="1"/>
    <xf numFmtId="0" fontId="18" fillId="2" borderId="14" xfId="1" applyFont="1" applyFill="1" applyBorder="1" applyAlignment="1">
      <alignment horizontal="center" vertical="center"/>
    </xf>
    <xf numFmtId="0" fontId="18" fillId="2" borderId="15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11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vertical="center" wrapText="1"/>
    </xf>
    <xf numFmtId="2" fontId="19" fillId="0" borderId="12" xfId="0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left" vertical="center" wrapText="1"/>
    </xf>
    <xf numFmtId="9" fontId="19" fillId="0" borderId="12" xfId="1" applyNumberFormat="1" applyFont="1" applyBorder="1" applyAlignment="1">
      <alignment horizontal="center" vertical="center" wrapText="1"/>
    </xf>
    <xf numFmtId="0" fontId="19" fillId="0" borderId="12" xfId="4" applyFont="1" applyBorder="1" applyAlignment="1">
      <alignment horizontal="center" vertical="center" wrapText="1"/>
    </xf>
    <xf numFmtId="0" fontId="19" fillId="0" borderId="12" xfId="5" applyFont="1" applyBorder="1" applyAlignment="1">
      <alignment horizontal="center" vertical="center" wrapText="1"/>
    </xf>
    <xf numFmtId="0" fontId="20" fillId="0" borderId="12" xfId="5" applyFont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left" vertical="center" wrapText="1"/>
    </xf>
    <xf numFmtId="2" fontId="19" fillId="0" borderId="15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0" xfId="1" applyFont="1" applyBorder="1" applyAlignment="1">
      <alignment horizontal="left" vertical="center" wrapText="1"/>
    </xf>
    <xf numFmtId="2" fontId="19" fillId="0" borderId="10" xfId="1" applyNumberFormat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/>
    </xf>
    <xf numFmtId="9" fontId="19" fillId="0" borderId="12" xfId="1" applyNumberFormat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2" fontId="19" fillId="0" borderId="10" xfId="1" applyNumberFormat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/>
    </xf>
    <xf numFmtId="0" fontId="10" fillId="0" borderId="10" xfId="1" applyFont="1" applyBorder="1" applyAlignment="1">
      <alignment vertical="center" wrapText="1"/>
    </xf>
    <xf numFmtId="2" fontId="10" fillId="0" borderId="10" xfId="1" applyNumberFormat="1" applyFont="1" applyBorder="1" applyAlignment="1">
      <alignment horizontal="center" vertical="center"/>
    </xf>
    <xf numFmtId="9" fontId="23" fillId="0" borderId="10" xfId="1" applyNumberFormat="1" applyFont="1" applyBorder="1" applyAlignment="1">
      <alignment horizontal="center" vertical="center"/>
    </xf>
    <xf numFmtId="164" fontId="24" fillId="0" borderId="10" xfId="1" applyNumberFormat="1" applyFont="1" applyBorder="1" applyAlignment="1">
      <alignment vertical="center" wrapText="1"/>
    </xf>
    <xf numFmtId="164" fontId="24" fillId="0" borderId="10" xfId="1" applyNumberFormat="1" applyFont="1" applyBorder="1" applyAlignment="1">
      <alignment horizontal="center" vertical="center" wrapText="1"/>
    </xf>
    <xf numFmtId="0" fontId="23" fillId="0" borderId="6" xfId="1" applyFont="1" applyBorder="1" applyAlignment="1">
      <alignment horizontal="center"/>
    </xf>
    <xf numFmtId="0" fontId="17" fillId="0" borderId="12" xfId="1" applyFont="1" applyBorder="1"/>
    <xf numFmtId="0" fontId="15" fillId="2" borderId="0" xfId="1" applyFont="1" applyFill="1" applyAlignment="1">
      <alignment horizontal="left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17" fillId="2" borderId="0" xfId="1" applyFont="1" applyFill="1"/>
    <xf numFmtId="0" fontId="16" fillId="2" borderId="0" xfId="1" applyFont="1" applyFill="1" applyAlignment="1">
      <alignment horizontal="center"/>
    </xf>
    <xf numFmtId="0" fontId="15" fillId="3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 wrapText="1"/>
    </xf>
    <xf numFmtId="0" fontId="3" fillId="0" borderId="10" xfId="1" applyFont="1" applyBorder="1" applyAlignment="1">
      <alignment horizontal="center"/>
    </xf>
    <xf numFmtId="0" fontId="3" fillId="0" borderId="12" xfId="1" applyFont="1" applyBorder="1" applyAlignment="1">
      <alignment horizontal="left"/>
    </xf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17" fillId="0" borderId="10" xfId="1" applyFont="1" applyBorder="1" applyAlignment="1">
      <alignment horizontal="center"/>
    </xf>
    <xf numFmtId="0" fontId="17" fillId="0" borderId="6" xfId="1" applyFont="1" applyBorder="1" applyAlignment="1">
      <alignment horizontal="center"/>
    </xf>
    <xf numFmtId="0" fontId="17" fillId="3" borderId="12" xfId="1" applyFont="1" applyFill="1" applyBorder="1"/>
    <xf numFmtId="0" fontId="15" fillId="2" borderId="12" xfId="1" applyFont="1" applyFill="1" applyBorder="1" applyAlignment="1">
      <alignment horizontal="left"/>
    </xf>
    <xf numFmtId="0" fontId="25" fillId="2" borderId="12" xfId="1" applyFont="1" applyFill="1" applyBorder="1"/>
    <xf numFmtId="0" fontId="5" fillId="0" borderId="12" xfId="1" applyFont="1" applyBorder="1" applyAlignment="1">
      <alignment horizontal="center" vertical="center"/>
    </xf>
    <xf numFmtId="0" fontId="5" fillId="0" borderId="12" xfId="1" applyFont="1" applyBorder="1" applyAlignment="1">
      <alignment vertical="center" wrapText="1"/>
    </xf>
    <xf numFmtId="0" fontId="5" fillId="0" borderId="9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left" vertical="top" wrapText="1"/>
    </xf>
    <xf numFmtId="0" fontId="17" fillId="0" borderId="9" xfId="1" applyFont="1" applyBorder="1"/>
    <xf numFmtId="0" fontId="3" fillId="0" borderId="12" xfId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5" fillId="0" borderId="9" xfId="1" applyFont="1" applyBorder="1"/>
    <xf numFmtId="0" fontId="5" fillId="0" borderId="13" xfId="1" applyFont="1" applyBorder="1"/>
    <xf numFmtId="0" fontId="5" fillId="0" borderId="11" xfId="1" applyFont="1" applyBorder="1"/>
    <xf numFmtId="0" fontId="5" fillId="0" borderId="12" xfId="1" applyFont="1" applyBorder="1" applyAlignment="1">
      <alignment horizontal="left" vertical="center"/>
    </xf>
    <xf numFmtId="0" fontId="5" fillId="0" borderId="9" xfId="1" applyFont="1" applyBorder="1" applyAlignment="1">
      <alignment vertical="top" wrapText="1"/>
    </xf>
    <xf numFmtId="0" fontId="5" fillId="0" borderId="13" xfId="1" applyFont="1" applyBorder="1" applyAlignment="1">
      <alignment vertical="top" wrapText="1"/>
    </xf>
    <xf numFmtId="0" fontId="5" fillId="0" borderId="11" xfId="1" applyFont="1" applyBorder="1" applyAlignment="1">
      <alignment vertical="top" wrapText="1"/>
    </xf>
    <xf numFmtId="0" fontId="25" fillId="2" borderId="12" xfId="1" applyFont="1" applyFill="1" applyBorder="1"/>
    <xf numFmtId="0" fontId="17" fillId="2" borderId="12" xfId="1" applyFont="1" applyFill="1" applyBorder="1"/>
    <xf numFmtId="0" fontId="5" fillId="0" borderId="12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13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15" fillId="2" borderId="9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center"/>
    </xf>
    <xf numFmtId="0" fontId="3" fillId="0" borderId="9" xfId="1" applyFont="1" applyBorder="1"/>
    <xf numFmtId="0" fontId="15" fillId="0" borderId="12" xfId="1" applyFont="1" applyBorder="1"/>
    <xf numFmtId="0" fontId="16" fillId="0" borderId="12" xfId="1" applyFont="1" applyBorder="1" applyAlignment="1">
      <alignment horizontal="right" vertical="center"/>
    </xf>
    <xf numFmtId="0" fontId="15" fillId="0" borderId="9" xfId="1" applyFont="1" applyBorder="1"/>
    <xf numFmtId="0" fontId="15" fillId="2" borderId="0" xfId="1" applyFont="1" applyFill="1" applyAlignment="1">
      <alignment horizontal="left"/>
    </xf>
    <xf numFmtId="0" fontId="26" fillId="2" borderId="0" xfId="1" applyFont="1" applyFill="1" applyAlignment="1">
      <alignment horizontal="left"/>
    </xf>
    <xf numFmtId="0" fontId="3" fillId="2" borderId="12" xfId="1" applyFont="1" applyFill="1" applyBorder="1" applyAlignment="1">
      <alignment horizontal="left" vertical="center" wrapText="1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3" fillId="2" borderId="1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/>
    </xf>
    <xf numFmtId="0" fontId="3" fillId="2" borderId="3" xfId="1" applyFont="1" applyFill="1" applyBorder="1" applyAlignment="1">
      <alignment horizontal="left" vertical="center" wrapText="1"/>
    </xf>
    <xf numFmtId="0" fontId="16" fillId="0" borderId="2" xfId="1" applyFont="1" applyBorder="1"/>
    <xf numFmtId="0" fontId="17" fillId="3" borderId="0" xfId="1" applyFont="1" applyFill="1" applyAlignment="1">
      <alignment horizontal="center"/>
    </xf>
    <xf numFmtId="0" fontId="3" fillId="2" borderId="4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left"/>
    </xf>
    <xf numFmtId="0" fontId="3" fillId="2" borderId="5" xfId="1" applyFont="1" applyFill="1" applyBorder="1" applyAlignment="1">
      <alignment horizontal="left" vertical="center" wrapText="1"/>
    </xf>
    <xf numFmtId="0" fontId="16" fillId="0" borderId="12" xfId="1" applyFont="1" applyBorder="1"/>
    <xf numFmtId="0" fontId="3" fillId="2" borderId="6" xfId="1" applyFont="1" applyFill="1" applyBorder="1" applyAlignment="1">
      <alignment horizontal="left" vertical="center" wrapText="1"/>
    </xf>
    <xf numFmtId="0" fontId="5" fillId="0" borderId="7" xfId="1" applyFont="1" applyBorder="1" applyAlignment="1">
      <alignment horizontal="left"/>
    </xf>
    <xf numFmtId="0" fontId="3" fillId="2" borderId="8" xfId="1" applyFont="1" applyFill="1" applyBorder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5" fillId="0" borderId="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3" fillId="2" borderId="6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27" fillId="3" borderId="0" xfId="1" applyFont="1" applyFill="1" applyAlignment="1">
      <alignment horizontal="center"/>
    </xf>
    <xf numFmtId="0" fontId="27" fillId="3" borderId="0" xfId="1" applyFont="1" applyFill="1" applyAlignment="1">
      <alignment horizontal="center"/>
    </xf>
    <xf numFmtId="0" fontId="27" fillId="3" borderId="12" xfId="1" applyFont="1" applyFill="1" applyBorder="1"/>
  </cellXfs>
  <cellStyles count="6">
    <cellStyle name="Hyperlink 2" xfId="3" xr:uid="{0C7F67DF-486A-4701-B5D0-818EE840D22B}"/>
    <cellStyle name="Normal" xfId="0" builtinId="0"/>
    <cellStyle name="Normal 2 3" xfId="1" xr:uid="{215AD958-4DC9-4A72-ABE4-4EC205FC8C93}"/>
    <cellStyle name="Normal 2 3 6" xfId="2" xr:uid="{8BDC1E00-1123-4006-8ECD-68C93323C2AE}"/>
    <cellStyle name="Normal 4 2 2 2 2" xfId="5" xr:uid="{220ECA5B-64E3-4C1F-B9EF-BEA6C9308E10}"/>
    <cellStyle name="Normal 5 2 2" xfId="4" xr:uid="{72727AE1-75F5-4A54-8A84-DABE3A95BE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6BB57DB2-7431-41E0-AA9A-C8C4D4E1A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3DAA-5B6F-46F2-BC58-0F85A0E482B7}">
  <sheetPr>
    <pageSetUpPr fitToPage="1"/>
  </sheetPr>
  <dimension ref="A1:R70"/>
  <sheetViews>
    <sheetView tabSelected="1" topLeftCell="A38" zoomScale="20" zoomScaleNormal="20" workbookViewId="0">
      <selection activeCell="D41" sqref="D41"/>
    </sheetView>
  </sheetViews>
  <sheetFormatPr defaultColWidth="9.140625" defaultRowHeight="15" x14ac:dyDescent="0.25"/>
  <cols>
    <col min="1" max="1" width="14.42578125" style="4" customWidth="1"/>
    <col min="2" max="2" width="110.85546875" style="4" customWidth="1"/>
    <col min="3" max="3" width="68.7109375" style="4" bestFit="1" customWidth="1"/>
    <col min="4" max="4" width="226.42578125" style="4" customWidth="1"/>
    <col min="5" max="5" width="102.28515625" style="4" bestFit="1" customWidth="1"/>
    <col min="6" max="6" width="69" style="4" customWidth="1"/>
    <col min="7" max="7" width="193.7109375" style="4" customWidth="1"/>
    <col min="8" max="8" width="74.7109375" style="4" customWidth="1"/>
    <col min="9" max="9" width="70.5703125" style="4" customWidth="1"/>
    <col min="10" max="10" width="45.7109375" style="4" customWidth="1"/>
    <col min="11" max="13" width="32.7109375" style="4" customWidth="1"/>
    <col min="14" max="14" width="28.7109375" style="4" customWidth="1"/>
    <col min="15" max="15" width="31.28515625" style="4" customWidth="1"/>
    <col min="16" max="16384" width="9.140625" style="4"/>
  </cols>
  <sheetData>
    <row r="1" spans="1:18" ht="22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8" ht="22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8" ht="22.5" customHeight="1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8" s="14" customFormat="1" ht="51" x14ac:dyDescent="0.75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3"/>
      <c r="M4" s="13"/>
      <c r="N4" s="13"/>
      <c r="O4" s="13"/>
    </row>
    <row r="5" spans="1:18" s="14" customFormat="1" ht="47.25" customHeight="1" x14ac:dyDescent="0.75">
      <c r="A5" s="15" t="s">
        <v>2</v>
      </c>
      <c r="B5" s="16" t="s">
        <v>3</v>
      </c>
      <c r="C5" s="17" t="s">
        <v>4</v>
      </c>
      <c r="D5" s="18" t="s">
        <v>5</v>
      </c>
      <c r="E5" s="19"/>
      <c r="F5" s="19"/>
      <c r="G5" s="19"/>
      <c r="H5" s="19"/>
      <c r="I5" s="19"/>
      <c r="J5" s="20"/>
      <c r="K5" s="13"/>
      <c r="L5" s="13"/>
      <c r="M5" s="13"/>
      <c r="N5" s="13"/>
      <c r="O5" s="13"/>
    </row>
    <row r="6" spans="1:18" s="24" customFormat="1" ht="38.25" customHeight="1" x14ac:dyDescent="0.55000000000000004">
      <c r="A6" s="21" t="s">
        <v>6</v>
      </c>
      <c r="B6" s="21"/>
      <c r="C6" s="21"/>
      <c r="D6" s="21"/>
      <c r="E6" s="21"/>
      <c r="F6" s="21"/>
      <c r="G6" s="21"/>
      <c r="H6" s="21"/>
      <c r="I6" s="21"/>
      <c r="J6" s="22"/>
      <c r="K6" s="23"/>
      <c r="L6" s="23"/>
      <c r="M6" s="23"/>
      <c r="N6" s="23"/>
      <c r="O6" s="23"/>
    </row>
    <row r="7" spans="1:18" s="33" customFormat="1" ht="51" x14ac:dyDescent="0.75">
      <c r="A7" s="25" t="s">
        <v>7</v>
      </c>
      <c r="B7" s="26"/>
      <c r="C7" s="27" t="s">
        <v>8</v>
      </c>
      <c r="D7" s="28" t="s">
        <v>9</v>
      </c>
      <c r="E7" s="27" t="s">
        <v>10</v>
      </c>
      <c r="F7" s="28" t="s">
        <v>11</v>
      </c>
      <c r="G7" s="29"/>
      <c r="H7" s="28" t="s">
        <v>12</v>
      </c>
      <c r="I7" s="30" t="s">
        <v>13</v>
      </c>
      <c r="J7" s="31"/>
      <c r="K7" s="32"/>
      <c r="L7" s="32"/>
      <c r="M7" s="32"/>
      <c r="N7" s="32"/>
      <c r="O7" s="32"/>
      <c r="P7" s="32"/>
      <c r="Q7" s="32"/>
      <c r="R7" s="32"/>
    </row>
    <row r="8" spans="1:18" s="33" customFormat="1" ht="51.75" x14ac:dyDescent="0.75">
      <c r="A8" s="34" t="s">
        <v>14</v>
      </c>
      <c r="B8" s="35"/>
      <c r="C8" s="36">
        <v>88715</v>
      </c>
      <c r="D8" s="37" t="s">
        <v>15</v>
      </c>
      <c r="E8" s="38"/>
      <c r="F8" s="37" t="s">
        <v>16</v>
      </c>
      <c r="G8" s="39"/>
      <c r="H8" s="37" t="s">
        <v>17</v>
      </c>
      <c r="I8" s="40" t="s">
        <v>18</v>
      </c>
      <c r="J8" s="41"/>
      <c r="K8" s="32"/>
      <c r="L8" s="32"/>
      <c r="M8" s="32"/>
      <c r="N8" s="32"/>
      <c r="O8" s="32"/>
      <c r="P8" s="32"/>
      <c r="Q8" s="32"/>
      <c r="R8" s="32"/>
    </row>
    <row r="9" spans="1:18" s="45" customFormat="1" ht="62.25" customHeight="1" x14ac:dyDescent="0.75">
      <c r="A9" s="42" t="s">
        <v>19</v>
      </c>
      <c r="B9" s="42"/>
      <c r="C9" s="42"/>
      <c r="D9" s="42"/>
      <c r="E9" s="42"/>
      <c r="F9" s="42"/>
      <c r="G9" s="42"/>
      <c r="H9" s="42"/>
      <c r="I9" s="42"/>
      <c r="J9" s="43"/>
      <c r="K9" s="44"/>
      <c r="L9" s="44"/>
      <c r="M9" s="44"/>
      <c r="N9" s="44"/>
      <c r="O9" s="44"/>
    </row>
    <row r="10" spans="1:18" s="33" customFormat="1" ht="51" x14ac:dyDescent="0.75">
      <c r="A10" s="25" t="s">
        <v>7</v>
      </c>
      <c r="B10" s="26"/>
      <c r="C10" s="27" t="s">
        <v>20</v>
      </c>
      <c r="D10" s="28" t="s">
        <v>9</v>
      </c>
      <c r="E10" s="27" t="s">
        <v>21</v>
      </c>
      <c r="F10" s="28" t="s">
        <v>11</v>
      </c>
      <c r="G10" s="29" t="s">
        <v>22</v>
      </c>
      <c r="H10" s="28" t="s">
        <v>12</v>
      </c>
      <c r="I10" s="30" t="s">
        <v>23</v>
      </c>
      <c r="J10" s="31"/>
      <c r="K10" s="32"/>
      <c r="L10" s="32"/>
      <c r="M10" s="32"/>
      <c r="N10" s="32"/>
      <c r="O10" s="32"/>
    </row>
    <row r="11" spans="1:18" s="33" customFormat="1" ht="51.75" x14ac:dyDescent="0.75">
      <c r="A11" s="34" t="s">
        <v>14</v>
      </c>
      <c r="B11" s="35"/>
      <c r="C11" s="36">
        <v>88712</v>
      </c>
      <c r="D11" s="37" t="s">
        <v>15</v>
      </c>
      <c r="E11" s="38"/>
      <c r="F11" s="37" t="s">
        <v>16</v>
      </c>
      <c r="G11" s="39"/>
      <c r="H11" s="37" t="s">
        <v>17</v>
      </c>
      <c r="I11" s="40" t="s">
        <v>18</v>
      </c>
      <c r="J11" s="41"/>
      <c r="K11" s="32"/>
      <c r="L11" s="32"/>
      <c r="M11" s="32"/>
      <c r="N11" s="32"/>
      <c r="O11" s="32"/>
    </row>
    <row r="12" spans="1:18" s="45" customFormat="1" ht="51" x14ac:dyDescent="0.75">
      <c r="A12" s="42" t="s">
        <v>24</v>
      </c>
      <c r="B12" s="42"/>
      <c r="C12" s="42"/>
      <c r="D12" s="42"/>
      <c r="E12" s="42"/>
      <c r="F12" s="42"/>
      <c r="G12" s="42"/>
      <c r="H12" s="42"/>
      <c r="I12" s="42"/>
      <c r="J12" s="43"/>
      <c r="K12" s="44"/>
      <c r="L12" s="44"/>
      <c r="M12" s="44"/>
      <c r="N12" s="44"/>
      <c r="O12" s="44"/>
    </row>
    <row r="13" spans="1:18" s="33" customFormat="1" ht="51" x14ac:dyDescent="0.75">
      <c r="A13" s="25" t="s">
        <v>7</v>
      </c>
      <c r="B13" s="26"/>
      <c r="C13" s="27" t="s">
        <v>25</v>
      </c>
      <c r="D13" s="28" t="s">
        <v>9</v>
      </c>
      <c r="E13" s="27" t="s">
        <v>26</v>
      </c>
      <c r="F13" s="28" t="s">
        <v>11</v>
      </c>
      <c r="G13" s="29" t="s">
        <v>27</v>
      </c>
      <c r="H13" s="28" t="s">
        <v>12</v>
      </c>
      <c r="I13" s="30" t="s">
        <v>28</v>
      </c>
      <c r="J13" s="31"/>
      <c r="K13" s="32"/>
      <c r="L13" s="32"/>
      <c r="M13" s="32"/>
      <c r="N13" s="32"/>
      <c r="O13" s="32"/>
    </row>
    <row r="14" spans="1:18" s="33" customFormat="1" ht="51.75" x14ac:dyDescent="0.75">
      <c r="A14" s="34" t="s">
        <v>14</v>
      </c>
      <c r="B14" s="35"/>
      <c r="C14" s="36">
        <v>60694</v>
      </c>
      <c r="D14" s="37" t="s">
        <v>15</v>
      </c>
      <c r="E14" s="38" t="s">
        <v>29</v>
      </c>
      <c r="F14" s="37" t="s">
        <v>16</v>
      </c>
      <c r="G14" s="39"/>
      <c r="H14" s="37" t="s">
        <v>17</v>
      </c>
      <c r="I14" s="40" t="s">
        <v>18</v>
      </c>
      <c r="J14" s="41"/>
      <c r="K14" s="32"/>
      <c r="L14" s="32"/>
      <c r="M14" s="32"/>
      <c r="N14" s="32"/>
      <c r="O14" s="32"/>
    </row>
    <row r="15" spans="1:18" ht="24" x14ac:dyDescent="0.35">
      <c r="A15" s="46"/>
      <c r="B15" s="46"/>
      <c r="C15" s="46"/>
      <c r="D15" s="46"/>
      <c r="E15" s="46"/>
      <c r="F15" s="46"/>
      <c r="G15" s="46"/>
      <c r="H15" s="46"/>
      <c r="I15" s="46"/>
      <c r="J15" s="47"/>
      <c r="K15" s="48"/>
      <c r="L15" s="49"/>
      <c r="M15" s="49"/>
      <c r="N15" s="49"/>
      <c r="O15" s="49"/>
    </row>
    <row r="16" spans="1:18" ht="33" x14ac:dyDescent="0.45">
      <c r="A16" s="50" t="s">
        <v>30</v>
      </c>
      <c r="B16" s="50"/>
      <c r="C16" s="50"/>
      <c r="D16" s="50"/>
      <c r="E16" s="50"/>
      <c r="F16" s="50"/>
      <c r="G16" s="50"/>
      <c r="H16" s="50"/>
      <c r="I16" s="50"/>
      <c r="J16" s="51"/>
      <c r="K16" s="52"/>
      <c r="L16" s="53"/>
      <c r="M16" s="53"/>
      <c r="N16" s="53"/>
      <c r="O16" s="53"/>
    </row>
    <row r="17" spans="1:15" ht="57.75" customHeight="1" x14ac:dyDescent="0.25">
      <c r="A17" s="54" t="s">
        <v>31</v>
      </c>
      <c r="B17" s="55" t="s">
        <v>32</v>
      </c>
      <c r="C17" s="54" t="s">
        <v>33</v>
      </c>
      <c r="D17" s="54" t="s">
        <v>34</v>
      </c>
      <c r="E17" s="54" t="s">
        <v>33</v>
      </c>
      <c r="F17" s="56" t="s">
        <v>35</v>
      </c>
      <c r="G17" s="56" t="s">
        <v>36</v>
      </c>
      <c r="H17" s="57" t="s">
        <v>37</v>
      </c>
      <c r="I17" s="56" t="s">
        <v>38</v>
      </c>
      <c r="J17" s="58" t="s">
        <v>39</v>
      </c>
      <c r="K17" s="59"/>
      <c r="L17" s="59"/>
      <c r="M17" s="59"/>
      <c r="N17" s="59"/>
      <c r="O17" s="60"/>
    </row>
    <row r="18" spans="1:15" ht="168" customHeight="1" x14ac:dyDescent="0.25">
      <c r="A18" s="55"/>
      <c r="B18" s="55"/>
      <c r="C18" s="55"/>
      <c r="D18" s="55"/>
      <c r="E18" s="55"/>
      <c r="F18" s="61"/>
      <c r="G18" s="61"/>
      <c r="H18" s="62"/>
      <c r="I18" s="61"/>
      <c r="J18" s="63" t="s">
        <v>40</v>
      </c>
      <c r="K18" s="64" t="s">
        <v>41</v>
      </c>
      <c r="L18" s="64" t="s">
        <v>42</v>
      </c>
      <c r="M18" s="63" t="s">
        <v>43</v>
      </c>
      <c r="N18" s="63" t="s">
        <v>44</v>
      </c>
      <c r="O18" s="63" t="s">
        <v>45</v>
      </c>
    </row>
    <row r="19" spans="1:15" s="75" customFormat="1" ht="407.25" customHeight="1" x14ac:dyDescent="0.25">
      <c r="A19" s="65">
        <v>1</v>
      </c>
      <c r="B19" s="66" t="s">
        <v>46</v>
      </c>
      <c r="C19" s="67">
        <f>0.5 *1.69794730299263</f>
        <v>0.84897365149631498</v>
      </c>
      <c r="D19" s="68" t="s">
        <v>47</v>
      </c>
      <c r="E19" s="69">
        <f>C19/5</f>
        <v>0.16979473029926301</v>
      </c>
      <c r="F19" s="69">
        <f>E19/$E$41 * 100</f>
        <v>0.33958946059852602</v>
      </c>
      <c r="G19" s="70" t="s">
        <v>48</v>
      </c>
      <c r="H19" s="71">
        <v>1</v>
      </c>
      <c r="I19" s="72" t="s">
        <v>49</v>
      </c>
      <c r="J19" s="73">
        <v>100</v>
      </c>
      <c r="K19" s="74">
        <v>95</v>
      </c>
      <c r="L19" s="74">
        <v>90</v>
      </c>
      <c r="M19" s="74">
        <v>85</v>
      </c>
      <c r="N19" s="74">
        <v>80</v>
      </c>
      <c r="O19" s="74" t="s">
        <v>50</v>
      </c>
    </row>
    <row r="20" spans="1:15" s="75" customFormat="1" ht="407.25" customHeight="1" x14ac:dyDescent="0.25">
      <c r="A20" s="76"/>
      <c r="B20" s="77"/>
      <c r="C20" s="78"/>
      <c r="D20" s="68" t="s">
        <v>51</v>
      </c>
      <c r="E20" s="69">
        <f>C19/5</f>
        <v>0.16979473029926301</v>
      </c>
      <c r="F20" s="69">
        <f>E20/$E$41 * 100</f>
        <v>0.33958946059852602</v>
      </c>
      <c r="G20" s="70" t="s">
        <v>52</v>
      </c>
      <c r="H20" s="71">
        <v>1</v>
      </c>
      <c r="I20" s="72" t="s">
        <v>49</v>
      </c>
      <c r="J20" s="73">
        <v>100</v>
      </c>
      <c r="K20" s="74">
        <v>95</v>
      </c>
      <c r="L20" s="74">
        <v>90</v>
      </c>
      <c r="M20" s="74">
        <v>85</v>
      </c>
      <c r="N20" s="74">
        <v>80</v>
      </c>
      <c r="O20" s="74" t="s">
        <v>50</v>
      </c>
    </row>
    <row r="21" spans="1:15" s="75" customFormat="1" ht="407.25" customHeight="1" x14ac:dyDescent="0.25">
      <c r="A21" s="76"/>
      <c r="B21" s="77"/>
      <c r="C21" s="78"/>
      <c r="D21" s="68" t="s">
        <v>53</v>
      </c>
      <c r="E21" s="69">
        <f>C19/5</f>
        <v>0.16979473029926301</v>
      </c>
      <c r="F21" s="69">
        <f>E21/$E$41 * 100</f>
        <v>0.33958946059852602</v>
      </c>
      <c r="G21" s="70" t="s">
        <v>54</v>
      </c>
      <c r="H21" s="71">
        <v>1</v>
      </c>
      <c r="I21" s="72" t="s">
        <v>49</v>
      </c>
      <c r="J21" s="73">
        <v>100</v>
      </c>
      <c r="K21" s="74">
        <v>95</v>
      </c>
      <c r="L21" s="74">
        <v>90</v>
      </c>
      <c r="M21" s="74">
        <v>85</v>
      </c>
      <c r="N21" s="74">
        <v>80</v>
      </c>
      <c r="O21" s="74" t="s">
        <v>50</v>
      </c>
    </row>
    <row r="22" spans="1:15" s="75" customFormat="1" ht="318" customHeight="1" x14ac:dyDescent="0.25">
      <c r="A22" s="76"/>
      <c r="B22" s="77"/>
      <c r="C22" s="78"/>
      <c r="D22" s="68" t="s">
        <v>55</v>
      </c>
      <c r="E22" s="69">
        <f>C19/5</f>
        <v>0.16979473029926301</v>
      </c>
      <c r="F22" s="69">
        <f>E22/$E$41 * 100</f>
        <v>0.33958946059852602</v>
      </c>
      <c r="G22" s="70" t="s">
        <v>56</v>
      </c>
      <c r="H22" s="79">
        <v>5</v>
      </c>
      <c r="I22" s="72" t="s">
        <v>57</v>
      </c>
      <c r="J22" s="73" t="s">
        <v>58</v>
      </c>
      <c r="K22" s="74">
        <v>5</v>
      </c>
      <c r="L22" s="74">
        <v>4</v>
      </c>
      <c r="M22" s="74">
        <v>3</v>
      </c>
      <c r="N22" s="74">
        <v>2</v>
      </c>
      <c r="O22" s="74">
        <v>1</v>
      </c>
    </row>
    <row r="23" spans="1:15" s="75" customFormat="1" ht="407.25" customHeight="1" x14ac:dyDescent="0.25">
      <c r="A23" s="80"/>
      <c r="B23" s="81"/>
      <c r="C23" s="82"/>
      <c r="D23" s="68" t="s">
        <v>59</v>
      </c>
      <c r="E23" s="69">
        <f>C19/5</f>
        <v>0.16979473029926301</v>
      </c>
      <c r="F23" s="69">
        <f>E23/$E$41 * 100</f>
        <v>0.33958946059852602</v>
      </c>
      <c r="G23" s="70" t="s">
        <v>60</v>
      </c>
      <c r="H23" s="71">
        <v>1</v>
      </c>
      <c r="I23" s="72" t="s">
        <v>49</v>
      </c>
      <c r="J23" s="73">
        <v>100</v>
      </c>
      <c r="K23" s="74">
        <v>95</v>
      </c>
      <c r="L23" s="74">
        <v>90</v>
      </c>
      <c r="M23" s="74">
        <v>85</v>
      </c>
      <c r="N23" s="74">
        <v>80</v>
      </c>
      <c r="O23" s="74" t="s">
        <v>50</v>
      </c>
    </row>
    <row r="24" spans="1:15" s="75" customFormat="1" ht="408" customHeight="1" x14ac:dyDescent="0.25">
      <c r="A24" s="79">
        <v>2</v>
      </c>
      <c r="B24" s="68" t="s">
        <v>61</v>
      </c>
      <c r="C24" s="83">
        <f>0.5 *1.01876838179558</f>
        <v>0.50938419089778997</v>
      </c>
      <c r="D24" s="68" t="s">
        <v>62</v>
      </c>
      <c r="E24" s="69">
        <f>C24</f>
        <v>0.50938419089778997</v>
      </c>
      <c r="F24" s="69">
        <f>E24/$E$41 * 100</f>
        <v>1.0187683817955799</v>
      </c>
      <c r="G24" s="70" t="s">
        <v>63</v>
      </c>
      <c r="H24" s="71">
        <v>0.5</v>
      </c>
      <c r="I24" s="72" t="s">
        <v>49</v>
      </c>
      <c r="J24" s="73" t="s">
        <v>64</v>
      </c>
      <c r="K24" s="74">
        <v>50</v>
      </c>
      <c r="L24" s="74">
        <v>45</v>
      </c>
      <c r="M24" s="74">
        <v>40</v>
      </c>
      <c r="N24" s="74">
        <v>25</v>
      </c>
      <c r="O24" s="74" t="s">
        <v>65</v>
      </c>
    </row>
    <row r="25" spans="1:15" s="75" customFormat="1" ht="407.25" customHeight="1" x14ac:dyDescent="0.25">
      <c r="A25" s="65">
        <v>3</v>
      </c>
      <c r="B25" s="66" t="s">
        <v>66</v>
      </c>
      <c r="C25" s="67">
        <f>0.5 *90.5976168096783</f>
        <v>45.29880840483915</v>
      </c>
      <c r="D25" s="68" t="s">
        <v>67</v>
      </c>
      <c r="E25" s="69">
        <f>C25/10</f>
        <v>4.5298808404839148</v>
      </c>
      <c r="F25" s="69">
        <f>E25/$E$41 * 100</f>
        <v>9.0597616809678296</v>
      </c>
      <c r="G25" s="68" t="s">
        <v>68</v>
      </c>
      <c r="H25" s="84">
        <v>0.8</v>
      </c>
      <c r="I25" s="79" t="s">
        <v>49</v>
      </c>
      <c r="J25" s="73" t="s">
        <v>69</v>
      </c>
      <c r="K25" s="74">
        <v>80</v>
      </c>
      <c r="L25" s="74">
        <v>75</v>
      </c>
      <c r="M25" s="74">
        <v>70</v>
      </c>
      <c r="N25" s="74">
        <v>50</v>
      </c>
      <c r="O25" s="74" t="s">
        <v>70</v>
      </c>
    </row>
    <row r="26" spans="1:15" s="75" customFormat="1" ht="407.25" customHeight="1" x14ac:dyDescent="0.25">
      <c r="A26" s="76"/>
      <c r="B26" s="77"/>
      <c r="C26" s="78"/>
      <c r="D26" s="68" t="s">
        <v>71</v>
      </c>
      <c r="E26" s="69">
        <f>C25/10</f>
        <v>4.5298808404839148</v>
      </c>
      <c r="F26" s="69">
        <f>E26/$E$41 * 100</f>
        <v>9.0597616809678296</v>
      </c>
      <c r="G26" s="68" t="s">
        <v>72</v>
      </c>
      <c r="H26" s="84">
        <v>1</v>
      </c>
      <c r="I26" s="72" t="s">
        <v>49</v>
      </c>
      <c r="J26" s="73">
        <v>100</v>
      </c>
      <c r="K26" s="74">
        <v>95</v>
      </c>
      <c r="L26" s="74">
        <v>90</v>
      </c>
      <c r="M26" s="74">
        <v>85</v>
      </c>
      <c r="N26" s="74">
        <v>80</v>
      </c>
      <c r="O26" s="74" t="s">
        <v>50</v>
      </c>
    </row>
    <row r="27" spans="1:15" s="75" customFormat="1" ht="407.25" customHeight="1" x14ac:dyDescent="0.25">
      <c r="A27" s="76"/>
      <c r="B27" s="77"/>
      <c r="C27" s="78"/>
      <c r="D27" s="68" t="s">
        <v>73</v>
      </c>
      <c r="E27" s="69">
        <f>C25/10</f>
        <v>4.5298808404839148</v>
      </c>
      <c r="F27" s="69">
        <f>E27/$E$41 * 100</f>
        <v>9.0597616809678296</v>
      </c>
      <c r="G27" s="68" t="s">
        <v>74</v>
      </c>
      <c r="H27" s="84">
        <v>0.9</v>
      </c>
      <c r="I27" s="79" t="s">
        <v>49</v>
      </c>
      <c r="J27" s="73" t="s">
        <v>75</v>
      </c>
      <c r="K27" s="74">
        <v>90</v>
      </c>
      <c r="L27" s="74">
        <v>80</v>
      </c>
      <c r="M27" s="74">
        <v>70</v>
      </c>
      <c r="N27" s="74">
        <v>50</v>
      </c>
      <c r="O27" s="74" t="s">
        <v>70</v>
      </c>
    </row>
    <row r="28" spans="1:15" s="75" customFormat="1" ht="407.25" customHeight="1" x14ac:dyDescent="0.25">
      <c r="A28" s="76"/>
      <c r="B28" s="77"/>
      <c r="C28" s="78"/>
      <c r="D28" s="68" t="s">
        <v>76</v>
      </c>
      <c r="E28" s="69">
        <f>C25/10</f>
        <v>4.5298808404839148</v>
      </c>
      <c r="F28" s="69">
        <f>E28/$E$41 * 100</f>
        <v>9.0597616809678296</v>
      </c>
      <c r="G28" s="68" t="s">
        <v>77</v>
      </c>
      <c r="H28" s="84">
        <v>0.8</v>
      </c>
      <c r="I28" s="79" t="s">
        <v>49</v>
      </c>
      <c r="J28" s="73" t="s">
        <v>69</v>
      </c>
      <c r="K28" s="74">
        <v>80</v>
      </c>
      <c r="L28" s="74">
        <v>75</v>
      </c>
      <c r="M28" s="74">
        <v>70</v>
      </c>
      <c r="N28" s="74">
        <v>50</v>
      </c>
      <c r="O28" s="74" t="s">
        <v>70</v>
      </c>
    </row>
    <row r="29" spans="1:15" s="75" customFormat="1" ht="246" customHeight="1" x14ac:dyDescent="0.25">
      <c r="A29" s="76"/>
      <c r="B29" s="77"/>
      <c r="C29" s="78"/>
      <c r="D29" s="68" t="s">
        <v>78</v>
      </c>
      <c r="E29" s="69">
        <f>C25/10</f>
        <v>4.5298808404839148</v>
      </c>
      <c r="F29" s="69">
        <f>E29/$E$41 * 100</f>
        <v>9.0597616809678296</v>
      </c>
      <c r="G29" s="68" t="s">
        <v>79</v>
      </c>
      <c r="H29" s="84">
        <v>0.9</v>
      </c>
      <c r="I29" s="79" t="s">
        <v>49</v>
      </c>
      <c r="J29" s="73" t="s">
        <v>75</v>
      </c>
      <c r="K29" s="74">
        <v>90</v>
      </c>
      <c r="L29" s="74">
        <v>80</v>
      </c>
      <c r="M29" s="74">
        <v>70</v>
      </c>
      <c r="N29" s="74">
        <v>50</v>
      </c>
      <c r="O29" s="74" t="s">
        <v>70</v>
      </c>
    </row>
    <row r="30" spans="1:15" s="75" customFormat="1" ht="246" customHeight="1" x14ac:dyDescent="0.25">
      <c r="A30" s="76"/>
      <c r="B30" s="77"/>
      <c r="C30" s="78"/>
      <c r="D30" s="68" t="s">
        <v>80</v>
      </c>
      <c r="E30" s="69">
        <f>C25/10</f>
        <v>4.5298808404839148</v>
      </c>
      <c r="F30" s="69">
        <f>E30/$E$41 * 100</f>
        <v>9.0597616809678296</v>
      </c>
      <c r="G30" s="68" t="s">
        <v>81</v>
      </c>
      <c r="H30" s="84">
        <v>0.8</v>
      </c>
      <c r="I30" s="79" t="s">
        <v>49</v>
      </c>
      <c r="J30" s="73" t="s">
        <v>69</v>
      </c>
      <c r="K30" s="74">
        <v>80</v>
      </c>
      <c r="L30" s="74">
        <v>75</v>
      </c>
      <c r="M30" s="74">
        <v>70</v>
      </c>
      <c r="N30" s="74">
        <v>50</v>
      </c>
      <c r="O30" s="74" t="s">
        <v>70</v>
      </c>
    </row>
    <row r="31" spans="1:15" s="75" customFormat="1" ht="407.25" customHeight="1" x14ac:dyDescent="0.25">
      <c r="A31" s="76"/>
      <c r="B31" s="77"/>
      <c r="C31" s="78"/>
      <c r="D31" s="68" t="s">
        <v>82</v>
      </c>
      <c r="E31" s="69">
        <f>C25/10</f>
        <v>4.5298808404839148</v>
      </c>
      <c r="F31" s="69">
        <f>E31/$E$41 * 100</f>
        <v>9.0597616809678296</v>
      </c>
      <c r="G31" s="68" t="s">
        <v>83</v>
      </c>
      <c r="H31" s="84">
        <v>0.9</v>
      </c>
      <c r="I31" s="79" t="s">
        <v>49</v>
      </c>
      <c r="J31" s="73" t="s">
        <v>75</v>
      </c>
      <c r="K31" s="74">
        <v>90</v>
      </c>
      <c r="L31" s="74">
        <v>80</v>
      </c>
      <c r="M31" s="74">
        <v>70</v>
      </c>
      <c r="N31" s="74">
        <v>50</v>
      </c>
      <c r="O31" s="74" t="s">
        <v>70</v>
      </c>
    </row>
    <row r="32" spans="1:15" s="75" customFormat="1" ht="407.25" customHeight="1" x14ac:dyDescent="0.25">
      <c r="A32" s="76"/>
      <c r="B32" s="77"/>
      <c r="C32" s="78"/>
      <c r="D32" s="68" t="s">
        <v>84</v>
      </c>
      <c r="E32" s="69">
        <f>C25/10</f>
        <v>4.5298808404839148</v>
      </c>
      <c r="F32" s="69">
        <f>E32/$E$41 * 100</f>
        <v>9.0597616809678296</v>
      </c>
      <c r="G32" s="68" t="s">
        <v>85</v>
      </c>
      <c r="H32" s="84">
        <v>0.8</v>
      </c>
      <c r="I32" s="79" t="s">
        <v>49</v>
      </c>
      <c r="J32" s="73" t="s">
        <v>69</v>
      </c>
      <c r="K32" s="74">
        <v>80</v>
      </c>
      <c r="L32" s="74">
        <v>75</v>
      </c>
      <c r="M32" s="74">
        <v>70</v>
      </c>
      <c r="N32" s="74">
        <v>50</v>
      </c>
      <c r="O32" s="74" t="s">
        <v>70</v>
      </c>
    </row>
    <row r="33" spans="1:15" s="75" customFormat="1" ht="246" customHeight="1" x14ac:dyDescent="0.25">
      <c r="A33" s="76"/>
      <c r="B33" s="77"/>
      <c r="C33" s="78"/>
      <c r="D33" s="68" t="s">
        <v>86</v>
      </c>
      <c r="E33" s="69">
        <f>C25/10</f>
        <v>4.5298808404839148</v>
      </c>
      <c r="F33" s="69">
        <f>E33/$E$41 * 100</f>
        <v>9.0597616809678296</v>
      </c>
      <c r="G33" s="68" t="s">
        <v>87</v>
      </c>
      <c r="H33" s="79">
        <v>80</v>
      </c>
      <c r="I33" s="79" t="s">
        <v>49</v>
      </c>
      <c r="J33" s="73" t="s">
        <v>69</v>
      </c>
      <c r="K33" s="74">
        <v>80</v>
      </c>
      <c r="L33" s="74">
        <v>75</v>
      </c>
      <c r="M33" s="74">
        <v>70</v>
      </c>
      <c r="N33" s="74">
        <v>50</v>
      </c>
      <c r="O33" s="74" t="s">
        <v>70</v>
      </c>
    </row>
    <row r="34" spans="1:15" s="75" customFormat="1" ht="246" customHeight="1" x14ac:dyDescent="0.25">
      <c r="A34" s="80"/>
      <c r="B34" s="81"/>
      <c r="C34" s="82"/>
      <c r="D34" s="68" t="s">
        <v>88</v>
      </c>
      <c r="E34" s="69">
        <f>C25/10</f>
        <v>4.5298808404839148</v>
      </c>
      <c r="F34" s="69">
        <f>E34/$E$41 * 100</f>
        <v>9.0597616809678296</v>
      </c>
      <c r="G34" s="68" t="s">
        <v>89</v>
      </c>
      <c r="H34" s="84">
        <v>0.8</v>
      </c>
      <c r="I34" s="79" t="s">
        <v>49</v>
      </c>
      <c r="J34" s="73" t="s">
        <v>69</v>
      </c>
      <c r="K34" s="74">
        <v>80</v>
      </c>
      <c r="L34" s="74">
        <v>75</v>
      </c>
      <c r="M34" s="74">
        <v>70</v>
      </c>
      <c r="N34" s="74">
        <v>50</v>
      </c>
      <c r="O34" s="74" t="s">
        <v>70</v>
      </c>
    </row>
    <row r="35" spans="1:15" s="75" customFormat="1" ht="407.25" customHeight="1" x14ac:dyDescent="0.25">
      <c r="A35" s="79">
        <v>4</v>
      </c>
      <c r="B35" s="68" t="s">
        <v>90</v>
      </c>
      <c r="C35" s="85">
        <f>0.5 *1.5918255965556</f>
        <v>0.79591279827780004</v>
      </c>
      <c r="D35" s="68" t="s">
        <v>91</v>
      </c>
      <c r="E35" s="69">
        <f>C35</f>
        <v>0.79591279827780004</v>
      </c>
      <c r="F35" s="69">
        <f>E35/$E$41 * 100</f>
        <v>1.5918255965556003</v>
      </c>
      <c r="G35" s="70" t="s">
        <v>92</v>
      </c>
      <c r="H35" s="79">
        <v>5</v>
      </c>
      <c r="I35" s="72" t="s">
        <v>57</v>
      </c>
      <c r="J35" s="73" t="s">
        <v>58</v>
      </c>
      <c r="K35" s="74">
        <v>5</v>
      </c>
      <c r="L35" s="74">
        <v>4</v>
      </c>
      <c r="M35" s="74">
        <v>3</v>
      </c>
      <c r="N35" s="74">
        <v>2</v>
      </c>
      <c r="O35" s="74">
        <v>1</v>
      </c>
    </row>
    <row r="36" spans="1:15" s="75" customFormat="1" ht="246" customHeight="1" x14ac:dyDescent="0.25">
      <c r="A36" s="65">
        <v>5</v>
      </c>
      <c r="B36" s="66" t="s">
        <v>93</v>
      </c>
      <c r="C36" s="86">
        <f>0.5 *3.18365119311119</f>
        <v>1.591825596555595</v>
      </c>
      <c r="D36" s="68" t="s">
        <v>94</v>
      </c>
      <c r="E36" s="69">
        <f>C36/2</f>
        <v>0.79591279827779748</v>
      </c>
      <c r="F36" s="69">
        <f>E36/$E$41 * 100</f>
        <v>1.591825596555595</v>
      </c>
      <c r="G36" s="70" t="s">
        <v>95</v>
      </c>
      <c r="H36" s="84">
        <v>0.8</v>
      </c>
      <c r="I36" s="79" t="s">
        <v>49</v>
      </c>
      <c r="J36" s="73" t="s">
        <v>69</v>
      </c>
      <c r="K36" s="74">
        <v>80</v>
      </c>
      <c r="L36" s="74">
        <v>75</v>
      </c>
      <c r="M36" s="74">
        <v>70</v>
      </c>
      <c r="N36" s="74">
        <v>50</v>
      </c>
      <c r="O36" s="74" t="s">
        <v>70</v>
      </c>
    </row>
    <row r="37" spans="1:15" s="75" customFormat="1" ht="246" customHeight="1" x14ac:dyDescent="0.25">
      <c r="A37" s="80"/>
      <c r="B37" s="81"/>
      <c r="C37" s="87"/>
      <c r="D37" s="68" t="s">
        <v>96</v>
      </c>
      <c r="E37" s="69">
        <f>C36/2</f>
        <v>0.79591279827779748</v>
      </c>
      <c r="F37" s="69">
        <f>E37/$E$41 * 100</f>
        <v>1.591825596555595</v>
      </c>
      <c r="G37" s="70" t="s">
        <v>97</v>
      </c>
      <c r="H37" s="84">
        <v>0.8</v>
      </c>
      <c r="I37" s="79" t="s">
        <v>49</v>
      </c>
      <c r="J37" s="73" t="s">
        <v>69</v>
      </c>
      <c r="K37" s="74">
        <v>80</v>
      </c>
      <c r="L37" s="74">
        <v>75</v>
      </c>
      <c r="M37" s="74">
        <v>70</v>
      </c>
      <c r="N37" s="74">
        <v>50</v>
      </c>
      <c r="O37" s="74" t="s">
        <v>70</v>
      </c>
    </row>
    <row r="38" spans="1:15" s="75" customFormat="1" ht="407.25" customHeight="1" x14ac:dyDescent="0.25">
      <c r="A38" s="88">
        <v>6</v>
      </c>
      <c r="B38" s="89" t="s">
        <v>98</v>
      </c>
      <c r="C38" s="90">
        <f>0.5 *1.0612170643704</f>
        <v>0.53060853218519999</v>
      </c>
      <c r="D38" s="68" t="s">
        <v>99</v>
      </c>
      <c r="E38" s="69">
        <f>C38</f>
        <v>0.53060853218519999</v>
      </c>
      <c r="F38" s="69">
        <f>E38/$E$41 * 100</f>
        <v>1.0612170643704</v>
      </c>
      <c r="G38" s="70" t="s">
        <v>100</v>
      </c>
      <c r="H38" s="84">
        <v>0.8</v>
      </c>
      <c r="I38" s="79" t="s">
        <v>49</v>
      </c>
      <c r="J38" s="73" t="s">
        <v>69</v>
      </c>
      <c r="K38" s="74">
        <v>80</v>
      </c>
      <c r="L38" s="74">
        <v>75</v>
      </c>
      <c r="M38" s="74">
        <v>70</v>
      </c>
      <c r="N38" s="74">
        <v>50</v>
      </c>
      <c r="O38" s="74" t="s">
        <v>70</v>
      </c>
    </row>
    <row r="39" spans="1:15" s="75" customFormat="1" ht="407.25" customHeight="1" x14ac:dyDescent="0.25">
      <c r="A39" s="79">
        <v>7</v>
      </c>
      <c r="B39" s="68" t="s">
        <v>101</v>
      </c>
      <c r="C39" s="85">
        <f>0.5 *0.424486825748159</f>
        <v>0.2122434128740795</v>
      </c>
      <c r="D39" s="89" t="s">
        <v>102</v>
      </c>
      <c r="E39" s="69">
        <f>C39</f>
        <v>0.2122434128740795</v>
      </c>
      <c r="F39" s="69">
        <f>E39/$E$41 * 100</f>
        <v>0.42448682574815894</v>
      </c>
      <c r="G39" s="70" t="s">
        <v>103</v>
      </c>
      <c r="H39" s="71">
        <v>0.7</v>
      </c>
      <c r="I39" s="79" t="s">
        <v>49</v>
      </c>
      <c r="J39" s="73" t="s">
        <v>104</v>
      </c>
      <c r="K39" s="74">
        <v>70</v>
      </c>
      <c r="L39" s="74">
        <v>60</v>
      </c>
      <c r="M39" s="74">
        <v>50</v>
      </c>
      <c r="N39" s="74">
        <v>40</v>
      </c>
      <c r="O39" s="74" t="s">
        <v>105</v>
      </c>
    </row>
    <row r="40" spans="1:15" s="75" customFormat="1" ht="407.25" customHeight="1" x14ac:dyDescent="0.25">
      <c r="A40" s="79">
        <v>8</v>
      </c>
      <c r="B40" s="68" t="s">
        <v>106</v>
      </c>
      <c r="C40" s="85">
        <f>0.5 *0.424486825748159</f>
        <v>0.2122434128740795</v>
      </c>
      <c r="D40" s="70" t="s">
        <v>107</v>
      </c>
      <c r="E40" s="69">
        <f>C40</f>
        <v>0.2122434128740795</v>
      </c>
      <c r="F40" s="69">
        <f>E40/$E$41 * 100</f>
        <v>0.42448682574815894</v>
      </c>
      <c r="G40" s="70" t="s">
        <v>108</v>
      </c>
      <c r="H40" s="71">
        <v>0.5</v>
      </c>
      <c r="I40" s="72" t="s">
        <v>49</v>
      </c>
      <c r="J40" s="73" t="s">
        <v>64</v>
      </c>
      <c r="K40" s="74">
        <v>50</v>
      </c>
      <c r="L40" s="74">
        <v>45</v>
      </c>
      <c r="M40" s="74">
        <v>40</v>
      </c>
      <c r="N40" s="74">
        <v>25</v>
      </c>
      <c r="O40" s="74" t="s">
        <v>65</v>
      </c>
    </row>
    <row r="41" spans="1:15" ht="348.75" customHeight="1" x14ac:dyDescent="0.45">
      <c r="A41" s="91"/>
      <c r="B41" s="92" t="s">
        <v>109</v>
      </c>
      <c r="C41" s="93">
        <f>SUM(C19:C40)</f>
        <v>50.000000000000007</v>
      </c>
      <c r="D41" s="93"/>
      <c r="E41" s="93">
        <f>SUM(E19:E40)</f>
        <v>50</v>
      </c>
      <c r="F41" s="93">
        <f>SUM(F19:F40)</f>
        <v>100</v>
      </c>
      <c r="G41" s="94"/>
      <c r="H41" s="95"/>
      <c r="I41" s="96"/>
      <c r="J41" s="97"/>
      <c r="K41" s="98"/>
      <c r="L41" s="98"/>
      <c r="M41" s="98"/>
      <c r="N41" s="98"/>
      <c r="O41" s="98"/>
    </row>
    <row r="42" spans="1:15" ht="32.25" x14ac:dyDescent="0.25">
      <c r="A42" s="99" t="s">
        <v>110</v>
      </c>
      <c r="B42" s="99"/>
      <c r="C42" s="99"/>
      <c r="D42" s="99"/>
      <c r="E42" s="99"/>
      <c r="F42" s="99"/>
      <c r="G42" s="99"/>
      <c r="H42" s="100"/>
      <c r="I42" s="100"/>
      <c r="J42" s="101"/>
      <c r="K42" s="102" t="s">
        <v>111</v>
      </c>
      <c r="L42" s="102"/>
      <c r="M42" s="102"/>
      <c r="N42" s="102"/>
      <c r="O42" s="102"/>
    </row>
    <row r="43" spans="1:15" ht="33" x14ac:dyDescent="0.45">
      <c r="A43" s="103"/>
      <c r="B43" s="104"/>
      <c r="C43" s="105" t="s">
        <v>112</v>
      </c>
      <c r="D43" s="105"/>
      <c r="E43" s="105"/>
      <c r="F43" s="105"/>
      <c r="G43" s="105"/>
      <c r="H43" s="106" t="s">
        <v>113</v>
      </c>
      <c r="I43" s="106" t="s">
        <v>114</v>
      </c>
      <c r="J43" s="106" t="s">
        <v>115</v>
      </c>
      <c r="K43" s="102"/>
      <c r="L43" s="102"/>
      <c r="M43" s="102"/>
      <c r="N43" s="102"/>
      <c r="O43" s="102"/>
    </row>
    <row r="44" spans="1:15" ht="49.5" x14ac:dyDescent="0.6">
      <c r="A44" s="107">
        <v>1</v>
      </c>
      <c r="B44" s="108" t="s">
        <v>116</v>
      </c>
      <c r="C44" s="109"/>
      <c r="D44" s="110"/>
      <c r="E44" s="110"/>
      <c r="F44" s="110"/>
      <c r="G44" s="111"/>
      <c r="H44" s="112"/>
      <c r="I44" s="112"/>
      <c r="J44" s="113"/>
      <c r="K44" s="114"/>
      <c r="L44" s="115" t="s">
        <v>40</v>
      </c>
      <c r="M44" s="116" t="s">
        <v>117</v>
      </c>
      <c r="N44" s="116"/>
      <c r="O44" s="116"/>
    </row>
    <row r="45" spans="1:15" ht="89.25" customHeight="1" x14ac:dyDescent="0.45">
      <c r="A45" s="117" t="s">
        <v>118</v>
      </c>
      <c r="B45" s="118" t="s">
        <v>119</v>
      </c>
      <c r="C45" s="119"/>
      <c r="D45" s="120"/>
      <c r="E45" s="120"/>
      <c r="F45" s="120"/>
      <c r="G45" s="121"/>
      <c r="H45" s="98">
        <v>3</v>
      </c>
      <c r="I45" s="98">
        <v>3</v>
      </c>
      <c r="J45" s="122"/>
      <c r="K45" s="114"/>
      <c r="L45" s="115" t="s">
        <v>41</v>
      </c>
      <c r="M45" s="116" t="s">
        <v>120</v>
      </c>
      <c r="N45" s="116"/>
      <c r="O45" s="116"/>
    </row>
    <row r="46" spans="1:15" ht="86.25" customHeight="1" x14ac:dyDescent="0.45">
      <c r="A46" s="117" t="s">
        <v>121</v>
      </c>
      <c r="B46" s="118" t="s">
        <v>122</v>
      </c>
      <c r="C46" s="119"/>
      <c r="D46" s="120"/>
      <c r="E46" s="120"/>
      <c r="F46" s="120"/>
      <c r="G46" s="121"/>
      <c r="H46" s="98">
        <v>3</v>
      </c>
      <c r="I46" s="98">
        <v>3</v>
      </c>
      <c r="J46" s="122"/>
      <c r="K46" s="114"/>
      <c r="L46" s="115" t="s">
        <v>42</v>
      </c>
      <c r="M46" s="116" t="s">
        <v>123</v>
      </c>
      <c r="N46" s="116"/>
      <c r="O46" s="116"/>
    </row>
    <row r="47" spans="1:15" ht="79.5" customHeight="1" x14ac:dyDescent="0.45">
      <c r="A47" s="117" t="s">
        <v>124</v>
      </c>
      <c r="B47" s="118" t="s">
        <v>125</v>
      </c>
      <c r="C47" s="119"/>
      <c r="D47" s="120"/>
      <c r="E47" s="120"/>
      <c r="F47" s="120"/>
      <c r="G47" s="121"/>
      <c r="H47" s="98">
        <v>3</v>
      </c>
      <c r="I47" s="98">
        <v>3</v>
      </c>
      <c r="J47" s="122"/>
      <c r="K47" s="114"/>
      <c r="L47" s="115" t="s">
        <v>43</v>
      </c>
      <c r="M47" s="116" t="s">
        <v>126</v>
      </c>
      <c r="N47" s="116"/>
      <c r="O47" s="116"/>
    </row>
    <row r="48" spans="1:15" ht="79.5" customHeight="1" x14ac:dyDescent="0.6">
      <c r="A48" s="123">
        <v>2</v>
      </c>
      <c r="B48" s="124" t="s">
        <v>127</v>
      </c>
      <c r="C48" s="125"/>
      <c r="D48" s="126"/>
      <c r="E48" s="126"/>
      <c r="F48" s="126"/>
      <c r="G48" s="127"/>
      <c r="H48" s="98"/>
      <c r="I48" s="98"/>
      <c r="J48" s="122"/>
      <c r="K48" s="114"/>
      <c r="L48" s="115" t="s">
        <v>44</v>
      </c>
      <c r="M48" s="116" t="s">
        <v>128</v>
      </c>
      <c r="N48" s="116"/>
      <c r="O48" s="116"/>
    </row>
    <row r="49" spans="1:15" ht="96.75" customHeight="1" x14ac:dyDescent="0.45">
      <c r="A49" s="117" t="s">
        <v>118</v>
      </c>
      <c r="B49" s="128" t="s">
        <v>129</v>
      </c>
      <c r="C49" s="129"/>
      <c r="D49" s="130"/>
      <c r="E49" s="130"/>
      <c r="F49" s="130"/>
      <c r="G49" s="131"/>
      <c r="H49" s="98">
        <v>3</v>
      </c>
      <c r="I49" s="98">
        <v>3</v>
      </c>
      <c r="J49" s="122"/>
      <c r="K49" s="114"/>
      <c r="L49" s="115" t="s">
        <v>45</v>
      </c>
      <c r="M49" s="116" t="s">
        <v>130</v>
      </c>
      <c r="N49" s="116"/>
      <c r="O49" s="116"/>
    </row>
    <row r="50" spans="1:15" ht="84.75" customHeight="1" x14ac:dyDescent="0.45">
      <c r="A50" s="117" t="s">
        <v>121</v>
      </c>
      <c r="B50" s="128" t="s">
        <v>131</v>
      </c>
      <c r="C50" s="129"/>
      <c r="D50" s="130"/>
      <c r="E50" s="130"/>
      <c r="F50" s="130"/>
      <c r="G50" s="131"/>
      <c r="H50" s="98">
        <v>2</v>
      </c>
      <c r="I50" s="98">
        <v>2</v>
      </c>
      <c r="J50" s="122"/>
      <c r="K50" s="114"/>
      <c r="L50" s="132" t="s">
        <v>115</v>
      </c>
      <c r="M50" s="132" t="s">
        <v>132</v>
      </c>
      <c r="N50" s="133"/>
      <c r="O50" s="133"/>
    </row>
    <row r="51" spans="1:15" ht="96" customHeight="1" x14ac:dyDescent="0.45">
      <c r="A51" s="117" t="s">
        <v>124</v>
      </c>
      <c r="B51" s="134" t="s">
        <v>133</v>
      </c>
      <c r="C51" s="129"/>
      <c r="D51" s="130"/>
      <c r="E51" s="130"/>
      <c r="F51" s="130"/>
      <c r="G51" s="131"/>
      <c r="H51" s="98">
        <v>2</v>
      </c>
      <c r="I51" s="98">
        <v>2</v>
      </c>
      <c r="J51" s="122"/>
      <c r="K51" s="114"/>
      <c r="L51" s="132" t="s">
        <v>134</v>
      </c>
      <c r="M51" s="116" t="s">
        <v>135</v>
      </c>
      <c r="N51" s="116"/>
      <c r="O51" s="116"/>
    </row>
    <row r="52" spans="1:15" ht="49.5" x14ac:dyDescent="0.6">
      <c r="A52" s="123">
        <v>3</v>
      </c>
      <c r="B52" s="124" t="s">
        <v>136</v>
      </c>
      <c r="C52" s="125"/>
      <c r="D52" s="126"/>
      <c r="E52" s="126"/>
      <c r="F52" s="126"/>
      <c r="G52" s="127"/>
      <c r="H52" s="98"/>
      <c r="I52" s="98"/>
      <c r="J52" s="122"/>
      <c r="K52" s="114"/>
      <c r="L52" s="132" t="s">
        <v>113</v>
      </c>
      <c r="M52" s="116" t="s">
        <v>137</v>
      </c>
      <c r="N52" s="116"/>
      <c r="O52" s="116"/>
    </row>
    <row r="53" spans="1:15" ht="81.75" customHeight="1" x14ac:dyDescent="0.45">
      <c r="A53" s="117" t="s">
        <v>118</v>
      </c>
      <c r="B53" s="128" t="s">
        <v>138</v>
      </c>
      <c r="C53" s="135"/>
      <c r="D53" s="136"/>
      <c r="E53" s="136"/>
      <c r="F53" s="136"/>
      <c r="G53" s="137"/>
      <c r="H53" s="98">
        <v>2</v>
      </c>
      <c r="I53" s="98">
        <v>2</v>
      </c>
      <c r="J53" s="122"/>
      <c r="K53" s="114"/>
      <c r="L53" s="132" t="s">
        <v>114</v>
      </c>
      <c r="M53" s="116" t="s">
        <v>139</v>
      </c>
      <c r="N53" s="116"/>
      <c r="O53" s="116"/>
    </row>
    <row r="54" spans="1:15" ht="72" customHeight="1" x14ac:dyDescent="0.45">
      <c r="A54" s="117" t="s">
        <v>121</v>
      </c>
      <c r="B54" s="128" t="s">
        <v>140</v>
      </c>
      <c r="C54" s="135"/>
      <c r="D54" s="136"/>
      <c r="E54" s="136"/>
      <c r="F54" s="136"/>
      <c r="G54" s="137"/>
      <c r="H54" s="98">
        <v>1</v>
      </c>
      <c r="I54" s="98">
        <v>1</v>
      </c>
      <c r="J54" s="122"/>
      <c r="K54" s="114"/>
      <c r="L54" s="132" t="s">
        <v>141</v>
      </c>
      <c r="M54" s="116" t="s">
        <v>142</v>
      </c>
      <c r="N54" s="116"/>
      <c r="O54" s="116"/>
    </row>
    <row r="55" spans="1:15" ht="78" customHeight="1" x14ac:dyDescent="0.45">
      <c r="A55" s="117" t="s">
        <v>124</v>
      </c>
      <c r="B55" s="128" t="s">
        <v>143</v>
      </c>
      <c r="C55" s="135"/>
      <c r="D55" s="136"/>
      <c r="E55" s="136"/>
      <c r="F55" s="136"/>
      <c r="G55" s="137"/>
      <c r="H55" s="98">
        <v>1</v>
      </c>
      <c r="I55" s="98">
        <v>1</v>
      </c>
      <c r="J55" s="122"/>
      <c r="K55" s="114"/>
      <c r="L55" s="133"/>
      <c r="M55" s="133"/>
      <c r="N55" s="133"/>
      <c r="O55" s="133"/>
    </row>
    <row r="56" spans="1:15" ht="33" x14ac:dyDescent="0.45">
      <c r="A56" s="138" t="s">
        <v>144</v>
      </c>
      <c r="B56" s="139"/>
      <c r="C56" s="139"/>
      <c r="D56" s="139"/>
      <c r="E56" s="139"/>
      <c r="F56" s="139"/>
      <c r="G56" s="139"/>
      <c r="H56" s="140"/>
      <c r="I56" s="140"/>
      <c r="J56" s="140"/>
      <c r="K56" s="114"/>
      <c r="L56" s="133"/>
      <c r="M56" s="133"/>
      <c r="N56" s="133"/>
      <c r="O56" s="133"/>
    </row>
    <row r="57" spans="1:15" ht="49.5" x14ac:dyDescent="0.6">
      <c r="A57" s="117" t="s">
        <v>118</v>
      </c>
      <c r="B57" s="141" t="s">
        <v>145</v>
      </c>
      <c r="C57" s="129" t="s">
        <v>146</v>
      </c>
      <c r="D57" s="130"/>
      <c r="E57" s="130"/>
      <c r="F57" s="130"/>
      <c r="G57" s="131"/>
      <c r="H57" s="142">
        <v>4</v>
      </c>
      <c r="I57" s="143">
        <v>4</v>
      </c>
      <c r="J57" s="144"/>
      <c r="K57" s="114"/>
      <c r="L57" s="133"/>
      <c r="M57" s="133"/>
      <c r="N57" s="133"/>
      <c r="O57" s="133"/>
    </row>
    <row r="58" spans="1:15" ht="49.5" x14ac:dyDescent="0.6">
      <c r="A58" s="117" t="s">
        <v>121</v>
      </c>
      <c r="B58" s="141" t="s">
        <v>147</v>
      </c>
      <c r="C58" s="129" t="s">
        <v>148</v>
      </c>
      <c r="D58" s="130"/>
      <c r="E58" s="130"/>
      <c r="F58" s="130"/>
      <c r="G58" s="131"/>
      <c r="H58" s="142">
        <v>4</v>
      </c>
      <c r="I58" s="143">
        <v>4</v>
      </c>
      <c r="J58" s="144"/>
      <c r="K58" s="114"/>
      <c r="L58" s="133"/>
      <c r="M58" s="133"/>
      <c r="N58" s="133"/>
      <c r="O58" s="133"/>
    </row>
    <row r="59" spans="1:15" ht="49.5" x14ac:dyDescent="0.6">
      <c r="A59" s="117" t="s">
        <v>121</v>
      </c>
      <c r="B59" s="141" t="s">
        <v>149</v>
      </c>
      <c r="C59" s="129" t="s">
        <v>150</v>
      </c>
      <c r="D59" s="130"/>
      <c r="E59" s="130"/>
      <c r="F59" s="130"/>
      <c r="G59" s="131"/>
      <c r="H59" s="142">
        <v>2</v>
      </c>
      <c r="I59" s="143">
        <v>2</v>
      </c>
      <c r="J59" s="144"/>
      <c r="K59" s="114"/>
      <c r="L59" s="133"/>
      <c r="M59" s="133"/>
      <c r="N59" s="133"/>
      <c r="O59" s="133"/>
    </row>
    <row r="60" spans="1:15" ht="33" x14ac:dyDescent="0.45">
      <c r="A60" s="145" t="s">
        <v>151</v>
      </c>
      <c r="B60" s="145"/>
      <c r="C60" s="145"/>
      <c r="D60" s="145"/>
      <c r="E60" s="145"/>
      <c r="F60" s="145"/>
      <c r="G60" s="145"/>
      <c r="H60" s="145"/>
      <c r="I60" s="145"/>
      <c r="J60" s="146"/>
      <c r="K60" s="133"/>
      <c r="L60" s="133"/>
      <c r="M60" s="133"/>
      <c r="N60" s="133"/>
      <c r="O60" s="133"/>
    </row>
    <row r="61" spans="1:15" ht="15" customHeight="1" x14ac:dyDescent="0.45">
      <c r="A61" s="147" t="s">
        <v>152</v>
      </c>
      <c r="B61" s="147"/>
      <c r="C61" s="148"/>
      <c r="D61" s="149"/>
      <c r="E61" s="150" t="s">
        <v>153</v>
      </c>
      <c r="F61" s="151"/>
      <c r="G61" s="152" t="s">
        <v>154</v>
      </c>
      <c r="H61" s="153"/>
      <c r="I61" s="153"/>
      <c r="J61" s="154"/>
      <c r="K61" s="114"/>
      <c r="L61" s="114"/>
      <c r="M61" s="114"/>
      <c r="N61" s="114"/>
      <c r="O61" s="114"/>
    </row>
    <row r="62" spans="1:15" ht="33" customHeight="1" x14ac:dyDescent="0.45">
      <c r="A62" s="147"/>
      <c r="B62" s="147"/>
      <c r="C62" s="148"/>
      <c r="D62" s="149"/>
      <c r="E62" s="155"/>
      <c r="F62" s="156"/>
      <c r="G62" s="157"/>
      <c r="H62" s="158"/>
      <c r="I62" s="158"/>
      <c r="J62" s="154"/>
      <c r="K62" s="114"/>
      <c r="L62" s="114"/>
      <c r="M62" s="114"/>
      <c r="N62" s="114"/>
      <c r="O62" s="114"/>
    </row>
    <row r="63" spans="1:15" ht="33" customHeight="1" x14ac:dyDescent="0.45">
      <c r="A63" s="147"/>
      <c r="B63" s="147"/>
      <c r="C63" s="148"/>
      <c r="D63" s="149"/>
      <c r="E63" s="155"/>
      <c r="F63" s="156"/>
      <c r="G63" s="157"/>
      <c r="H63" s="158"/>
      <c r="I63" s="158"/>
      <c r="J63" s="154"/>
      <c r="K63" s="114"/>
      <c r="L63" s="114"/>
      <c r="M63" s="114"/>
      <c r="N63" s="114"/>
      <c r="O63" s="114"/>
    </row>
    <row r="64" spans="1:15" ht="27.75" customHeight="1" x14ac:dyDescent="0.45">
      <c r="A64" s="147"/>
      <c r="B64" s="147"/>
      <c r="C64" s="148"/>
      <c r="D64" s="149"/>
      <c r="E64" s="159"/>
      <c r="F64" s="160"/>
      <c r="G64" s="161"/>
      <c r="H64" s="158"/>
      <c r="I64" s="158"/>
      <c r="J64" s="154"/>
      <c r="K64" s="114"/>
      <c r="L64" s="114"/>
      <c r="M64" s="114"/>
      <c r="N64" s="114"/>
      <c r="O64" s="114"/>
    </row>
    <row r="65" spans="1:15" ht="33" customHeight="1" x14ac:dyDescent="0.45">
      <c r="A65" s="162" t="s">
        <v>155</v>
      </c>
      <c r="B65" s="163"/>
      <c r="C65" s="148"/>
      <c r="D65" s="149"/>
      <c r="E65" s="164" t="s">
        <v>155</v>
      </c>
      <c r="F65" s="151"/>
      <c r="G65" s="165" t="s">
        <v>155</v>
      </c>
      <c r="H65" s="158"/>
      <c r="I65" s="158"/>
      <c r="J65" s="154"/>
      <c r="K65" s="114"/>
      <c r="L65" s="114"/>
      <c r="M65" s="114"/>
      <c r="N65" s="114"/>
      <c r="O65" s="114"/>
    </row>
    <row r="66" spans="1:15" ht="30.75" customHeight="1" x14ac:dyDescent="0.45">
      <c r="A66" s="162"/>
      <c r="B66" s="163"/>
      <c r="C66" s="148"/>
      <c r="D66" s="149"/>
      <c r="E66" s="166"/>
      <c r="F66" s="156"/>
      <c r="G66" s="167"/>
      <c r="H66" s="158"/>
      <c r="I66" s="158"/>
      <c r="J66" s="154"/>
      <c r="K66" s="114"/>
      <c r="L66" s="114"/>
      <c r="M66" s="114"/>
      <c r="N66" s="114"/>
      <c r="O66" s="114"/>
    </row>
    <row r="67" spans="1:15" ht="17.25" hidden="1" customHeight="1" x14ac:dyDescent="0.45">
      <c r="A67" s="162"/>
      <c r="B67" s="163"/>
      <c r="C67" s="148"/>
      <c r="D67" s="149"/>
      <c r="E67" s="168"/>
      <c r="F67" s="160"/>
      <c r="G67" s="169"/>
      <c r="H67" s="158"/>
      <c r="I67" s="158"/>
      <c r="J67" s="154"/>
      <c r="K67" s="114"/>
      <c r="L67" s="114"/>
      <c r="M67" s="114"/>
      <c r="N67" s="114"/>
      <c r="O67" s="114"/>
    </row>
    <row r="68" spans="1:15" ht="33" customHeight="1" x14ac:dyDescent="0.45">
      <c r="A68" s="11" t="s">
        <v>156</v>
      </c>
      <c r="B68" s="157"/>
      <c r="C68" s="148"/>
      <c r="D68" s="149"/>
      <c r="E68" s="170" t="s">
        <v>156</v>
      </c>
      <c r="F68" s="151"/>
      <c r="G68" s="171" t="s">
        <v>156</v>
      </c>
      <c r="H68" s="158"/>
      <c r="I68" s="158"/>
      <c r="J68" s="154"/>
      <c r="K68" s="114"/>
      <c r="L68" s="114"/>
      <c r="M68" s="114"/>
      <c r="N68" s="114"/>
      <c r="O68" s="114"/>
    </row>
    <row r="69" spans="1:15" ht="33" customHeight="1" x14ac:dyDescent="0.45">
      <c r="A69" s="11"/>
      <c r="B69" s="157"/>
      <c r="C69" s="172"/>
      <c r="D69" s="173"/>
      <c r="E69" s="174"/>
      <c r="F69" s="160"/>
      <c r="G69" s="175"/>
      <c r="H69" s="158"/>
      <c r="I69" s="158"/>
      <c r="J69" s="154"/>
      <c r="K69" s="114"/>
      <c r="L69" s="114"/>
      <c r="M69" s="114"/>
      <c r="N69" s="114"/>
      <c r="O69" s="114"/>
    </row>
    <row r="70" spans="1:15" ht="19.5" x14ac:dyDescent="0.25">
      <c r="A70" s="176"/>
      <c r="B70" s="176"/>
      <c r="C70" s="176"/>
      <c r="D70" s="176"/>
      <c r="E70" s="176"/>
      <c r="F70" s="176"/>
      <c r="G70" s="176"/>
      <c r="H70" s="176"/>
      <c r="I70" s="176"/>
      <c r="J70" s="177"/>
      <c r="K70" s="178"/>
      <c r="L70" s="178"/>
      <c r="M70" s="178"/>
      <c r="N70" s="178"/>
      <c r="O70" s="178"/>
    </row>
  </sheetData>
  <mergeCells count="84">
    <mergeCell ref="G65:G67"/>
    <mergeCell ref="A68:B69"/>
    <mergeCell ref="E68:E69"/>
    <mergeCell ref="F68:F69"/>
    <mergeCell ref="G68:G69"/>
    <mergeCell ref="A70:I70"/>
    <mergeCell ref="C59:G59"/>
    <mergeCell ref="A60:I60"/>
    <mergeCell ref="A61:B64"/>
    <mergeCell ref="C61:D69"/>
    <mergeCell ref="E61:E64"/>
    <mergeCell ref="F61:F64"/>
    <mergeCell ref="G61:G64"/>
    <mergeCell ref="A65:B67"/>
    <mergeCell ref="E65:E67"/>
    <mergeCell ref="F65:F67"/>
    <mergeCell ref="C54:G54"/>
    <mergeCell ref="M54:O54"/>
    <mergeCell ref="C55:G55"/>
    <mergeCell ref="A56:G56"/>
    <mergeCell ref="C57:G57"/>
    <mergeCell ref="C58:G58"/>
    <mergeCell ref="C50:G50"/>
    <mergeCell ref="C51:G51"/>
    <mergeCell ref="M51:O51"/>
    <mergeCell ref="C52:G52"/>
    <mergeCell ref="M52:O52"/>
    <mergeCell ref="C53:G53"/>
    <mergeCell ref="M53:O53"/>
    <mergeCell ref="C47:G47"/>
    <mergeCell ref="M47:O47"/>
    <mergeCell ref="C48:G48"/>
    <mergeCell ref="M48:O48"/>
    <mergeCell ref="C49:G49"/>
    <mergeCell ref="M49:O49"/>
    <mergeCell ref="C44:G44"/>
    <mergeCell ref="M44:O44"/>
    <mergeCell ref="C45:G45"/>
    <mergeCell ref="M45:O45"/>
    <mergeCell ref="C46:G46"/>
    <mergeCell ref="M46:O46"/>
    <mergeCell ref="A36:A37"/>
    <mergeCell ref="B36:B37"/>
    <mergeCell ref="C36:C37"/>
    <mergeCell ref="A42:G42"/>
    <mergeCell ref="H42:J42"/>
    <mergeCell ref="K42:O43"/>
    <mergeCell ref="C43:G43"/>
    <mergeCell ref="J17:O17"/>
    <mergeCell ref="A19:A23"/>
    <mergeCell ref="B19:B23"/>
    <mergeCell ref="C19:C23"/>
    <mergeCell ref="A25:A34"/>
    <mergeCell ref="B25:B34"/>
    <mergeCell ref="C25:C3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A12:I12"/>
    <mergeCell ref="A13:B13"/>
    <mergeCell ref="I13:J13"/>
    <mergeCell ref="A14:B14"/>
    <mergeCell ref="I14:J14"/>
    <mergeCell ref="A15:I15"/>
    <mergeCell ref="A8:B8"/>
    <mergeCell ref="I8:J8"/>
    <mergeCell ref="A9:I9"/>
    <mergeCell ref="A10:B10"/>
    <mergeCell ref="I10:J10"/>
    <mergeCell ref="A11:B11"/>
    <mergeCell ref="I11:J11"/>
    <mergeCell ref="A1:O3"/>
    <mergeCell ref="A4:I4"/>
    <mergeCell ref="E5:I5"/>
    <mergeCell ref="A6:I6"/>
    <mergeCell ref="A7:B7"/>
    <mergeCell ref="I7:J7"/>
  </mergeCells>
  <hyperlinks>
    <hyperlink ref="E14" r:id="rId1" xr:uid="{A707F0C6-08B1-48A6-AD4C-392726C09EFF}"/>
  </hyperlinks>
  <pageMargins left="0.45" right="0.2" top="0.25" bottom="0.25" header="0.3" footer="0.3"/>
  <pageSetup paperSize="9" scale="12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SESUGH_DURUBA</vt:lpstr>
      <vt:lpstr>SESUGH_DURUBA!Print_Area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2026-04-09T13:41:31Z</dcterms:created>
  <dcterms:modified xsi:type="dcterms:W3CDTF">2026-04-09T13:41:40Z</dcterms:modified>
</cp:coreProperties>
</file>