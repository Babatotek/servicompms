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servicom_2026\2026\ADMIN\"/>
    </mc:Choice>
  </mc:AlternateContent>
  <xr:revisionPtr revIDLastSave="0" documentId="8_{162E8C4B-7CDD-4D14-8765-CC35C1CC4836}" xr6:coauthVersionLast="47" xr6:coauthVersionMax="47" xr10:uidLastSave="{00000000-0000-0000-0000-000000000000}"/>
  <bookViews>
    <workbookView xWindow="-120" yWindow="-120" windowWidth="20730" windowHeight="11040" xr2:uid="{8BE63090-07BA-4340-89CA-28C6EE664B59}"/>
  </bookViews>
  <sheets>
    <sheet name="ADMIN" sheetId="1" r:id="rId1"/>
  </sheets>
  <definedNames>
    <definedName name="_xlnm.Print_Area" localSheetId="0">ADMIN!$A$1:$O$85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7" i="1" l="1"/>
  <c r="F56" i="1"/>
  <c r="F55" i="1"/>
  <c r="F54" i="1"/>
  <c r="F53" i="1"/>
  <c r="F52" i="1"/>
  <c r="F51" i="1"/>
  <c r="C51" i="1"/>
  <c r="F50" i="1"/>
  <c r="C50" i="1"/>
  <c r="F49" i="1"/>
  <c r="F48" i="1"/>
  <c r="C48" i="1"/>
  <c r="F47" i="1"/>
  <c r="F46" i="1"/>
  <c r="F45" i="1"/>
  <c r="C45" i="1"/>
  <c r="F44" i="1"/>
  <c r="F43" i="1"/>
  <c r="C43" i="1"/>
  <c r="F42" i="1"/>
  <c r="F41" i="1"/>
  <c r="F40" i="1"/>
  <c r="C40" i="1"/>
  <c r="F39" i="1"/>
  <c r="F38" i="1"/>
  <c r="F37" i="1"/>
  <c r="F36" i="1"/>
  <c r="F35" i="1"/>
  <c r="F34" i="1"/>
  <c r="F33" i="1"/>
  <c r="F32" i="1"/>
  <c r="F31" i="1"/>
  <c r="F30" i="1"/>
  <c r="F29" i="1"/>
  <c r="F28" i="1"/>
  <c r="F27" i="1"/>
  <c r="F26" i="1"/>
  <c r="F25" i="1"/>
  <c r="F24" i="1"/>
  <c r="F23" i="1"/>
  <c r="F22" i="1"/>
  <c r="F21" i="1"/>
  <c r="F20" i="1"/>
  <c r="F19" i="1"/>
  <c r="F57" i="1" s="1"/>
  <c r="C19" i="1"/>
  <c r="C57" i="1" s="1"/>
</calcChain>
</file>

<file path=xl/sharedStrings.xml><?xml version="1.0" encoding="utf-8"?>
<sst xmlns="http://schemas.openxmlformats.org/spreadsheetml/2006/main" count="294" uniqueCount="173">
  <si>
    <t>PERFORMANCE CONTRACT</t>
  </si>
  <si>
    <t>PERFORMANCE APPRAISAL PERIOD:</t>
  </si>
  <si>
    <t>FROM</t>
  </si>
  <si>
    <t>JANUARY 2026</t>
  </si>
  <si>
    <t>To</t>
  </si>
  <si>
    <t>DECEMBER 2026</t>
  </si>
  <si>
    <t>SECTION 1: EMPLOYEE INFORMATION</t>
  </si>
  <si>
    <t>Surname:</t>
  </si>
  <si>
    <t>NWABUA</t>
  </si>
  <si>
    <t>Firstname</t>
  </si>
  <si>
    <t>CHINYERE</t>
  </si>
  <si>
    <t>Othername</t>
  </si>
  <si>
    <t>VIRGINIA</t>
  </si>
  <si>
    <t>Designation</t>
  </si>
  <si>
    <t>ASST. CHIEF CONFIDENTIAL SECRETARY</t>
  </si>
  <si>
    <t>IPPIS No.</t>
  </si>
  <si>
    <t>Email</t>
  </si>
  <si>
    <t>nwabuachinyere@gmail.com</t>
  </si>
  <si>
    <t>Phone No.</t>
  </si>
  <si>
    <t>08033369953</t>
  </si>
  <si>
    <t>Department</t>
  </si>
  <si>
    <t>ADMINISTRATION UNIT</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</si>
  <si>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</si>
  <si>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</si>
  <si>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</si>
  <si>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</si>
  <si>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</si>
  <si>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</si>
  <si>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</si>
  <si>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</si>
  <si>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</si>
  <si>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</si>
  <si>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</si>
  <si>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</si>
  <si>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</si>
  <si>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</si>
  <si>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</si>
  <si>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</si>
  <si>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</si>
  <si>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</si>
  <si>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</si>
  <si>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</si>
  <si>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</si>
  <si>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</si>
  <si>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</si>
  <si>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</si>
  <si>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</si>
  <si>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</si>
  <si>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</si>
  <si>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</si>
  <si>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</si>
  <si>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</si>
  <si>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</si>
  <si>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</si>
  <si>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</si>
  <si>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</si>
  <si>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</si>
  <si>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</si>
  <si>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</si>
  <si>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</si>
  <si>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</si>
  <si>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Initiate and implement quarterly citizens and stakeholders engagement sessions to communicate SERVICOM activities and serve as a feedback mechanism.</t>
  </si>
  <si>
    <t>Total number of quarterly  engagement sessions held with citizens and stakeholders</t>
  </si>
  <si>
    <t>NUMBER</t>
  </si>
  <si>
    <t>&gt;4</t>
  </si>
  <si>
    <t>Promote disability inclusion and accessibility awareness within SERVICOM to ensure inclusive internal service processes, communication, and staff conduct.</t>
  </si>
  <si>
    <t>Percentage of SERVICOM Staff Trained on Accessibility Practices and Disability Awareness</t>
  </si>
  <si>
    <t>Percentage of SERVICOM public-facing information materials (service charters, feedback forms, website content, notices) available in accessible formats.</t>
  </si>
  <si>
    <t>Administrative Services, Staff Welfare, and Office Support</t>
  </si>
  <si>
    <t>Strengthen staff and nodal officers' engagements, planning, and organizational alignment</t>
  </si>
  <si>
    <t>Percentage of scheduled staff retreat conducted annually</t>
  </si>
  <si>
    <t>&gt;80</t>
  </si>
  <si>
    <t>Percentage of nodal officers’ meetings held as scheduled</t>
  </si>
  <si>
    <t>Ensure availability and effective management of office logistics and assets</t>
  </si>
  <si>
    <t>Percentage of office vehicles in functional condition</t>
  </si>
  <si>
    <t>Percentage of office equipment serviceable as at when due</t>
  </si>
  <si>
    <t>Average response time to maintenance requests</t>
  </si>
  <si>
    <t>Ensure efficient records management and file movement</t>
  </si>
  <si>
    <t>Percentage of file requests attended to without delay</t>
  </si>
  <si>
    <t>Accuracy of file tracking and movement records</t>
  </si>
  <si>
    <t>Ensure effective handling of office correspondence and mail dispatch</t>
  </si>
  <si>
    <t>Percentage of incoming correspondence received and registered same day</t>
  </si>
  <si>
    <t>&gt;90</t>
  </si>
  <si>
    <t>Percentage of outgoing correspondence dispatched within timelines</t>
  </si>
  <si>
    <t>Ensure efficient, transparent, and timely management of stores and inventory through proper custody, issuance, and replenishment of consumables and assets in support of uninterrupted administrative and operational activities within SERVICOM</t>
  </si>
  <si>
    <t>Percentage of store items accurately recorded in the store ledger/inventory system</t>
  </si>
  <si>
    <t>Percentage of items restocked within approved timelines after reaching reorder level</t>
  </si>
  <si>
    <t>Percentage of store items with updated bin cards or inventory records</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</si>
  <si>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</si>
  <si>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</si>
  <si>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</si>
  <si>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&gt;5</t>
  </si>
  <si>
    <t>Percentage of Identified Innovations and Initiatives Implemented or Piloted</t>
  </si>
  <si>
    <t>&gt;10</t>
  </si>
  <si>
    <t>&lt;5</t>
  </si>
  <si>
    <t>Number of SERVICOM Staff Participating in the OHCSF Innovation Challenge</t>
  </si>
  <si>
    <t>&gt;2</t>
  </si>
  <si>
    <t>Stakeholders Engagement (MDA)</t>
  </si>
  <si>
    <t>Strengthen internal stakeholders engagement within SERVICOM by improving communication, collaboration, and coordination among units to enhance teamwork and organizational effectiveness.</t>
  </si>
  <si>
    <t>Number of structured inter-unit meetings, workshops, or knowledge-sharing sessions held during the year.</t>
  </si>
  <si>
    <t>Number of Cross-Unit Collaboration Initiatives Implemented</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</si>
  <si>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</si>
  <si>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</si>
  <si>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</si>
  <si>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</si>
  <si>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&gt;20</t>
  </si>
  <si>
    <t>Percentage of Staff Actively Using Official Email for Work-Related Communication</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</si>
  <si>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</si>
  <si>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</si>
  <si>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</si>
  <si>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</si>
  <si>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</si>
  <si>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Strengthen regulatory compliance within the SERVICOM by implementing robust financial control measures to prevent and eliminate cases of fraud, irregularities, and non-adherence to financial regulations and government policies.</t>
  </si>
  <si>
    <t>Percentage compliance with financial regulations and government policies</t>
  </si>
  <si>
    <t>Staff Welfare</t>
  </si>
  <si>
    <t>Promote staff welfare, motivation, and recognition</t>
  </si>
  <si>
    <t>Percentage of staff benefiting from welfare packages</t>
  </si>
  <si>
    <t>Timely delivery of welfare items and cash tokens</t>
  </si>
  <si>
    <t>Number of recognition and award programmes conducted</t>
  </si>
  <si>
    <t>Staff satisfaction level with welfare and recognition initiatives</t>
  </si>
  <si>
    <t>&gt;70</t>
  </si>
  <si>
    <t>&lt;40</t>
  </si>
  <si>
    <t>Promote work-life balance, wellness, and staff health</t>
  </si>
  <si>
    <t>Staff participation rate in wellness programmes</t>
  </si>
  <si>
    <t>Number of wellness and fitness sessions conducted</t>
  </si>
  <si>
    <t>TOTAL</t>
  </si>
  <si>
    <t>SECTION 5: COMPETENCIES</t>
  </si>
  <si>
    <t>LEGEND</t>
  </si>
  <si>
    <t>Describe Expectations</t>
  </si>
  <si>
    <t>Q2</t>
  </si>
  <si>
    <t>Q3</t>
  </si>
  <si>
    <t>A</t>
  </si>
  <si>
    <t>Generic Compentencies</t>
  </si>
  <si>
    <t>Outstanding</t>
  </si>
  <si>
    <t>i</t>
  </si>
  <si>
    <t>Leadership Skill</t>
  </si>
  <si>
    <t>Excellent</t>
  </si>
  <si>
    <t>ii</t>
  </si>
  <si>
    <t>Managing &amp; Developing People</t>
  </si>
  <si>
    <t>Very Good</t>
  </si>
  <si>
    <t>iii</t>
  </si>
  <si>
    <t>Effective Communication</t>
  </si>
  <si>
    <t>Good</t>
  </si>
  <si>
    <t>Functional Competencies</t>
  </si>
  <si>
    <t>Fair</t>
  </si>
  <si>
    <t>Strategic thinking</t>
  </si>
  <si>
    <t>Poor</t>
  </si>
  <si>
    <t>Drive for results</t>
  </si>
  <si>
    <t>Aggregrate</t>
  </si>
  <si>
    <t>Transparency and Accountability</t>
  </si>
  <si>
    <t>Q1</t>
  </si>
  <si>
    <t>First Quarter</t>
  </si>
  <si>
    <t>Ethic and value</t>
  </si>
  <si>
    <t>Second Quarter</t>
  </si>
  <si>
    <t>Integrity</t>
  </si>
  <si>
    <t>Third Quarter</t>
  </si>
  <si>
    <t>Citizen focus</t>
  </si>
  <si>
    <t>Q4</t>
  </si>
  <si>
    <t>Fourth Quarter</t>
  </si>
  <si>
    <t>Courage</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</si>
  <si>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</si>
  <si>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</si>
  <si>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</si>
  <si>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</si>
  <si>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</si>
  <si>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</si>
  <si>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</si>
  <si>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</si>
  <si>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Appraisee's  Comments:</t>
  </si>
  <si>
    <t>Supervisor's Comments:</t>
  </si>
  <si>
    <t>Countersigning Officer's Comments:</t>
  </si>
  <si>
    <t>Signature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</si>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</sst>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27" x14ac:knownFonts="1">
    <font>
      <sz val="11"/>
      <color theme="1"/>
      <name val="Calibri"/>
      <family val="2"/>
      <scheme val="minor"/>
    </font>
    <font>
      <sz val="11"/>
      <color theme="1"/>
      <name val="Calibri"/>
      <family val="2"/>
      <scheme val="minor"/>
    </font>
    <font>
      <u/>
      <sz val="11"/>
      <color theme="10"/>
      <name val="Calibri"/>
      <family val="2"/>
      <scheme val="minor"/>
    </font>
    <font>
      <b/>
      <sz val="48"/>
      <color theme="1"/>
      <name val="Century Gothic"/>
      <family val="2"/>
    </font>
    <font>
      <b/>
      <sz val="40"/>
      <name val="Century Gothic"/>
      <family val="2"/>
    </font>
    <font>
      <sz val="40"/>
      <color theme="1"/>
      <name val="Calibri"/>
      <family val="2"/>
      <scheme val="minor"/>
    </font>
    <font>
      <sz val="40"/>
      <name val="Century Gothic"/>
      <family val="2"/>
    </font>
    <font>
      <b/>
      <sz val="28"/>
      <color theme="1"/>
      <name val="Century Gothic"/>
      <family val="2"/>
    </font>
    <font>
      <sz val="28"/>
      <color theme="1"/>
      <name val="Calibri"/>
      <family val="2"/>
      <scheme val="minor"/>
    </font>
    <font>
      <b/>
      <sz val="40"/>
      <color theme="1"/>
      <name val="Century Gothic"/>
      <family val="2"/>
    </font>
    <font>
      <b/>
      <sz val="40"/>
      <color theme="1"/>
      <name val="Calibri"/>
      <family val="2"/>
      <scheme val="minor"/>
    </font>
    <font>
      <u/>
      <sz val="40"/>
      <color theme="1"/>
      <name val="Calibri"/>
      <family val="2"/>
      <charset val="1"/>
      <scheme val="minor"/>
    </font>
    <font>
      <u/>
      <sz val="40"/>
      <color theme="1"/>
      <name val="Calibri"/>
      <family val="2"/>
      <scheme val="minor"/>
    </font>
    <font>
      <sz val="40"/>
      <color theme="1"/>
      <name val="Century Gothic"/>
      <family val="2"/>
    </font>
    <font>
      <b/>
      <sz val="26"/>
      <name val="Century Gothic"/>
      <family val="2"/>
    </font>
    <font>
      <sz val="26"/>
      <name val="Century Gothic"/>
      <family val="2"/>
    </font>
    <font>
      <sz val="26"/>
      <color theme="1"/>
      <name val="Century Gothic"/>
      <family val="2"/>
    </font>
    <font>
      <b/>
      <sz val="36"/>
      <name val="Century Gothic"/>
      <family val="2"/>
    </font>
    <font>
      <sz val="50"/>
      <color theme="1"/>
      <name val="Century Gothic"/>
      <family val="2"/>
    </font>
    <font>
      <sz val="50"/>
      <color theme="1"/>
      <name val="Calibri"/>
      <family val="2"/>
      <scheme val="minor"/>
    </font>
    <font>
      <b/>
      <sz val="26"/>
      <color theme="1" tint="4.9989318521683403E-2"/>
      <name val="Century Gothic"/>
      <family val="2"/>
    </font>
    <font>
      <b/>
      <sz val="40"/>
      <color theme="1" tint="4.9989318521683403E-2"/>
      <name val="Century Gothic"/>
      <family val="2"/>
    </font>
    <font>
      <sz val="26"/>
      <color theme="1" tint="4.9989318521683403E-2"/>
      <name val="Century Gothic"/>
      <family val="2"/>
    </font>
    <font>
      <sz val="48"/>
      <color theme="1"/>
      <name val="Century Gothic"/>
      <family val="2"/>
    </font>
    <font>
      <b/>
      <sz val="26"/>
      <color theme="1"/>
      <name val="Century Gothic"/>
      <family val="2"/>
    </font>
    <font>
      <b/>
      <sz val="26"/>
      <color theme="0"/>
      <name val="Century Gothic"/>
      <family val="2"/>
    </font>
    <font>
      <sz val="16"/>
      <color theme="1"/>
      <name val="Century Gothic"/>
      <family val="2"/>
    </font>
  </fonts>
  <fills count="5">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medium">
        <color auto="1"/>
      </bottom>
      <diagonal/>
    </border>
  </borders>
  <cellStyleXfs count="8">
    <xf numFmtId="0" fontId="0" fillId="0" borderId="0"/>
    <xf numFmtId="0" fontId="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cellStyleXfs>
  <cellXfs count="205">
    <xf numFmtId="0" fontId="0" fillId="0" borderId="0" xfId="0"/>
    <xf numFmtId="0" fontId="3" fillId="0" borderId="1" xfId="2" applyFont="1" applyBorder="1" applyAlignment="1">
      <alignment horizontal="center" vertical="center"/>
    </xf>
    <xf numFmtId="0" fontId="3" fillId="0" borderId="2" xfId="2" applyFont="1" applyBorder="1" applyAlignment="1">
      <alignment horizontal="center" vertical="center"/>
    </xf>
    <xf numFmtId="0" fontId="3" fillId="0" borderId="3" xfId="2" applyFont="1" applyBorder="1" applyAlignment="1">
      <alignment horizontal="center" vertical="center"/>
    </xf>
    <xf numFmtId="0" fontId="1" fillId="0" borderId="0" xfId="2"/>
    <xf numFmtId="0" fontId="3" fillId="0" borderId="4" xfId="2" applyFont="1" applyBorder="1" applyAlignment="1">
      <alignment horizontal="center" vertical="center"/>
    </xf>
    <xf numFmtId="0" fontId="3" fillId="0" borderId="0" xfId="2" applyFont="1" applyAlignment="1">
      <alignment horizontal="center" vertical="center"/>
    </xf>
    <xf numFmtId="0" fontId="3" fillId="0" borderId="5" xfId="2" applyFont="1" applyBorder="1" applyAlignment="1">
      <alignment horizontal="center" vertical="center"/>
    </xf>
    <xf numFmtId="0" fontId="3" fillId="0" borderId="6" xfId="2" applyFont="1" applyBorder="1" applyAlignment="1">
      <alignment horizontal="center" vertical="center"/>
    </xf>
    <xf numFmtId="0" fontId="3" fillId="0" borderId="7" xfId="2" applyFont="1" applyBorder="1" applyAlignment="1">
      <alignment horizontal="center" vertical="center"/>
    </xf>
    <xf numFmtId="0" fontId="3" fillId="0" borderId="8" xfId="2" applyFont="1" applyBorder="1" applyAlignment="1">
      <alignment horizontal="center" vertical="center"/>
    </xf>
    <xf numFmtId="0" fontId="4" fillId="2" borderId="0" xfId="2" applyFont="1" applyFill="1" applyAlignment="1">
      <alignment horizontal="left" vertical="center" wrapText="1"/>
    </xf>
    <xf numFmtId="0" fontId="4" fillId="2" borderId="0" xfId="2" applyFont="1" applyFill="1" applyAlignment="1">
      <alignment horizontal="left" vertical="center" wrapText="1"/>
    </xf>
    <xf numFmtId="0" fontId="5" fillId="2" borderId="0" xfId="2" applyFont="1" applyFill="1"/>
    <xf numFmtId="0" fontId="5" fillId="0" borderId="0" xfId="2" applyFont="1"/>
    <xf numFmtId="0" fontId="4" fillId="3" borderId="0" xfId="2" applyFont="1" applyFill="1" applyAlignment="1">
      <alignment vertical="center"/>
    </xf>
    <xf numFmtId="49" fontId="4" fillId="4" borderId="0" xfId="2" applyNumberFormat="1" applyFont="1" applyFill="1" applyAlignment="1">
      <alignment vertical="center"/>
    </xf>
    <xf numFmtId="0" fontId="4" fillId="3" borderId="0" xfId="2" applyFont="1" applyFill="1" applyAlignment="1">
      <alignment horizontal="center" vertical="center"/>
    </xf>
    <xf numFmtId="49" fontId="4" fillId="0" borderId="9" xfId="2" applyNumberFormat="1" applyFont="1" applyBorder="1" applyAlignment="1">
      <alignment horizontal="center"/>
    </xf>
    <xf numFmtId="0" fontId="6" fillId="2" borderId="0" xfId="2" applyFont="1" applyFill="1" applyAlignment="1">
      <alignment horizontal="center"/>
    </xf>
    <xf numFmtId="0" fontId="6" fillId="2" borderId="0" xfId="2" applyFont="1" applyFill="1" applyAlignment="1">
      <alignment horizontal="center"/>
    </xf>
    <xf numFmtId="0" fontId="7" fillId="2" borderId="0" xfId="2" applyFont="1" applyFill="1" applyAlignment="1">
      <alignment horizontal="left"/>
    </xf>
    <xf numFmtId="0" fontId="7" fillId="2" borderId="0" xfId="2" applyFont="1" applyFill="1" applyAlignment="1">
      <alignment horizontal="left"/>
    </xf>
    <xf numFmtId="0" fontId="8" fillId="2" borderId="0" xfId="2" applyFont="1" applyFill="1"/>
    <xf numFmtId="0" fontId="8" fillId="0" borderId="0" xfId="2" applyFont="1"/>
    <xf numFmtId="0" fontId="9" fillId="3" borderId="0" xfId="3" applyFont="1" applyFill="1" applyAlignment="1">
      <alignment horizontal="left" vertical="center"/>
    </xf>
    <xf numFmtId="0" fontId="9" fillId="3" borderId="5" xfId="3" applyFont="1" applyFill="1" applyBorder="1" applyAlignment="1">
      <alignment horizontal="left" vertical="center"/>
    </xf>
    <xf numFmtId="0" fontId="9" fillId="0" borderId="8" xfId="3" applyFont="1" applyBorder="1" applyAlignment="1">
      <alignment horizontal="left"/>
    </xf>
    <xf numFmtId="0" fontId="9" fillId="3" borderId="10" xfId="3" applyFont="1" applyFill="1" applyBorder="1" applyAlignment="1">
      <alignment horizontal="left"/>
    </xf>
    <xf numFmtId="0" fontId="9" fillId="0" borderId="6" xfId="3" applyFont="1" applyBorder="1" applyAlignment="1">
      <alignment horizontal="left"/>
    </xf>
    <xf numFmtId="0" fontId="9" fillId="0" borderId="7" xfId="3" applyFont="1" applyBorder="1" applyAlignment="1">
      <alignment horizontal="left"/>
    </xf>
    <xf numFmtId="0" fontId="9" fillId="0" borderId="8" xfId="3" applyFont="1" applyBorder="1" applyAlignment="1">
      <alignment horizontal="left"/>
    </xf>
    <xf numFmtId="0" fontId="10" fillId="2" borderId="0" xfId="3" applyFont="1" applyFill="1" applyAlignment="1">
      <alignment horizontal="left"/>
    </xf>
    <xf numFmtId="0" fontId="10" fillId="0" borderId="0" xfId="3" applyFont="1" applyAlignment="1">
      <alignment horizontal="left"/>
    </xf>
    <xf numFmtId="0" fontId="9" fillId="3" borderId="0" xfId="3" applyFont="1" applyFill="1" applyAlignment="1">
      <alignment horizontal="left"/>
    </xf>
    <xf numFmtId="0" fontId="9" fillId="3" borderId="5" xfId="3" applyFont="1" applyFill="1" applyBorder="1" applyAlignment="1">
      <alignment horizontal="left"/>
    </xf>
    <xf numFmtId="0" fontId="9" fillId="0" borderId="11" xfId="3" applyFont="1" applyBorder="1" applyAlignment="1">
      <alignment horizontal="left"/>
    </xf>
    <xf numFmtId="0" fontId="9" fillId="3" borderId="12" xfId="3" applyFont="1" applyFill="1" applyBorder="1" applyAlignment="1">
      <alignment horizontal="left"/>
    </xf>
    <xf numFmtId="0" fontId="11" fillId="0" borderId="11" xfId="1" applyFont="1" applyBorder="1" applyAlignment="1">
      <alignment horizontal="left"/>
    </xf>
    <xf numFmtId="49" fontId="9" fillId="0" borderId="9" xfId="3" applyNumberFormat="1" applyFont="1" applyBorder="1" applyAlignment="1">
      <alignment horizontal="left"/>
    </xf>
    <xf numFmtId="0" fontId="9" fillId="0" borderId="13" xfId="3" applyFont="1" applyBorder="1" applyAlignment="1">
      <alignment horizontal="left"/>
    </xf>
    <xf numFmtId="0" fontId="9" fillId="0" borderId="11" xfId="3" applyFont="1" applyBorder="1" applyAlignment="1">
      <alignment horizontal="left"/>
    </xf>
    <xf numFmtId="0" fontId="9" fillId="2" borderId="0" xfId="2" applyFont="1" applyFill="1" applyAlignment="1">
      <alignment horizontal="left"/>
    </xf>
    <xf numFmtId="0" fontId="9" fillId="2" borderId="0" xfId="2" applyFont="1" applyFill="1" applyAlignment="1">
      <alignment horizontal="left"/>
    </xf>
    <xf numFmtId="0" fontId="10" fillId="2" borderId="0" xfId="2" applyFont="1" applyFill="1" applyAlignment="1">
      <alignment horizontal="left"/>
    </xf>
    <xf numFmtId="0" fontId="10" fillId="0" borderId="0" xfId="2" applyFont="1" applyAlignment="1">
      <alignment horizontal="left"/>
    </xf>
    <xf numFmtId="0" fontId="9" fillId="3" borderId="0" xfId="4" applyFont="1" applyFill="1" applyAlignment="1">
      <alignment horizontal="left" vertical="center"/>
    </xf>
    <xf numFmtId="0" fontId="9" fillId="3" borderId="5" xfId="4" applyFont="1" applyFill="1" applyBorder="1" applyAlignment="1">
      <alignment horizontal="left" vertical="center"/>
    </xf>
    <xf numFmtId="0" fontId="9" fillId="0" borderId="8" xfId="4" applyFont="1" applyBorder="1" applyAlignment="1">
      <alignment horizontal="left"/>
    </xf>
    <xf numFmtId="0" fontId="9" fillId="3" borderId="10" xfId="4" applyFont="1" applyFill="1" applyBorder="1" applyAlignment="1">
      <alignment horizontal="left"/>
    </xf>
    <xf numFmtId="0" fontId="9" fillId="3" borderId="6" xfId="4" applyFont="1" applyFill="1" applyBorder="1" applyAlignment="1">
      <alignment horizontal="left"/>
    </xf>
    <xf numFmtId="0" fontId="9" fillId="0" borderId="6" xfId="4" applyFont="1" applyBorder="1" applyAlignment="1">
      <alignment horizontal="left"/>
    </xf>
    <xf numFmtId="0" fontId="9" fillId="0" borderId="7" xfId="5" applyFont="1" applyBorder="1" applyAlignment="1">
      <alignment horizontal="left"/>
    </xf>
    <xf numFmtId="0" fontId="9" fillId="0" borderId="8" xfId="5" applyFont="1" applyBorder="1" applyAlignment="1">
      <alignment horizontal="left"/>
    </xf>
    <xf numFmtId="0" fontId="5" fillId="2" borderId="0" xfId="4" applyFont="1" applyFill="1"/>
    <xf numFmtId="0" fontId="5" fillId="0" borderId="0" xfId="4" applyFont="1"/>
    <xf numFmtId="0" fontId="9" fillId="3" borderId="0" xfId="4" applyFont="1" applyFill="1" applyAlignment="1">
      <alignment horizontal="left"/>
    </xf>
    <xf numFmtId="0" fontId="9" fillId="3" borderId="5" xfId="4" applyFont="1" applyFill="1" applyBorder="1" applyAlignment="1">
      <alignment horizontal="left"/>
    </xf>
    <xf numFmtId="0" fontId="9" fillId="0" borderId="11" xfId="4" applyFont="1" applyBorder="1" applyAlignment="1">
      <alignment horizontal="left"/>
    </xf>
    <xf numFmtId="0" fontId="9" fillId="3" borderId="12" xfId="4" applyFont="1" applyFill="1" applyBorder="1" applyAlignment="1">
      <alignment horizontal="left"/>
    </xf>
    <xf numFmtId="0" fontId="12" fillId="0" borderId="11" xfId="1" quotePrefix="1" applyFont="1" applyBorder="1" applyAlignment="1">
      <alignment horizontal="left"/>
    </xf>
    <xf numFmtId="0" fontId="9" fillId="3" borderId="9" xfId="4" applyFont="1" applyFill="1" applyBorder="1" applyAlignment="1">
      <alignment horizontal="left"/>
    </xf>
    <xf numFmtId="0" fontId="13" fillId="0" borderId="9" xfId="4" applyFont="1" applyBorder="1" applyAlignment="1">
      <alignment horizontal="left"/>
    </xf>
    <xf numFmtId="0" fontId="9" fillId="0" borderId="9" xfId="5" applyFont="1" applyBorder="1" applyAlignment="1">
      <alignment horizontal="left"/>
    </xf>
    <xf numFmtId="0" fontId="9" fillId="0" borderId="11" xfId="5" applyFont="1" applyBorder="1" applyAlignment="1">
      <alignment horizontal="left"/>
    </xf>
    <xf numFmtId="0" fontId="9" fillId="3" borderId="12" xfId="4" applyFont="1" applyFill="1" applyBorder="1" applyAlignment="1">
      <alignment horizontal="left" vertical="center"/>
    </xf>
    <xf numFmtId="0" fontId="9" fillId="0" borderId="7" xfId="2" applyFont="1" applyBorder="1" applyAlignment="1">
      <alignment horizontal="left"/>
    </xf>
    <xf numFmtId="0" fontId="9" fillId="0" borderId="8" xfId="2" applyFont="1" applyBorder="1" applyAlignment="1">
      <alignment horizontal="left"/>
    </xf>
    <xf numFmtId="0" fontId="9" fillId="3" borderId="12" xfId="4" applyFont="1" applyFill="1" applyBorder="1" applyAlignment="1">
      <alignment horizontal="left"/>
    </xf>
    <xf numFmtId="0" fontId="12" fillId="0" borderId="11" xfId="1" applyFont="1" applyBorder="1" applyAlignment="1">
      <alignment horizontal="left"/>
    </xf>
    <xf numFmtId="0" fontId="9" fillId="0" borderId="13" xfId="2" applyFont="1" applyBorder="1" applyAlignment="1">
      <alignment horizontal="left"/>
    </xf>
    <xf numFmtId="0" fontId="9" fillId="0" borderId="11" xfId="2" applyFont="1" applyBorder="1" applyAlignment="1">
      <alignment horizontal="left"/>
    </xf>
    <xf numFmtId="0" fontId="5" fillId="2" borderId="0" xfId="2" applyFont="1" applyFill="1"/>
    <xf numFmtId="0" fontId="13" fillId="2" borderId="0" xfId="2" applyFont="1" applyFill="1" applyAlignment="1">
      <alignment horizontal="center"/>
    </xf>
    <xf numFmtId="0" fontId="14" fillId="3" borderId="0" xfId="2" applyFont="1" applyFill="1" applyAlignment="1">
      <alignment horizontal="left"/>
    </xf>
    <xf numFmtId="0" fontId="14" fillId="3" borderId="0" xfId="2" applyFont="1" applyFill="1" applyAlignment="1">
      <alignment horizontal="left"/>
    </xf>
    <xf numFmtId="0" fontId="15" fillId="3" borderId="0" xfId="2" applyFont="1" applyFill="1"/>
    <xf numFmtId="0" fontId="16" fillId="3" borderId="0" xfId="2" applyFont="1" applyFill="1"/>
    <xf numFmtId="0" fontId="17" fillId="2" borderId="14" xfId="2" applyFont="1" applyFill="1" applyBorder="1" applyAlignment="1">
      <alignment horizontal="center" vertical="center"/>
    </xf>
    <xf numFmtId="0" fontId="17" fillId="2" borderId="15" xfId="2" applyFont="1" applyFill="1" applyBorder="1" applyAlignment="1">
      <alignment horizontal="center" vertical="center"/>
    </xf>
    <xf numFmtId="0" fontId="17" fillId="2" borderId="14" xfId="2" applyFont="1" applyFill="1" applyBorder="1" applyAlignment="1">
      <alignment horizontal="center" vertical="center" wrapText="1"/>
    </xf>
    <xf numFmtId="0" fontId="17" fillId="2" borderId="1" xfId="2" applyFont="1" applyFill="1" applyBorder="1" applyAlignment="1">
      <alignment horizontal="center" vertical="center" wrapText="1"/>
    </xf>
    <xf numFmtId="0" fontId="17" fillId="2" borderId="9" xfId="2" applyFont="1" applyFill="1" applyBorder="1" applyAlignment="1">
      <alignment horizontal="center" vertical="center" wrapText="1"/>
    </xf>
    <xf numFmtId="0" fontId="17" fillId="2" borderId="13" xfId="2" applyFont="1" applyFill="1" applyBorder="1" applyAlignment="1">
      <alignment horizontal="center" vertical="center" wrapText="1"/>
    </xf>
    <xf numFmtId="0" fontId="17" fillId="2" borderId="11" xfId="2" applyFont="1" applyFill="1" applyBorder="1" applyAlignment="1">
      <alignment horizontal="center" vertical="center" wrapText="1"/>
    </xf>
    <xf numFmtId="0" fontId="17" fillId="2" borderId="15" xfId="2" applyFont="1" applyFill="1" applyBorder="1" applyAlignment="1">
      <alignment horizontal="center" vertical="center" wrapText="1"/>
    </xf>
    <xf numFmtId="0" fontId="17" fillId="2" borderId="4" xfId="2" applyFont="1" applyFill="1" applyBorder="1" applyAlignment="1">
      <alignment horizontal="center" vertical="center"/>
    </xf>
    <xf numFmtId="0" fontId="17" fillId="2" borderId="14" xfId="2" applyFont="1" applyFill="1" applyBorder="1" applyAlignment="1">
      <alignment horizontal="center" vertical="center"/>
    </xf>
    <xf numFmtId="0" fontId="17" fillId="2" borderId="14" xfId="2" applyFont="1" applyFill="1" applyBorder="1" applyAlignment="1">
      <alignment horizontal="center" vertical="center" wrapText="1"/>
    </xf>
    <xf numFmtId="0" fontId="18" fillId="0" borderId="12" xfId="2" applyFont="1" applyBorder="1" applyAlignment="1">
      <alignment horizontal="center" vertical="center"/>
    </xf>
    <xf numFmtId="0" fontId="18" fillId="0" borderId="12" xfId="2" applyFont="1" applyBorder="1" applyAlignment="1">
      <alignment horizontal="left" vertical="center" wrapText="1"/>
    </xf>
    <xf numFmtId="2" fontId="18" fillId="0" borderId="12" xfId="2" applyNumberFormat="1" applyFont="1" applyBorder="1" applyAlignment="1">
      <alignment horizontal="center" vertical="center"/>
    </xf>
    <xf numFmtId="0" fontId="18" fillId="0" borderId="14" xfId="2" applyFont="1" applyBorder="1" applyAlignment="1">
      <alignment horizontal="left" vertical="center" wrapText="1"/>
    </xf>
    <xf numFmtId="2" fontId="18" fillId="0" borderId="12" xfId="0" applyNumberFormat="1" applyFont="1" applyBorder="1" applyAlignment="1">
      <alignment horizontal="center" vertical="center"/>
    </xf>
    <xf numFmtId="0" fontId="18" fillId="0" borderId="12" xfId="2" applyFont="1" applyBorder="1" applyAlignment="1">
      <alignment horizontal="left" vertical="center" wrapText="1"/>
    </xf>
    <xf numFmtId="9" fontId="18" fillId="0" borderId="12" xfId="2" applyNumberFormat="1" applyFont="1" applyBorder="1" applyAlignment="1">
      <alignment horizontal="center" vertical="center" wrapText="1"/>
    </xf>
    <xf numFmtId="0" fontId="18" fillId="0" borderId="12" xfId="6" applyFont="1" applyBorder="1" applyAlignment="1">
      <alignment horizontal="center" vertical="center" wrapText="1"/>
    </xf>
    <xf numFmtId="0" fontId="18" fillId="0" borderId="12" xfId="7" applyFont="1" applyBorder="1" applyAlignment="1">
      <alignment horizontal="center" vertical="center" wrapText="1"/>
    </xf>
    <xf numFmtId="0" fontId="19" fillId="0" borderId="12" xfId="7" applyFont="1" applyBorder="1" applyAlignment="1">
      <alignment horizontal="center" vertical="center"/>
    </xf>
    <xf numFmtId="0" fontId="20" fillId="0" borderId="0" xfId="2" applyFont="1" applyAlignment="1">
      <alignment vertical="center"/>
    </xf>
    <xf numFmtId="0" fontId="18" fillId="0" borderId="15" xfId="2" applyFont="1" applyBorder="1" applyAlignment="1">
      <alignment horizontal="left" vertical="center" wrapText="1"/>
    </xf>
    <xf numFmtId="0" fontId="18" fillId="0" borderId="10" xfId="2" applyFont="1" applyBorder="1" applyAlignment="1">
      <alignment horizontal="left" vertical="center" wrapText="1"/>
    </xf>
    <xf numFmtId="0" fontId="18" fillId="0" borderId="12" xfId="2" applyFont="1" applyBorder="1" applyAlignment="1">
      <alignment vertical="center" wrapText="1"/>
    </xf>
    <xf numFmtId="0" fontId="18" fillId="0" borderId="16" xfId="0" applyFont="1" applyBorder="1" applyAlignment="1">
      <alignment horizontal="center" vertical="center" wrapText="1"/>
    </xf>
    <xf numFmtId="0" fontId="18" fillId="0" borderId="14" xfId="2" applyFont="1" applyBorder="1" applyAlignment="1">
      <alignment horizontal="center" vertical="center"/>
    </xf>
    <xf numFmtId="9" fontId="18" fillId="0" borderId="12" xfId="2" applyNumberFormat="1" applyFont="1" applyBorder="1" applyAlignment="1">
      <alignment horizontal="center" vertical="center"/>
    </xf>
    <xf numFmtId="0" fontId="18" fillId="0" borderId="12" xfId="2" applyFont="1" applyBorder="1" applyAlignment="1">
      <alignment horizontal="center" vertical="center"/>
    </xf>
    <xf numFmtId="0" fontId="18" fillId="0" borderId="15" xfId="2" applyFont="1" applyBorder="1" applyAlignment="1">
      <alignment horizontal="center" vertical="center"/>
    </xf>
    <xf numFmtId="0" fontId="18" fillId="0" borderId="10" xfId="2" applyFont="1" applyBorder="1" applyAlignment="1">
      <alignment horizontal="center" vertical="center"/>
    </xf>
    <xf numFmtId="2" fontId="18" fillId="0" borderId="12" xfId="2" applyNumberFormat="1" applyFont="1" applyBorder="1" applyAlignment="1">
      <alignment horizontal="center" vertical="center" wrapText="1"/>
    </xf>
    <xf numFmtId="2" fontId="18" fillId="0" borderId="14" xfId="2" applyNumberFormat="1" applyFont="1" applyBorder="1" applyAlignment="1">
      <alignment horizontal="center" vertical="center" wrapText="1"/>
    </xf>
    <xf numFmtId="2" fontId="18" fillId="0" borderId="15" xfId="2" applyNumberFormat="1" applyFont="1" applyBorder="1" applyAlignment="1">
      <alignment horizontal="center" vertical="center" wrapText="1"/>
    </xf>
    <xf numFmtId="2" fontId="18" fillId="0" borderId="10" xfId="2" applyNumberFormat="1" applyFont="1" applyBorder="1" applyAlignment="1">
      <alignment horizontal="center" vertical="center" wrapText="1"/>
    </xf>
    <xf numFmtId="0" fontId="18" fillId="0" borderId="14" xfId="2" applyFont="1" applyBorder="1" applyAlignment="1">
      <alignment horizontal="center" vertical="center"/>
    </xf>
    <xf numFmtId="0" fontId="18" fillId="0" borderId="14" xfId="2" applyFont="1" applyBorder="1" applyAlignment="1">
      <alignment horizontal="left" vertical="center" wrapText="1"/>
    </xf>
    <xf numFmtId="2" fontId="18" fillId="0" borderId="14" xfId="2" applyNumberFormat="1" applyFont="1" applyBorder="1" applyAlignment="1">
      <alignment horizontal="center" vertical="center" wrapText="1"/>
    </xf>
    <xf numFmtId="1" fontId="18" fillId="0" borderId="12" xfId="2" applyNumberFormat="1" applyFont="1" applyBorder="1" applyAlignment="1">
      <alignment horizontal="center" vertical="center" wrapText="1"/>
    </xf>
    <xf numFmtId="0" fontId="21" fillId="0" borderId="12" xfId="2" applyFont="1" applyBorder="1" applyAlignment="1">
      <alignment horizontal="center" vertical="center"/>
    </xf>
    <xf numFmtId="0" fontId="9" fillId="0" borderId="10" xfId="2" applyFont="1" applyBorder="1" applyAlignment="1">
      <alignment vertical="center" wrapText="1"/>
    </xf>
    <xf numFmtId="2" fontId="9" fillId="0" borderId="10" xfId="2" applyNumberFormat="1" applyFont="1" applyBorder="1" applyAlignment="1">
      <alignment horizontal="center" vertical="center"/>
    </xf>
    <xf numFmtId="9" fontId="22" fillId="0" borderId="10" xfId="2" applyNumberFormat="1" applyFont="1" applyBorder="1" applyAlignment="1">
      <alignment horizontal="center" vertical="center"/>
    </xf>
    <xf numFmtId="164" fontId="23" fillId="0" borderId="10" xfId="2" applyNumberFormat="1" applyFont="1" applyBorder="1" applyAlignment="1">
      <alignment vertical="center" wrapText="1"/>
    </xf>
    <xf numFmtId="164" fontId="23" fillId="0" borderId="10" xfId="2" applyNumberFormat="1" applyFont="1" applyBorder="1" applyAlignment="1">
      <alignment horizontal="center" vertical="center" wrapText="1"/>
    </xf>
    <xf numFmtId="0" fontId="22" fillId="0" borderId="6" xfId="2" applyFont="1" applyBorder="1" applyAlignment="1">
      <alignment horizontal="center"/>
    </xf>
    <xf numFmtId="0" fontId="16" fillId="0" borderId="12" xfId="2" applyFont="1" applyBorder="1"/>
    <xf numFmtId="0" fontId="14" fillId="2" borderId="0" xfId="2" applyFont="1" applyFill="1" applyAlignment="1">
      <alignment horizontal="left" vertical="center" wrapText="1"/>
    </xf>
    <xf numFmtId="0" fontId="14" fillId="2" borderId="10" xfId="2" applyFont="1" applyFill="1" applyBorder="1" applyAlignment="1">
      <alignment horizontal="center" vertical="center" wrapText="1"/>
    </xf>
    <xf numFmtId="0" fontId="14" fillId="2" borderId="6" xfId="2" applyFont="1" applyFill="1" applyBorder="1" applyAlignment="1">
      <alignment horizontal="center" vertical="center" wrapText="1"/>
    </xf>
    <xf numFmtId="0" fontId="14" fillId="2" borderId="12" xfId="2" applyFont="1" applyFill="1" applyBorder="1" applyAlignment="1">
      <alignment horizontal="center" vertical="center"/>
    </xf>
    <xf numFmtId="0" fontId="16" fillId="2" borderId="0" xfId="2" applyFont="1" applyFill="1"/>
    <xf numFmtId="0" fontId="15" fillId="2" borderId="0" xfId="2" applyFont="1" applyFill="1" applyAlignment="1">
      <alignment horizontal="center"/>
    </xf>
    <xf numFmtId="0" fontId="14" fillId="3" borderId="0" xfId="2" applyFont="1" applyFill="1" applyAlignment="1">
      <alignment horizontal="center" vertical="center"/>
    </xf>
    <xf numFmtId="0" fontId="14" fillId="2" borderId="0" xfId="2" applyFont="1" applyFill="1" applyAlignment="1">
      <alignment horizontal="center" vertical="center" wrapText="1"/>
    </xf>
    <xf numFmtId="0" fontId="4" fillId="0" borderId="10" xfId="2" applyFont="1" applyBorder="1" applyAlignment="1">
      <alignment horizontal="center"/>
    </xf>
    <xf numFmtId="0" fontId="4" fillId="0" borderId="12" xfId="2" applyFont="1" applyBorder="1" applyAlignment="1">
      <alignment horizontal="left"/>
    </xf>
    <xf numFmtId="0" fontId="6" fillId="0" borderId="6" xfId="2" applyFont="1" applyBorder="1"/>
    <xf numFmtId="0" fontId="6" fillId="0" borderId="7" xfId="2" applyFont="1" applyBorder="1"/>
    <xf numFmtId="0" fontId="6" fillId="0" borderId="8" xfId="2" applyFont="1" applyBorder="1"/>
    <xf numFmtId="0" fontId="16" fillId="0" borderId="10" xfId="2" applyFont="1" applyBorder="1" applyAlignment="1">
      <alignment horizontal="center"/>
    </xf>
    <xf numFmtId="0" fontId="16" fillId="0" borderId="6" xfId="2" applyFont="1" applyBorder="1" applyAlignment="1">
      <alignment horizontal="center"/>
    </xf>
    <xf numFmtId="0" fontId="16" fillId="3" borderId="12" xfId="2" applyFont="1" applyFill="1" applyBorder="1"/>
    <xf numFmtId="0" fontId="14" fillId="2" borderId="12" xfId="2" applyFont="1" applyFill="1" applyBorder="1" applyAlignment="1">
      <alignment horizontal="left"/>
    </xf>
    <xf numFmtId="0" fontId="24" fillId="2" borderId="12" xfId="2" applyFont="1" applyFill="1" applyBorder="1"/>
    <xf numFmtId="0" fontId="6" fillId="0" borderId="12" xfId="2" applyFont="1" applyBorder="1" applyAlignment="1">
      <alignment horizontal="center" vertical="center"/>
    </xf>
    <xf numFmtId="0" fontId="6" fillId="0" borderId="12" xfId="2" applyFont="1" applyBorder="1" applyAlignment="1">
      <alignment vertical="center" wrapText="1"/>
    </xf>
    <xf numFmtId="0" fontId="6" fillId="0" borderId="9" xfId="2" applyFont="1" applyBorder="1" applyAlignment="1">
      <alignment horizontal="left" vertical="top" wrapText="1"/>
    </xf>
    <xf numFmtId="0" fontId="6" fillId="0" borderId="13" xfId="2" applyFont="1" applyBorder="1" applyAlignment="1">
      <alignment horizontal="left" vertical="top" wrapText="1"/>
    </xf>
    <xf numFmtId="0" fontId="6" fillId="0" borderId="11" xfId="2" applyFont="1" applyBorder="1" applyAlignment="1">
      <alignment horizontal="left" vertical="top" wrapText="1"/>
    </xf>
    <xf numFmtId="0" fontId="16" fillId="0" borderId="9" xfId="2" applyFont="1" applyBorder="1"/>
    <xf numFmtId="0" fontId="4" fillId="0" borderId="12" xfId="2" applyFont="1" applyBorder="1" applyAlignment="1">
      <alignment horizontal="center" vertical="center"/>
    </xf>
    <xf numFmtId="0" fontId="4" fillId="0" borderId="12" xfId="2" applyFont="1" applyBorder="1" applyAlignment="1">
      <alignment horizontal="left" vertical="center"/>
    </xf>
    <xf numFmtId="0" fontId="6" fillId="0" borderId="9" xfId="2" applyFont="1" applyBorder="1"/>
    <xf numFmtId="0" fontId="6" fillId="0" borderId="13" xfId="2" applyFont="1" applyBorder="1"/>
    <xf numFmtId="0" fontId="6" fillId="0" borderId="11" xfId="2" applyFont="1" applyBorder="1"/>
    <xf numFmtId="0" fontId="6" fillId="0" borderId="12" xfId="2" applyFont="1" applyBorder="1" applyAlignment="1">
      <alignment horizontal="left" vertical="center"/>
    </xf>
    <xf numFmtId="0" fontId="6" fillId="0" borderId="9" xfId="2" applyFont="1" applyBorder="1" applyAlignment="1">
      <alignment vertical="top" wrapText="1"/>
    </xf>
    <xf numFmtId="0" fontId="6" fillId="0" borderId="13" xfId="2" applyFont="1" applyBorder="1" applyAlignment="1">
      <alignment vertical="top" wrapText="1"/>
    </xf>
    <xf numFmtId="0" fontId="6" fillId="0" borderId="11" xfId="2" applyFont="1" applyBorder="1" applyAlignment="1">
      <alignment vertical="top" wrapText="1"/>
    </xf>
    <xf numFmtId="0" fontId="24" fillId="2" borderId="12" xfId="2" applyFont="1" applyFill="1" applyBorder="1"/>
    <xf numFmtId="0" fontId="16" fillId="2" borderId="12" xfId="2" applyFont="1" applyFill="1" applyBorder="1"/>
    <xf numFmtId="0" fontId="6" fillId="0" borderId="12" xfId="2" applyFont="1" applyBorder="1" applyAlignment="1">
      <alignment horizontal="left" vertical="center" wrapText="1"/>
    </xf>
    <xf numFmtId="0" fontId="6" fillId="0" borderId="9" xfId="2" applyFont="1" applyBorder="1" applyAlignment="1">
      <alignment horizontal="left" vertical="center" wrapText="1"/>
    </xf>
    <xf numFmtId="0" fontId="6" fillId="0" borderId="13" xfId="2" applyFont="1" applyBorder="1" applyAlignment="1">
      <alignment horizontal="left" vertical="center" wrapText="1"/>
    </xf>
    <xf numFmtId="0" fontId="6" fillId="0" borderId="11" xfId="2" applyFont="1" applyBorder="1" applyAlignment="1">
      <alignment horizontal="left" vertical="center" wrapText="1"/>
    </xf>
    <xf numFmtId="0" fontId="14" fillId="2" borderId="9" xfId="2" applyFont="1" applyFill="1" applyBorder="1" applyAlignment="1">
      <alignment horizontal="left"/>
    </xf>
    <xf numFmtId="0" fontId="14" fillId="2" borderId="13" xfId="2" applyFont="1" applyFill="1" applyBorder="1" applyAlignment="1">
      <alignment horizontal="left"/>
    </xf>
    <xf numFmtId="0" fontId="14" fillId="2" borderId="13" xfId="2" applyFont="1" applyFill="1" applyBorder="1" applyAlignment="1">
      <alignment horizontal="center"/>
    </xf>
    <xf numFmtId="0" fontId="4" fillId="0" borderId="9" xfId="2" applyFont="1" applyBorder="1"/>
    <xf numFmtId="0" fontId="14" fillId="0" borderId="12" xfId="2" applyFont="1" applyBorder="1"/>
    <xf numFmtId="0" fontId="15" fillId="0" borderId="12" xfId="2" applyFont="1" applyBorder="1" applyAlignment="1">
      <alignment horizontal="right" vertical="center"/>
    </xf>
    <xf numFmtId="0" fontId="14" fillId="0" borderId="9" xfId="2" applyFont="1" applyBorder="1"/>
    <xf numFmtId="0" fontId="14" fillId="2" borderId="0" xfId="2" applyFont="1" applyFill="1" applyAlignment="1">
      <alignment horizontal="left"/>
    </xf>
    <xf numFmtId="0" fontId="25" fillId="2" borderId="0" xfId="2" applyFont="1" applyFill="1" applyAlignment="1">
      <alignment horizontal="left"/>
    </xf>
    <xf numFmtId="0" fontId="4" fillId="2" borderId="12" xfId="2" applyFont="1" applyFill="1" applyBorder="1" applyAlignment="1">
      <alignment horizontal="left" vertical="center" wrapText="1"/>
    </xf>
    <xf numFmtId="0" fontId="6" fillId="0" borderId="4" xfId="2" applyFont="1" applyBorder="1" applyAlignment="1">
      <alignment horizontal="center"/>
    </xf>
    <xf numFmtId="0" fontId="6" fillId="0" borderId="5" xfId="2" applyFont="1" applyBorder="1" applyAlignment="1">
      <alignment horizontal="center"/>
    </xf>
    <xf numFmtId="0" fontId="4" fillId="2" borderId="1" xfId="2" applyFont="1" applyFill="1" applyBorder="1" applyAlignment="1">
      <alignment horizontal="left" vertical="center" wrapText="1"/>
    </xf>
    <xf numFmtId="0" fontId="6" fillId="0" borderId="2" xfId="2" applyFont="1" applyBorder="1" applyAlignment="1">
      <alignment horizontal="left"/>
    </xf>
    <xf numFmtId="0" fontId="4" fillId="2" borderId="3" xfId="2" applyFont="1" applyFill="1" applyBorder="1" applyAlignment="1">
      <alignment horizontal="left" vertical="center" wrapText="1"/>
    </xf>
    <xf numFmtId="0" fontId="15" fillId="0" borderId="2" xfId="2" applyFont="1" applyBorder="1"/>
    <xf numFmtId="0" fontId="16" fillId="3" borderId="0" xfId="2" applyFont="1" applyFill="1" applyAlignment="1">
      <alignment horizontal="center"/>
    </xf>
    <xf numFmtId="0" fontId="4" fillId="2" borderId="4" xfId="2" applyFont="1" applyFill="1" applyBorder="1" applyAlignment="1">
      <alignment horizontal="left" vertical="center" wrapText="1"/>
    </xf>
    <xf numFmtId="0" fontId="6" fillId="0" borderId="0" xfId="2" applyFont="1" applyAlignment="1">
      <alignment horizontal="left"/>
    </xf>
    <xf numFmtId="0" fontId="4" fillId="2" borderId="5" xfId="2" applyFont="1" applyFill="1" applyBorder="1" applyAlignment="1">
      <alignment horizontal="left" vertical="center" wrapText="1"/>
    </xf>
    <xf numFmtId="0" fontId="15" fillId="0" borderId="12" xfId="2" applyFont="1" applyBorder="1"/>
    <xf numFmtId="0" fontId="4" fillId="2" borderId="6" xfId="2" applyFont="1" applyFill="1" applyBorder="1" applyAlignment="1">
      <alignment horizontal="left" vertical="center" wrapText="1"/>
    </xf>
    <xf numFmtId="0" fontId="6" fillId="0" borderId="7" xfId="2" applyFont="1" applyBorder="1" applyAlignment="1">
      <alignment horizontal="left"/>
    </xf>
    <xf numFmtId="0" fontId="4" fillId="2" borderId="8" xfId="2" applyFont="1" applyFill="1" applyBorder="1" applyAlignment="1">
      <alignment horizontal="left" vertical="center" wrapText="1"/>
    </xf>
    <xf numFmtId="0" fontId="4" fillId="3" borderId="0" xfId="2" applyFont="1" applyFill="1" applyAlignment="1">
      <alignment horizontal="left" vertical="center" wrapText="1"/>
    </xf>
    <xf numFmtId="0" fontId="4" fillId="3" borderId="5" xfId="2" applyFont="1" applyFill="1" applyBorder="1" applyAlignment="1">
      <alignment horizontal="left" vertical="center" wrapText="1"/>
    </xf>
    <xf numFmtId="0" fontId="4" fillId="3" borderId="1" xfId="2" applyFont="1" applyFill="1" applyBorder="1" applyAlignment="1">
      <alignment horizontal="left" vertical="center"/>
    </xf>
    <xf numFmtId="0" fontId="4" fillId="3" borderId="3" xfId="2" applyFont="1" applyFill="1" applyBorder="1" applyAlignment="1">
      <alignment horizontal="left" vertical="center"/>
    </xf>
    <xf numFmtId="0" fontId="4" fillId="3" borderId="4" xfId="2" applyFont="1" applyFill="1" applyBorder="1" applyAlignment="1">
      <alignment horizontal="left" vertical="center"/>
    </xf>
    <xf numFmtId="0" fontId="4" fillId="3" borderId="5" xfId="2" applyFont="1" applyFill="1" applyBorder="1" applyAlignment="1">
      <alignment horizontal="left" vertical="center"/>
    </xf>
    <xf numFmtId="0" fontId="4" fillId="3" borderId="6" xfId="2" applyFont="1" applyFill="1" applyBorder="1" applyAlignment="1">
      <alignment horizontal="left" vertical="center"/>
    </xf>
    <xf numFmtId="0" fontId="4" fillId="3" borderId="8" xfId="2" applyFont="1" applyFill="1" applyBorder="1" applyAlignment="1">
      <alignment horizontal="left" vertical="center"/>
    </xf>
    <xf numFmtId="0" fontId="4" fillId="2" borderId="1" xfId="2" applyFont="1" applyFill="1" applyBorder="1" applyAlignment="1">
      <alignment horizontal="left" vertical="center"/>
    </xf>
    <xf numFmtId="0" fontId="4" fillId="2" borderId="3" xfId="2" applyFont="1" applyFill="1" applyBorder="1" applyAlignment="1">
      <alignment horizontal="left" vertical="center"/>
    </xf>
    <xf numFmtId="0" fontId="6" fillId="0" borderId="6" xfId="2" applyFont="1" applyBorder="1" applyAlignment="1">
      <alignment horizontal="center"/>
    </xf>
    <xf numFmtId="0" fontId="6" fillId="0" borderId="8" xfId="2" applyFont="1" applyBorder="1" applyAlignment="1">
      <alignment horizontal="center"/>
    </xf>
    <xf numFmtId="0" fontId="4" fillId="2" borderId="6" xfId="2" applyFont="1" applyFill="1" applyBorder="1" applyAlignment="1">
      <alignment horizontal="left" vertical="center"/>
    </xf>
    <xf numFmtId="0" fontId="4" fillId="2" borderId="8" xfId="2" applyFont="1" applyFill="1" applyBorder="1" applyAlignment="1">
      <alignment horizontal="left" vertical="center"/>
    </xf>
    <xf numFmtId="0" fontId="26" fillId="3" borderId="0" xfId="2" applyFont="1" applyFill="1" applyAlignment="1">
      <alignment horizontal="center"/>
    </xf>
    <xf numFmtId="0" fontId="26" fillId="3" borderId="0" xfId="2" applyFont="1" applyFill="1" applyAlignment="1">
      <alignment horizontal="center"/>
    </xf>
    <xf numFmtId="0" fontId="26" fillId="3" borderId="12" xfId="2" applyFont="1" applyFill="1" applyBorder="1"/>
  </cellXfs>
  <cellStyles count="8">
    <cellStyle name="Hyperlink" xfId="1" builtinId="8"/>
    <cellStyle name="Normal" xfId="0" builtinId="0"/>
    <cellStyle name="Normal 2 3" xfId="2" xr:uid="{80C63232-CB17-46C0-861B-C93E701D7CFF}"/>
    <cellStyle name="Normal 2 3 2" xfId="5" xr:uid="{C3BB69F3-E623-4691-90A7-3E6199C51796}"/>
    <cellStyle name="Normal 2 3 3" xfId="3" xr:uid="{4FACA9BE-FC25-422A-8618-6FEF7A17F482}"/>
    <cellStyle name="Normal 2 4 2" xfId="4" xr:uid="{065C066D-22AF-4FCC-A9DA-D1CFC53E8982}"/>
    <cellStyle name="Normal 4 2 2 2 2" xfId="7" xr:uid="{9AC28590-C6D0-40B7-9A82-7BA0727AB5A2}"/>
    <cellStyle name="Normal 5 2 2" xfId="6" xr:uid="{99C33DFA-47B1-4CED-B3C9-11F5D92AC0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142875</xdr:rowOff>
    </xdr:from>
    <xdr:ext cx="520327" cy="538529"/>
    <xdr:pic>
      <xdr:nvPicPr>
        <xdr:cNvPr id="2" name="Picture 1">
          <a:extLst>
            <a:ext uri="{FF2B5EF4-FFF2-40B4-BE49-F238E27FC236}">
              <a16:creationId xmlns:a16="http://schemas.microsoft.com/office/drawing/2014/main" id="{66113785-DEE1-411D-B8A0-81FBBCED2244}"/>
            </a:ext>
          </a:extLst>
        </xdr:cNvPr>
        <xdr:cNvPicPr>
          <a:picLocks noChangeAspect="1"/>
        </xdr:cNvPicPr>
      </xdr:nvPicPr>
      <xdr:blipFill>
        <a:blip xmlns:r="http://schemas.openxmlformats.org/officeDocument/2006/relationships" r:embed="rId1"/>
        <a:stretch>
          <a:fillRect/>
        </a:stretch>
      </xdr:blipFill>
      <xdr:spPr>
        <a:xfrm>
          <a:off x="8353425" y="142875"/>
          <a:ext cx="520327" cy="53852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nwabuachinyer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E838F-919D-46A1-9823-20C672948A86}">
  <sheetPr>
    <pageSetUpPr fitToPage="1"/>
  </sheetPr>
  <dimension ref="A1:R86"/>
  <sheetViews>
    <sheetView tabSelected="1" zoomScale="20" zoomScaleNormal="20" workbookViewId="0">
      <selection activeCell="C28" sqref="C28:C39"/>
    </sheetView>
  </sheetViews>
  <sheetFormatPr defaultColWidth="9.140625" defaultRowHeight="15" x14ac:dyDescent="0.25"/>
  <cols>
    <col min="1" max="1" width="14.42578125" style="4" customWidth="1"/>
    <col min="2" max="2" width="110.85546875" style="4" customWidth="1"/>
    <col min="3" max="3" width="68.7109375" style="4" bestFit="1" customWidth="1"/>
    <col min="4" max="4" width="255.7109375" style="4" bestFit="1" customWidth="1"/>
    <col min="5" max="5" width="113.7109375" style="4" bestFit="1" customWidth="1"/>
    <col min="6" max="6" width="69" style="4" customWidth="1"/>
    <col min="7" max="7" width="255.7109375" style="4" bestFit="1" customWidth="1"/>
    <col min="8" max="8" width="74.7109375" style="4" customWidth="1"/>
    <col min="9" max="9" width="70.5703125" style="4" customWidth="1"/>
    <col min="10" max="10" width="45.7109375" style="4" customWidth="1"/>
    <col min="11" max="13" width="32.7109375" style="4" customWidth="1"/>
    <col min="14" max="14" width="28.7109375" style="4" customWidth="1"/>
    <col min="15" max="15" width="31.28515625" style="4" customWidth="1"/>
    <col min="16" max="16384" width="9.140625" style="4"/>
  </cols>
  <sheetData>
    <row r="1" spans="1:18" ht="22.5" customHeight="1" x14ac:dyDescent="0.25">
      <c r="A1" s="1" t="s">
        <v>0</v>
      </c>
      <c r="B1" s="2"/>
      <c r="C1" s="2"/>
      <c r="D1" s="2"/>
      <c r="E1" s="2"/>
      <c r="F1" s="2"/>
      <c r="G1" s="2"/>
      <c r="H1" s="2"/>
      <c r="I1" s="2"/>
      <c r="J1" s="2"/>
      <c r="K1" s="2"/>
      <c r="L1" s="2"/>
      <c r="M1" s="2"/>
      <c r="N1" s="2"/>
      <c r="O1" s="3"/>
    </row>
    <row r="2" spans="1:18" ht="22.5" customHeight="1" x14ac:dyDescent="0.25">
      <c r="A2" s="5"/>
      <c r="B2" s="6"/>
      <c r="C2" s="6"/>
      <c r="D2" s="6"/>
      <c r="E2" s="6"/>
      <c r="F2" s="6"/>
      <c r="G2" s="6"/>
      <c r="H2" s="6"/>
      <c r="I2" s="6"/>
      <c r="J2" s="6"/>
      <c r="K2" s="6"/>
      <c r="L2" s="6"/>
      <c r="M2" s="6"/>
      <c r="N2" s="6"/>
      <c r="O2" s="7"/>
    </row>
    <row r="3" spans="1:18" ht="22.5" customHeight="1" x14ac:dyDescent="0.25">
      <c r="A3" s="8"/>
      <c r="B3" s="9"/>
      <c r="C3" s="9"/>
      <c r="D3" s="9"/>
      <c r="E3" s="9"/>
      <c r="F3" s="9"/>
      <c r="G3" s="9"/>
      <c r="H3" s="9"/>
      <c r="I3" s="9"/>
      <c r="J3" s="9"/>
      <c r="K3" s="9"/>
      <c r="L3" s="9"/>
      <c r="M3" s="9"/>
      <c r="N3" s="9"/>
      <c r="O3" s="10"/>
    </row>
    <row r="4" spans="1:18" s="14" customFormat="1" ht="51" x14ac:dyDescent="0.75">
      <c r="A4" s="11" t="s">
        <v>1</v>
      </c>
      <c r="B4" s="11"/>
      <c r="C4" s="11"/>
      <c r="D4" s="11"/>
      <c r="E4" s="11"/>
      <c r="F4" s="11"/>
      <c r="G4" s="11"/>
      <c r="H4" s="11"/>
      <c r="I4" s="11"/>
      <c r="J4" s="12"/>
      <c r="K4" s="13"/>
      <c r="L4" s="13"/>
      <c r="M4" s="13"/>
      <c r="N4" s="13"/>
      <c r="O4" s="13"/>
    </row>
    <row r="5" spans="1:18" s="14" customFormat="1" ht="47.25" customHeight="1" x14ac:dyDescent="0.75">
      <c r="A5" s="15" t="s">
        <v>2</v>
      </c>
      <c r="B5" s="16" t="s">
        <v>3</v>
      </c>
      <c r="C5" s="17" t="s">
        <v>4</v>
      </c>
      <c r="D5" s="18" t="s">
        <v>5</v>
      </c>
      <c r="E5" s="19"/>
      <c r="F5" s="19"/>
      <c r="G5" s="19"/>
      <c r="H5" s="19"/>
      <c r="I5" s="19"/>
      <c r="J5" s="20"/>
      <c r="K5" s="13"/>
      <c r="L5" s="13"/>
      <c r="M5" s="13"/>
      <c r="N5" s="13"/>
      <c r="O5" s="13"/>
    </row>
    <row r="6" spans="1:18" s="24" customFormat="1" ht="38.25" customHeight="1" x14ac:dyDescent="0.55000000000000004">
      <c r="A6" s="21" t="s">
        <v>6</v>
      </c>
      <c r="B6" s="21"/>
      <c r="C6" s="21"/>
      <c r="D6" s="21"/>
      <c r="E6" s="21"/>
      <c r="F6" s="21"/>
      <c r="G6" s="21"/>
      <c r="H6" s="21"/>
      <c r="I6" s="21"/>
      <c r="J6" s="22"/>
      <c r="K6" s="23"/>
      <c r="L6" s="23"/>
      <c r="M6" s="23"/>
      <c r="N6" s="23"/>
      <c r="O6" s="23"/>
    </row>
    <row r="7" spans="1:18" s="33" customFormat="1" ht="51" x14ac:dyDescent="0.75">
      <c r="A7" s="25" t="s">
        <v>7</v>
      </c>
      <c r="B7" s="26"/>
      <c r="C7" s="27" t="s">
        <v>8</v>
      </c>
      <c r="D7" s="28" t="s">
        <v>9</v>
      </c>
      <c r="E7" s="27" t="s">
        <v>10</v>
      </c>
      <c r="F7" s="28" t="s">
        <v>11</v>
      </c>
      <c r="G7" s="29" t="s">
        <v>12</v>
      </c>
      <c r="H7" s="28" t="s">
        <v>13</v>
      </c>
      <c r="I7" s="30" t="s">
        <v>14</v>
      </c>
      <c r="J7" s="31"/>
      <c r="K7" s="32"/>
      <c r="L7" s="32"/>
      <c r="M7" s="32"/>
      <c r="N7" s="32"/>
      <c r="O7" s="32"/>
      <c r="P7" s="32"/>
      <c r="Q7" s="32"/>
      <c r="R7" s="32"/>
    </row>
    <row r="8" spans="1:18" s="33" customFormat="1" ht="51" x14ac:dyDescent="0.75">
      <c r="A8" s="34" t="s">
        <v>15</v>
      </c>
      <c r="B8" s="35"/>
      <c r="C8" s="36">
        <v>64218</v>
      </c>
      <c r="D8" s="37" t="s">
        <v>16</v>
      </c>
      <c r="E8" s="38" t="s">
        <v>17</v>
      </c>
      <c r="F8" s="37" t="s">
        <v>18</v>
      </c>
      <c r="G8" s="39" t="s">
        <v>19</v>
      </c>
      <c r="H8" s="37" t="s">
        <v>20</v>
      </c>
      <c r="I8" s="40" t="s">
        <v>21</v>
      </c>
      <c r="J8" s="41"/>
      <c r="K8" s="32"/>
      <c r="L8" s="32"/>
      <c r="M8" s="32"/>
      <c r="N8" s="32"/>
      <c r="O8" s="32"/>
      <c r="P8" s="32"/>
      <c r="Q8" s="32"/>
      <c r="R8" s="32"/>
    </row>
    <row r="9" spans="1:18" s="45" customFormat="1" ht="62.25" customHeight="1" x14ac:dyDescent="0.75">
      <c r="A9" s="42" t="s">
        <v>22</v>
      </c>
      <c r="B9" s="42"/>
      <c r="C9" s="42"/>
      <c r="D9" s="42"/>
      <c r="E9" s="42"/>
      <c r="F9" s="42"/>
      <c r="G9" s="42"/>
      <c r="H9" s="42"/>
      <c r="I9" s="42"/>
      <c r="J9" s="43"/>
      <c r="K9" s="44"/>
      <c r="L9" s="44"/>
      <c r="M9" s="44"/>
      <c r="N9" s="44"/>
      <c r="O9" s="44"/>
    </row>
    <row r="10" spans="1:18" s="55" customFormat="1" ht="51" x14ac:dyDescent="0.75">
      <c r="A10" s="46" t="s">
        <v>7</v>
      </c>
      <c r="B10" s="47"/>
      <c r="C10" s="48" t="s">
        <v>23</v>
      </c>
      <c r="D10" s="49" t="s">
        <v>9</v>
      </c>
      <c r="E10" s="48" t="s">
        <v>24</v>
      </c>
      <c r="F10" s="50" t="s">
        <v>11</v>
      </c>
      <c r="G10" s="51" t="s">
        <v>25</v>
      </c>
      <c r="H10" s="49" t="s">
        <v>13</v>
      </c>
      <c r="I10" s="52" t="s">
        <v>26</v>
      </c>
      <c r="J10" s="53"/>
      <c r="K10" s="54"/>
      <c r="L10" s="54"/>
      <c r="M10" s="54"/>
      <c r="N10" s="54"/>
      <c r="O10" s="54"/>
    </row>
    <row r="11" spans="1:18" s="55" customFormat="1" ht="51.75" x14ac:dyDescent="0.75">
      <c r="A11" s="56" t="s">
        <v>15</v>
      </c>
      <c r="B11" s="57"/>
      <c r="C11" s="58">
        <v>60529</v>
      </c>
      <c r="D11" s="59" t="s">
        <v>16</v>
      </c>
      <c r="E11" s="60" t="s">
        <v>27</v>
      </c>
      <c r="F11" s="61" t="s">
        <v>18</v>
      </c>
      <c r="G11" s="62"/>
      <c r="H11" s="59" t="s">
        <v>20</v>
      </c>
      <c r="I11" s="63" t="s">
        <v>28</v>
      </c>
      <c r="J11" s="64"/>
      <c r="K11" s="54"/>
      <c r="L11" s="54"/>
      <c r="M11" s="54"/>
      <c r="N11" s="54"/>
      <c r="O11" s="54"/>
    </row>
    <row r="12" spans="1:18" s="45" customFormat="1" ht="51" x14ac:dyDescent="0.75">
      <c r="A12" s="42" t="s">
        <v>29</v>
      </c>
      <c r="B12" s="42"/>
      <c r="C12" s="42"/>
      <c r="D12" s="42"/>
      <c r="E12" s="42"/>
      <c r="F12" s="42"/>
      <c r="G12" s="42"/>
      <c r="H12" s="42"/>
      <c r="I12" s="42"/>
      <c r="J12" s="43"/>
      <c r="K12" s="44"/>
      <c r="L12" s="44"/>
      <c r="M12" s="44"/>
      <c r="N12" s="44"/>
      <c r="O12" s="44"/>
    </row>
    <row r="13" spans="1:18" s="55" customFormat="1" ht="56.25" customHeight="1" x14ac:dyDescent="0.75">
      <c r="A13" s="65" t="s">
        <v>7</v>
      </c>
      <c r="B13" s="65"/>
      <c r="C13" s="48"/>
      <c r="D13" s="49" t="s">
        <v>9</v>
      </c>
      <c r="E13" s="48"/>
      <c r="F13" s="50" t="s">
        <v>11</v>
      </c>
      <c r="G13" s="51"/>
      <c r="H13" s="49" t="s">
        <v>13</v>
      </c>
      <c r="I13" s="66"/>
      <c r="J13" s="67"/>
      <c r="K13" s="54"/>
      <c r="L13" s="54"/>
      <c r="M13" s="54"/>
      <c r="N13" s="54"/>
      <c r="O13" s="54"/>
    </row>
    <row r="14" spans="1:18" s="55" customFormat="1" ht="57" customHeight="1" x14ac:dyDescent="0.75">
      <c r="A14" s="68" t="s">
        <v>15</v>
      </c>
      <c r="B14" s="68"/>
      <c r="C14" s="58"/>
      <c r="D14" s="59" t="s">
        <v>16</v>
      </c>
      <c r="E14" s="69"/>
      <c r="F14" s="61" t="s">
        <v>18</v>
      </c>
      <c r="G14" s="62"/>
      <c r="H14" s="59" t="s">
        <v>20</v>
      </c>
      <c r="I14" s="70"/>
      <c r="J14" s="71"/>
      <c r="K14" s="54"/>
      <c r="L14" s="54"/>
      <c r="M14" s="54"/>
      <c r="N14" s="54"/>
      <c r="O14" s="54"/>
    </row>
    <row r="15" spans="1:18" s="14" customFormat="1" ht="51.75" x14ac:dyDescent="0.75">
      <c r="A15" s="72"/>
      <c r="B15" s="72"/>
      <c r="C15" s="72"/>
      <c r="D15" s="72"/>
      <c r="E15" s="72"/>
      <c r="F15" s="72"/>
      <c r="G15" s="72"/>
      <c r="H15" s="72"/>
      <c r="I15" s="72"/>
      <c r="J15" s="73"/>
      <c r="K15" s="13"/>
      <c r="L15" s="13"/>
      <c r="M15" s="13"/>
      <c r="N15" s="13"/>
      <c r="O15" s="13"/>
    </row>
    <row r="16" spans="1:18" ht="33" x14ac:dyDescent="0.45">
      <c r="A16" s="74" t="s">
        <v>30</v>
      </c>
      <c r="B16" s="74"/>
      <c r="C16" s="74"/>
      <c r="D16" s="74"/>
      <c r="E16" s="74"/>
      <c r="F16" s="74"/>
      <c r="G16" s="74"/>
      <c r="H16" s="74"/>
      <c r="I16" s="74"/>
      <c r="J16" s="75"/>
      <c r="K16" s="76"/>
      <c r="L16" s="77"/>
      <c r="M16" s="77"/>
      <c r="N16" s="77"/>
      <c r="O16" s="77"/>
    </row>
    <row r="17" spans="1:15" ht="57.75" customHeight="1" x14ac:dyDescent="0.25">
      <c r="A17" s="78" t="s">
        <v>31</v>
      </c>
      <c r="B17" s="79" t="s">
        <v>32</v>
      </c>
      <c r="C17" s="78" t="s">
        <v>33</v>
      </c>
      <c r="D17" s="78" t="s">
        <v>34</v>
      </c>
      <c r="E17" s="78" t="s">
        <v>33</v>
      </c>
      <c r="F17" s="80" t="s">
        <v>35</v>
      </c>
      <c r="G17" s="80" t="s">
        <v>36</v>
      </c>
      <c r="H17" s="81" t="s">
        <v>37</v>
      </c>
      <c r="I17" s="80" t="s">
        <v>38</v>
      </c>
      <c r="J17" s="82" t="s">
        <v>39</v>
      </c>
      <c r="K17" s="83"/>
      <c r="L17" s="83"/>
      <c r="M17" s="83"/>
      <c r="N17" s="83"/>
      <c r="O17" s="84"/>
    </row>
    <row r="18" spans="1:15" ht="51.75" customHeight="1" x14ac:dyDescent="0.25">
      <c r="A18" s="79"/>
      <c r="B18" s="79"/>
      <c r="C18" s="79"/>
      <c r="D18" s="79"/>
      <c r="E18" s="79"/>
      <c r="F18" s="85"/>
      <c r="G18" s="85"/>
      <c r="H18" s="86"/>
      <c r="I18" s="85"/>
      <c r="J18" s="87" t="s">
        <v>40</v>
      </c>
      <c r="K18" s="88" t="s">
        <v>41</v>
      </c>
      <c r="L18" s="88" t="s">
        <v>42</v>
      </c>
      <c r="M18" s="87" t="s">
        <v>43</v>
      </c>
      <c r="N18" s="87" t="s">
        <v>44</v>
      </c>
      <c r="O18" s="87" t="s">
        <v>45</v>
      </c>
    </row>
    <row r="19" spans="1:15" s="99" customFormat="1" ht="253.5" customHeight="1" x14ac:dyDescent="0.25">
      <c r="A19" s="89">
        <v>1</v>
      </c>
      <c r="B19" s="90" t="s">
        <v>46</v>
      </c>
      <c r="C19" s="91">
        <f>SUM(E19:E27)</f>
        <v>5.2</v>
      </c>
      <c r="D19" s="92" t="s">
        <v>47</v>
      </c>
      <c r="E19" s="93">
        <v>0.6</v>
      </c>
      <c r="F19" s="93">
        <f>E19/$E$57 * 100</f>
        <v>2.1483375959079285</v>
      </c>
      <c r="G19" s="94" t="s">
        <v>48</v>
      </c>
      <c r="H19" s="95">
        <v>1</v>
      </c>
      <c r="I19" s="96" t="s">
        <v>49</v>
      </c>
      <c r="J19" s="97">
        <v>100</v>
      </c>
      <c r="K19" s="98">
        <v>95</v>
      </c>
      <c r="L19" s="98">
        <v>90</v>
      </c>
      <c r="M19" s="98">
        <v>85</v>
      </c>
      <c r="N19" s="98">
        <v>80</v>
      </c>
      <c r="O19" s="98" t="s">
        <v>50</v>
      </c>
    </row>
    <row r="20" spans="1:15" s="99" customFormat="1" ht="258" customHeight="1" x14ac:dyDescent="0.25">
      <c r="A20" s="89"/>
      <c r="B20" s="90"/>
      <c r="C20" s="89"/>
      <c r="D20" s="100"/>
      <c r="E20" s="93">
        <v>0.6</v>
      </c>
      <c r="F20" s="93">
        <f t="shared" ref="F20:F56" si="0">E20/$E$57 * 100</f>
        <v>2.1483375959079285</v>
      </c>
      <c r="G20" s="94" t="s">
        <v>51</v>
      </c>
      <c r="H20" s="95">
        <v>1</v>
      </c>
      <c r="I20" s="96" t="s">
        <v>49</v>
      </c>
      <c r="J20" s="97">
        <v>100</v>
      </c>
      <c r="K20" s="98">
        <v>95</v>
      </c>
      <c r="L20" s="98">
        <v>90</v>
      </c>
      <c r="M20" s="98">
        <v>85</v>
      </c>
      <c r="N20" s="98">
        <v>80</v>
      </c>
      <c r="O20" s="98" t="s">
        <v>50</v>
      </c>
    </row>
    <row r="21" spans="1:15" s="99" customFormat="1" ht="298.5" customHeight="1" x14ac:dyDescent="0.25">
      <c r="A21" s="89"/>
      <c r="B21" s="90"/>
      <c r="C21" s="89"/>
      <c r="D21" s="101"/>
      <c r="E21" s="93">
        <v>1.2</v>
      </c>
      <c r="F21" s="93">
        <f t="shared" si="0"/>
        <v>4.296675191815857</v>
      </c>
      <c r="G21" s="94" t="s">
        <v>52</v>
      </c>
      <c r="H21" s="95">
        <v>1</v>
      </c>
      <c r="I21" s="96" t="s">
        <v>49</v>
      </c>
      <c r="J21" s="97">
        <v>100</v>
      </c>
      <c r="K21" s="98">
        <v>95</v>
      </c>
      <c r="L21" s="98">
        <v>90</v>
      </c>
      <c r="M21" s="98">
        <v>85</v>
      </c>
      <c r="N21" s="98">
        <v>80</v>
      </c>
      <c r="O21" s="98" t="s">
        <v>50</v>
      </c>
    </row>
    <row r="22" spans="1:15" s="99" customFormat="1" ht="231.75" customHeight="1" x14ac:dyDescent="0.25">
      <c r="A22" s="89"/>
      <c r="B22" s="90"/>
      <c r="C22" s="89"/>
      <c r="D22" s="90" t="s">
        <v>53</v>
      </c>
      <c r="E22" s="93">
        <v>0.6</v>
      </c>
      <c r="F22" s="93">
        <f t="shared" si="0"/>
        <v>2.1483375959079285</v>
      </c>
      <c r="G22" s="94" t="s">
        <v>54</v>
      </c>
      <c r="H22" s="95">
        <v>0.5</v>
      </c>
      <c r="I22" s="96" t="s">
        <v>49</v>
      </c>
      <c r="J22" s="97" t="s">
        <v>55</v>
      </c>
      <c r="K22" s="98">
        <v>50</v>
      </c>
      <c r="L22" s="98">
        <v>45</v>
      </c>
      <c r="M22" s="98">
        <v>40</v>
      </c>
      <c r="N22" s="98">
        <v>25</v>
      </c>
      <c r="O22" s="98" t="s">
        <v>56</v>
      </c>
    </row>
    <row r="23" spans="1:15" s="99" customFormat="1" ht="199.5" customHeight="1" x14ac:dyDescent="0.25">
      <c r="A23" s="89"/>
      <c r="B23" s="90"/>
      <c r="C23" s="89"/>
      <c r="D23" s="90"/>
      <c r="E23" s="93">
        <v>0.3</v>
      </c>
      <c r="F23" s="93">
        <f t="shared" si="0"/>
        <v>1.0741687979539642</v>
      </c>
      <c r="G23" s="94" t="s">
        <v>57</v>
      </c>
      <c r="H23" s="95">
        <v>0.5</v>
      </c>
      <c r="I23" s="96" t="s">
        <v>49</v>
      </c>
      <c r="J23" s="97" t="s">
        <v>55</v>
      </c>
      <c r="K23" s="98">
        <v>50</v>
      </c>
      <c r="L23" s="98">
        <v>45</v>
      </c>
      <c r="M23" s="98">
        <v>40</v>
      </c>
      <c r="N23" s="98">
        <v>25</v>
      </c>
      <c r="O23" s="98" t="s">
        <v>56</v>
      </c>
    </row>
    <row r="24" spans="1:15" s="99" customFormat="1" ht="246" customHeight="1" x14ac:dyDescent="0.25">
      <c r="A24" s="89"/>
      <c r="B24" s="90"/>
      <c r="C24" s="89"/>
      <c r="D24" s="90"/>
      <c r="E24" s="93">
        <v>0.3</v>
      </c>
      <c r="F24" s="93">
        <f t="shared" si="0"/>
        <v>1.0741687979539642</v>
      </c>
      <c r="G24" s="94" t="s">
        <v>58</v>
      </c>
      <c r="H24" s="95">
        <v>0.75</v>
      </c>
      <c r="I24" s="96" t="s">
        <v>49</v>
      </c>
      <c r="J24" s="97" t="s">
        <v>59</v>
      </c>
      <c r="K24" s="98">
        <v>75</v>
      </c>
      <c r="L24" s="98">
        <v>70</v>
      </c>
      <c r="M24" s="98">
        <v>60</v>
      </c>
      <c r="N24" s="98">
        <v>50</v>
      </c>
      <c r="O24" s="98" t="s">
        <v>60</v>
      </c>
    </row>
    <row r="25" spans="1:15" s="99" customFormat="1" ht="246" customHeight="1" thickBot="1" x14ac:dyDescent="0.3">
      <c r="A25" s="89"/>
      <c r="B25" s="90"/>
      <c r="C25" s="89"/>
      <c r="D25" s="102" t="s">
        <v>61</v>
      </c>
      <c r="E25" s="93">
        <v>1.2</v>
      </c>
      <c r="F25" s="93">
        <f t="shared" si="0"/>
        <v>4.296675191815857</v>
      </c>
      <c r="G25" s="94" t="s">
        <v>62</v>
      </c>
      <c r="H25" s="103">
        <v>4</v>
      </c>
      <c r="I25" s="96" t="s">
        <v>63</v>
      </c>
      <c r="J25" s="97" t="s">
        <v>64</v>
      </c>
      <c r="K25" s="98">
        <v>4</v>
      </c>
      <c r="L25" s="98">
        <v>3</v>
      </c>
      <c r="M25" s="98">
        <v>2</v>
      </c>
      <c r="N25" s="98">
        <v>1</v>
      </c>
      <c r="O25" s="98">
        <v>0</v>
      </c>
    </row>
    <row r="26" spans="1:15" s="99" customFormat="1" ht="246" customHeight="1" x14ac:dyDescent="0.25">
      <c r="A26" s="89"/>
      <c r="B26" s="90"/>
      <c r="C26" s="89"/>
      <c r="D26" s="90" t="s">
        <v>65</v>
      </c>
      <c r="E26" s="93">
        <v>0.2</v>
      </c>
      <c r="F26" s="93">
        <f t="shared" si="0"/>
        <v>0.71611253196930957</v>
      </c>
      <c r="G26" s="94" t="s">
        <v>66</v>
      </c>
      <c r="H26" s="95">
        <v>0.5</v>
      </c>
      <c r="I26" s="96" t="s">
        <v>49</v>
      </c>
      <c r="J26" s="97" t="s">
        <v>55</v>
      </c>
      <c r="K26" s="98">
        <v>50</v>
      </c>
      <c r="L26" s="98">
        <v>45</v>
      </c>
      <c r="M26" s="98">
        <v>40</v>
      </c>
      <c r="N26" s="98">
        <v>25</v>
      </c>
      <c r="O26" s="98" t="s">
        <v>56</v>
      </c>
    </row>
    <row r="27" spans="1:15" s="99" customFormat="1" ht="246" customHeight="1" x14ac:dyDescent="0.25">
      <c r="A27" s="89"/>
      <c r="B27" s="90"/>
      <c r="C27" s="89"/>
      <c r="D27" s="90"/>
      <c r="E27" s="93">
        <v>0.2</v>
      </c>
      <c r="F27" s="93">
        <f t="shared" si="0"/>
        <v>0.71611253196930957</v>
      </c>
      <c r="G27" s="94" t="s">
        <v>67</v>
      </c>
      <c r="H27" s="95">
        <v>0.75</v>
      </c>
      <c r="I27" s="96" t="s">
        <v>49</v>
      </c>
      <c r="J27" s="97" t="s">
        <v>59</v>
      </c>
      <c r="K27" s="98">
        <v>75</v>
      </c>
      <c r="L27" s="98">
        <v>70</v>
      </c>
      <c r="M27" s="98">
        <v>60</v>
      </c>
      <c r="N27" s="98">
        <v>50</v>
      </c>
      <c r="O27" s="98" t="s">
        <v>60</v>
      </c>
    </row>
    <row r="28" spans="1:15" s="99" customFormat="1" ht="246" customHeight="1" x14ac:dyDescent="0.25">
      <c r="A28" s="104">
        <v>2</v>
      </c>
      <c r="B28" s="92" t="s">
        <v>68</v>
      </c>
      <c r="C28" s="104">
        <v>7</v>
      </c>
      <c r="D28" s="92" t="s">
        <v>69</v>
      </c>
      <c r="E28" s="93">
        <v>1</v>
      </c>
      <c r="F28" s="93">
        <f t="shared" si="0"/>
        <v>3.5805626598465472</v>
      </c>
      <c r="G28" s="94" t="s">
        <v>70</v>
      </c>
      <c r="H28" s="105">
        <v>0.8</v>
      </c>
      <c r="I28" s="106" t="s">
        <v>49</v>
      </c>
      <c r="J28" s="97" t="s">
        <v>71</v>
      </c>
      <c r="K28" s="98">
        <v>80</v>
      </c>
      <c r="L28" s="98">
        <v>75</v>
      </c>
      <c r="M28" s="98">
        <v>70</v>
      </c>
      <c r="N28" s="98">
        <v>50</v>
      </c>
      <c r="O28" s="98" t="s">
        <v>60</v>
      </c>
    </row>
    <row r="29" spans="1:15" s="99" customFormat="1" ht="246" customHeight="1" x14ac:dyDescent="0.25">
      <c r="A29" s="107"/>
      <c r="B29" s="100"/>
      <c r="C29" s="107"/>
      <c r="D29" s="101"/>
      <c r="E29" s="93">
        <v>1</v>
      </c>
      <c r="F29" s="93">
        <f t="shared" si="0"/>
        <v>3.5805626598465472</v>
      </c>
      <c r="G29" s="94" t="s">
        <v>72</v>
      </c>
      <c r="H29" s="105">
        <v>0.8</v>
      </c>
      <c r="I29" s="106" t="s">
        <v>49</v>
      </c>
      <c r="J29" s="97" t="s">
        <v>71</v>
      </c>
      <c r="K29" s="98">
        <v>80</v>
      </c>
      <c r="L29" s="98">
        <v>75</v>
      </c>
      <c r="M29" s="98">
        <v>70</v>
      </c>
      <c r="N29" s="98">
        <v>50</v>
      </c>
      <c r="O29" s="98" t="s">
        <v>60</v>
      </c>
    </row>
    <row r="30" spans="1:15" s="99" customFormat="1" ht="246" customHeight="1" x14ac:dyDescent="0.25">
      <c r="A30" s="107"/>
      <c r="B30" s="100"/>
      <c r="C30" s="107"/>
      <c r="D30" s="92" t="s">
        <v>73</v>
      </c>
      <c r="E30" s="93">
        <v>0.66666666666666663</v>
      </c>
      <c r="F30" s="93">
        <f t="shared" si="0"/>
        <v>2.3870417732310316</v>
      </c>
      <c r="G30" s="94" t="s">
        <v>74</v>
      </c>
      <c r="H30" s="105">
        <v>0.8</v>
      </c>
      <c r="I30" s="106" t="s">
        <v>49</v>
      </c>
      <c r="J30" s="97" t="s">
        <v>71</v>
      </c>
      <c r="K30" s="98">
        <v>80</v>
      </c>
      <c r="L30" s="98">
        <v>75</v>
      </c>
      <c r="M30" s="98">
        <v>70</v>
      </c>
      <c r="N30" s="98">
        <v>50</v>
      </c>
      <c r="O30" s="98" t="s">
        <v>60</v>
      </c>
    </row>
    <row r="31" spans="1:15" s="99" customFormat="1" ht="246" customHeight="1" x14ac:dyDescent="0.25">
      <c r="A31" s="107"/>
      <c r="B31" s="100"/>
      <c r="C31" s="107"/>
      <c r="D31" s="100"/>
      <c r="E31" s="93">
        <v>0.66666666666666663</v>
      </c>
      <c r="F31" s="93">
        <f t="shared" si="0"/>
        <v>2.3870417732310316</v>
      </c>
      <c r="G31" s="94" t="s">
        <v>75</v>
      </c>
      <c r="H31" s="105">
        <v>0.8</v>
      </c>
      <c r="I31" s="106" t="s">
        <v>49</v>
      </c>
      <c r="J31" s="97" t="s">
        <v>71</v>
      </c>
      <c r="K31" s="98">
        <v>80</v>
      </c>
      <c r="L31" s="98">
        <v>75</v>
      </c>
      <c r="M31" s="98">
        <v>70</v>
      </c>
      <c r="N31" s="98">
        <v>50</v>
      </c>
      <c r="O31" s="98" t="s">
        <v>60</v>
      </c>
    </row>
    <row r="32" spans="1:15" s="99" customFormat="1" ht="246" customHeight="1" x14ac:dyDescent="0.25">
      <c r="A32" s="107"/>
      <c r="B32" s="100"/>
      <c r="C32" s="107"/>
      <c r="D32" s="101"/>
      <c r="E32" s="93">
        <v>0.66666666666666663</v>
      </c>
      <c r="F32" s="93">
        <f t="shared" si="0"/>
        <v>2.3870417732310316</v>
      </c>
      <c r="G32" s="94" t="s">
        <v>76</v>
      </c>
      <c r="H32" s="105">
        <v>0.8</v>
      </c>
      <c r="I32" s="106" t="s">
        <v>49</v>
      </c>
      <c r="J32" s="97" t="s">
        <v>71</v>
      </c>
      <c r="K32" s="98">
        <v>80</v>
      </c>
      <c r="L32" s="98">
        <v>75</v>
      </c>
      <c r="M32" s="98">
        <v>70</v>
      </c>
      <c r="N32" s="98">
        <v>50</v>
      </c>
      <c r="O32" s="98" t="s">
        <v>60</v>
      </c>
    </row>
    <row r="33" spans="1:15" s="99" customFormat="1" ht="407.25" customHeight="1" x14ac:dyDescent="0.25">
      <c r="A33" s="107"/>
      <c r="B33" s="100"/>
      <c r="C33" s="107"/>
      <c r="D33" s="92" t="s">
        <v>77</v>
      </c>
      <c r="E33" s="93">
        <v>0.5</v>
      </c>
      <c r="F33" s="93">
        <f t="shared" si="0"/>
        <v>1.7902813299232736</v>
      </c>
      <c r="G33" s="94" t="s">
        <v>78</v>
      </c>
      <c r="H33" s="105">
        <v>0.8</v>
      </c>
      <c r="I33" s="106" t="s">
        <v>49</v>
      </c>
      <c r="J33" s="97" t="s">
        <v>71</v>
      </c>
      <c r="K33" s="98">
        <v>80</v>
      </c>
      <c r="L33" s="98">
        <v>75</v>
      </c>
      <c r="M33" s="98">
        <v>70</v>
      </c>
      <c r="N33" s="98">
        <v>50</v>
      </c>
      <c r="O33" s="98" t="s">
        <v>60</v>
      </c>
    </row>
    <row r="34" spans="1:15" s="99" customFormat="1" ht="407.25" customHeight="1" x14ac:dyDescent="0.25">
      <c r="A34" s="107"/>
      <c r="B34" s="100"/>
      <c r="C34" s="107"/>
      <c r="D34" s="101"/>
      <c r="E34" s="93">
        <v>0.5</v>
      </c>
      <c r="F34" s="93">
        <f t="shared" si="0"/>
        <v>1.7902813299232736</v>
      </c>
      <c r="G34" s="94" t="s">
        <v>79</v>
      </c>
      <c r="H34" s="105">
        <v>1</v>
      </c>
      <c r="I34" s="96" t="s">
        <v>49</v>
      </c>
      <c r="J34" s="97">
        <v>100</v>
      </c>
      <c r="K34" s="98">
        <v>95</v>
      </c>
      <c r="L34" s="98">
        <v>90</v>
      </c>
      <c r="M34" s="98">
        <v>85</v>
      </c>
      <c r="N34" s="98">
        <v>80</v>
      </c>
      <c r="O34" s="98" t="s">
        <v>50</v>
      </c>
    </row>
    <row r="35" spans="1:15" s="99" customFormat="1" ht="246" customHeight="1" x14ac:dyDescent="0.25">
      <c r="A35" s="107"/>
      <c r="B35" s="100"/>
      <c r="C35" s="107"/>
      <c r="D35" s="92" t="s">
        <v>80</v>
      </c>
      <c r="E35" s="93">
        <v>0.5</v>
      </c>
      <c r="F35" s="93">
        <f t="shared" si="0"/>
        <v>1.7902813299232736</v>
      </c>
      <c r="G35" s="94" t="s">
        <v>81</v>
      </c>
      <c r="H35" s="105">
        <v>0.9</v>
      </c>
      <c r="I35" s="106" t="s">
        <v>49</v>
      </c>
      <c r="J35" s="97" t="s">
        <v>82</v>
      </c>
      <c r="K35" s="98">
        <v>90</v>
      </c>
      <c r="L35" s="98">
        <v>80</v>
      </c>
      <c r="M35" s="98">
        <v>70</v>
      </c>
      <c r="N35" s="98">
        <v>50</v>
      </c>
      <c r="O35" s="98" t="s">
        <v>60</v>
      </c>
    </row>
    <row r="36" spans="1:15" s="99" customFormat="1" ht="246" customHeight="1" x14ac:dyDescent="0.25">
      <c r="A36" s="107"/>
      <c r="B36" s="100"/>
      <c r="C36" s="107"/>
      <c r="D36" s="101"/>
      <c r="E36" s="93">
        <v>0.5</v>
      </c>
      <c r="F36" s="93">
        <f t="shared" si="0"/>
        <v>1.7902813299232736</v>
      </c>
      <c r="G36" s="94" t="s">
        <v>83</v>
      </c>
      <c r="H36" s="105">
        <v>0.8</v>
      </c>
      <c r="I36" s="106" t="s">
        <v>49</v>
      </c>
      <c r="J36" s="97" t="s">
        <v>71</v>
      </c>
      <c r="K36" s="98">
        <v>80</v>
      </c>
      <c r="L36" s="98">
        <v>75</v>
      </c>
      <c r="M36" s="98">
        <v>70</v>
      </c>
      <c r="N36" s="98">
        <v>50</v>
      </c>
      <c r="O36" s="98" t="s">
        <v>60</v>
      </c>
    </row>
    <row r="37" spans="1:15" s="99" customFormat="1" ht="246" customHeight="1" x14ac:dyDescent="0.25">
      <c r="A37" s="107"/>
      <c r="B37" s="100"/>
      <c r="C37" s="107"/>
      <c r="D37" s="92" t="s">
        <v>84</v>
      </c>
      <c r="E37" s="93">
        <v>0.5</v>
      </c>
      <c r="F37" s="93">
        <f t="shared" si="0"/>
        <v>1.7902813299232736</v>
      </c>
      <c r="G37" s="94" t="s">
        <v>85</v>
      </c>
      <c r="H37" s="105">
        <v>1</v>
      </c>
      <c r="I37" s="96" t="s">
        <v>49</v>
      </c>
      <c r="J37" s="97">
        <v>100</v>
      </c>
      <c r="K37" s="98">
        <v>95</v>
      </c>
      <c r="L37" s="98">
        <v>90</v>
      </c>
      <c r="M37" s="98">
        <v>85</v>
      </c>
      <c r="N37" s="98">
        <v>80</v>
      </c>
      <c r="O37" s="98" t="s">
        <v>50</v>
      </c>
    </row>
    <row r="38" spans="1:15" s="99" customFormat="1" ht="246" customHeight="1" x14ac:dyDescent="0.25">
      <c r="A38" s="107"/>
      <c r="B38" s="100"/>
      <c r="C38" s="107"/>
      <c r="D38" s="100"/>
      <c r="E38" s="93">
        <v>0.25</v>
      </c>
      <c r="F38" s="93">
        <f t="shared" si="0"/>
        <v>0.8951406649616368</v>
      </c>
      <c r="G38" s="94" t="s">
        <v>86</v>
      </c>
      <c r="H38" s="105">
        <v>0.8</v>
      </c>
      <c r="I38" s="106" t="s">
        <v>49</v>
      </c>
      <c r="J38" s="97" t="s">
        <v>71</v>
      </c>
      <c r="K38" s="98">
        <v>80</v>
      </c>
      <c r="L38" s="98">
        <v>75</v>
      </c>
      <c r="M38" s="98">
        <v>70</v>
      </c>
      <c r="N38" s="98">
        <v>50</v>
      </c>
      <c r="O38" s="98" t="s">
        <v>60</v>
      </c>
    </row>
    <row r="39" spans="1:15" s="99" customFormat="1" ht="246" customHeight="1" x14ac:dyDescent="0.25">
      <c r="A39" s="108"/>
      <c r="B39" s="101"/>
      <c r="C39" s="108"/>
      <c r="D39" s="101"/>
      <c r="E39" s="93">
        <v>0.25</v>
      </c>
      <c r="F39" s="93">
        <f t="shared" si="0"/>
        <v>0.8951406649616368</v>
      </c>
      <c r="G39" s="94" t="s">
        <v>87</v>
      </c>
      <c r="H39" s="105">
        <v>1</v>
      </c>
      <c r="I39" s="96" t="s">
        <v>49</v>
      </c>
      <c r="J39" s="97">
        <v>100</v>
      </c>
      <c r="K39" s="98">
        <v>95</v>
      </c>
      <c r="L39" s="98">
        <v>90</v>
      </c>
      <c r="M39" s="98">
        <v>85</v>
      </c>
      <c r="N39" s="98">
        <v>80</v>
      </c>
      <c r="O39" s="98" t="s">
        <v>50</v>
      </c>
    </row>
    <row r="40" spans="1:15" s="99" customFormat="1" ht="246" customHeight="1" x14ac:dyDescent="0.25">
      <c r="A40" s="89">
        <v>3</v>
      </c>
      <c r="B40" s="90" t="s">
        <v>88</v>
      </c>
      <c r="C40" s="109">
        <f>SUM(E40:E42)</f>
        <v>0.24999999999999997</v>
      </c>
      <c r="D40" s="90" t="s">
        <v>89</v>
      </c>
      <c r="E40" s="93">
        <v>9.9999999999999992E-2</v>
      </c>
      <c r="F40" s="93">
        <f t="shared" si="0"/>
        <v>0.35805626598465468</v>
      </c>
      <c r="G40" s="94" t="s">
        <v>90</v>
      </c>
      <c r="H40" s="106">
        <v>5</v>
      </c>
      <c r="I40" s="96" t="s">
        <v>63</v>
      </c>
      <c r="J40" s="97" t="s">
        <v>91</v>
      </c>
      <c r="K40" s="98">
        <v>5</v>
      </c>
      <c r="L40" s="98">
        <v>4</v>
      </c>
      <c r="M40" s="98">
        <v>3</v>
      </c>
      <c r="N40" s="98">
        <v>2</v>
      </c>
      <c r="O40" s="98">
        <v>1</v>
      </c>
    </row>
    <row r="41" spans="1:15" s="99" customFormat="1" ht="246" customHeight="1" x14ac:dyDescent="0.25">
      <c r="A41" s="89"/>
      <c r="B41" s="90"/>
      <c r="C41" s="109"/>
      <c r="D41" s="90"/>
      <c r="E41" s="93">
        <v>9.9999999999999992E-2</v>
      </c>
      <c r="F41" s="93">
        <f t="shared" si="0"/>
        <v>0.35805626598465468</v>
      </c>
      <c r="G41" s="94" t="s">
        <v>92</v>
      </c>
      <c r="H41" s="105">
        <v>0.1</v>
      </c>
      <c r="I41" s="106" t="s">
        <v>49</v>
      </c>
      <c r="J41" s="97" t="s">
        <v>93</v>
      </c>
      <c r="K41" s="98">
        <v>10</v>
      </c>
      <c r="L41" s="98">
        <v>7</v>
      </c>
      <c r="M41" s="98">
        <v>6</v>
      </c>
      <c r="N41" s="98">
        <v>5</v>
      </c>
      <c r="O41" s="98" t="s">
        <v>94</v>
      </c>
    </row>
    <row r="42" spans="1:15" s="99" customFormat="1" ht="358.5" customHeight="1" x14ac:dyDescent="0.25">
      <c r="A42" s="89"/>
      <c r="B42" s="90"/>
      <c r="C42" s="109"/>
      <c r="D42" s="90"/>
      <c r="E42" s="93">
        <v>4.9999999999999996E-2</v>
      </c>
      <c r="F42" s="93">
        <f t="shared" si="0"/>
        <v>0.17902813299232734</v>
      </c>
      <c r="G42" s="94" t="s">
        <v>95</v>
      </c>
      <c r="H42" s="106">
        <v>2</v>
      </c>
      <c r="I42" s="96" t="s">
        <v>63</v>
      </c>
      <c r="J42" s="97" t="s">
        <v>96</v>
      </c>
      <c r="K42" s="98">
        <v>2</v>
      </c>
      <c r="L42" s="98">
        <v>1</v>
      </c>
      <c r="M42" s="98">
        <v>0</v>
      </c>
      <c r="N42" s="98"/>
      <c r="O42" s="98"/>
    </row>
    <row r="43" spans="1:15" s="99" customFormat="1" ht="358.5" customHeight="1" x14ac:dyDescent="0.25">
      <c r="A43" s="89">
        <v>4</v>
      </c>
      <c r="B43" s="90" t="s">
        <v>97</v>
      </c>
      <c r="C43" s="109">
        <f>SUM(E43:E44)</f>
        <v>1.35</v>
      </c>
      <c r="D43" s="90" t="s">
        <v>98</v>
      </c>
      <c r="E43" s="93">
        <v>0.75</v>
      </c>
      <c r="F43" s="93">
        <f t="shared" si="0"/>
        <v>2.6854219948849107</v>
      </c>
      <c r="G43" s="94" t="s">
        <v>99</v>
      </c>
      <c r="H43" s="106">
        <v>5</v>
      </c>
      <c r="I43" s="106" t="s">
        <v>63</v>
      </c>
      <c r="J43" s="97" t="s">
        <v>91</v>
      </c>
      <c r="K43" s="98">
        <v>5</v>
      </c>
      <c r="L43" s="98">
        <v>4</v>
      </c>
      <c r="M43" s="98">
        <v>3</v>
      </c>
      <c r="N43" s="98">
        <v>2</v>
      </c>
      <c r="O43" s="98">
        <v>1</v>
      </c>
    </row>
    <row r="44" spans="1:15" s="99" customFormat="1" ht="246" customHeight="1" x14ac:dyDescent="0.25">
      <c r="A44" s="89"/>
      <c r="B44" s="90"/>
      <c r="C44" s="109"/>
      <c r="D44" s="90"/>
      <c r="E44" s="93">
        <v>0.6</v>
      </c>
      <c r="F44" s="93">
        <f t="shared" si="0"/>
        <v>2.1483375959079285</v>
      </c>
      <c r="G44" s="94" t="s">
        <v>100</v>
      </c>
      <c r="H44" s="106">
        <v>5</v>
      </c>
      <c r="I44" s="106" t="s">
        <v>63</v>
      </c>
      <c r="J44" s="97" t="s">
        <v>91</v>
      </c>
      <c r="K44" s="98">
        <v>5</v>
      </c>
      <c r="L44" s="98">
        <v>4</v>
      </c>
      <c r="M44" s="98">
        <v>3</v>
      </c>
      <c r="N44" s="98">
        <v>2</v>
      </c>
      <c r="O44" s="98">
        <v>1</v>
      </c>
    </row>
    <row r="45" spans="1:15" s="99" customFormat="1" ht="246" customHeight="1" x14ac:dyDescent="0.25">
      <c r="A45" s="104">
        <v>5</v>
      </c>
      <c r="B45" s="92" t="s">
        <v>101</v>
      </c>
      <c r="C45" s="110">
        <f>SUM(E45:E47)</f>
        <v>0.5</v>
      </c>
      <c r="D45" s="92" t="s">
        <v>102</v>
      </c>
      <c r="E45" s="93">
        <v>9.9999999999999992E-2</v>
      </c>
      <c r="F45" s="93">
        <f t="shared" si="0"/>
        <v>0.35805626598465468</v>
      </c>
      <c r="G45" s="94" t="s">
        <v>103</v>
      </c>
      <c r="H45" s="106">
        <v>5</v>
      </c>
      <c r="I45" s="106" t="s">
        <v>63</v>
      </c>
      <c r="J45" s="97" t="s">
        <v>91</v>
      </c>
      <c r="K45" s="98">
        <v>5</v>
      </c>
      <c r="L45" s="98">
        <v>4</v>
      </c>
      <c r="M45" s="98">
        <v>3</v>
      </c>
      <c r="N45" s="98">
        <v>2</v>
      </c>
      <c r="O45" s="98">
        <v>1</v>
      </c>
    </row>
    <row r="46" spans="1:15" s="99" customFormat="1" ht="407.25" customHeight="1" x14ac:dyDescent="0.25">
      <c r="A46" s="107"/>
      <c r="B46" s="100"/>
      <c r="C46" s="111"/>
      <c r="D46" s="100"/>
      <c r="E46" s="93">
        <v>0.19999999999999998</v>
      </c>
      <c r="F46" s="93">
        <f t="shared" si="0"/>
        <v>0.71611253196930935</v>
      </c>
      <c r="G46" s="94" t="s">
        <v>104</v>
      </c>
      <c r="H46" s="105">
        <v>0.2</v>
      </c>
      <c r="I46" s="96" t="s">
        <v>49</v>
      </c>
      <c r="J46" s="97" t="s">
        <v>105</v>
      </c>
      <c r="K46" s="98">
        <v>20</v>
      </c>
      <c r="L46" s="98">
        <v>15</v>
      </c>
      <c r="M46" s="98">
        <v>10</v>
      </c>
      <c r="N46" s="98">
        <v>5</v>
      </c>
      <c r="O46" s="98" t="s">
        <v>94</v>
      </c>
    </row>
    <row r="47" spans="1:15" s="99" customFormat="1" ht="407.25" customHeight="1" x14ac:dyDescent="0.25">
      <c r="A47" s="108"/>
      <c r="B47" s="101"/>
      <c r="C47" s="112"/>
      <c r="D47" s="101"/>
      <c r="E47" s="93">
        <v>0.19999999999999998</v>
      </c>
      <c r="F47" s="93">
        <f t="shared" si="0"/>
        <v>0.71611253196930935</v>
      </c>
      <c r="G47" s="94" t="s">
        <v>106</v>
      </c>
      <c r="H47" s="105">
        <v>0.8</v>
      </c>
      <c r="I47" s="106" t="s">
        <v>49</v>
      </c>
      <c r="J47" s="97" t="s">
        <v>71</v>
      </c>
      <c r="K47" s="98">
        <v>80</v>
      </c>
      <c r="L47" s="98">
        <v>75</v>
      </c>
      <c r="M47" s="98">
        <v>70</v>
      </c>
      <c r="N47" s="98">
        <v>50</v>
      </c>
      <c r="O47" s="98" t="s">
        <v>60</v>
      </c>
    </row>
    <row r="48" spans="1:15" s="99" customFormat="1" ht="407.25" customHeight="1" x14ac:dyDescent="0.25">
      <c r="A48" s="89">
        <v>6</v>
      </c>
      <c r="B48" s="90" t="s">
        <v>107</v>
      </c>
      <c r="C48" s="109">
        <f>SUM(E48:E49)</f>
        <v>4</v>
      </c>
      <c r="D48" s="90" t="s">
        <v>108</v>
      </c>
      <c r="E48" s="93">
        <v>2.4000000000000004</v>
      </c>
      <c r="F48" s="93">
        <f t="shared" si="0"/>
        <v>8.5933503836317158</v>
      </c>
      <c r="G48" s="94" t="s">
        <v>109</v>
      </c>
      <c r="H48" s="105">
        <v>0.8</v>
      </c>
      <c r="I48" s="106" t="s">
        <v>49</v>
      </c>
      <c r="J48" s="97" t="s">
        <v>71</v>
      </c>
      <c r="K48" s="98">
        <v>80</v>
      </c>
      <c r="L48" s="98">
        <v>75</v>
      </c>
      <c r="M48" s="98">
        <v>70</v>
      </c>
      <c r="N48" s="98">
        <v>50</v>
      </c>
      <c r="O48" s="98" t="s">
        <v>60</v>
      </c>
    </row>
    <row r="49" spans="1:15" s="99" customFormat="1" ht="407.25" customHeight="1" x14ac:dyDescent="0.25">
      <c r="A49" s="89"/>
      <c r="B49" s="90"/>
      <c r="C49" s="109"/>
      <c r="D49" s="90"/>
      <c r="E49" s="93">
        <v>1.6</v>
      </c>
      <c r="F49" s="93">
        <f t="shared" si="0"/>
        <v>5.7289002557544766</v>
      </c>
      <c r="G49" s="94" t="s">
        <v>110</v>
      </c>
      <c r="H49" s="105">
        <v>0.8</v>
      </c>
      <c r="I49" s="106" t="s">
        <v>49</v>
      </c>
      <c r="J49" s="97" t="s">
        <v>71</v>
      </c>
      <c r="K49" s="98">
        <v>80</v>
      </c>
      <c r="L49" s="98">
        <v>75</v>
      </c>
      <c r="M49" s="98">
        <v>70</v>
      </c>
      <c r="N49" s="98">
        <v>50</v>
      </c>
      <c r="O49" s="98" t="s">
        <v>60</v>
      </c>
    </row>
    <row r="50" spans="1:15" s="99" customFormat="1" ht="408.75" customHeight="1" x14ac:dyDescent="0.25">
      <c r="A50" s="113">
        <v>7</v>
      </c>
      <c r="B50" s="114" t="s">
        <v>111</v>
      </c>
      <c r="C50" s="115">
        <f>E50</f>
        <v>0.42857142857142855</v>
      </c>
      <c r="D50" s="114" t="s">
        <v>112</v>
      </c>
      <c r="E50" s="93">
        <v>0.42857142857142855</v>
      </c>
      <c r="F50" s="93">
        <f t="shared" si="0"/>
        <v>1.5345268542199488</v>
      </c>
      <c r="G50" s="94" t="s">
        <v>113</v>
      </c>
      <c r="H50" s="105">
        <v>1</v>
      </c>
      <c r="I50" s="96" t="s">
        <v>49</v>
      </c>
      <c r="J50" s="97">
        <v>100</v>
      </c>
      <c r="K50" s="98">
        <v>95</v>
      </c>
      <c r="L50" s="98">
        <v>90</v>
      </c>
      <c r="M50" s="98">
        <v>85</v>
      </c>
      <c r="N50" s="98">
        <v>80</v>
      </c>
      <c r="O50" s="98" t="s">
        <v>50</v>
      </c>
    </row>
    <row r="51" spans="1:15" s="99" customFormat="1" ht="407.25" customHeight="1" x14ac:dyDescent="0.25">
      <c r="A51" s="89">
        <v>8</v>
      </c>
      <c r="B51" s="90" t="s">
        <v>114</v>
      </c>
      <c r="C51" s="109">
        <f>SUM(E51:E56)</f>
        <v>9.1999999999999993</v>
      </c>
      <c r="D51" s="90" t="s">
        <v>115</v>
      </c>
      <c r="E51" s="93">
        <v>2</v>
      </c>
      <c r="F51" s="93">
        <f t="shared" si="0"/>
        <v>7.1611253196930944</v>
      </c>
      <c r="G51" s="94" t="s">
        <v>116</v>
      </c>
      <c r="H51" s="95">
        <v>0.8</v>
      </c>
      <c r="I51" s="106" t="s">
        <v>49</v>
      </c>
      <c r="J51" s="97" t="s">
        <v>71</v>
      </c>
      <c r="K51" s="98">
        <v>80</v>
      </c>
      <c r="L51" s="98">
        <v>75</v>
      </c>
      <c r="M51" s="98">
        <v>70</v>
      </c>
      <c r="N51" s="98">
        <v>50</v>
      </c>
      <c r="O51" s="98" t="s">
        <v>60</v>
      </c>
    </row>
    <row r="52" spans="1:15" s="99" customFormat="1" ht="407.25" customHeight="1" x14ac:dyDescent="0.25">
      <c r="A52" s="89"/>
      <c r="B52" s="90"/>
      <c r="C52" s="109"/>
      <c r="D52" s="90"/>
      <c r="E52" s="93">
        <v>1</v>
      </c>
      <c r="F52" s="93">
        <f t="shared" si="0"/>
        <v>3.5805626598465472</v>
      </c>
      <c r="G52" s="94" t="s">
        <v>117</v>
      </c>
      <c r="H52" s="95">
        <v>0.8</v>
      </c>
      <c r="I52" s="106" t="s">
        <v>49</v>
      </c>
      <c r="J52" s="97" t="s">
        <v>71</v>
      </c>
      <c r="K52" s="98">
        <v>80</v>
      </c>
      <c r="L52" s="98">
        <v>75</v>
      </c>
      <c r="M52" s="98">
        <v>70</v>
      </c>
      <c r="N52" s="98">
        <v>50</v>
      </c>
      <c r="O52" s="98" t="s">
        <v>60</v>
      </c>
    </row>
    <row r="53" spans="1:15" s="99" customFormat="1" ht="407.25" customHeight="1" x14ac:dyDescent="0.25">
      <c r="A53" s="89"/>
      <c r="B53" s="90"/>
      <c r="C53" s="109"/>
      <c r="D53" s="90"/>
      <c r="E53" s="93">
        <v>1</v>
      </c>
      <c r="F53" s="93">
        <f t="shared" si="0"/>
        <v>3.5805626598465472</v>
      </c>
      <c r="G53" s="94" t="s">
        <v>118</v>
      </c>
      <c r="H53" s="106">
        <v>5</v>
      </c>
      <c r="I53" s="106" t="s">
        <v>63</v>
      </c>
      <c r="J53" s="97" t="s">
        <v>91</v>
      </c>
      <c r="K53" s="98">
        <v>5</v>
      </c>
      <c r="L53" s="98">
        <v>4</v>
      </c>
      <c r="M53" s="98">
        <v>3</v>
      </c>
      <c r="N53" s="98">
        <v>2</v>
      </c>
      <c r="O53" s="98">
        <v>1</v>
      </c>
    </row>
    <row r="54" spans="1:15" s="99" customFormat="1" ht="246" customHeight="1" x14ac:dyDescent="0.25">
      <c r="A54" s="89"/>
      <c r="B54" s="90"/>
      <c r="C54" s="109"/>
      <c r="D54" s="90"/>
      <c r="E54" s="93">
        <v>1.6</v>
      </c>
      <c r="F54" s="93">
        <f t="shared" si="0"/>
        <v>5.7289002557544766</v>
      </c>
      <c r="G54" s="94" t="s">
        <v>119</v>
      </c>
      <c r="H54" s="95">
        <v>0.7</v>
      </c>
      <c r="I54" s="96" t="s">
        <v>49</v>
      </c>
      <c r="J54" s="97" t="s">
        <v>120</v>
      </c>
      <c r="K54" s="98">
        <v>70</v>
      </c>
      <c r="L54" s="98">
        <v>60</v>
      </c>
      <c r="M54" s="98">
        <v>50</v>
      </c>
      <c r="N54" s="98">
        <v>40</v>
      </c>
      <c r="O54" s="98" t="s">
        <v>121</v>
      </c>
    </row>
    <row r="55" spans="1:15" s="99" customFormat="1" ht="246" customHeight="1" x14ac:dyDescent="0.25">
      <c r="A55" s="89"/>
      <c r="B55" s="90"/>
      <c r="C55" s="109"/>
      <c r="D55" s="90" t="s">
        <v>122</v>
      </c>
      <c r="E55" s="93">
        <v>1.6</v>
      </c>
      <c r="F55" s="93">
        <f t="shared" si="0"/>
        <v>5.7289002557544766</v>
      </c>
      <c r="G55" s="94" t="s">
        <v>123</v>
      </c>
      <c r="H55" s="95">
        <v>0.5</v>
      </c>
      <c r="I55" s="96" t="s">
        <v>49</v>
      </c>
      <c r="J55" s="97" t="s">
        <v>55</v>
      </c>
      <c r="K55" s="98">
        <v>50</v>
      </c>
      <c r="L55" s="98">
        <v>45</v>
      </c>
      <c r="M55" s="98">
        <v>40</v>
      </c>
      <c r="N55" s="98">
        <v>25</v>
      </c>
      <c r="O55" s="98" t="s">
        <v>56</v>
      </c>
    </row>
    <row r="56" spans="1:15" ht="209.25" customHeight="1" x14ac:dyDescent="0.25">
      <c r="A56" s="89"/>
      <c r="B56" s="90"/>
      <c r="C56" s="109"/>
      <c r="D56" s="90"/>
      <c r="E56" s="93">
        <v>2</v>
      </c>
      <c r="F56" s="93">
        <f t="shared" si="0"/>
        <v>7.1611253196930944</v>
      </c>
      <c r="G56" s="94" t="s">
        <v>124</v>
      </c>
      <c r="H56" s="116">
        <v>5</v>
      </c>
      <c r="I56" s="106" t="s">
        <v>63</v>
      </c>
      <c r="J56" s="97" t="s">
        <v>91</v>
      </c>
      <c r="K56" s="98">
        <v>5</v>
      </c>
      <c r="L56" s="98">
        <v>4</v>
      </c>
      <c r="M56" s="98">
        <v>3</v>
      </c>
      <c r="N56" s="98">
        <v>2</v>
      </c>
      <c r="O56" s="98">
        <v>1</v>
      </c>
    </row>
    <row r="57" spans="1:15" ht="82.5" customHeight="1" x14ac:dyDescent="0.45">
      <c r="A57" s="117"/>
      <c r="B57" s="118" t="s">
        <v>125</v>
      </c>
      <c r="C57" s="119">
        <f>SUM(C19:C56)</f>
        <v>27.928571428571423</v>
      </c>
      <c r="D57" s="119"/>
      <c r="E57" s="119">
        <f>SUM(E19:E56)</f>
        <v>27.928571428571427</v>
      </c>
      <c r="F57" s="119">
        <f>SUM(F19:F56)</f>
        <v>100.00000000000004</v>
      </c>
      <c r="G57" s="120"/>
      <c r="H57" s="121"/>
      <c r="I57" s="122"/>
      <c r="J57" s="123"/>
      <c r="K57" s="124"/>
      <c r="L57" s="124"/>
      <c r="M57" s="124"/>
      <c r="N57" s="124"/>
      <c r="O57" s="124"/>
    </row>
    <row r="58" spans="1:15" ht="32.25" x14ac:dyDescent="0.25">
      <c r="A58" s="125" t="s">
        <v>126</v>
      </c>
      <c r="B58" s="125"/>
      <c r="C58" s="125"/>
      <c r="D58" s="125"/>
      <c r="E58" s="125"/>
      <c r="F58" s="125"/>
      <c r="G58" s="125"/>
      <c r="H58" s="126"/>
      <c r="I58" s="126"/>
      <c r="J58" s="127"/>
      <c r="K58" s="128" t="s">
        <v>127</v>
      </c>
      <c r="L58" s="128"/>
      <c r="M58" s="128"/>
      <c r="N58" s="128"/>
      <c r="O58" s="128"/>
    </row>
    <row r="59" spans="1:15" ht="33" x14ac:dyDescent="0.45">
      <c r="A59" s="129"/>
      <c r="B59" s="130"/>
      <c r="C59" s="131" t="s">
        <v>128</v>
      </c>
      <c r="D59" s="131"/>
      <c r="E59" s="131"/>
      <c r="F59" s="131"/>
      <c r="G59" s="131"/>
      <c r="H59" s="132" t="s">
        <v>129</v>
      </c>
      <c r="I59" s="132" t="s">
        <v>130</v>
      </c>
      <c r="J59" s="132" t="s">
        <v>131</v>
      </c>
      <c r="K59" s="128"/>
      <c r="L59" s="128"/>
      <c r="M59" s="128"/>
      <c r="N59" s="128"/>
      <c r="O59" s="128"/>
    </row>
    <row r="60" spans="1:15" ht="49.5" x14ac:dyDescent="0.6">
      <c r="A60" s="133">
        <v>1</v>
      </c>
      <c r="B60" s="134" t="s">
        <v>132</v>
      </c>
      <c r="C60" s="135"/>
      <c r="D60" s="136"/>
      <c r="E60" s="136"/>
      <c r="F60" s="136"/>
      <c r="G60" s="137"/>
      <c r="H60" s="138"/>
      <c r="I60" s="138"/>
      <c r="J60" s="139"/>
      <c r="K60" s="140"/>
      <c r="L60" s="141" t="s">
        <v>40</v>
      </c>
      <c r="M60" s="142" t="s">
        <v>133</v>
      </c>
      <c r="N60" s="142"/>
      <c r="O60" s="142"/>
    </row>
    <row r="61" spans="1:15" ht="89.25" customHeight="1" x14ac:dyDescent="0.45">
      <c r="A61" s="143" t="s">
        <v>134</v>
      </c>
      <c r="B61" s="144" t="s">
        <v>135</v>
      </c>
      <c r="C61" s="145"/>
      <c r="D61" s="146"/>
      <c r="E61" s="146"/>
      <c r="F61" s="146"/>
      <c r="G61" s="147"/>
      <c r="H61" s="124">
        <v>3</v>
      </c>
      <c r="I61" s="124">
        <v>3</v>
      </c>
      <c r="J61" s="148"/>
      <c r="K61" s="140"/>
      <c r="L61" s="141" t="s">
        <v>41</v>
      </c>
      <c r="M61" s="142" t="s">
        <v>136</v>
      </c>
      <c r="N61" s="142"/>
      <c r="O61" s="142"/>
    </row>
    <row r="62" spans="1:15" ht="86.25" customHeight="1" x14ac:dyDescent="0.45">
      <c r="A62" s="143" t="s">
        <v>137</v>
      </c>
      <c r="B62" s="144" t="s">
        <v>138</v>
      </c>
      <c r="C62" s="145"/>
      <c r="D62" s="146"/>
      <c r="E62" s="146"/>
      <c r="F62" s="146"/>
      <c r="G62" s="147"/>
      <c r="H62" s="124">
        <v>3</v>
      </c>
      <c r="I62" s="124">
        <v>3</v>
      </c>
      <c r="J62" s="148"/>
      <c r="K62" s="140"/>
      <c r="L62" s="141" t="s">
        <v>42</v>
      </c>
      <c r="M62" s="142" t="s">
        <v>139</v>
      </c>
      <c r="N62" s="142"/>
      <c r="O62" s="142"/>
    </row>
    <row r="63" spans="1:15" ht="79.5" customHeight="1" x14ac:dyDescent="0.45">
      <c r="A63" s="143" t="s">
        <v>140</v>
      </c>
      <c r="B63" s="144" t="s">
        <v>141</v>
      </c>
      <c r="C63" s="145"/>
      <c r="D63" s="146"/>
      <c r="E63" s="146"/>
      <c r="F63" s="146"/>
      <c r="G63" s="147"/>
      <c r="H63" s="124">
        <v>3</v>
      </c>
      <c r="I63" s="124">
        <v>3</v>
      </c>
      <c r="J63" s="148"/>
      <c r="K63" s="140"/>
      <c r="L63" s="141" t="s">
        <v>43</v>
      </c>
      <c r="M63" s="142" t="s">
        <v>142</v>
      </c>
      <c r="N63" s="142"/>
      <c r="O63" s="142"/>
    </row>
    <row r="64" spans="1:15" ht="79.5" customHeight="1" x14ac:dyDescent="0.6">
      <c r="A64" s="149">
        <v>2</v>
      </c>
      <c r="B64" s="150" t="s">
        <v>143</v>
      </c>
      <c r="C64" s="151"/>
      <c r="D64" s="152"/>
      <c r="E64" s="152"/>
      <c r="F64" s="152"/>
      <c r="G64" s="153"/>
      <c r="H64" s="124"/>
      <c r="I64" s="124"/>
      <c r="J64" s="148"/>
      <c r="K64" s="140"/>
      <c r="L64" s="141" t="s">
        <v>44</v>
      </c>
      <c r="M64" s="142" t="s">
        <v>144</v>
      </c>
      <c r="N64" s="142"/>
      <c r="O64" s="142"/>
    </row>
    <row r="65" spans="1:15" ht="96.75" customHeight="1" x14ac:dyDescent="0.45">
      <c r="A65" s="143" t="s">
        <v>134</v>
      </c>
      <c r="B65" s="154" t="s">
        <v>145</v>
      </c>
      <c r="C65" s="155"/>
      <c r="D65" s="156"/>
      <c r="E65" s="156"/>
      <c r="F65" s="156"/>
      <c r="G65" s="157"/>
      <c r="H65" s="124">
        <v>3</v>
      </c>
      <c r="I65" s="124">
        <v>3</v>
      </c>
      <c r="J65" s="148"/>
      <c r="K65" s="140"/>
      <c r="L65" s="141" t="s">
        <v>45</v>
      </c>
      <c r="M65" s="142" t="s">
        <v>146</v>
      </c>
      <c r="N65" s="142"/>
      <c r="O65" s="142"/>
    </row>
    <row r="66" spans="1:15" ht="84.75" customHeight="1" x14ac:dyDescent="0.45">
      <c r="A66" s="143" t="s">
        <v>137</v>
      </c>
      <c r="B66" s="154" t="s">
        <v>147</v>
      </c>
      <c r="C66" s="155"/>
      <c r="D66" s="156"/>
      <c r="E66" s="156"/>
      <c r="F66" s="156"/>
      <c r="G66" s="157"/>
      <c r="H66" s="124">
        <v>2</v>
      </c>
      <c r="I66" s="124">
        <v>2</v>
      </c>
      <c r="J66" s="148"/>
      <c r="K66" s="140"/>
      <c r="L66" s="158" t="s">
        <v>131</v>
      </c>
      <c r="M66" s="158" t="s">
        <v>148</v>
      </c>
      <c r="N66" s="159"/>
      <c r="O66" s="159"/>
    </row>
    <row r="67" spans="1:15" ht="96" customHeight="1" x14ac:dyDescent="0.45">
      <c r="A67" s="143" t="s">
        <v>140</v>
      </c>
      <c r="B67" s="160" t="s">
        <v>149</v>
      </c>
      <c r="C67" s="155"/>
      <c r="D67" s="156"/>
      <c r="E67" s="156"/>
      <c r="F67" s="156"/>
      <c r="G67" s="157"/>
      <c r="H67" s="124">
        <v>2</v>
      </c>
      <c r="I67" s="124">
        <v>2</v>
      </c>
      <c r="J67" s="148"/>
      <c r="K67" s="140"/>
      <c r="L67" s="158" t="s">
        <v>150</v>
      </c>
      <c r="M67" s="142" t="s">
        <v>151</v>
      </c>
      <c r="N67" s="142"/>
      <c r="O67" s="142"/>
    </row>
    <row r="68" spans="1:15" ht="49.5" x14ac:dyDescent="0.6">
      <c r="A68" s="149">
        <v>3</v>
      </c>
      <c r="B68" s="150" t="s">
        <v>152</v>
      </c>
      <c r="C68" s="151"/>
      <c r="D68" s="152"/>
      <c r="E68" s="152"/>
      <c r="F68" s="152"/>
      <c r="G68" s="153"/>
      <c r="H68" s="124"/>
      <c r="I68" s="124"/>
      <c r="J68" s="148"/>
      <c r="K68" s="140"/>
      <c r="L68" s="158" t="s">
        <v>129</v>
      </c>
      <c r="M68" s="142" t="s">
        <v>153</v>
      </c>
      <c r="N68" s="142"/>
      <c r="O68" s="142"/>
    </row>
    <row r="69" spans="1:15" ht="81.75" customHeight="1" x14ac:dyDescent="0.45">
      <c r="A69" s="143" t="s">
        <v>134</v>
      </c>
      <c r="B69" s="154" t="s">
        <v>154</v>
      </c>
      <c r="C69" s="161"/>
      <c r="D69" s="162"/>
      <c r="E69" s="162"/>
      <c r="F69" s="162"/>
      <c r="G69" s="163"/>
      <c r="H69" s="124">
        <v>2</v>
      </c>
      <c r="I69" s="124">
        <v>2</v>
      </c>
      <c r="J69" s="148"/>
      <c r="K69" s="140"/>
      <c r="L69" s="158" t="s">
        <v>130</v>
      </c>
      <c r="M69" s="142" t="s">
        <v>155</v>
      </c>
      <c r="N69" s="142"/>
      <c r="O69" s="142"/>
    </row>
    <row r="70" spans="1:15" ht="72" customHeight="1" x14ac:dyDescent="0.45">
      <c r="A70" s="143" t="s">
        <v>137</v>
      </c>
      <c r="B70" s="154" t="s">
        <v>156</v>
      </c>
      <c r="C70" s="161"/>
      <c r="D70" s="162"/>
      <c r="E70" s="162"/>
      <c r="F70" s="162"/>
      <c r="G70" s="163"/>
      <c r="H70" s="124">
        <v>1</v>
      </c>
      <c r="I70" s="124">
        <v>1</v>
      </c>
      <c r="J70" s="148"/>
      <c r="K70" s="140"/>
      <c r="L70" s="158" t="s">
        <v>157</v>
      </c>
      <c r="M70" s="142" t="s">
        <v>158</v>
      </c>
      <c r="N70" s="142"/>
      <c r="O70" s="142"/>
    </row>
    <row r="71" spans="1:15" ht="78" customHeight="1" x14ac:dyDescent="0.45">
      <c r="A71" s="143" t="s">
        <v>140</v>
      </c>
      <c r="B71" s="154" t="s">
        <v>159</v>
      </c>
      <c r="C71" s="161"/>
      <c r="D71" s="162"/>
      <c r="E71" s="162"/>
      <c r="F71" s="162"/>
      <c r="G71" s="163"/>
      <c r="H71" s="124">
        <v>1</v>
      </c>
      <c r="I71" s="124">
        <v>1</v>
      </c>
      <c r="J71" s="148"/>
      <c r="K71" s="140"/>
      <c r="L71" s="159"/>
      <c r="M71" s="159"/>
      <c r="N71" s="159"/>
      <c r="O71" s="159"/>
    </row>
    <row r="72" spans="1:15" ht="33" x14ac:dyDescent="0.45">
      <c r="A72" s="164" t="s">
        <v>160</v>
      </c>
      <c r="B72" s="165"/>
      <c r="C72" s="165"/>
      <c r="D72" s="165"/>
      <c r="E72" s="165"/>
      <c r="F72" s="165"/>
      <c r="G72" s="165"/>
      <c r="H72" s="166"/>
      <c r="I72" s="166"/>
      <c r="J72" s="166"/>
      <c r="K72" s="140"/>
      <c r="L72" s="159"/>
      <c r="M72" s="159"/>
      <c r="N72" s="159"/>
      <c r="O72" s="159"/>
    </row>
    <row r="73" spans="1:15" ht="49.5" x14ac:dyDescent="0.6">
      <c r="A73" s="143" t="s">
        <v>134</v>
      </c>
      <c r="B73" s="167" t="s">
        <v>161</v>
      </c>
      <c r="C73" s="155" t="s">
        <v>162</v>
      </c>
      <c r="D73" s="156"/>
      <c r="E73" s="156"/>
      <c r="F73" s="156"/>
      <c r="G73" s="157"/>
      <c r="H73" s="168">
        <v>4</v>
      </c>
      <c r="I73" s="169">
        <v>4</v>
      </c>
      <c r="J73" s="170"/>
      <c r="K73" s="140"/>
      <c r="L73" s="159"/>
      <c r="M73" s="159"/>
      <c r="N73" s="159"/>
      <c r="O73" s="159"/>
    </row>
    <row r="74" spans="1:15" ht="49.5" x14ac:dyDescent="0.6">
      <c r="A74" s="143" t="s">
        <v>137</v>
      </c>
      <c r="B74" s="167" t="s">
        <v>163</v>
      </c>
      <c r="C74" s="155" t="s">
        <v>164</v>
      </c>
      <c r="D74" s="156"/>
      <c r="E74" s="156"/>
      <c r="F74" s="156"/>
      <c r="G74" s="157"/>
      <c r="H74" s="168">
        <v>4</v>
      </c>
      <c r="I74" s="169">
        <v>4</v>
      </c>
      <c r="J74" s="170"/>
      <c r="K74" s="140"/>
      <c r="L74" s="159"/>
      <c r="M74" s="159"/>
      <c r="N74" s="159"/>
      <c r="O74" s="159"/>
    </row>
    <row r="75" spans="1:15" ht="49.5" x14ac:dyDescent="0.6">
      <c r="A75" s="143" t="s">
        <v>137</v>
      </c>
      <c r="B75" s="167" t="s">
        <v>165</v>
      </c>
      <c r="C75" s="155" t="s">
        <v>166</v>
      </c>
      <c r="D75" s="156"/>
      <c r="E75" s="156"/>
      <c r="F75" s="156"/>
      <c r="G75" s="157"/>
      <c r="H75" s="168">
        <v>2</v>
      </c>
      <c r="I75" s="169">
        <v>2</v>
      </c>
      <c r="J75" s="170"/>
      <c r="K75" s="140"/>
      <c r="L75" s="159"/>
      <c r="M75" s="159"/>
      <c r="N75" s="159"/>
      <c r="O75" s="159"/>
    </row>
    <row r="76" spans="1:15" ht="33" x14ac:dyDescent="0.45">
      <c r="A76" s="171" t="s">
        <v>167</v>
      </c>
      <c r="B76" s="171"/>
      <c r="C76" s="171"/>
      <c r="D76" s="171"/>
      <c r="E76" s="171"/>
      <c r="F76" s="171"/>
      <c r="G76" s="171"/>
      <c r="H76" s="171"/>
      <c r="I76" s="171"/>
      <c r="J76" s="172"/>
      <c r="K76" s="159"/>
      <c r="L76" s="159"/>
      <c r="M76" s="159"/>
      <c r="N76" s="159"/>
      <c r="O76" s="159"/>
    </row>
    <row r="77" spans="1:15" ht="15" customHeight="1" x14ac:dyDescent="0.45">
      <c r="A77" s="173" t="s">
        <v>168</v>
      </c>
      <c r="B77" s="173"/>
      <c r="C77" s="174"/>
      <c r="D77" s="175"/>
      <c r="E77" s="176" t="s">
        <v>169</v>
      </c>
      <c r="F77" s="177"/>
      <c r="G77" s="178" t="s">
        <v>170</v>
      </c>
      <c r="H77" s="179"/>
      <c r="I77" s="179"/>
      <c r="J77" s="180"/>
      <c r="K77" s="140"/>
      <c r="L77" s="140"/>
      <c r="M77" s="140"/>
      <c r="N77" s="140"/>
      <c r="O77" s="140"/>
    </row>
    <row r="78" spans="1:15" ht="33" customHeight="1" x14ac:dyDescent="0.45">
      <c r="A78" s="173"/>
      <c r="B78" s="173"/>
      <c r="C78" s="174"/>
      <c r="D78" s="175"/>
      <c r="E78" s="181"/>
      <c r="F78" s="182"/>
      <c r="G78" s="183"/>
      <c r="H78" s="184"/>
      <c r="I78" s="184"/>
      <c r="J78" s="180"/>
      <c r="K78" s="140"/>
      <c r="L78" s="140"/>
      <c r="M78" s="140"/>
      <c r="N78" s="140"/>
      <c r="O78" s="140"/>
    </row>
    <row r="79" spans="1:15" ht="33" customHeight="1" x14ac:dyDescent="0.45">
      <c r="A79" s="173"/>
      <c r="B79" s="173"/>
      <c r="C79" s="174"/>
      <c r="D79" s="175"/>
      <c r="E79" s="181"/>
      <c r="F79" s="182"/>
      <c r="G79" s="183"/>
      <c r="H79" s="184"/>
      <c r="I79" s="184"/>
      <c r="J79" s="180"/>
      <c r="K79" s="140"/>
      <c r="L79" s="140"/>
      <c r="M79" s="140"/>
      <c r="N79" s="140"/>
      <c r="O79" s="140"/>
    </row>
    <row r="80" spans="1:15" ht="27.75" customHeight="1" x14ac:dyDescent="0.45">
      <c r="A80" s="173"/>
      <c r="B80" s="173"/>
      <c r="C80" s="174"/>
      <c r="D80" s="175"/>
      <c r="E80" s="185"/>
      <c r="F80" s="186"/>
      <c r="G80" s="187"/>
      <c r="H80" s="184"/>
      <c r="I80" s="184"/>
      <c r="J80" s="180"/>
      <c r="K80" s="140"/>
      <c r="L80" s="140"/>
      <c r="M80" s="140"/>
      <c r="N80" s="140"/>
      <c r="O80" s="140"/>
    </row>
    <row r="81" spans="1:15" ht="33" customHeight="1" x14ac:dyDescent="0.45">
      <c r="A81" s="188" t="s">
        <v>171</v>
      </c>
      <c r="B81" s="189"/>
      <c r="C81" s="174"/>
      <c r="D81" s="175"/>
      <c r="E81" s="190" t="s">
        <v>171</v>
      </c>
      <c r="F81" s="177"/>
      <c r="G81" s="191" t="s">
        <v>171</v>
      </c>
      <c r="H81" s="184"/>
      <c r="I81" s="184"/>
      <c r="J81" s="180"/>
      <c r="K81" s="140"/>
      <c r="L81" s="140"/>
      <c r="M81" s="140"/>
      <c r="N81" s="140"/>
      <c r="O81" s="140"/>
    </row>
    <row r="82" spans="1:15" ht="30.75" customHeight="1" x14ac:dyDescent="0.45">
      <c r="A82" s="188"/>
      <c r="B82" s="189"/>
      <c r="C82" s="174"/>
      <c r="D82" s="175"/>
      <c r="E82" s="192"/>
      <c r="F82" s="182"/>
      <c r="G82" s="193"/>
      <c r="H82" s="184"/>
      <c r="I82" s="184"/>
      <c r="J82" s="180"/>
      <c r="K82" s="140"/>
      <c r="L82" s="140"/>
      <c r="M82" s="140"/>
      <c r="N82" s="140"/>
      <c r="O82" s="140"/>
    </row>
    <row r="83" spans="1:15" ht="17.25" hidden="1" customHeight="1" x14ac:dyDescent="0.45">
      <c r="A83" s="188"/>
      <c r="B83" s="189"/>
      <c r="C83" s="174"/>
      <c r="D83" s="175"/>
      <c r="E83" s="194"/>
      <c r="F83" s="186"/>
      <c r="G83" s="195"/>
      <c r="H83" s="184"/>
      <c r="I83" s="184"/>
      <c r="J83" s="180"/>
      <c r="K83" s="140"/>
      <c r="L83" s="140"/>
      <c r="M83" s="140"/>
      <c r="N83" s="140"/>
      <c r="O83" s="140"/>
    </row>
    <row r="84" spans="1:15" ht="33" customHeight="1" x14ac:dyDescent="0.45">
      <c r="A84" s="11" t="s">
        <v>172</v>
      </c>
      <c r="B84" s="183"/>
      <c r="C84" s="174"/>
      <c r="D84" s="175"/>
      <c r="E84" s="196" t="s">
        <v>172</v>
      </c>
      <c r="F84" s="177"/>
      <c r="G84" s="197" t="s">
        <v>172</v>
      </c>
      <c r="H84" s="184"/>
      <c r="I84" s="184"/>
      <c r="J84" s="180"/>
      <c r="K84" s="140"/>
      <c r="L84" s="140"/>
      <c r="M84" s="140"/>
      <c r="N84" s="140"/>
      <c r="O84" s="140"/>
    </row>
    <row r="85" spans="1:15" ht="33" customHeight="1" x14ac:dyDescent="0.45">
      <c r="A85" s="11"/>
      <c r="B85" s="183"/>
      <c r="C85" s="198"/>
      <c r="D85" s="199"/>
      <c r="E85" s="200"/>
      <c r="F85" s="186"/>
      <c r="G85" s="201"/>
      <c r="H85" s="184"/>
      <c r="I85" s="184"/>
      <c r="J85" s="180"/>
      <c r="K85" s="140"/>
      <c r="L85" s="140"/>
      <c r="M85" s="140"/>
      <c r="N85" s="140"/>
      <c r="O85" s="140"/>
    </row>
    <row r="86" spans="1:15" ht="19.5" x14ac:dyDescent="0.25">
      <c r="A86" s="202"/>
      <c r="B86" s="202"/>
      <c r="C86" s="202"/>
      <c r="D86" s="202"/>
      <c r="E86" s="202"/>
      <c r="F86" s="202"/>
      <c r="G86" s="202"/>
      <c r="H86" s="202"/>
      <c r="I86" s="202"/>
      <c r="J86" s="203"/>
      <c r="K86" s="204"/>
      <c r="L86" s="204"/>
      <c r="M86" s="204"/>
      <c r="N86" s="204"/>
      <c r="O86" s="204"/>
    </row>
  </sheetData>
  <mergeCells count="110">
    <mergeCell ref="A86:I86"/>
    <mergeCell ref="E81:E83"/>
    <mergeCell ref="F81:F83"/>
    <mergeCell ref="G81:G83"/>
    <mergeCell ref="A84:B85"/>
    <mergeCell ref="E84:E85"/>
    <mergeCell ref="F84:F85"/>
    <mergeCell ref="G84:G85"/>
    <mergeCell ref="C73:G73"/>
    <mergeCell ref="C74:G74"/>
    <mergeCell ref="C75:G75"/>
    <mergeCell ref="A76:I76"/>
    <mergeCell ref="A77:B80"/>
    <mergeCell ref="C77:D85"/>
    <mergeCell ref="E77:E80"/>
    <mergeCell ref="F77:F80"/>
    <mergeCell ref="G77:G80"/>
    <mergeCell ref="A81:B83"/>
    <mergeCell ref="C69:G69"/>
    <mergeCell ref="M69:O69"/>
    <mergeCell ref="C70:G70"/>
    <mergeCell ref="M70:O70"/>
    <mergeCell ref="C71:G71"/>
    <mergeCell ref="A72:G72"/>
    <mergeCell ref="C65:G65"/>
    <mergeCell ref="M65:O65"/>
    <mergeCell ref="C66:G66"/>
    <mergeCell ref="C67:G67"/>
    <mergeCell ref="M67:O67"/>
    <mergeCell ref="C68:G68"/>
    <mergeCell ref="M68:O68"/>
    <mergeCell ref="C62:G62"/>
    <mergeCell ref="M62:O62"/>
    <mergeCell ref="C63:G63"/>
    <mergeCell ref="M63:O63"/>
    <mergeCell ref="C64:G64"/>
    <mergeCell ref="M64:O64"/>
    <mergeCell ref="H58:J58"/>
    <mergeCell ref="K58:O59"/>
    <mergeCell ref="C59:G59"/>
    <mergeCell ref="C60:G60"/>
    <mergeCell ref="M60:O60"/>
    <mergeCell ref="C61:G61"/>
    <mergeCell ref="M61:O61"/>
    <mergeCell ref="A51:A56"/>
    <mergeCell ref="B51:B56"/>
    <mergeCell ref="C51:C56"/>
    <mergeCell ref="D51:D54"/>
    <mergeCell ref="D55:D56"/>
    <mergeCell ref="A58:G58"/>
    <mergeCell ref="A45:A47"/>
    <mergeCell ref="B45:B47"/>
    <mergeCell ref="C45:C47"/>
    <mergeCell ref="D45:D47"/>
    <mergeCell ref="A48:A49"/>
    <mergeCell ref="B48:B49"/>
    <mergeCell ref="C48:C49"/>
    <mergeCell ref="D48:D49"/>
    <mergeCell ref="A40:A42"/>
    <mergeCell ref="B40:B42"/>
    <mergeCell ref="C40:C42"/>
    <mergeCell ref="D40:D42"/>
    <mergeCell ref="A43:A44"/>
    <mergeCell ref="B43:B44"/>
    <mergeCell ref="C43:C44"/>
    <mergeCell ref="D43:D44"/>
    <mergeCell ref="A28:A39"/>
    <mergeCell ref="B28:B39"/>
    <mergeCell ref="C28:C39"/>
    <mergeCell ref="D28:D29"/>
    <mergeCell ref="D30:D32"/>
    <mergeCell ref="D33:D34"/>
    <mergeCell ref="D35:D36"/>
    <mergeCell ref="D37:D39"/>
    <mergeCell ref="J17:O17"/>
    <mergeCell ref="A19:A27"/>
    <mergeCell ref="B19:B27"/>
    <mergeCell ref="C19:C27"/>
    <mergeCell ref="D19:D21"/>
    <mergeCell ref="D22:D24"/>
    <mergeCell ref="D26:D27"/>
    <mergeCell ref="A16:I16"/>
    <mergeCell ref="A17:A18"/>
    <mergeCell ref="B17:B18"/>
    <mergeCell ref="C17:C18"/>
    <mergeCell ref="D17:D18"/>
    <mergeCell ref="E17:E18"/>
    <mergeCell ref="F17:F18"/>
    <mergeCell ref="G17:G18"/>
    <mergeCell ref="H17:H18"/>
    <mergeCell ref="I17:I18"/>
    <mergeCell ref="A12:I12"/>
    <mergeCell ref="A13:B13"/>
    <mergeCell ref="I13:J13"/>
    <mergeCell ref="A14:B14"/>
    <mergeCell ref="I14:J14"/>
    <mergeCell ref="A15:I15"/>
    <mergeCell ref="A8:B8"/>
    <mergeCell ref="I8:J8"/>
    <mergeCell ref="A9:I9"/>
    <mergeCell ref="A10:B10"/>
    <mergeCell ref="I10:J10"/>
    <mergeCell ref="A11:B11"/>
    <mergeCell ref="I11:J11"/>
    <mergeCell ref="A1:O3"/>
    <mergeCell ref="A4:I4"/>
    <mergeCell ref="E5:I5"/>
    <mergeCell ref="A6:I6"/>
    <mergeCell ref="A7:B7"/>
    <mergeCell ref="I7:J7"/>
  </mergeCells>
  <hyperlinks>
    <hyperlink ref="E8" r:id="rId1" xr:uid="{9D562DDB-503A-4980-81D1-50EA0D1A7B20}"/>
  </hyperlinks>
  <pageMargins left="0.45" right="0.2" top="0.25" bottom="0.25" header="0.3" footer="0.3"/>
  <pageSetup paperSize="9" scale="11"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ADMIN</vt:lpstr>
      <vt:lpstr>ADMIN!Print_Area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2026-04-09T21:10:32Z</dcterms:created>
  <dcterms:modified xsi:type="dcterms:W3CDTF">2026-04-09T21:10:51Z</dcterms:modified>
</cp:coreProperties>
</file>