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ADMIN\"/>
    </mc:Choice>
  </mc:AlternateContent>
  <xr:revisionPtr revIDLastSave="0" documentId="13_ncr:1_{C19063F0-DDF7-42BE-843B-94D598072B22}" xr6:coauthVersionLast="47" xr6:coauthVersionMax="47" xr10:uidLastSave="{00000000-0000-0000-0000-000000000000}"/>
  <bookViews>
    <workbookView xWindow="-120" yWindow="-120" windowWidth="20730" windowHeight="11040" xr2:uid="{0D0C829F-A61F-4C15-8447-1FD290E30233}"/>
  </bookViews>
  <sheets>
    <sheet name="YUNUSA_GAMBO" sheetId="1" r:id="rId1"/>
  </sheets>
  <definedNames>
    <definedName name="_xlnm.Print_Area" localSheetId="0">YUNUSA_GAMBO!$A$1:$O$62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E33" i="1" s="1"/>
  <c r="E32" i="1"/>
  <c r="C32" i="1"/>
  <c r="C31" i="1"/>
  <c r="E31" i="1" s="1"/>
  <c r="C30" i="1"/>
  <c r="E30" i="1" s="1"/>
  <c r="C24" i="1"/>
  <c r="E29" i="1" s="1"/>
  <c r="E20" i="1"/>
  <c r="C19" i="1"/>
  <c r="C34" i="1" s="1"/>
  <c r="E22" i="1" l="1"/>
  <c r="E19" i="1"/>
  <c r="E21" i="1"/>
  <c r="E23" i="1"/>
  <c r="E24" i="1"/>
  <c r="E26" i="1"/>
  <c r="E28" i="1"/>
  <c r="E25" i="1"/>
  <c r="E27" i="1"/>
  <c r="F25" i="1" l="1"/>
  <c r="F21" i="1"/>
  <c r="F26" i="1"/>
  <c r="E34" i="1"/>
  <c r="F27" i="1"/>
  <c r="F24" i="1"/>
  <c r="F30" i="1" l="1"/>
  <c r="F33" i="1"/>
  <c r="F29" i="1"/>
  <c r="F31" i="1"/>
  <c r="F32" i="1"/>
  <c r="F20" i="1"/>
  <c r="F28" i="1"/>
  <c r="F22" i="1"/>
  <c r="F19" i="1"/>
  <c r="F34" i="1" s="1"/>
  <c r="F23" i="1"/>
</calcChain>
</file>

<file path=xl/sharedStrings.xml><?xml version="1.0" encoding="utf-8"?>
<sst xmlns="http://schemas.openxmlformats.org/spreadsheetml/2006/main" count="211" uniqueCount="144">
  <si>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</si>
  <si>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</si>
  <si>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</si>
  <si>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</si>
  <si>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</si>
  <si>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</si>
  <si>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</si>
  <si>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</si>
  <si>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YUNUSA</t>
  </si>
  <si>
    <t>Firstname</t>
  </si>
  <si>
    <t>GAMBO</t>
  </si>
  <si>
    <t>Othername</t>
  </si>
  <si>
    <t>Designation</t>
  </si>
  <si>
    <t>DRIVER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</si>
  <si>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</si>
  <si>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</si>
  <si>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</si>
  <si>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</si>
  <si>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</si>
  <si>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</si>
  <si>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</si>
  <si>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</si>
  <si>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</si>
  <si>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</si>
  <si>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</si>
  <si>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</si>
  <si>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</si>
  <si>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</si>
  <si>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</si>
  <si>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</si>
  <si>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</si>
  <si>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</si>
  <si>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</si>
  <si>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</si>
  <si>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</si>
  <si>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</si>
  <si>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</si>
  <si>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</si>
  <si>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</si>
  <si>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</si>
  <si>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</si>
  <si>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</si>
  <si>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</si>
  <si>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</si>
  <si>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</si>
  <si>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</si>
  <si>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</si>
  <si>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</si>
  <si>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</si>
  <si>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</si>
  <si>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</si>
  <si>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</si>
  <si>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</si>
  <si>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</si>
  <si>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</si>
  <si>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</si>
  <si>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</si>
  <si>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</si>
  <si>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</si>
  <si>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</si>
  <si>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</si>
  <si>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</si>
  <si>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</si>
  <si>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</si>
  <si>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Transport &amp; Logistics Support</t>
  </si>
  <si>
    <t>Provide transportation for official assignments and staff movements</t>
  </si>
  <si>
    <t>Percentage of trips executed as scheduled</t>
  </si>
  <si>
    <t>&gt;80</t>
  </si>
  <si>
    <t>&lt;50</t>
  </si>
  <si>
    <t>Ensure timely delivery of documents and logistics items</t>
  </si>
  <si>
    <t>Percentage of deliveries completed on time</t>
  </si>
  <si>
    <t>Maintain vehicle cleanliness and basic checks</t>
  </si>
  <si>
    <t>Percentage of vehicles maintained in serviceable condition</t>
  </si>
  <si>
    <t>Keep accurate log of trips and fuel usage</t>
  </si>
  <si>
    <t>Percentage of log entries properly recorded</t>
  </si>
  <si>
    <t>Report vehicle faults and ensure prompt servicing</t>
  </si>
  <si>
    <t>Percentage of faults reported and resolved promptly</t>
  </si>
  <si>
    <t>&gt;90</t>
  </si>
  <si>
    <t>Facilitate timely servicing and maintenance of vehicles</t>
  </si>
  <si>
    <t>Percentage of scheduled maintenance carried out on time</t>
  </si>
  <si>
    <t>Service Innovation And Improvement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</si>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</sst>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u/>
      <sz val="40"/>
      <color theme="10"/>
      <name val="Calibri"/>
      <family val="2"/>
      <charset val="1"/>
      <scheme val="minor"/>
    </font>
    <font>
      <b/>
      <sz val="40"/>
      <color theme="1"/>
      <name val="Century Gothic"/>
      <family val="2"/>
    </font>
    <font>
      <u/>
      <sz val="40"/>
      <color theme="1"/>
      <name val="Calibri"/>
      <family val="2"/>
      <charset val="1"/>
      <scheme val="minor"/>
    </font>
    <font>
      <u/>
      <sz val="40"/>
      <color theme="1"/>
      <name val="Calibri"/>
      <family val="2"/>
      <scheme val="minor"/>
    </font>
    <font>
      <sz val="40"/>
      <color theme="1"/>
      <name val="Century Gothic"/>
      <family val="2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3">
    <xf numFmtId="0" fontId="0" fillId="0" borderId="0" xfId="0"/>
    <xf numFmtId="0" fontId="1" fillId="0" borderId="0" xfId="2"/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0" borderId="8" xfId="3" applyFont="1" applyBorder="1" applyAlignment="1">
      <alignment horizontal="left"/>
    </xf>
    <xf numFmtId="0" fontId="4" fillId="3" borderId="11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9" fillId="2" borderId="0" xfId="3" applyFont="1" applyFill="1" applyAlignment="1">
      <alignment horizontal="left"/>
    </xf>
    <xf numFmtId="0" fontId="9" fillId="2" borderId="12" xfId="3" applyFont="1" applyFill="1" applyBorder="1" applyAlignment="1">
      <alignment horizontal="left"/>
    </xf>
    <xf numFmtId="0" fontId="9" fillId="0" borderId="0" xfId="3" applyFont="1" applyAlignment="1">
      <alignment horizontal="left"/>
    </xf>
    <xf numFmtId="0" fontId="4" fillId="0" borderId="13" xfId="3" applyFont="1" applyBorder="1" applyAlignment="1">
      <alignment horizontal="left"/>
    </xf>
    <xf numFmtId="0" fontId="4" fillId="3" borderId="14" xfId="3" applyFont="1" applyFill="1" applyBorder="1" applyAlignment="1">
      <alignment horizontal="left"/>
    </xf>
    <xf numFmtId="0" fontId="10" fillId="0" borderId="13" xfId="1" applyFont="1" applyBorder="1" applyAlignment="1">
      <alignment horizontal="left"/>
    </xf>
    <xf numFmtId="0" fontId="4" fillId="0" borderId="9" xfId="3" applyFont="1" applyBorder="1" applyAlignment="1">
      <alignment horizontal="left"/>
    </xf>
    <xf numFmtId="0" fontId="11" fillId="2" borderId="0" xfId="2" applyFont="1" applyFill="1" applyAlignment="1">
      <alignment horizontal="left"/>
    </xf>
    <xf numFmtId="0" fontId="9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11" fillId="0" borderId="8" xfId="4" applyFont="1" applyBorder="1" applyAlignment="1">
      <alignment horizontal="left"/>
    </xf>
    <xf numFmtId="0" fontId="11" fillId="3" borderId="11" xfId="4" applyFont="1" applyFill="1" applyBorder="1" applyAlignment="1">
      <alignment horizontal="left"/>
    </xf>
    <xf numFmtId="0" fontId="11" fillId="0" borderId="6" xfId="4" applyFont="1" applyBorder="1" applyAlignment="1">
      <alignment horizontal="left"/>
    </xf>
    <xf numFmtId="0" fontId="9" fillId="2" borderId="0" xfId="4" applyFont="1" applyFill="1" applyAlignment="1">
      <alignment horizontal="left"/>
    </xf>
    <xf numFmtId="0" fontId="9" fillId="0" borderId="0" xfId="4" applyFont="1" applyAlignment="1">
      <alignment horizontal="left"/>
    </xf>
    <xf numFmtId="0" fontId="11" fillId="0" borderId="13" xfId="4" applyFont="1" applyBorder="1" applyAlignment="1">
      <alignment horizontal="left"/>
    </xf>
    <xf numFmtId="0" fontId="11" fillId="3" borderId="14" xfId="4" applyFont="1" applyFill="1" applyBorder="1" applyAlignment="1">
      <alignment horizontal="left"/>
    </xf>
    <xf numFmtId="0" fontId="12" fillId="0" borderId="13" xfId="1" applyFont="1" applyBorder="1" applyAlignment="1">
      <alignment horizontal="left"/>
    </xf>
    <xf numFmtId="49" fontId="11" fillId="0" borderId="9" xfId="4" applyNumberFormat="1" applyFont="1" applyBorder="1" applyAlignment="1">
      <alignment horizontal="left"/>
    </xf>
    <xf numFmtId="0" fontId="11" fillId="0" borderId="8" xfId="5" applyFont="1" applyBorder="1" applyAlignment="1">
      <alignment horizontal="left"/>
    </xf>
    <xf numFmtId="0" fontId="11" fillId="3" borderId="11" xfId="5" applyFont="1" applyFill="1" applyBorder="1" applyAlignment="1">
      <alignment horizontal="left"/>
    </xf>
    <xf numFmtId="0" fontId="11" fillId="3" borderId="6" xfId="5" applyFont="1" applyFill="1" applyBorder="1" applyAlignment="1">
      <alignment horizontal="left"/>
    </xf>
    <xf numFmtId="0" fontId="11" fillId="0" borderId="6" xfId="5" applyFont="1" applyBorder="1" applyAlignment="1">
      <alignment horizontal="left"/>
    </xf>
    <xf numFmtId="0" fontId="5" fillId="2" borderId="0" xfId="5" applyFont="1" applyFill="1"/>
    <xf numFmtId="0" fontId="5" fillId="0" borderId="0" xfId="5" applyFont="1"/>
    <xf numFmtId="0" fontId="11" fillId="0" borderId="13" xfId="5" applyFont="1" applyBorder="1" applyAlignment="1">
      <alignment horizontal="left"/>
    </xf>
    <xf numFmtId="0" fontId="11" fillId="3" borderId="14" xfId="5" applyFont="1" applyFill="1" applyBorder="1" applyAlignment="1">
      <alignment horizontal="left"/>
    </xf>
    <xf numFmtId="0" fontId="13" fillId="0" borderId="13" xfId="1" quotePrefix="1" applyFont="1" applyBorder="1" applyAlignment="1">
      <alignment horizontal="left"/>
    </xf>
    <xf numFmtId="0" fontId="11" fillId="3" borderId="9" xfId="5" applyFont="1" applyFill="1" applyBorder="1" applyAlignment="1">
      <alignment horizontal="left"/>
    </xf>
    <xf numFmtId="0" fontId="14" fillId="0" borderId="9" xfId="5" applyFont="1" applyBorder="1" applyAlignment="1">
      <alignment horizontal="left"/>
    </xf>
    <xf numFmtId="0" fontId="14" fillId="2" borderId="0" xfId="2" applyFont="1" applyFill="1" applyAlignment="1">
      <alignment horizontal="center"/>
    </xf>
    <xf numFmtId="0" fontId="15" fillId="3" borderId="0" xfId="2" applyFont="1" applyFill="1" applyAlignment="1">
      <alignment horizontal="left"/>
    </xf>
    <xf numFmtId="0" fontId="16" fillId="3" borderId="0" xfId="2" applyFont="1" applyFill="1"/>
    <xf numFmtId="0" fontId="17" fillId="3" borderId="0" xfId="2" applyFont="1" applyFill="1"/>
    <xf numFmtId="0" fontId="18" fillId="2" borderId="16" xfId="2" applyFont="1" applyFill="1" applyBorder="1" applyAlignment="1">
      <alignment horizontal="center" vertical="center"/>
    </xf>
    <xf numFmtId="0" fontId="18" fillId="2" borderId="16" xfId="2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/>
    </xf>
    <xf numFmtId="0" fontId="19" fillId="0" borderId="16" xfId="2" applyFont="1" applyBorder="1" applyAlignment="1">
      <alignment horizontal="left" vertical="center" wrapText="1"/>
    </xf>
    <xf numFmtId="0" fontId="19" fillId="0" borderId="14" xfId="2" applyFont="1" applyBorder="1" applyAlignment="1">
      <alignment vertical="center" wrapText="1"/>
    </xf>
    <xf numFmtId="2" fontId="19" fillId="0" borderId="14" xfId="0" applyNumberFormat="1" applyFont="1" applyBorder="1" applyAlignment="1">
      <alignment horizontal="center" vertical="center"/>
    </xf>
    <xf numFmtId="0" fontId="19" fillId="0" borderId="14" xfId="2" applyFont="1" applyBorder="1" applyAlignment="1">
      <alignment horizontal="left" vertical="center" wrapText="1"/>
    </xf>
    <xf numFmtId="9" fontId="19" fillId="0" borderId="14" xfId="2" applyNumberFormat="1" applyFont="1" applyBorder="1" applyAlignment="1">
      <alignment horizontal="center" vertical="center" wrapText="1"/>
    </xf>
    <xf numFmtId="0" fontId="19" fillId="0" borderId="14" xfId="7" applyFont="1" applyBorder="1" applyAlignment="1">
      <alignment horizontal="center" vertical="center" wrapText="1"/>
    </xf>
    <xf numFmtId="0" fontId="19" fillId="0" borderId="14" xfId="8" applyFont="1" applyBorder="1" applyAlignment="1">
      <alignment horizontal="center" vertical="center" wrapText="1"/>
    </xf>
    <xf numFmtId="0" fontId="20" fillId="0" borderId="14" xfId="8" applyFont="1" applyBorder="1" applyAlignment="1">
      <alignment horizontal="center" vertical="center"/>
    </xf>
    <xf numFmtId="0" fontId="21" fillId="0" borderId="0" xfId="2" applyFont="1" applyAlignment="1">
      <alignment vertical="center"/>
    </xf>
    <xf numFmtId="0" fontId="19" fillId="0" borderId="14" xfId="2" applyFont="1" applyBorder="1" applyAlignment="1">
      <alignment horizontal="center" vertical="center"/>
    </xf>
    <xf numFmtId="2" fontId="19" fillId="0" borderId="14" xfId="2" applyNumberFormat="1" applyFont="1" applyBorder="1" applyAlignment="1">
      <alignment vertical="center" wrapText="1"/>
    </xf>
    <xf numFmtId="9" fontId="19" fillId="0" borderId="14" xfId="2" applyNumberFormat="1" applyFont="1" applyBorder="1" applyAlignment="1">
      <alignment horizontal="center" vertical="center"/>
    </xf>
    <xf numFmtId="2" fontId="19" fillId="0" borderId="16" xfId="2" applyNumberFormat="1" applyFont="1" applyBorder="1" applyAlignment="1">
      <alignment horizontal="center" vertical="center" wrapText="1"/>
    </xf>
    <xf numFmtId="0" fontId="19" fillId="0" borderId="14" xfId="2" applyFont="1" applyBorder="1" applyAlignment="1">
      <alignment vertical="center"/>
    </xf>
    <xf numFmtId="2" fontId="19" fillId="0" borderId="14" xfId="2" applyNumberFormat="1" applyFont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/>
    </xf>
    <xf numFmtId="0" fontId="11" fillId="0" borderId="11" xfId="2" applyFont="1" applyBorder="1" applyAlignment="1">
      <alignment vertical="center" wrapText="1"/>
    </xf>
    <xf numFmtId="2" fontId="11" fillId="0" borderId="11" xfId="2" applyNumberFormat="1" applyFont="1" applyBorder="1" applyAlignment="1">
      <alignment horizontal="center" vertical="center"/>
    </xf>
    <xf numFmtId="9" fontId="23" fillId="0" borderId="11" xfId="2" applyNumberFormat="1" applyFont="1" applyBorder="1" applyAlignment="1">
      <alignment horizontal="center" vertical="center"/>
    </xf>
    <xf numFmtId="164" fontId="24" fillId="0" borderId="11" xfId="2" applyNumberFormat="1" applyFont="1" applyBorder="1" applyAlignment="1">
      <alignment vertical="center" wrapText="1"/>
    </xf>
    <xf numFmtId="164" fontId="24" fillId="0" borderId="11" xfId="2" applyNumberFormat="1" applyFont="1" applyBorder="1" applyAlignment="1">
      <alignment horizontal="center" vertical="center" wrapText="1"/>
    </xf>
    <xf numFmtId="0" fontId="23" fillId="0" borderId="6" xfId="2" applyFont="1" applyBorder="1" applyAlignment="1">
      <alignment horizontal="center"/>
    </xf>
    <xf numFmtId="0" fontId="17" fillId="0" borderId="14" xfId="2" applyFont="1" applyBorder="1"/>
    <xf numFmtId="0" fontId="17" fillId="2" borderId="0" xfId="2" applyFont="1" applyFill="1"/>
    <xf numFmtId="0" fontId="16" fillId="2" borderId="0" xfId="2" applyFont="1" applyFill="1" applyAlignment="1">
      <alignment horizontal="center"/>
    </xf>
    <xf numFmtId="0" fontId="15" fillId="2" borderId="0" xfId="2" applyFont="1" applyFill="1" applyAlignment="1">
      <alignment horizontal="center" vertical="center" wrapText="1"/>
    </xf>
    <xf numFmtId="0" fontId="4" fillId="0" borderId="11" xfId="2" applyFont="1" applyBorder="1" applyAlignment="1">
      <alignment horizontal="center"/>
    </xf>
    <xf numFmtId="0" fontId="4" fillId="0" borderId="14" xfId="2" applyFont="1" applyBorder="1" applyAlignment="1">
      <alignment horizontal="left"/>
    </xf>
    <xf numFmtId="0" fontId="17" fillId="0" borderId="11" xfId="2" applyFont="1" applyBorder="1" applyAlignment="1">
      <alignment horizontal="center"/>
    </xf>
    <xf numFmtId="0" fontId="17" fillId="0" borderId="6" xfId="2" applyFont="1" applyBorder="1" applyAlignment="1">
      <alignment horizontal="center"/>
    </xf>
    <xf numFmtId="0" fontId="17" fillId="3" borderId="14" xfId="2" applyFont="1" applyFill="1" applyBorder="1"/>
    <xf numFmtId="0" fontId="15" fillId="2" borderId="14" xfId="2" applyFont="1" applyFill="1" applyBorder="1" applyAlignment="1">
      <alignment horizontal="left"/>
    </xf>
    <xf numFmtId="0" fontId="25" fillId="2" borderId="14" xfId="2" applyFont="1" applyFill="1" applyBorder="1"/>
    <xf numFmtId="0" fontId="6" fillId="0" borderId="14" xfId="2" applyFont="1" applyBorder="1" applyAlignment="1">
      <alignment horizontal="center" vertical="center"/>
    </xf>
    <xf numFmtId="0" fontId="6" fillId="0" borderId="14" xfId="2" applyFont="1" applyBorder="1" applyAlignment="1">
      <alignment vertical="center" wrapText="1"/>
    </xf>
    <xf numFmtId="0" fontId="17" fillId="0" borderId="9" xfId="2" applyFont="1" applyBorder="1"/>
    <xf numFmtId="0" fontId="4" fillId="0" borderId="14" xfId="2" applyFont="1" applyBorder="1" applyAlignment="1">
      <alignment horizontal="center" vertical="center"/>
    </xf>
    <xf numFmtId="0" fontId="4" fillId="0" borderId="14" xfId="2" applyFont="1" applyBorder="1" applyAlignment="1">
      <alignment horizontal="left" vertical="center"/>
    </xf>
    <xf numFmtId="0" fontId="6" fillId="0" borderId="14" xfId="2" applyFont="1" applyBorder="1" applyAlignment="1">
      <alignment horizontal="left" vertical="center"/>
    </xf>
    <xf numFmtId="0" fontId="17" fillId="2" borderId="14" xfId="2" applyFont="1" applyFill="1" applyBorder="1"/>
    <xf numFmtId="0" fontId="6" fillId="0" borderId="14" xfId="2" applyFont="1" applyBorder="1" applyAlignment="1">
      <alignment horizontal="left" vertical="center" wrapText="1"/>
    </xf>
    <xf numFmtId="0" fontId="15" fillId="2" borderId="15" xfId="2" applyFont="1" applyFill="1" applyBorder="1" applyAlignment="1">
      <alignment horizontal="center"/>
    </xf>
    <xf numFmtId="0" fontId="4" fillId="0" borderId="9" xfId="2" applyFont="1" applyBorder="1"/>
    <xf numFmtId="0" fontId="15" fillId="0" borderId="14" xfId="2" applyFont="1" applyBorder="1"/>
    <xf numFmtId="0" fontId="16" fillId="0" borderId="14" xfId="2" applyFont="1" applyBorder="1" applyAlignment="1">
      <alignment horizontal="right" vertical="center"/>
    </xf>
    <xf numFmtId="0" fontId="15" fillId="0" borderId="9" xfId="2" applyFont="1" applyBorder="1"/>
    <xf numFmtId="0" fontId="26" fillId="2" borderId="0" xfId="2" applyFont="1" applyFill="1" applyAlignment="1">
      <alignment horizontal="left"/>
    </xf>
    <xf numFmtId="0" fontId="16" fillId="0" borderId="2" xfId="2" applyFont="1" applyBorder="1"/>
    <xf numFmtId="0" fontId="17" fillId="3" borderId="0" xfId="2" applyFont="1" applyFill="1" applyAlignment="1">
      <alignment horizontal="center"/>
    </xf>
    <xf numFmtId="0" fontId="16" fillId="0" borderId="14" xfId="2" applyFont="1" applyBorder="1"/>
    <xf numFmtId="0" fontId="27" fillId="3" borderId="0" xfId="2" applyFont="1" applyFill="1" applyAlignment="1">
      <alignment horizontal="center"/>
    </xf>
    <xf numFmtId="0" fontId="27" fillId="3" borderId="14" xfId="2" applyFont="1" applyFill="1" applyBorder="1"/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27" fillId="3" borderId="0" xfId="2" applyFont="1" applyFill="1" applyAlignment="1">
      <alignment horizontal="center"/>
    </xf>
    <xf numFmtId="0" fontId="4" fillId="2" borderId="14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5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15" fillId="2" borderId="9" xfId="2" applyFont="1" applyFill="1" applyBorder="1" applyAlignment="1">
      <alignment horizontal="left"/>
    </xf>
    <xf numFmtId="0" fontId="15" fillId="2" borderId="15" xfId="2" applyFont="1" applyFill="1" applyBorder="1" applyAlignment="1">
      <alignment horizontal="left"/>
    </xf>
    <xf numFmtId="0" fontId="6" fillId="0" borderId="9" xfId="2" applyFont="1" applyBorder="1" applyAlignment="1">
      <alignment vertical="top" wrapText="1"/>
    </xf>
    <xf numFmtId="0" fontId="6" fillId="0" borderId="15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15" fillId="2" borderId="0" xfId="2" applyFont="1" applyFill="1" applyAlignment="1">
      <alignment horizontal="left"/>
    </xf>
    <xf numFmtId="0" fontId="6" fillId="0" borderId="9" xfId="2" applyFont="1" applyBorder="1"/>
    <xf numFmtId="0" fontId="6" fillId="0" borderId="15" xfId="2" applyFont="1" applyBorder="1"/>
    <xf numFmtId="0" fontId="6" fillId="0" borderId="13" xfId="2" applyFont="1" applyBorder="1"/>
    <xf numFmtId="0" fontId="25" fillId="2" borderId="14" xfId="2" applyFont="1" applyFill="1" applyBorder="1"/>
    <xf numFmtId="0" fontId="6" fillId="0" borderId="9" xfId="2" applyFont="1" applyBorder="1" applyAlignment="1">
      <alignment horizontal="left" vertical="top" wrapText="1"/>
    </xf>
    <xf numFmtId="0" fontId="6" fillId="0" borderId="15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15" fillId="2" borderId="0" xfId="2" applyFont="1" applyFill="1" applyAlignment="1">
      <alignment horizontal="left" vertical="center" wrapText="1"/>
    </xf>
    <xf numFmtId="0" fontId="15" fillId="2" borderId="11" xfId="2" applyFont="1" applyFill="1" applyBorder="1" applyAlignment="1">
      <alignment horizontal="center" vertical="center" wrapText="1"/>
    </xf>
    <xf numFmtId="0" fontId="15" fillId="2" borderId="6" xfId="2" applyFont="1" applyFill="1" applyBorder="1" applyAlignment="1">
      <alignment horizontal="center" vertical="center" wrapText="1"/>
    </xf>
    <xf numFmtId="0" fontId="15" fillId="2" borderId="14" xfId="2" applyFont="1" applyFill="1" applyBorder="1" applyAlignment="1">
      <alignment horizontal="center" vertical="center"/>
    </xf>
    <xf numFmtId="0" fontId="15" fillId="3" borderId="0" xfId="2" applyFont="1" applyFill="1" applyAlignment="1">
      <alignment horizontal="center" vertical="center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18" fillId="2" borderId="9" xfId="2" applyFont="1" applyFill="1" applyBorder="1" applyAlignment="1">
      <alignment horizontal="center" vertical="center" wrapText="1"/>
    </xf>
    <xf numFmtId="0" fontId="18" fillId="2" borderId="15" xfId="2" applyFont="1" applyFill="1" applyBorder="1" applyAlignment="1">
      <alignment horizontal="center" vertical="center" wrapText="1"/>
    </xf>
    <xf numFmtId="0" fontId="18" fillId="2" borderId="13" xfId="2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/>
    </xf>
    <xf numFmtId="0" fontId="19" fillId="0" borderId="17" xfId="2" applyFont="1" applyBorder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19" fillId="0" borderId="16" xfId="2" applyFont="1" applyBorder="1" applyAlignment="1">
      <alignment horizontal="left" vertical="center" wrapText="1"/>
    </xf>
    <xf numFmtId="0" fontId="19" fillId="0" borderId="17" xfId="2" applyFont="1" applyBorder="1" applyAlignment="1">
      <alignment horizontal="left" vertical="center" wrapText="1"/>
    </xf>
    <xf numFmtId="0" fontId="19" fillId="0" borderId="11" xfId="2" applyFont="1" applyBorder="1" applyAlignment="1">
      <alignment horizontal="left" vertical="center" wrapText="1"/>
    </xf>
    <xf numFmtId="2" fontId="19" fillId="0" borderId="16" xfId="2" applyNumberFormat="1" applyFont="1" applyBorder="1" applyAlignment="1">
      <alignment horizontal="center" vertical="center"/>
    </xf>
    <xf numFmtId="2" fontId="19" fillId="0" borderId="17" xfId="2" applyNumberFormat="1" applyFont="1" applyBorder="1" applyAlignment="1">
      <alignment horizontal="center" vertical="center"/>
    </xf>
    <xf numFmtId="2" fontId="19" fillId="0" borderId="11" xfId="2" applyNumberFormat="1" applyFont="1" applyBorder="1" applyAlignment="1">
      <alignment horizontal="center" vertical="center"/>
    </xf>
    <xf numFmtId="0" fontId="15" fillId="3" borderId="0" xfId="2" applyFont="1" applyFill="1" applyAlignment="1">
      <alignment horizontal="left"/>
    </xf>
    <xf numFmtId="0" fontId="18" fillId="2" borderId="16" xfId="2" applyFont="1" applyFill="1" applyBorder="1" applyAlignment="1">
      <alignment horizontal="center" vertical="center"/>
    </xf>
    <xf numFmtId="0" fontId="18" fillId="2" borderId="17" xfId="2" applyFont="1" applyFill="1" applyBorder="1" applyAlignment="1">
      <alignment horizontal="center" vertical="center"/>
    </xf>
    <xf numFmtId="0" fontId="18" fillId="2" borderId="16" xfId="2" applyFont="1" applyFill="1" applyBorder="1" applyAlignment="1">
      <alignment horizontal="center" vertical="center" wrapText="1"/>
    </xf>
    <xf numFmtId="0" fontId="18" fillId="2" borderId="17" xfId="2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8" fillId="2" borderId="4" xfId="2" applyFont="1" applyFill="1" applyBorder="1" applyAlignment="1">
      <alignment horizontal="center" vertical="center"/>
    </xf>
    <xf numFmtId="0" fontId="11" fillId="2" borderId="0" xfId="2" applyFont="1" applyFill="1" applyAlignment="1">
      <alignment horizontal="left"/>
    </xf>
    <xf numFmtId="0" fontId="11" fillId="3" borderId="0" xfId="5" applyFont="1" applyFill="1" applyAlignment="1">
      <alignment horizontal="left" vertical="center"/>
    </xf>
    <xf numFmtId="0" fontId="11" fillId="3" borderId="5" xfId="5" applyFont="1" applyFill="1" applyBorder="1" applyAlignment="1">
      <alignment horizontal="left" vertical="center"/>
    </xf>
    <xf numFmtId="0" fontId="11" fillId="0" borderId="7" xfId="6" applyFont="1" applyBorder="1" applyAlignment="1">
      <alignment horizontal="left"/>
    </xf>
    <xf numFmtId="0" fontId="11" fillId="0" borderId="8" xfId="6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3" borderId="5" xfId="5" applyFont="1" applyFill="1" applyBorder="1" applyAlignment="1">
      <alignment horizontal="left"/>
    </xf>
    <xf numFmtId="0" fontId="11" fillId="0" borderId="9" xfId="6" applyFont="1" applyBorder="1" applyAlignment="1">
      <alignment horizontal="left"/>
    </xf>
    <xf numFmtId="0" fontId="11" fillId="0" borderId="13" xfId="6" applyFont="1" applyBorder="1" applyAlignment="1">
      <alignment horizontal="left"/>
    </xf>
    <xf numFmtId="0" fontId="5" fillId="2" borderId="0" xfId="2" applyFont="1" applyFill="1"/>
    <xf numFmtId="0" fontId="4" fillId="3" borderId="10" xfId="3" applyFont="1" applyFill="1" applyBorder="1" applyAlignment="1">
      <alignment horizontal="left"/>
    </xf>
    <xf numFmtId="0" fontId="4" fillId="3" borderId="5" xfId="3" applyFont="1" applyFill="1" applyBorder="1" applyAlignment="1">
      <alignment horizontal="left"/>
    </xf>
    <xf numFmtId="0" fontId="4" fillId="0" borderId="15" xfId="3" applyFont="1" applyBorder="1" applyAlignment="1">
      <alignment horizontal="left"/>
    </xf>
    <xf numFmtId="0" fontId="4" fillId="0" borderId="13" xfId="3" applyFont="1" applyBorder="1" applyAlignment="1">
      <alignment horizontal="left"/>
    </xf>
    <xf numFmtId="0" fontId="11" fillId="3" borderId="0" xfId="4" applyFont="1" applyFill="1" applyAlignment="1">
      <alignment horizontal="left" vertical="center"/>
    </xf>
    <xf numFmtId="0" fontId="11" fillId="3" borderId="5" xfId="4" applyFont="1" applyFill="1" applyBorder="1" applyAlignment="1">
      <alignment horizontal="left" vertical="center"/>
    </xf>
    <xf numFmtId="0" fontId="11" fillId="0" borderId="7" xfId="4" applyFont="1" applyBorder="1" applyAlignment="1">
      <alignment horizontal="left"/>
    </xf>
    <xf numFmtId="0" fontId="11" fillId="0" borderId="8" xfId="4" applyFont="1" applyBorder="1" applyAlignment="1">
      <alignment horizontal="left"/>
    </xf>
    <xf numFmtId="0" fontId="11" fillId="3" borderId="0" xfId="4" applyFont="1" applyFill="1" applyAlignment="1">
      <alignment horizontal="left"/>
    </xf>
    <xf numFmtId="0" fontId="11" fillId="3" borderId="5" xfId="4" applyFont="1" applyFill="1" applyBorder="1" applyAlignment="1">
      <alignment horizontal="left"/>
    </xf>
    <xf numFmtId="0" fontId="11" fillId="0" borderId="15" xfId="4" applyFont="1" applyBorder="1" applyAlignment="1">
      <alignment horizontal="left"/>
    </xf>
    <xf numFmtId="0" fontId="11" fillId="0" borderId="13" xfId="4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4" fillId="3" borderId="10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</cellXfs>
  <cellStyles count="9">
    <cellStyle name="Hyperlink" xfId="1" builtinId="8"/>
    <cellStyle name="Normal" xfId="0" builtinId="0"/>
    <cellStyle name="Normal 2 3" xfId="2" xr:uid="{8FC4CE56-1953-4B69-9B5A-3953F1C0DA96}"/>
    <cellStyle name="Normal 2 3 2" xfId="6" xr:uid="{37CEE6BE-AEC8-4E87-8016-278099553316}"/>
    <cellStyle name="Normal 2 3 3" xfId="4" xr:uid="{349879BE-C956-4066-92D5-B2FCE52566C6}"/>
    <cellStyle name="Normal 2 4 2" xfId="5" xr:uid="{74A0C37E-8292-47F4-B7A8-63D885DE56D1}"/>
    <cellStyle name="Normal 2 5" xfId="3" xr:uid="{00CAFB2A-AC8D-4992-8E00-F5FAB842D002}"/>
    <cellStyle name="Normal 4 2 2 2 2" xfId="8" xr:uid="{9AC02D2D-D43A-4E77-929B-C71EA054CFAA}"/>
    <cellStyle name="Normal 5 2 2" xfId="7" xr:uid="{309F4AC4-B78E-4A6D-A790-2FEEC11748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F66FE6CF-7C7E-4AC4-9462-DC59C422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B65A-3377-4D3A-88DF-4FAA7A92BBBF}">
  <sheetPr>
    <pageSetUpPr fitToPage="1"/>
  </sheetPr>
  <dimension ref="A1:R63"/>
  <sheetViews>
    <sheetView tabSelected="1" topLeftCell="A29" zoomScale="20" zoomScaleNormal="20" workbookViewId="0">
      <selection activeCell="C33" sqref="C33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55.7109375" style="1" bestFit="1" customWidth="1"/>
    <col min="5" max="5" width="113.710937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198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200"/>
    </row>
    <row r="2" spans="1:18" ht="22.5" customHeight="1" x14ac:dyDescent="0.25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3"/>
    </row>
    <row r="3" spans="1:18" ht="22.5" customHeight="1" x14ac:dyDescent="0.25">
      <c r="A3" s="204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8" s="4" customFormat="1" ht="51" x14ac:dyDescent="0.75">
      <c r="A4" s="132" t="s">
        <v>1</v>
      </c>
      <c r="B4" s="132"/>
      <c r="C4" s="132"/>
      <c r="D4" s="132"/>
      <c r="E4" s="132"/>
      <c r="F4" s="132"/>
      <c r="G4" s="132"/>
      <c r="H4" s="132"/>
      <c r="I4" s="132"/>
      <c r="J4" s="2"/>
      <c r="K4" s="3"/>
      <c r="L4" s="3"/>
      <c r="M4" s="3"/>
      <c r="N4" s="3"/>
      <c r="O4" s="3"/>
    </row>
    <row r="5" spans="1:18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207"/>
      <c r="F5" s="207"/>
      <c r="G5" s="207"/>
      <c r="H5" s="207"/>
      <c r="I5" s="207"/>
      <c r="J5" s="9"/>
      <c r="K5" s="3"/>
      <c r="L5" s="3"/>
      <c r="M5" s="3"/>
      <c r="N5" s="3"/>
      <c r="O5" s="3"/>
    </row>
    <row r="6" spans="1:18" s="12" customFormat="1" ht="38.25" customHeight="1" x14ac:dyDescent="0.55000000000000004">
      <c r="A6" s="208" t="s">
        <v>6</v>
      </c>
      <c r="B6" s="208"/>
      <c r="C6" s="208"/>
      <c r="D6" s="208"/>
      <c r="E6" s="208"/>
      <c r="F6" s="208"/>
      <c r="G6" s="208"/>
      <c r="H6" s="208"/>
      <c r="I6" s="208"/>
      <c r="J6" s="10"/>
      <c r="K6" s="11"/>
      <c r="L6" s="11"/>
      <c r="M6" s="11"/>
      <c r="N6" s="11"/>
      <c r="O6" s="11"/>
    </row>
    <row r="7" spans="1:18" s="18" customFormat="1" ht="51" x14ac:dyDescent="0.75">
      <c r="A7" s="209" t="s">
        <v>7</v>
      </c>
      <c r="B7" s="210"/>
      <c r="C7" s="13" t="s">
        <v>8</v>
      </c>
      <c r="D7" s="14" t="s">
        <v>9</v>
      </c>
      <c r="E7" s="13" t="s">
        <v>10</v>
      </c>
      <c r="F7" s="14" t="s">
        <v>11</v>
      </c>
      <c r="G7" s="15"/>
      <c r="H7" s="14" t="s">
        <v>12</v>
      </c>
      <c r="I7" s="211" t="s">
        <v>13</v>
      </c>
      <c r="J7" s="212"/>
      <c r="K7" s="16"/>
      <c r="L7" s="16"/>
      <c r="M7" s="16"/>
      <c r="N7" s="16"/>
      <c r="O7" s="16"/>
      <c r="P7" s="16"/>
      <c r="Q7" s="16"/>
      <c r="R7" s="17"/>
    </row>
    <row r="8" spans="1:18" s="18" customFormat="1" ht="51" x14ac:dyDescent="0.75">
      <c r="A8" s="186" t="s">
        <v>14</v>
      </c>
      <c r="B8" s="187"/>
      <c r="C8" s="19">
        <v>91585</v>
      </c>
      <c r="D8" s="20" t="s">
        <v>15</v>
      </c>
      <c r="E8" s="21"/>
      <c r="F8" s="20" t="s">
        <v>16</v>
      </c>
      <c r="G8" s="22"/>
      <c r="H8" s="20" t="s">
        <v>17</v>
      </c>
      <c r="I8" s="188" t="s">
        <v>18</v>
      </c>
      <c r="J8" s="189"/>
      <c r="K8" s="16"/>
      <c r="L8" s="16"/>
      <c r="M8" s="16"/>
      <c r="N8" s="16"/>
      <c r="O8" s="16"/>
      <c r="P8" s="16"/>
      <c r="Q8" s="16"/>
      <c r="R8" s="17"/>
    </row>
    <row r="9" spans="1:18" s="25" customFormat="1" ht="62.25" customHeight="1" x14ac:dyDescent="0.75">
      <c r="A9" s="176" t="s">
        <v>19</v>
      </c>
      <c r="B9" s="176"/>
      <c r="C9" s="176"/>
      <c r="D9" s="176"/>
      <c r="E9" s="176"/>
      <c r="F9" s="176"/>
      <c r="G9" s="176"/>
      <c r="H9" s="176"/>
      <c r="I9" s="176"/>
      <c r="J9" s="23"/>
      <c r="K9" s="24"/>
      <c r="L9" s="24"/>
      <c r="M9" s="24"/>
      <c r="N9" s="24"/>
      <c r="O9" s="24"/>
    </row>
    <row r="10" spans="1:18" s="30" customFormat="1" ht="51" x14ac:dyDescent="0.75">
      <c r="A10" s="190" t="s">
        <v>7</v>
      </c>
      <c r="B10" s="191"/>
      <c r="C10" s="26" t="s">
        <v>20</v>
      </c>
      <c r="D10" s="27" t="s">
        <v>9</v>
      </c>
      <c r="E10" s="26" t="s">
        <v>21</v>
      </c>
      <c r="F10" s="27" t="s">
        <v>11</v>
      </c>
      <c r="G10" s="28" t="s">
        <v>22</v>
      </c>
      <c r="H10" s="27" t="s">
        <v>12</v>
      </c>
      <c r="I10" s="192" t="s">
        <v>23</v>
      </c>
      <c r="J10" s="193"/>
      <c r="K10" s="29"/>
      <c r="L10" s="29"/>
      <c r="M10" s="29"/>
      <c r="N10" s="29"/>
      <c r="O10" s="29"/>
      <c r="P10" s="29"/>
      <c r="Q10" s="29"/>
      <c r="R10" s="29"/>
    </row>
    <row r="11" spans="1:18" s="30" customFormat="1" ht="51" x14ac:dyDescent="0.75">
      <c r="A11" s="194" t="s">
        <v>14</v>
      </c>
      <c r="B11" s="195"/>
      <c r="C11" s="31">
        <v>64218</v>
      </c>
      <c r="D11" s="32" t="s">
        <v>15</v>
      </c>
      <c r="E11" s="33" t="s">
        <v>24</v>
      </c>
      <c r="F11" s="32" t="s">
        <v>16</v>
      </c>
      <c r="G11" s="34" t="s">
        <v>25</v>
      </c>
      <c r="H11" s="32" t="s">
        <v>17</v>
      </c>
      <c r="I11" s="196" t="s">
        <v>18</v>
      </c>
      <c r="J11" s="197"/>
      <c r="K11" s="29"/>
      <c r="L11" s="29"/>
      <c r="M11" s="29"/>
      <c r="N11" s="29"/>
      <c r="O11" s="29"/>
      <c r="P11" s="29"/>
      <c r="Q11" s="29"/>
      <c r="R11" s="29"/>
    </row>
    <row r="12" spans="1:18" s="25" customFormat="1" ht="51" x14ac:dyDescent="0.75">
      <c r="A12" s="176" t="s">
        <v>26</v>
      </c>
      <c r="B12" s="176"/>
      <c r="C12" s="176"/>
      <c r="D12" s="176"/>
      <c r="E12" s="176"/>
      <c r="F12" s="176"/>
      <c r="G12" s="176"/>
      <c r="H12" s="176"/>
      <c r="I12" s="176"/>
      <c r="J12" s="23"/>
      <c r="K12" s="24"/>
      <c r="L12" s="24"/>
      <c r="M12" s="24"/>
      <c r="N12" s="24"/>
      <c r="O12" s="24"/>
    </row>
    <row r="13" spans="1:18" s="40" customFormat="1" ht="51" x14ac:dyDescent="0.75">
      <c r="A13" s="177" t="s">
        <v>7</v>
      </c>
      <c r="B13" s="178"/>
      <c r="C13" s="35" t="s">
        <v>27</v>
      </c>
      <c r="D13" s="36" t="s">
        <v>9</v>
      </c>
      <c r="E13" s="35" t="s">
        <v>28</v>
      </c>
      <c r="F13" s="37" t="s">
        <v>11</v>
      </c>
      <c r="G13" s="38" t="s">
        <v>29</v>
      </c>
      <c r="H13" s="36" t="s">
        <v>12</v>
      </c>
      <c r="I13" s="179" t="s">
        <v>30</v>
      </c>
      <c r="J13" s="180"/>
      <c r="K13" s="39"/>
      <c r="L13" s="39"/>
      <c r="M13" s="39"/>
      <c r="N13" s="39"/>
      <c r="O13" s="39"/>
    </row>
    <row r="14" spans="1:18" s="40" customFormat="1" ht="51.75" x14ac:dyDescent="0.75">
      <c r="A14" s="181" t="s">
        <v>14</v>
      </c>
      <c r="B14" s="182"/>
      <c r="C14" s="41">
        <v>60529</v>
      </c>
      <c r="D14" s="42" t="s">
        <v>15</v>
      </c>
      <c r="E14" s="43" t="s">
        <v>31</v>
      </c>
      <c r="F14" s="44" t="s">
        <v>16</v>
      </c>
      <c r="G14" s="45"/>
      <c r="H14" s="42" t="s">
        <v>17</v>
      </c>
      <c r="I14" s="183" t="s">
        <v>32</v>
      </c>
      <c r="J14" s="184"/>
      <c r="K14" s="39"/>
      <c r="L14" s="39"/>
      <c r="M14" s="39"/>
      <c r="N14" s="39"/>
      <c r="O14" s="39"/>
    </row>
    <row r="15" spans="1:18" s="4" customFormat="1" ht="51.75" x14ac:dyDescent="0.75">
      <c r="A15" s="185"/>
      <c r="B15" s="185"/>
      <c r="C15" s="185"/>
      <c r="D15" s="185"/>
      <c r="E15" s="185"/>
      <c r="F15" s="185"/>
      <c r="G15" s="185"/>
      <c r="H15" s="185"/>
      <c r="I15" s="185"/>
      <c r="J15" s="46"/>
      <c r="K15" s="3"/>
      <c r="L15" s="3"/>
      <c r="M15" s="3"/>
      <c r="N15" s="3"/>
      <c r="O15" s="3"/>
    </row>
    <row r="16" spans="1:18" ht="33" x14ac:dyDescent="0.45">
      <c r="A16" s="169" t="s">
        <v>33</v>
      </c>
      <c r="B16" s="169"/>
      <c r="C16" s="169"/>
      <c r="D16" s="169"/>
      <c r="E16" s="169"/>
      <c r="F16" s="169"/>
      <c r="G16" s="169"/>
      <c r="H16" s="169"/>
      <c r="I16" s="169"/>
      <c r="J16" s="47"/>
      <c r="K16" s="48"/>
      <c r="L16" s="49"/>
      <c r="M16" s="49"/>
      <c r="N16" s="49"/>
      <c r="O16" s="49"/>
    </row>
    <row r="17" spans="1:15" ht="57.75" customHeight="1" x14ac:dyDescent="0.25">
      <c r="A17" s="170" t="s">
        <v>34</v>
      </c>
      <c r="B17" s="171" t="s">
        <v>35</v>
      </c>
      <c r="C17" s="170" t="s">
        <v>36</v>
      </c>
      <c r="D17" s="170" t="s">
        <v>37</v>
      </c>
      <c r="E17" s="170" t="s">
        <v>36</v>
      </c>
      <c r="F17" s="172" t="s">
        <v>38</v>
      </c>
      <c r="G17" s="172" t="s">
        <v>39</v>
      </c>
      <c r="H17" s="174" t="s">
        <v>40</v>
      </c>
      <c r="I17" s="172" t="s">
        <v>41</v>
      </c>
      <c r="J17" s="157" t="s">
        <v>42</v>
      </c>
      <c r="K17" s="158"/>
      <c r="L17" s="158"/>
      <c r="M17" s="158"/>
      <c r="N17" s="158"/>
      <c r="O17" s="159"/>
    </row>
    <row r="18" spans="1:15" ht="51.75" customHeight="1" x14ac:dyDescent="0.25">
      <c r="A18" s="171"/>
      <c r="B18" s="171"/>
      <c r="C18" s="171"/>
      <c r="D18" s="171"/>
      <c r="E18" s="171"/>
      <c r="F18" s="173"/>
      <c r="G18" s="173"/>
      <c r="H18" s="175"/>
      <c r="I18" s="173"/>
      <c r="J18" s="50" t="s">
        <v>43</v>
      </c>
      <c r="K18" s="51" t="s">
        <v>44</v>
      </c>
      <c r="L18" s="51" t="s">
        <v>45</v>
      </c>
      <c r="M18" s="50" t="s">
        <v>46</v>
      </c>
      <c r="N18" s="50" t="s">
        <v>47</v>
      </c>
      <c r="O18" s="50" t="s">
        <v>48</v>
      </c>
    </row>
    <row r="19" spans="1:15" s="61" customFormat="1" ht="253.5" customHeight="1" x14ac:dyDescent="0.25">
      <c r="A19" s="160">
        <v>1</v>
      </c>
      <c r="B19" s="163" t="s">
        <v>49</v>
      </c>
      <c r="C19" s="166">
        <f>0.1 *8.59335038363171</f>
        <v>0.85933503836317104</v>
      </c>
      <c r="D19" s="54" t="s">
        <v>50</v>
      </c>
      <c r="E19" s="55">
        <f>C19/5</f>
        <v>0.17186700767263421</v>
      </c>
      <c r="F19" s="55">
        <f t="shared" ref="F19:F33" si="0">E19/$E$34 * 100</f>
        <v>1.8300653594771228</v>
      </c>
      <c r="G19" s="56" t="s">
        <v>51</v>
      </c>
      <c r="H19" s="57">
        <v>1</v>
      </c>
      <c r="I19" s="58" t="s">
        <v>52</v>
      </c>
      <c r="J19" s="59">
        <v>100</v>
      </c>
      <c r="K19" s="60">
        <v>95</v>
      </c>
      <c r="L19" s="60">
        <v>90</v>
      </c>
      <c r="M19" s="60">
        <v>85</v>
      </c>
      <c r="N19" s="60">
        <v>80</v>
      </c>
      <c r="O19" s="60" t="s">
        <v>53</v>
      </c>
    </row>
    <row r="20" spans="1:15" s="61" customFormat="1" ht="253.5" customHeight="1" x14ac:dyDescent="0.25">
      <c r="A20" s="161"/>
      <c r="B20" s="164"/>
      <c r="C20" s="167"/>
      <c r="D20" s="54" t="s">
        <v>54</v>
      </c>
      <c r="E20" s="55">
        <f>C19/5</f>
        <v>0.17186700767263421</v>
      </c>
      <c r="F20" s="55">
        <f t="shared" si="0"/>
        <v>1.8300653594771228</v>
      </c>
      <c r="G20" s="56" t="s">
        <v>55</v>
      </c>
      <c r="H20" s="57">
        <v>1</v>
      </c>
      <c r="I20" s="58" t="s">
        <v>52</v>
      </c>
      <c r="J20" s="59">
        <v>100</v>
      </c>
      <c r="K20" s="60">
        <v>95</v>
      </c>
      <c r="L20" s="60">
        <v>90</v>
      </c>
      <c r="M20" s="60">
        <v>85</v>
      </c>
      <c r="N20" s="60">
        <v>80</v>
      </c>
      <c r="O20" s="60" t="s">
        <v>53</v>
      </c>
    </row>
    <row r="21" spans="1:15" s="61" customFormat="1" ht="253.5" customHeight="1" x14ac:dyDescent="0.25">
      <c r="A21" s="161"/>
      <c r="B21" s="164"/>
      <c r="C21" s="167"/>
      <c r="D21" s="54" t="s">
        <v>56</v>
      </c>
      <c r="E21" s="55">
        <f>C19/5</f>
        <v>0.17186700767263421</v>
      </c>
      <c r="F21" s="55">
        <f t="shared" si="0"/>
        <v>1.8300653594771228</v>
      </c>
      <c r="G21" s="56" t="s">
        <v>57</v>
      </c>
      <c r="H21" s="57">
        <v>1</v>
      </c>
      <c r="I21" s="58" t="s">
        <v>52</v>
      </c>
      <c r="J21" s="59">
        <v>100</v>
      </c>
      <c r="K21" s="60">
        <v>95</v>
      </c>
      <c r="L21" s="60">
        <v>90</v>
      </c>
      <c r="M21" s="60">
        <v>85</v>
      </c>
      <c r="N21" s="60">
        <v>80</v>
      </c>
      <c r="O21" s="60" t="s">
        <v>53</v>
      </c>
    </row>
    <row r="22" spans="1:15" s="61" customFormat="1" ht="258" customHeight="1" x14ac:dyDescent="0.25">
      <c r="A22" s="161"/>
      <c r="B22" s="164"/>
      <c r="C22" s="167"/>
      <c r="D22" s="54" t="s">
        <v>58</v>
      </c>
      <c r="E22" s="55">
        <f>C19/5</f>
        <v>0.17186700767263421</v>
      </c>
      <c r="F22" s="55">
        <f t="shared" si="0"/>
        <v>1.8300653594771228</v>
      </c>
      <c r="G22" s="56" t="s">
        <v>59</v>
      </c>
      <c r="H22" s="62">
        <v>5</v>
      </c>
      <c r="I22" s="58" t="s">
        <v>60</v>
      </c>
      <c r="J22" s="59" t="s">
        <v>61</v>
      </c>
      <c r="K22" s="60">
        <v>5</v>
      </c>
      <c r="L22" s="60">
        <v>4</v>
      </c>
      <c r="M22" s="60">
        <v>3</v>
      </c>
      <c r="N22" s="60">
        <v>2</v>
      </c>
      <c r="O22" s="60">
        <v>1</v>
      </c>
    </row>
    <row r="23" spans="1:15" s="61" customFormat="1" ht="298.5" customHeight="1" x14ac:dyDescent="0.25">
      <c r="A23" s="162"/>
      <c r="B23" s="165"/>
      <c r="C23" s="168"/>
      <c r="D23" s="54" t="s">
        <v>62</v>
      </c>
      <c r="E23" s="55">
        <f>C19/5</f>
        <v>0.17186700767263421</v>
      </c>
      <c r="F23" s="55">
        <f t="shared" si="0"/>
        <v>1.8300653594771228</v>
      </c>
      <c r="G23" s="56" t="s">
        <v>63</v>
      </c>
      <c r="H23" s="57">
        <v>1</v>
      </c>
      <c r="I23" s="58" t="s">
        <v>52</v>
      </c>
      <c r="J23" s="59">
        <v>100</v>
      </c>
      <c r="K23" s="60">
        <v>95</v>
      </c>
      <c r="L23" s="60">
        <v>90</v>
      </c>
      <c r="M23" s="60">
        <v>85</v>
      </c>
      <c r="N23" s="60">
        <v>80</v>
      </c>
      <c r="O23" s="60" t="s">
        <v>53</v>
      </c>
    </row>
    <row r="24" spans="1:15" s="61" customFormat="1" ht="246" customHeight="1" x14ac:dyDescent="0.25">
      <c r="A24" s="160">
        <v>2</v>
      </c>
      <c r="B24" s="163" t="s">
        <v>64</v>
      </c>
      <c r="C24" s="166">
        <f>0.1 *57.2122762148338</f>
        <v>5.7212276214833802</v>
      </c>
      <c r="D24" s="63" t="s">
        <v>65</v>
      </c>
      <c r="E24" s="55">
        <f>C24/6</f>
        <v>0.95353793691389666</v>
      </c>
      <c r="F24" s="55">
        <f t="shared" si="0"/>
        <v>10.153413217138709</v>
      </c>
      <c r="G24" s="56" t="s">
        <v>66</v>
      </c>
      <c r="H24" s="64">
        <v>0.8</v>
      </c>
      <c r="I24" s="62" t="s">
        <v>52</v>
      </c>
      <c r="J24" s="59" t="s">
        <v>67</v>
      </c>
      <c r="K24" s="60">
        <v>80</v>
      </c>
      <c r="L24" s="60">
        <v>75</v>
      </c>
      <c r="M24" s="60">
        <v>70</v>
      </c>
      <c r="N24" s="60">
        <v>50</v>
      </c>
      <c r="O24" s="60" t="s">
        <v>68</v>
      </c>
    </row>
    <row r="25" spans="1:15" s="61" customFormat="1" ht="246" customHeight="1" x14ac:dyDescent="0.25">
      <c r="A25" s="161"/>
      <c r="B25" s="164"/>
      <c r="C25" s="167"/>
      <c r="D25" s="54" t="s">
        <v>69</v>
      </c>
      <c r="E25" s="55">
        <f>C24/6</f>
        <v>0.95353793691389666</v>
      </c>
      <c r="F25" s="55">
        <f t="shared" si="0"/>
        <v>10.153413217138709</v>
      </c>
      <c r="G25" s="56" t="s">
        <v>70</v>
      </c>
      <c r="H25" s="64">
        <v>0.8</v>
      </c>
      <c r="I25" s="62" t="s">
        <v>52</v>
      </c>
      <c r="J25" s="59" t="s">
        <v>67</v>
      </c>
      <c r="K25" s="60">
        <v>80</v>
      </c>
      <c r="L25" s="60">
        <v>75</v>
      </c>
      <c r="M25" s="60">
        <v>70</v>
      </c>
      <c r="N25" s="60">
        <v>50</v>
      </c>
      <c r="O25" s="60" t="s">
        <v>68</v>
      </c>
    </row>
    <row r="26" spans="1:15" s="61" customFormat="1" ht="407.25" customHeight="1" x14ac:dyDescent="0.25">
      <c r="A26" s="161"/>
      <c r="B26" s="164"/>
      <c r="C26" s="167"/>
      <c r="D26" s="54" t="s">
        <v>71</v>
      </c>
      <c r="E26" s="55">
        <f>C24/6</f>
        <v>0.95353793691389666</v>
      </c>
      <c r="F26" s="55">
        <f t="shared" si="0"/>
        <v>10.153413217138709</v>
      </c>
      <c r="G26" s="56" t="s">
        <v>72</v>
      </c>
      <c r="H26" s="64">
        <v>0.8</v>
      </c>
      <c r="I26" s="62" t="s">
        <v>52</v>
      </c>
      <c r="J26" s="59" t="s">
        <v>67</v>
      </c>
      <c r="K26" s="60">
        <v>80</v>
      </c>
      <c r="L26" s="60">
        <v>75</v>
      </c>
      <c r="M26" s="60">
        <v>70</v>
      </c>
      <c r="N26" s="60">
        <v>50</v>
      </c>
      <c r="O26" s="60" t="s">
        <v>68</v>
      </c>
    </row>
    <row r="27" spans="1:15" s="61" customFormat="1" ht="407.25" customHeight="1" x14ac:dyDescent="0.25">
      <c r="A27" s="161"/>
      <c r="B27" s="164"/>
      <c r="C27" s="167"/>
      <c r="D27" s="54" t="s">
        <v>73</v>
      </c>
      <c r="E27" s="55">
        <f>C24/6</f>
        <v>0.95353793691389666</v>
      </c>
      <c r="F27" s="55">
        <f t="shared" si="0"/>
        <v>10.153413217138709</v>
      </c>
      <c r="G27" s="56" t="s">
        <v>74</v>
      </c>
      <c r="H27" s="64">
        <v>1</v>
      </c>
      <c r="I27" s="58" t="s">
        <v>52</v>
      </c>
      <c r="J27" s="59">
        <v>100</v>
      </c>
      <c r="K27" s="60">
        <v>95</v>
      </c>
      <c r="L27" s="60">
        <v>90</v>
      </c>
      <c r="M27" s="60">
        <v>85</v>
      </c>
      <c r="N27" s="60">
        <v>80</v>
      </c>
      <c r="O27" s="60" t="s">
        <v>53</v>
      </c>
    </row>
    <row r="28" spans="1:15" s="61" customFormat="1" ht="246" customHeight="1" x14ac:dyDescent="0.25">
      <c r="A28" s="161"/>
      <c r="B28" s="164"/>
      <c r="C28" s="167"/>
      <c r="D28" s="54" t="s">
        <v>75</v>
      </c>
      <c r="E28" s="55">
        <f>C24/6</f>
        <v>0.95353793691389666</v>
      </c>
      <c r="F28" s="55">
        <f t="shared" si="0"/>
        <v>10.153413217138709</v>
      </c>
      <c r="G28" s="56" t="s">
        <v>76</v>
      </c>
      <c r="H28" s="64">
        <v>0.9</v>
      </c>
      <c r="I28" s="62" t="s">
        <v>52</v>
      </c>
      <c r="J28" s="59" t="s">
        <v>77</v>
      </c>
      <c r="K28" s="60">
        <v>90</v>
      </c>
      <c r="L28" s="60">
        <v>80</v>
      </c>
      <c r="M28" s="60">
        <v>70</v>
      </c>
      <c r="N28" s="60">
        <v>50</v>
      </c>
      <c r="O28" s="60" t="s">
        <v>68</v>
      </c>
    </row>
    <row r="29" spans="1:15" s="61" customFormat="1" ht="246" customHeight="1" x14ac:dyDescent="0.25">
      <c r="A29" s="162"/>
      <c r="B29" s="165"/>
      <c r="C29" s="168"/>
      <c r="D29" s="54" t="s">
        <v>78</v>
      </c>
      <c r="E29" s="55">
        <f>C24/6</f>
        <v>0.95353793691389666</v>
      </c>
      <c r="F29" s="55">
        <f t="shared" si="0"/>
        <v>10.153413217138709</v>
      </c>
      <c r="G29" s="56" t="s">
        <v>79</v>
      </c>
      <c r="H29" s="64">
        <v>0.8</v>
      </c>
      <c r="I29" s="62" t="s">
        <v>52</v>
      </c>
      <c r="J29" s="59" t="s">
        <v>67</v>
      </c>
      <c r="K29" s="60">
        <v>80</v>
      </c>
      <c r="L29" s="60">
        <v>75</v>
      </c>
      <c r="M29" s="60">
        <v>70</v>
      </c>
      <c r="N29" s="60">
        <v>50</v>
      </c>
      <c r="O29" s="60" t="s">
        <v>68</v>
      </c>
    </row>
    <row r="30" spans="1:15" s="61" customFormat="1" ht="246" customHeight="1" x14ac:dyDescent="0.25">
      <c r="A30" s="52">
        <v>3</v>
      </c>
      <c r="B30" s="53" t="s">
        <v>80</v>
      </c>
      <c r="C30" s="65">
        <f>0.1 *0.895140664961637</f>
        <v>8.9514066496163711E-2</v>
      </c>
      <c r="D30" s="54" t="s">
        <v>81</v>
      </c>
      <c r="E30" s="55">
        <f>C30</f>
        <v>8.9514066496163711E-2</v>
      </c>
      <c r="F30" s="55">
        <f t="shared" si="0"/>
        <v>0.95315904139433527</v>
      </c>
      <c r="G30" s="56" t="s">
        <v>82</v>
      </c>
      <c r="H30" s="62">
        <v>5</v>
      </c>
      <c r="I30" s="58" t="s">
        <v>60</v>
      </c>
      <c r="J30" s="59" t="s">
        <v>61</v>
      </c>
      <c r="K30" s="60">
        <v>5</v>
      </c>
      <c r="L30" s="60">
        <v>4</v>
      </c>
      <c r="M30" s="60">
        <v>3</v>
      </c>
      <c r="N30" s="60">
        <v>2</v>
      </c>
      <c r="O30" s="60">
        <v>1</v>
      </c>
    </row>
    <row r="31" spans="1:15" s="61" customFormat="1" ht="407.25" customHeight="1" x14ac:dyDescent="0.25">
      <c r="A31" s="52">
        <v>4</v>
      </c>
      <c r="B31" s="53" t="s">
        <v>83</v>
      </c>
      <c r="C31" s="65">
        <f>0.1 *14.3222506393862</f>
        <v>1.43222506393862</v>
      </c>
      <c r="D31" s="54" t="s">
        <v>84</v>
      </c>
      <c r="E31" s="55">
        <f>C31</f>
        <v>1.43222506393862</v>
      </c>
      <c r="F31" s="55">
        <f t="shared" si="0"/>
        <v>15.250544662309373</v>
      </c>
      <c r="G31" s="56" t="s">
        <v>85</v>
      </c>
      <c r="H31" s="64">
        <v>0.8</v>
      </c>
      <c r="I31" s="62" t="s">
        <v>52</v>
      </c>
      <c r="J31" s="59" t="s">
        <v>67</v>
      </c>
      <c r="K31" s="60">
        <v>80</v>
      </c>
      <c r="L31" s="60">
        <v>75</v>
      </c>
      <c r="M31" s="60">
        <v>70</v>
      </c>
      <c r="N31" s="60">
        <v>50</v>
      </c>
      <c r="O31" s="60" t="s">
        <v>68</v>
      </c>
    </row>
    <row r="32" spans="1:15" s="61" customFormat="1" ht="246" customHeight="1" x14ac:dyDescent="0.25">
      <c r="A32" s="66">
        <v>5</v>
      </c>
      <c r="B32" s="54" t="s">
        <v>86</v>
      </c>
      <c r="C32" s="67">
        <f>0.1 *5.72890025575448</f>
        <v>0.57289002557544799</v>
      </c>
      <c r="D32" s="53" t="s">
        <v>87</v>
      </c>
      <c r="E32" s="55">
        <f>C32</f>
        <v>0.57289002557544799</v>
      </c>
      <c r="F32" s="55">
        <f t="shared" si="0"/>
        <v>6.1002178649237484</v>
      </c>
      <c r="G32" s="56" t="s">
        <v>88</v>
      </c>
      <c r="H32" s="57">
        <v>0.7</v>
      </c>
      <c r="I32" s="62" t="s">
        <v>52</v>
      </c>
      <c r="J32" s="59" t="s">
        <v>89</v>
      </c>
      <c r="K32" s="60">
        <v>70</v>
      </c>
      <c r="L32" s="60">
        <v>60</v>
      </c>
      <c r="M32" s="60">
        <v>50</v>
      </c>
      <c r="N32" s="60">
        <v>40</v>
      </c>
      <c r="O32" s="60" t="s">
        <v>90</v>
      </c>
    </row>
    <row r="33" spans="1:15" ht="209.25" customHeight="1" x14ac:dyDescent="0.25">
      <c r="A33" s="66">
        <v>6</v>
      </c>
      <c r="B33" s="54" t="s">
        <v>91</v>
      </c>
      <c r="C33" s="67">
        <f>0.1 *7.16112531969309</f>
        <v>0.71611253196930902</v>
      </c>
      <c r="D33" s="56" t="s">
        <v>92</v>
      </c>
      <c r="E33" s="55">
        <f>C33</f>
        <v>0.71611253196930902</v>
      </c>
      <c r="F33" s="55">
        <f t="shared" si="0"/>
        <v>7.625272331154676</v>
      </c>
      <c r="G33" s="56" t="s">
        <v>93</v>
      </c>
      <c r="H33" s="57">
        <v>0.5</v>
      </c>
      <c r="I33" s="58" t="s">
        <v>52</v>
      </c>
      <c r="J33" s="59" t="s">
        <v>94</v>
      </c>
      <c r="K33" s="60">
        <v>50</v>
      </c>
      <c r="L33" s="60">
        <v>45</v>
      </c>
      <c r="M33" s="60">
        <v>40</v>
      </c>
      <c r="N33" s="60">
        <v>25</v>
      </c>
      <c r="O33" s="60" t="s">
        <v>95</v>
      </c>
    </row>
    <row r="34" spans="1:15" ht="198.75" customHeight="1" x14ac:dyDescent="0.45">
      <c r="A34" s="68"/>
      <c r="B34" s="69" t="s">
        <v>96</v>
      </c>
      <c r="C34" s="70">
        <f>SUM(C19:C33)</f>
        <v>9.3913043478260914</v>
      </c>
      <c r="D34" s="70"/>
      <c r="E34" s="70">
        <f>SUM(E19:E33)</f>
        <v>9.3913043478260914</v>
      </c>
      <c r="F34" s="70">
        <f>SUM(F19:F33)</f>
        <v>100</v>
      </c>
      <c r="G34" s="71"/>
      <c r="H34" s="72"/>
      <c r="I34" s="73"/>
      <c r="J34" s="74"/>
      <c r="K34" s="75"/>
      <c r="L34" s="75"/>
      <c r="M34" s="75"/>
      <c r="N34" s="75"/>
      <c r="O34" s="75"/>
    </row>
    <row r="35" spans="1:15" ht="32.25" x14ac:dyDescent="0.25">
      <c r="A35" s="149" t="s">
        <v>97</v>
      </c>
      <c r="B35" s="149"/>
      <c r="C35" s="149"/>
      <c r="D35" s="149"/>
      <c r="E35" s="149"/>
      <c r="F35" s="149"/>
      <c r="G35" s="149"/>
      <c r="H35" s="150"/>
      <c r="I35" s="150"/>
      <c r="J35" s="151"/>
      <c r="K35" s="152" t="s">
        <v>98</v>
      </c>
      <c r="L35" s="152"/>
      <c r="M35" s="152"/>
      <c r="N35" s="152"/>
      <c r="O35" s="152"/>
    </row>
    <row r="36" spans="1:15" ht="33" x14ac:dyDescent="0.45">
      <c r="A36" s="76"/>
      <c r="B36" s="77"/>
      <c r="C36" s="153" t="s">
        <v>99</v>
      </c>
      <c r="D36" s="153"/>
      <c r="E36" s="153"/>
      <c r="F36" s="153"/>
      <c r="G36" s="153"/>
      <c r="H36" s="78" t="s">
        <v>100</v>
      </c>
      <c r="I36" s="78" t="s">
        <v>101</v>
      </c>
      <c r="J36" s="78" t="s">
        <v>102</v>
      </c>
      <c r="K36" s="152"/>
      <c r="L36" s="152"/>
      <c r="M36" s="152"/>
      <c r="N36" s="152"/>
      <c r="O36" s="152"/>
    </row>
    <row r="37" spans="1:15" ht="49.5" x14ac:dyDescent="0.6">
      <c r="A37" s="79">
        <v>1</v>
      </c>
      <c r="B37" s="80" t="s">
        <v>103</v>
      </c>
      <c r="C37" s="154"/>
      <c r="D37" s="155"/>
      <c r="E37" s="155"/>
      <c r="F37" s="155"/>
      <c r="G37" s="156"/>
      <c r="H37" s="81"/>
      <c r="I37" s="81"/>
      <c r="J37" s="82"/>
      <c r="K37" s="83"/>
      <c r="L37" s="84" t="s">
        <v>43</v>
      </c>
      <c r="M37" s="145" t="s">
        <v>104</v>
      </c>
      <c r="N37" s="145"/>
      <c r="O37" s="145"/>
    </row>
    <row r="38" spans="1:15" ht="89.25" customHeight="1" x14ac:dyDescent="0.45">
      <c r="A38" s="86" t="s">
        <v>105</v>
      </c>
      <c r="B38" s="87" t="s">
        <v>106</v>
      </c>
      <c r="C38" s="146"/>
      <c r="D38" s="147"/>
      <c r="E38" s="147"/>
      <c r="F38" s="147"/>
      <c r="G38" s="148"/>
      <c r="H38" s="75">
        <v>3</v>
      </c>
      <c r="I38" s="75">
        <v>3</v>
      </c>
      <c r="J38" s="88"/>
      <c r="K38" s="83"/>
      <c r="L38" s="84" t="s">
        <v>44</v>
      </c>
      <c r="M38" s="145" t="s">
        <v>107</v>
      </c>
      <c r="N38" s="145"/>
      <c r="O38" s="145"/>
    </row>
    <row r="39" spans="1:15" ht="86.25" customHeight="1" x14ac:dyDescent="0.45">
      <c r="A39" s="86" t="s">
        <v>108</v>
      </c>
      <c r="B39" s="87" t="s">
        <v>109</v>
      </c>
      <c r="C39" s="146"/>
      <c r="D39" s="147"/>
      <c r="E39" s="147"/>
      <c r="F39" s="147"/>
      <c r="G39" s="148"/>
      <c r="H39" s="75">
        <v>3</v>
      </c>
      <c r="I39" s="75">
        <v>3</v>
      </c>
      <c r="J39" s="88"/>
      <c r="K39" s="83"/>
      <c r="L39" s="84" t="s">
        <v>45</v>
      </c>
      <c r="M39" s="145" t="s">
        <v>110</v>
      </c>
      <c r="N39" s="145"/>
      <c r="O39" s="145"/>
    </row>
    <row r="40" spans="1:15" ht="79.5" customHeight="1" x14ac:dyDescent="0.45">
      <c r="A40" s="86" t="s">
        <v>111</v>
      </c>
      <c r="B40" s="87" t="s">
        <v>112</v>
      </c>
      <c r="C40" s="146"/>
      <c r="D40" s="147"/>
      <c r="E40" s="147"/>
      <c r="F40" s="147"/>
      <c r="G40" s="148"/>
      <c r="H40" s="75">
        <v>3</v>
      </c>
      <c r="I40" s="75">
        <v>3</v>
      </c>
      <c r="J40" s="88"/>
      <c r="K40" s="83"/>
      <c r="L40" s="84" t="s">
        <v>46</v>
      </c>
      <c r="M40" s="145" t="s">
        <v>113</v>
      </c>
      <c r="N40" s="145"/>
      <c r="O40" s="145"/>
    </row>
    <row r="41" spans="1:15" ht="79.5" customHeight="1" x14ac:dyDescent="0.6">
      <c r="A41" s="89">
        <v>2</v>
      </c>
      <c r="B41" s="90" t="s">
        <v>114</v>
      </c>
      <c r="C41" s="142"/>
      <c r="D41" s="143"/>
      <c r="E41" s="143"/>
      <c r="F41" s="143"/>
      <c r="G41" s="144"/>
      <c r="H41" s="75"/>
      <c r="I41" s="75"/>
      <c r="J41" s="88"/>
      <c r="K41" s="83"/>
      <c r="L41" s="84" t="s">
        <v>47</v>
      </c>
      <c r="M41" s="145" t="s">
        <v>115</v>
      </c>
      <c r="N41" s="145"/>
      <c r="O41" s="145"/>
    </row>
    <row r="42" spans="1:15" ht="96.75" customHeight="1" x14ac:dyDescent="0.45">
      <c r="A42" s="86" t="s">
        <v>105</v>
      </c>
      <c r="B42" s="91" t="s">
        <v>116</v>
      </c>
      <c r="C42" s="138"/>
      <c r="D42" s="139"/>
      <c r="E42" s="139"/>
      <c r="F42" s="139"/>
      <c r="G42" s="140"/>
      <c r="H42" s="75">
        <v>3</v>
      </c>
      <c r="I42" s="75">
        <v>3</v>
      </c>
      <c r="J42" s="88"/>
      <c r="K42" s="83"/>
      <c r="L42" s="84" t="s">
        <v>48</v>
      </c>
      <c r="M42" s="145" t="s">
        <v>117</v>
      </c>
      <c r="N42" s="145"/>
      <c r="O42" s="145"/>
    </row>
    <row r="43" spans="1:15" ht="84.75" customHeight="1" x14ac:dyDescent="0.45">
      <c r="A43" s="86" t="s">
        <v>108</v>
      </c>
      <c r="B43" s="91" t="s">
        <v>118</v>
      </c>
      <c r="C43" s="138"/>
      <c r="D43" s="139"/>
      <c r="E43" s="139"/>
      <c r="F43" s="139"/>
      <c r="G43" s="140"/>
      <c r="H43" s="75">
        <v>2</v>
      </c>
      <c r="I43" s="75">
        <v>2</v>
      </c>
      <c r="J43" s="88"/>
      <c r="K43" s="83"/>
      <c r="L43" s="85" t="s">
        <v>102</v>
      </c>
      <c r="M43" s="85" t="s">
        <v>119</v>
      </c>
      <c r="N43" s="92"/>
      <c r="O43" s="92"/>
    </row>
    <row r="44" spans="1:15" ht="96" customHeight="1" x14ac:dyDescent="0.45">
      <c r="A44" s="86" t="s">
        <v>111</v>
      </c>
      <c r="B44" s="93" t="s">
        <v>120</v>
      </c>
      <c r="C44" s="138"/>
      <c r="D44" s="139"/>
      <c r="E44" s="139"/>
      <c r="F44" s="139"/>
      <c r="G44" s="140"/>
      <c r="H44" s="75">
        <v>2</v>
      </c>
      <c r="I44" s="75">
        <v>2</v>
      </c>
      <c r="J44" s="88"/>
      <c r="K44" s="83"/>
      <c r="L44" s="85" t="s">
        <v>121</v>
      </c>
      <c r="M44" s="145" t="s">
        <v>122</v>
      </c>
      <c r="N44" s="145"/>
      <c r="O44" s="145"/>
    </row>
    <row r="45" spans="1:15" ht="49.5" x14ac:dyDescent="0.6">
      <c r="A45" s="89">
        <v>3</v>
      </c>
      <c r="B45" s="90" t="s">
        <v>123</v>
      </c>
      <c r="C45" s="142"/>
      <c r="D45" s="143"/>
      <c r="E45" s="143"/>
      <c r="F45" s="143"/>
      <c r="G45" s="144"/>
      <c r="H45" s="75"/>
      <c r="I45" s="75"/>
      <c r="J45" s="88"/>
      <c r="K45" s="83"/>
      <c r="L45" s="85" t="s">
        <v>100</v>
      </c>
      <c r="M45" s="145" t="s">
        <v>124</v>
      </c>
      <c r="N45" s="145"/>
      <c r="O45" s="145"/>
    </row>
    <row r="46" spans="1:15" ht="81.75" customHeight="1" x14ac:dyDescent="0.45">
      <c r="A46" s="86" t="s">
        <v>105</v>
      </c>
      <c r="B46" s="91" t="s">
        <v>125</v>
      </c>
      <c r="C46" s="133"/>
      <c r="D46" s="134"/>
      <c r="E46" s="134"/>
      <c r="F46" s="134"/>
      <c r="G46" s="135"/>
      <c r="H46" s="75">
        <v>2</v>
      </c>
      <c r="I46" s="75">
        <v>2</v>
      </c>
      <c r="J46" s="88"/>
      <c r="K46" s="83"/>
      <c r="L46" s="85" t="s">
        <v>101</v>
      </c>
      <c r="M46" s="145" t="s">
        <v>126</v>
      </c>
      <c r="N46" s="145"/>
      <c r="O46" s="145"/>
    </row>
    <row r="47" spans="1:15" ht="72" customHeight="1" x14ac:dyDescent="0.45">
      <c r="A47" s="86" t="s">
        <v>108</v>
      </c>
      <c r="B47" s="91" t="s">
        <v>127</v>
      </c>
      <c r="C47" s="133"/>
      <c r="D47" s="134"/>
      <c r="E47" s="134"/>
      <c r="F47" s="134"/>
      <c r="G47" s="135"/>
      <c r="H47" s="75">
        <v>1</v>
      </c>
      <c r="I47" s="75">
        <v>1</v>
      </c>
      <c r="J47" s="88"/>
      <c r="K47" s="83"/>
      <c r="L47" s="85" t="s">
        <v>128</v>
      </c>
      <c r="M47" s="145" t="s">
        <v>129</v>
      </c>
      <c r="N47" s="145"/>
      <c r="O47" s="145"/>
    </row>
    <row r="48" spans="1:15" ht="78" customHeight="1" x14ac:dyDescent="0.45">
      <c r="A48" s="86" t="s">
        <v>111</v>
      </c>
      <c r="B48" s="91" t="s">
        <v>130</v>
      </c>
      <c r="C48" s="133"/>
      <c r="D48" s="134"/>
      <c r="E48" s="134"/>
      <c r="F48" s="134"/>
      <c r="G48" s="135"/>
      <c r="H48" s="75">
        <v>1</v>
      </c>
      <c r="I48" s="75">
        <v>1</v>
      </c>
      <c r="J48" s="88"/>
      <c r="K48" s="83"/>
      <c r="L48" s="92"/>
      <c r="M48" s="92"/>
      <c r="N48" s="92"/>
      <c r="O48" s="92"/>
    </row>
    <row r="49" spans="1:15" ht="33" x14ac:dyDescent="0.45">
      <c r="A49" s="136" t="s">
        <v>131</v>
      </c>
      <c r="B49" s="137"/>
      <c r="C49" s="137"/>
      <c r="D49" s="137"/>
      <c r="E49" s="137"/>
      <c r="F49" s="137"/>
      <c r="G49" s="137"/>
      <c r="H49" s="94"/>
      <c r="I49" s="94"/>
      <c r="J49" s="94"/>
      <c r="K49" s="83"/>
      <c r="L49" s="92"/>
      <c r="M49" s="92"/>
      <c r="N49" s="92"/>
      <c r="O49" s="92"/>
    </row>
    <row r="50" spans="1:15" ht="49.5" x14ac:dyDescent="0.6">
      <c r="A50" s="86" t="s">
        <v>105</v>
      </c>
      <c r="B50" s="95" t="s">
        <v>132</v>
      </c>
      <c r="C50" s="138" t="s">
        <v>133</v>
      </c>
      <c r="D50" s="139"/>
      <c r="E50" s="139"/>
      <c r="F50" s="139"/>
      <c r="G50" s="140"/>
      <c r="H50" s="96">
        <v>4</v>
      </c>
      <c r="I50" s="97">
        <v>4</v>
      </c>
      <c r="J50" s="98"/>
      <c r="K50" s="83"/>
      <c r="L50" s="92"/>
      <c r="M50" s="92"/>
      <c r="N50" s="92"/>
      <c r="O50" s="92"/>
    </row>
    <row r="51" spans="1:15" ht="49.5" x14ac:dyDescent="0.6">
      <c r="A51" s="86" t="s">
        <v>108</v>
      </c>
      <c r="B51" s="95" t="s">
        <v>134</v>
      </c>
      <c r="C51" s="138" t="s">
        <v>135</v>
      </c>
      <c r="D51" s="139"/>
      <c r="E51" s="139"/>
      <c r="F51" s="139"/>
      <c r="G51" s="140"/>
      <c r="H51" s="96">
        <v>4</v>
      </c>
      <c r="I51" s="97">
        <v>4</v>
      </c>
      <c r="J51" s="98"/>
      <c r="K51" s="83"/>
      <c r="L51" s="92"/>
      <c r="M51" s="92"/>
      <c r="N51" s="92"/>
      <c r="O51" s="92"/>
    </row>
    <row r="52" spans="1:15" ht="49.5" x14ac:dyDescent="0.6">
      <c r="A52" s="86" t="s">
        <v>108</v>
      </c>
      <c r="B52" s="95" t="s">
        <v>136</v>
      </c>
      <c r="C52" s="138" t="s">
        <v>137</v>
      </c>
      <c r="D52" s="139"/>
      <c r="E52" s="139"/>
      <c r="F52" s="139"/>
      <c r="G52" s="140"/>
      <c r="H52" s="96">
        <v>2</v>
      </c>
      <c r="I52" s="97">
        <v>2</v>
      </c>
      <c r="J52" s="98"/>
      <c r="K52" s="83"/>
      <c r="L52" s="92"/>
      <c r="M52" s="92"/>
      <c r="N52" s="92"/>
      <c r="O52" s="92"/>
    </row>
    <row r="53" spans="1:15" ht="33" x14ac:dyDescent="0.45">
      <c r="A53" s="141" t="s">
        <v>138</v>
      </c>
      <c r="B53" s="141"/>
      <c r="C53" s="141"/>
      <c r="D53" s="141"/>
      <c r="E53" s="141"/>
      <c r="F53" s="141"/>
      <c r="G53" s="141"/>
      <c r="H53" s="141"/>
      <c r="I53" s="141"/>
      <c r="J53" s="99"/>
      <c r="K53" s="92"/>
      <c r="L53" s="92"/>
      <c r="M53" s="92"/>
      <c r="N53" s="92"/>
      <c r="O53" s="92"/>
    </row>
    <row r="54" spans="1:15" ht="15" customHeight="1" x14ac:dyDescent="0.45">
      <c r="A54" s="112" t="s">
        <v>139</v>
      </c>
      <c r="B54" s="112"/>
      <c r="C54" s="113"/>
      <c r="D54" s="114"/>
      <c r="E54" s="117" t="s">
        <v>140</v>
      </c>
      <c r="F54" s="107"/>
      <c r="G54" s="121" t="s">
        <v>141</v>
      </c>
      <c r="H54" s="100"/>
      <c r="I54" s="100"/>
      <c r="J54" s="101"/>
      <c r="K54" s="83"/>
      <c r="L54" s="83"/>
      <c r="M54" s="83"/>
      <c r="N54" s="83"/>
      <c r="O54" s="83"/>
    </row>
    <row r="55" spans="1:15" ht="33" customHeight="1" x14ac:dyDescent="0.45">
      <c r="A55" s="112"/>
      <c r="B55" s="112"/>
      <c r="C55" s="113"/>
      <c r="D55" s="114"/>
      <c r="E55" s="118"/>
      <c r="F55" s="120"/>
      <c r="G55" s="122"/>
      <c r="H55" s="102"/>
      <c r="I55" s="102"/>
      <c r="J55" s="101"/>
      <c r="K55" s="83"/>
      <c r="L55" s="83"/>
      <c r="M55" s="83"/>
      <c r="N55" s="83"/>
      <c r="O55" s="83"/>
    </row>
    <row r="56" spans="1:15" ht="33" customHeight="1" x14ac:dyDescent="0.45">
      <c r="A56" s="112"/>
      <c r="B56" s="112"/>
      <c r="C56" s="113"/>
      <c r="D56" s="114"/>
      <c r="E56" s="118"/>
      <c r="F56" s="120"/>
      <c r="G56" s="122"/>
      <c r="H56" s="102"/>
      <c r="I56" s="102"/>
      <c r="J56" s="101"/>
      <c r="K56" s="83"/>
      <c r="L56" s="83"/>
      <c r="M56" s="83"/>
      <c r="N56" s="83"/>
      <c r="O56" s="83"/>
    </row>
    <row r="57" spans="1:15" ht="27.75" customHeight="1" x14ac:dyDescent="0.45">
      <c r="A57" s="112"/>
      <c r="B57" s="112"/>
      <c r="C57" s="113"/>
      <c r="D57" s="114"/>
      <c r="E57" s="119"/>
      <c r="F57" s="108"/>
      <c r="G57" s="123"/>
      <c r="H57" s="102"/>
      <c r="I57" s="102"/>
      <c r="J57" s="101"/>
      <c r="K57" s="83"/>
      <c r="L57" s="83"/>
      <c r="M57" s="83"/>
      <c r="N57" s="83"/>
      <c r="O57" s="83"/>
    </row>
    <row r="58" spans="1:15" ht="33" customHeight="1" x14ac:dyDescent="0.45">
      <c r="A58" s="124" t="s">
        <v>142</v>
      </c>
      <c r="B58" s="125"/>
      <c r="C58" s="113"/>
      <c r="D58" s="114"/>
      <c r="E58" s="126" t="s">
        <v>142</v>
      </c>
      <c r="F58" s="107"/>
      <c r="G58" s="129" t="s">
        <v>142</v>
      </c>
      <c r="H58" s="102"/>
      <c r="I58" s="102"/>
      <c r="J58" s="101"/>
      <c r="K58" s="83"/>
      <c r="L58" s="83"/>
      <c r="M58" s="83"/>
      <c r="N58" s="83"/>
      <c r="O58" s="83"/>
    </row>
    <row r="59" spans="1:15" ht="30.75" customHeight="1" x14ac:dyDescent="0.45">
      <c r="A59" s="124"/>
      <c r="B59" s="125"/>
      <c r="C59" s="113"/>
      <c r="D59" s="114"/>
      <c r="E59" s="127"/>
      <c r="F59" s="120"/>
      <c r="G59" s="130"/>
      <c r="H59" s="102"/>
      <c r="I59" s="102"/>
      <c r="J59" s="101"/>
      <c r="K59" s="83"/>
      <c r="L59" s="83"/>
      <c r="M59" s="83"/>
      <c r="N59" s="83"/>
      <c r="O59" s="83"/>
    </row>
    <row r="60" spans="1:15" ht="17.25" hidden="1" customHeight="1" x14ac:dyDescent="0.45">
      <c r="A60" s="124"/>
      <c r="B60" s="125"/>
      <c r="C60" s="113"/>
      <c r="D60" s="114"/>
      <c r="E60" s="128"/>
      <c r="F60" s="108"/>
      <c r="G60" s="131"/>
      <c r="H60" s="102"/>
      <c r="I60" s="102"/>
      <c r="J60" s="101"/>
      <c r="K60" s="83"/>
      <c r="L60" s="83"/>
      <c r="M60" s="83"/>
      <c r="N60" s="83"/>
      <c r="O60" s="83"/>
    </row>
    <row r="61" spans="1:15" ht="33" customHeight="1" x14ac:dyDescent="0.45">
      <c r="A61" s="132" t="s">
        <v>143</v>
      </c>
      <c r="B61" s="122"/>
      <c r="C61" s="113"/>
      <c r="D61" s="114"/>
      <c r="E61" s="105" t="s">
        <v>143</v>
      </c>
      <c r="F61" s="107"/>
      <c r="G61" s="109" t="s">
        <v>143</v>
      </c>
      <c r="H61" s="102"/>
      <c r="I61" s="102"/>
      <c r="J61" s="101"/>
      <c r="K61" s="83"/>
      <c r="L61" s="83"/>
      <c r="M61" s="83"/>
      <c r="N61" s="83"/>
      <c r="O61" s="83"/>
    </row>
    <row r="62" spans="1:15" ht="33" customHeight="1" x14ac:dyDescent="0.45">
      <c r="A62" s="132"/>
      <c r="B62" s="122"/>
      <c r="C62" s="115"/>
      <c r="D62" s="116"/>
      <c r="E62" s="106"/>
      <c r="F62" s="108"/>
      <c r="G62" s="110"/>
      <c r="H62" s="102"/>
      <c r="I62" s="102"/>
      <c r="J62" s="101"/>
      <c r="K62" s="83"/>
      <c r="L62" s="83"/>
      <c r="M62" s="83"/>
      <c r="N62" s="83"/>
      <c r="O62" s="83"/>
    </row>
    <row r="63" spans="1:15" ht="19.5" x14ac:dyDescent="0.25">
      <c r="A63" s="111"/>
      <c r="B63" s="111"/>
      <c r="C63" s="111"/>
      <c r="D63" s="111"/>
      <c r="E63" s="111"/>
      <c r="F63" s="111"/>
      <c r="G63" s="111"/>
      <c r="H63" s="111"/>
      <c r="I63" s="111"/>
      <c r="J63" s="103"/>
      <c r="K63" s="104"/>
      <c r="L63" s="104"/>
      <c r="M63" s="104"/>
      <c r="N63" s="104"/>
      <c r="O63" s="104"/>
    </row>
  </sheetData>
  <mergeCells count="81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4:A29"/>
    <mergeCell ref="B24:B29"/>
    <mergeCell ref="C24:C29"/>
    <mergeCell ref="A35:G35"/>
    <mergeCell ref="H35:J35"/>
    <mergeCell ref="K35:O36"/>
    <mergeCell ref="C36:G36"/>
    <mergeCell ref="C37:G37"/>
    <mergeCell ref="M37:O37"/>
    <mergeCell ref="C44:G44"/>
    <mergeCell ref="M44:O44"/>
    <mergeCell ref="C38:G38"/>
    <mergeCell ref="M38:O38"/>
    <mergeCell ref="C39:G39"/>
    <mergeCell ref="M39:O39"/>
    <mergeCell ref="C40:G40"/>
    <mergeCell ref="M40:O40"/>
    <mergeCell ref="C41:G41"/>
    <mergeCell ref="M41:O41"/>
    <mergeCell ref="C42:G42"/>
    <mergeCell ref="M42:O42"/>
    <mergeCell ref="C43:G43"/>
    <mergeCell ref="A53:I53"/>
    <mergeCell ref="C45:G45"/>
    <mergeCell ref="M45:O45"/>
    <mergeCell ref="C46:G46"/>
    <mergeCell ref="M46:O46"/>
    <mergeCell ref="C47:G47"/>
    <mergeCell ref="M47:O47"/>
    <mergeCell ref="C48:G48"/>
    <mergeCell ref="A49:G49"/>
    <mergeCell ref="C50:G50"/>
    <mergeCell ref="C51:G51"/>
    <mergeCell ref="C52:G52"/>
    <mergeCell ref="E61:E62"/>
    <mergeCell ref="F61:F62"/>
    <mergeCell ref="G61:G62"/>
    <mergeCell ref="A63:I63"/>
    <mergeCell ref="A54:B57"/>
    <mergeCell ref="C54:D62"/>
    <mergeCell ref="E54:E57"/>
    <mergeCell ref="F54:F57"/>
    <mergeCell ref="G54:G57"/>
    <mergeCell ref="A58:B60"/>
    <mergeCell ref="E58:E60"/>
    <mergeCell ref="F58:F60"/>
    <mergeCell ref="G58:G60"/>
    <mergeCell ref="A61:B62"/>
  </mergeCells>
  <hyperlinks>
    <hyperlink ref="E11" r:id="rId1" xr:uid="{BE717678-3D6A-4935-A630-C6B88259EAE8}"/>
  </hyperlinks>
  <pageMargins left="0.45" right="0.2" top="0.25" bottom="0.25" header="0.3" footer="0.3"/>
  <pageSetup paperSize="9" scale="11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YUNUSA_GAMBO</vt:lpstr>
      <vt:lpstr>YUNUSA_GAMBO!Print_Area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2026-04-10T10:49:30Z</cp:lastPrinted>
  <dcterms:created xsi:type="dcterms:W3CDTF">2026-04-09T09:56:39Z</dcterms:created>
  <dcterms:modified xsi:type="dcterms:W3CDTF">2026-04-10T10:50:17Z</dcterms:modified>
</cp:coreProperties>
</file>