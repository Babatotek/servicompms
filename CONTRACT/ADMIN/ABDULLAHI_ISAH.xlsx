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xampp\htdocs\s\soft\dashboard\2026\ADMIN\"/>
    </mc:Choice>
  </mc:AlternateContent>
  <xr:revisionPtr revIDLastSave="0" documentId="13_ncr:1_{52D340AB-FC63-454B-B32C-18AF4FAE2949}" xr6:coauthVersionLast="47" xr6:coauthVersionMax="47" xr10:uidLastSave="{00000000-0000-0000-0000-000000000000}"/>
  <bookViews>
    <workbookView xWindow="-120" yWindow="-120" windowWidth="20730" windowHeight="11040" xr2:uid="{08300483-D0B9-4823-BF83-222021C46C79}"/>
  </bookViews>
  <sheets>
    <sheet name="ABDULLAHI_ISAH" sheetId="1" r:id="rId1"/>
  </sheets>
  <definedNames>
    <definedName name="_xlnm.Print_Area" localSheetId="0">ABDULLAHI_ISAH!$A$1:$O$66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7" i="1" l="1"/>
  <c r="E37" i="1" s="1"/>
  <c r="E36" i="1"/>
  <c r="C36" i="1"/>
  <c r="C35" i="1"/>
  <c r="E35" i="1" s="1"/>
  <c r="E34" i="1"/>
  <c r="E33" i="1"/>
  <c r="C33" i="1"/>
  <c r="C31" i="1"/>
  <c r="E31" i="1" s="1"/>
  <c r="E30" i="1"/>
  <c r="E29" i="1"/>
  <c r="E28" i="1"/>
  <c r="E27" i="1"/>
  <c r="E26" i="1"/>
  <c r="C26" i="1"/>
  <c r="C24" i="1"/>
  <c r="E24" i="1" s="1"/>
  <c r="E23" i="1"/>
  <c r="E22" i="1"/>
  <c r="E21" i="1"/>
  <c r="E20" i="1"/>
  <c r="E19" i="1"/>
  <c r="C19" i="1"/>
  <c r="C38" i="1" s="1"/>
  <c r="E25" i="1" l="1"/>
  <c r="E32" i="1"/>
  <c r="E38" i="1" l="1"/>
  <c r="F24" i="1" l="1"/>
  <c r="F21" i="1"/>
  <c r="F22" i="1"/>
  <c r="F37" i="1"/>
  <c r="F27" i="1"/>
  <c r="F28" i="1"/>
  <c r="F29" i="1"/>
  <c r="F26" i="1"/>
  <c r="F35" i="1"/>
  <c r="F23" i="1"/>
  <c r="F33" i="1"/>
  <c r="F30" i="1"/>
  <c r="F20" i="1"/>
  <c r="F31" i="1"/>
  <c r="F36" i="1"/>
  <c r="F34" i="1"/>
  <c r="F19" i="1"/>
  <c r="F25" i="1"/>
  <c r="F32" i="1"/>
  <c r="F38" i="1" l="1"/>
</calcChain>
</file>

<file path=xl/sharedStrings.xml><?xml version="1.0" encoding="utf-8"?>
<sst xmlns="http://schemas.openxmlformats.org/spreadsheetml/2006/main" count="233" uniqueCount="156">
  <si>
    <t>PERFORMANCE CONTRACT</t>
  </si>
  <si>
    <t>PERFORMANCE APPRAISAL PERIOD:</t>
  </si>
  <si>
    <t>FROM</t>
  </si>
  <si>
    <t>JANUARY 2026</t>
  </si>
  <si>
    <t>To</t>
  </si>
  <si>
    <t>DECEMBER 2026</t>
  </si>
  <si>
    <t>SECTION 1: EMPLOYEE INFORMATION</t>
  </si>
  <si>
    <t>Surname:</t>
  </si>
  <si>
    <t>ABDULLAHI</t>
  </si>
  <si>
    <t>Firstname</t>
  </si>
  <si>
    <t>ISAH</t>
  </si>
  <si>
    <t>Othername</t>
  </si>
  <si>
    <t>ALIYU</t>
  </si>
  <si>
    <t>Designation</t>
  </si>
  <si>
    <t>AO II</t>
  </si>
  <si>
    <t>IPPIS No.</t>
  </si>
  <si>
    <t>Email</t>
  </si>
  <si>
    <t>aisah5002@gmail.com</t>
  </si>
  <si>
    <t>Phone No.</t>
  </si>
  <si>
    <t>Department</t>
  </si>
  <si>
    <t>ADMINISTRATION UNIT</t>
  </si>
  <si>
    <t>SECTION 2: SUPERVISOR INFORMATION</t>
  </si>
  <si>
    <t>NWABUA</t>
  </si>
  <si>
    <t>CHINYERE</t>
  </si>
  <si>
    <t>VIRGINIA</t>
  </si>
  <si>
    <t>ASST. CHIEF CONFIDENTIAL SECRETARY</t>
  </si>
  <si>
    <t>nwabuachinyere@gmail.com</t>
  </si>
  <si>
    <t>08033369953</t>
  </si>
  <si>
    <t>SECTION 3: COUNTER-SIGNING OFFICER'S INFORMATION</t>
  </si>
  <si>
    <t>LAWAL</t>
  </si>
  <si>
    <t>HELEN</t>
  </si>
  <si>
    <t>OBEHI</t>
  </si>
  <si>
    <t xml:space="preserve">DEPUTY DIRECTOR </t>
  </si>
  <si>
    <t>helenlawal6a@gmail.com</t>
  </si>
  <si>
    <t>SERVICOM</t>
  </si>
  <si>
    <t xml:space="preserve">SECTION 4: EMPLOYEE'S TASKS </t>
  </si>
  <si>
    <t>S/N</t>
  </si>
  <si>
    <t>Key Result Areas</t>
  </si>
  <si>
    <t>Weight</t>
  </si>
  <si>
    <t>Objectives</t>
  </si>
  <si>
    <t>Graded
Weight</t>
  </si>
  <si>
    <t>KPIs</t>
  </si>
  <si>
    <t>Target
Set</t>
  </si>
  <si>
    <t>Unit of
Measurement</t>
  </si>
  <si>
    <t>Criteria Values</t>
  </si>
  <si>
    <t>O</t>
  </si>
  <si>
    <t>E</t>
  </si>
  <si>
    <t>VG</t>
  </si>
  <si>
    <t>G</t>
  </si>
  <si>
    <t>F</t>
  </si>
  <si>
    <t>P</t>
  </si>
  <si>
    <t>PMS Compliance &amp; Performance Management</t>
  </si>
  <si>
    <t>Develop and submit personal performance contract with clearly defined (SMART) targets aligned to SERVICOM and unit objectives</t>
  </si>
  <si>
    <t>Timely submission of performance contract (within approved timeline)</t>
  </si>
  <si>
    <t>PERCENTAGE</t>
  </si>
  <si>
    <t>&lt;80</t>
  </si>
  <si>
    <t>Participate in PMS trainings and capacity-building sessions to enhance understanding of PMS processes</t>
  </si>
  <si>
    <t>Percentage of assigned PMS trainings attended</t>
  </si>
  <si>
    <t>Complete and submit quarterly self-appraisal reports within approved timelines</t>
  </si>
  <si>
    <t>Percentage of quarterly appraisals submitted on time</t>
  </si>
  <si>
    <t>Engage in periodic performance review discussions with supervisor and implement feedback</t>
  </si>
  <si>
    <t>Number of review sessions attended and feedback implemented</t>
  </si>
  <si>
    <t>NUMBER</t>
  </si>
  <si>
    <t>&gt;5</t>
  </si>
  <si>
    <t>Maintain accurate personal performance records and supporting evidence for appraisal</t>
  </si>
  <si>
    <t>Completeness of appraisal documentation (no gaps/errors)</t>
  </si>
  <si>
    <t>Records &amp; Workflow Digitization.</t>
  </si>
  <si>
    <t>Scan and digitize physical records into electronic formats</t>
  </si>
  <si>
    <t>Percentage of targeted records digitized</t>
  </si>
  <si>
    <t>&gt;50</t>
  </si>
  <si>
    <t>&lt;25</t>
  </si>
  <si>
    <t>Ensure secure storage and backup of digitized records</t>
  </si>
  <si>
    <t>Percentage of records backed up successfully</t>
  </si>
  <si>
    <t>Records &amp; Administrative Coordination</t>
  </si>
  <si>
    <t>Supervise registry operations and ensure proper filing system</t>
  </si>
  <si>
    <t>Percentage of files accurately classified and stored</t>
  </si>
  <si>
    <t>&gt;80</t>
  </si>
  <si>
    <t>&lt;50</t>
  </si>
  <si>
    <t>Coordinate movement and tracking of files across units</t>
  </si>
  <si>
    <t>Percentage of files delivered within stipulated timelines</t>
  </si>
  <si>
    <t>Maintain updated records database/register</t>
  </si>
  <si>
    <t>Percentage of records updated and retrievable within required time</t>
  </si>
  <si>
    <t>Facilitate staff and nodal officers’ document access</t>
  </si>
  <si>
    <t>Percentage of requests attended to within agreed timeframe</t>
  </si>
  <si>
    <t>Generate periodic registry reports</t>
  </si>
  <si>
    <t>Percentage of reports submitted on schedule</t>
  </si>
  <si>
    <t>&gt;90</t>
  </si>
  <si>
    <t>Service Innovation And Improvement</t>
  </si>
  <si>
    <t>Identify gaps or inefficiencies in existing service delivery processes</t>
  </si>
  <si>
    <t>Percentage of service processes reviewed vs total assigned</t>
  </si>
  <si>
    <t>Identify areas for service improvement within the unit or agency</t>
  </si>
  <si>
    <t>Number of improvement opportunities identified</t>
  </si>
  <si>
    <t>Automated Service Delivery</t>
  </si>
  <si>
    <t>Identify and prioritize routine processes for automation</t>
  </si>
  <si>
    <t>Number of Processes, Forms, and Tasks Identified for Automation</t>
  </si>
  <si>
    <t>Use official email for all formal communication, submission of media content, and correspondence</t>
  </si>
  <si>
    <t>Percentage compliance with official email usage</t>
  </si>
  <si>
    <t>Capacity Development &amp; Professional Growth,</t>
  </si>
  <si>
    <t>Participate actively in trainings, workshops, and seminars to enhance professional skills</t>
  </si>
  <si>
    <t>Percentage of assigned training sessions attended</t>
  </si>
  <si>
    <t>Staff Recognition</t>
  </si>
  <si>
    <t>Participate in staff recognition programs, award ceremonies, and motivational events</t>
  </si>
  <si>
    <t>Percentage of participation in all scheduled events per year</t>
  </si>
  <si>
    <t>&gt;70</t>
  </si>
  <si>
    <t>&lt;40</t>
  </si>
  <si>
    <t>Wellness Programs</t>
  </si>
  <si>
    <t>Attend wellness and health programs (fitness sessions, health checks, mental health workshops)</t>
  </si>
  <si>
    <t>Percentage participation in wellness programs</t>
  </si>
  <si>
    <t>TOTAL</t>
  </si>
  <si>
    <t>SECTION 5: COMPETENCIES</t>
  </si>
  <si>
    <t>LEGEND</t>
  </si>
  <si>
    <t>Describe Expectations</t>
  </si>
  <si>
    <t>Q2</t>
  </si>
  <si>
    <t>Q3</t>
  </si>
  <si>
    <t>A</t>
  </si>
  <si>
    <t>Generic Compentencies</t>
  </si>
  <si>
    <t>Outstanding</t>
  </si>
  <si>
    <t>i</t>
  </si>
  <si>
    <t>Leadership Skill</t>
  </si>
  <si>
    <t>Excellent</t>
  </si>
  <si>
    <t>ii</t>
  </si>
  <si>
    <t>Managing &amp; Developing People</t>
  </si>
  <si>
    <t>Very Good</t>
  </si>
  <si>
    <t>iii</t>
  </si>
  <si>
    <t>Effective Communication</t>
  </si>
  <si>
    <t>Good</t>
  </si>
  <si>
    <t>Functional Competencies</t>
  </si>
  <si>
    <t>Fair</t>
  </si>
  <si>
    <t>Strategic thinking</t>
  </si>
  <si>
    <t>Poor</t>
  </si>
  <si>
    <t>Drive for results</t>
  </si>
  <si>
    <t>Aggregrate</t>
  </si>
  <si>
    <t>Transparency and Accountability</t>
  </si>
  <si>
    <t>Q1</t>
  </si>
  <si>
    <t>First Quarter</t>
  </si>
  <si>
    <t>Ethic and value</t>
  </si>
  <si>
    <t>Second Quarter</t>
  </si>
  <si>
    <t>Integrity</t>
  </si>
  <si>
    <t>Third Quarter</t>
  </si>
  <si>
    <t>Citizen focus</t>
  </si>
  <si>
    <t>Q4</t>
  </si>
  <si>
    <t>Fourth Quarter</t>
  </si>
  <si>
    <t>Courage</t>
  </si>
  <si>
    <t>SECTION 6: OPERATIONS AND PROCESSES</t>
  </si>
  <si>
    <t>Punctuality/Attendance</t>
  </si>
  <si>
    <t>Get to work at the specified time and days</t>
  </si>
  <si>
    <t>Work turn around time</t>
  </si>
  <si>
    <t>Display efficiency and effectiveness in service delivery</t>
  </si>
  <si>
    <t>Innovation on the job</t>
  </si>
  <si>
    <t>Introduce improvements in work processes as may be required</t>
  </si>
  <si>
    <t>SECTION 7: COMMENTS</t>
  </si>
  <si>
    <t>Appraisee's  Comments:</t>
  </si>
  <si>
    <t>Supervisor's Comments:</t>
  </si>
  <si>
    <t>Countersigning Officer's Comments:</t>
  </si>
  <si>
    <t>Signature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</si>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</sst>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48"/>
      <color theme="1"/>
      <name val="Century Gothic"/>
      <family val="2"/>
    </font>
    <font>
      <b/>
      <sz val="40"/>
      <name val="Century Gothic"/>
      <family val="2"/>
    </font>
    <font>
      <sz val="40"/>
      <name val="Century Gothic"/>
      <family val="2"/>
    </font>
    <font>
      <b/>
      <sz val="40"/>
      <color theme="1"/>
      <name val="Century Gothic"/>
      <family val="2"/>
    </font>
    <font>
      <b/>
      <sz val="26"/>
      <name val="Century Gothic"/>
      <family val="2"/>
    </font>
    <font>
      <sz val="26"/>
      <name val="Century Gothic"/>
      <family val="2"/>
    </font>
    <font>
      <sz val="26"/>
      <color theme="1"/>
      <name val="Century Gothic"/>
      <family val="2"/>
    </font>
    <font>
      <b/>
      <sz val="36"/>
      <name val="Century Gothic"/>
      <family val="2"/>
    </font>
    <font>
      <sz val="50"/>
      <color theme="1"/>
      <name val="Century Gothic"/>
      <family val="2"/>
    </font>
    <font>
      <sz val="50"/>
      <color theme="1"/>
      <name val="Calibri"/>
      <family val="2"/>
      <scheme val="minor"/>
    </font>
    <font>
      <b/>
      <sz val="26"/>
      <color theme="1" tint="4.9989318521683403E-2"/>
      <name val="Century Gothic"/>
      <family val="2"/>
    </font>
    <font>
      <b/>
      <sz val="40"/>
      <color theme="1" tint="4.9989318521683403E-2"/>
      <name val="Century Gothic"/>
      <family val="2"/>
    </font>
    <font>
      <sz val="26"/>
      <color theme="1" tint="4.9989318521683403E-2"/>
      <name val="Century Gothic"/>
      <family val="2"/>
    </font>
    <font>
      <sz val="48"/>
      <color theme="1"/>
      <name val="Century Gothic"/>
      <family val="2"/>
    </font>
    <font>
      <b/>
      <sz val="26"/>
      <color theme="1"/>
      <name val="Century Gothic"/>
      <family val="2"/>
    </font>
    <font>
      <b/>
      <sz val="26"/>
      <color theme="0"/>
      <name val="Century Gothic"/>
      <family val="2"/>
    </font>
    <font>
      <sz val="16"/>
      <color theme="1"/>
      <name val="Century Gothic"/>
      <family val="2"/>
    </font>
    <font>
      <b/>
      <sz val="50"/>
      <name val="Century Gothic"/>
      <family val="2"/>
    </font>
    <font>
      <sz val="50"/>
      <name val="Century Gothic"/>
      <family val="2"/>
    </font>
    <font>
      <b/>
      <sz val="50"/>
      <color theme="1"/>
      <name val="Century Gothic"/>
      <family val="2"/>
    </font>
    <font>
      <b/>
      <sz val="50"/>
      <color theme="1"/>
      <name val="Calibri"/>
      <family val="2"/>
      <scheme val="minor"/>
    </font>
    <font>
      <u/>
      <sz val="50"/>
      <color theme="10"/>
      <name val="Calibri"/>
      <family val="2"/>
      <charset val="1"/>
      <scheme val="minor"/>
    </font>
    <font>
      <u/>
      <sz val="50"/>
      <color theme="1"/>
      <name val="Calibri"/>
      <family val="2"/>
      <charset val="1"/>
      <scheme val="minor"/>
    </font>
    <font>
      <u/>
      <sz val="5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11">
    <xf numFmtId="0" fontId="0" fillId="0" borderId="0" xfId="0"/>
    <xf numFmtId="0" fontId="1" fillId="0" borderId="0" xfId="2"/>
    <xf numFmtId="0" fontId="10" fillId="2" borderId="14" xfId="2" applyFont="1" applyFill="1" applyBorder="1" applyAlignment="1">
      <alignment horizontal="center" vertical="center"/>
    </xf>
    <xf numFmtId="0" fontId="10" fillId="2" borderId="14" xfId="2" applyFont="1" applyFill="1" applyBorder="1" applyAlignment="1">
      <alignment horizontal="center" vertical="center" wrapText="1"/>
    </xf>
    <xf numFmtId="0" fontId="11" fillId="0" borderId="14" xfId="2" applyFont="1" applyBorder="1" applyAlignment="1">
      <alignment horizontal="center" vertical="center"/>
    </xf>
    <xf numFmtId="0" fontId="11" fillId="0" borderId="14" xfId="2" applyFont="1" applyBorder="1" applyAlignment="1">
      <alignment horizontal="left" vertical="center" wrapText="1"/>
    </xf>
    <xf numFmtId="0" fontId="11" fillId="0" borderId="12" xfId="2" applyFont="1" applyBorder="1" applyAlignment="1">
      <alignment vertical="center" wrapText="1"/>
    </xf>
    <xf numFmtId="2" fontId="11" fillId="0" borderId="12" xfId="0" applyNumberFormat="1" applyFont="1" applyBorder="1" applyAlignment="1">
      <alignment horizontal="center" vertical="center"/>
    </xf>
    <xf numFmtId="0" fontId="11" fillId="0" borderId="12" xfId="2" applyFont="1" applyBorder="1" applyAlignment="1">
      <alignment horizontal="left" vertical="center" wrapText="1"/>
    </xf>
    <xf numFmtId="9" fontId="11" fillId="0" borderId="12" xfId="2" applyNumberFormat="1" applyFont="1" applyBorder="1" applyAlignment="1">
      <alignment horizontal="center" vertical="center" wrapText="1"/>
    </xf>
    <xf numFmtId="0" fontId="11" fillId="0" borderId="12" xfId="7" applyFont="1" applyBorder="1" applyAlignment="1">
      <alignment horizontal="center" vertical="center" wrapText="1"/>
    </xf>
    <xf numFmtId="0" fontId="11" fillId="0" borderId="12" xfId="8" applyFont="1" applyBorder="1" applyAlignment="1">
      <alignment horizontal="center" vertical="center" wrapText="1"/>
    </xf>
    <xf numFmtId="0" fontId="12" fillId="0" borderId="12" xfId="8" applyFont="1" applyBorder="1" applyAlignment="1">
      <alignment horizontal="center" vertical="center"/>
    </xf>
    <xf numFmtId="0" fontId="13" fillId="0" borderId="0" xfId="2" applyFont="1" applyAlignment="1">
      <alignment vertical="center"/>
    </xf>
    <xf numFmtId="0" fontId="11" fillId="0" borderId="12" xfId="2" applyFont="1" applyBorder="1" applyAlignment="1">
      <alignment horizontal="center" vertical="center"/>
    </xf>
    <xf numFmtId="2" fontId="11" fillId="0" borderId="12" xfId="2" applyNumberFormat="1" applyFont="1" applyBorder="1" applyAlignment="1">
      <alignment vertical="center" wrapText="1"/>
    </xf>
    <xf numFmtId="9" fontId="11" fillId="0" borderId="12" xfId="2" applyNumberFormat="1" applyFont="1" applyBorder="1" applyAlignment="1">
      <alignment horizontal="center" vertical="center"/>
    </xf>
    <xf numFmtId="2" fontId="11" fillId="0" borderId="14" xfId="2" applyNumberFormat="1" applyFont="1" applyBorder="1" applyAlignment="1">
      <alignment horizontal="center" vertical="center" wrapText="1"/>
    </xf>
    <xf numFmtId="0" fontId="11" fillId="0" borderId="12" xfId="2" applyFont="1" applyBorder="1" applyAlignment="1">
      <alignment vertical="center"/>
    </xf>
    <xf numFmtId="2" fontId="11" fillId="0" borderId="12" xfId="2" applyNumberFormat="1" applyFont="1" applyBorder="1" applyAlignment="1">
      <alignment horizontal="center" vertical="center" wrapText="1"/>
    </xf>
    <xf numFmtId="0" fontId="14" fillId="0" borderId="12" xfId="2" applyFont="1" applyBorder="1" applyAlignment="1">
      <alignment horizontal="center" vertical="center"/>
    </xf>
    <xf numFmtId="0" fontId="6" fillId="0" borderId="10" xfId="2" applyFont="1" applyBorder="1" applyAlignment="1">
      <alignment vertical="center" wrapText="1"/>
    </xf>
    <xf numFmtId="2" fontId="6" fillId="0" borderId="10" xfId="2" applyNumberFormat="1" applyFont="1" applyBorder="1" applyAlignment="1">
      <alignment horizontal="center" vertical="center"/>
    </xf>
    <xf numFmtId="9" fontId="15" fillId="0" borderId="10" xfId="2" applyNumberFormat="1" applyFont="1" applyBorder="1" applyAlignment="1">
      <alignment horizontal="center" vertical="center"/>
    </xf>
    <xf numFmtId="164" fontId="16" fillId="0" borderId="10" xfId="2" applyNumberFormat="1" applyFont="1" applyBorder="1" applyAlignment="1">
      <alignment vertical="center" wrapText="1"/>
    </xf>
    <xf numFmtId="164" fontId="16" fillId="0" borderId="10" xfId="2" applyNumberFormat="1" applyFont="1" applyBorder="1" applyAlignment="1">
      <alignment horizontal="center" vertical="center" wrapText="1"/>
    </xf>
    <xf numFmtId="0" fontId="15" fillId="0" borderId="6" xfId="2" applyFont="1" applyBorder="1" applyAlignment="1">
      <alignment horizontal="center"/>
    </xf>
    <xf numFmtId="0" fontId="9" fillId="0" borderId="12" xfId="2" applyFont="1" applyBorder="1"/>
    <xf numFmtId="0" fontId="9" fillId="2" borderId="0" xfId="2" applyFont="1" applyFill="1"/>
    <xf numFmtId="0" fontId="8" fillId="2" borderId="0" xfId="2" applyFont="1" applyFill="1" applyAlignment="1">
      <alignment horizontal="center"/>
    </xf>
    <xf numFmtId="0" fontId="7" fillId="2" borderId="0" xfId="2" applyFont="1" applyFill="1" applyAlignment="1">
      <alignment horizontal="center" vertical="center" wrapText="1"/>
    </xf>
    <xf numFmtId="0" fontId="4" fillId="0" borderId="10" xfId="2" applyFont="1" applyBorder="1" applyAlignment="1">
      <alignment horizontal="center"/>
    </xf>
    <xf numFmtId="0" fontId="4" fillId="0" borderId="12" xfId="2" applyFont="1" applyBorder="1" applyAlignment="1">
      <alignment horizontal="left"/>
    </xf>
    <xf numFmtId="0" fontId="9" fillId="0" borderId="10" xfId="2" applyFont="1" applyBorder="1" applyAlignment="1">
      <alignment horizontal="center"/>
    </xf>
    <xf numFmtId="0" fontId="9" fillId="0" borderId="6" xfId="2" applyFont="1" applyBorder="1" applyAlignment="1">
      <alignment horizontal="center"/>
    </xf>
    <xf numFmtId="0" fontId="9" fillId="3" borderId="12" xfId="2" applyFont="1" applyFill="1" applyBorder="1"/>
    <xf numFmtId="0" fontId="7" fillId="2" borderId="12" xfId="2" applyFont="1" applyFill="1" applyBorder="1" applyAlignment="1">
      <alignment horizontal="left"/>
    </xf>
    <xf numFmtId="0" fontId="17" fillId="2" borderId="12" xfId="2" applyFont="1" applyFill="1" applyBorder="1"/>
    <xf numFmtId="0" fontId="5" fillId="0" borderId="12" xfId="2" applyFont="1" applyBorder="1" applyAlignment="1">
      <alignment horizontal="center" vertical="center"/>
    </xf>
    <xf numFmtId="0" fontId="5" fillId="0" borderId="12" xfId="2" applyFont="1" applyBorder="1" applyAlignment="1">
      <alignment vertical="center" wrapText="1"/>
    </xf>
    <xf numFmtId="0" fontId="9" fillId="0" borderId="9" xfId="2" applyFont="1" applyBorder="1"/>
    <xf numFmtId="0" fontId="4" fillId="0" borderId="12" xfId="2" applyFont="1" applyBorder="1" applyAlignment="1">
      <alignment horizontal="center" vertical="center"/>
    </xf>
    <xf numFmtId="0" fontId="4" fillId="0" borderId="12" xfId="2" applyFont="1" applyBorder="1" applyAlignment="1">
      <alignment horizontal="left" vertical="center"/>
    </xf>
    <xf numFmtId="0" fontId="5" fillId="0" borderId="12" xfId="2" applyFont="1" applyBorder="1" applyAlignment="1">
      <alignment horizontal="left" vertical="center"/>
    </xf>
    <xf numFmtId="0" fontId="9" fillId="2" borderId="12" xfId="2" applyFont="1" applyFill="1" applyBorder="1"/>
    <xf numFmtId="0" fontId="5" fillId="0" borderId="12" xfId="2" applyFont="1" applyBorder="1" applyAlignment="1">
      <alignment horizontal="left" vertical="center" wrapText="1"/>
    </xf>
    <xf numFmtId="0" fontId="7" fillId="2" borderId="13" xfId="2" applyFont="1" applyFill="1" applyBorder="1" applyAlignment="1">
      <alignment horizontal="center"/>
    </xf>
    <xf numFmtId="0" fontId="4" fillId="0" borderId="9" xfId="2" applyFont="1" applyBorder="1"/>
    <xf numFmtId="0" fontId="7" fillId="0" borderId="12" xfId="2" applyFont="1" applyBorder="1"/>
    <xf numFmtId="0" fontId="8" fillId="0" borderId="12" xfId="2" applyFont="1" applyBorder="1" applyAlignment="1">
      <alignment horizontal="right" vertical="center"/>
    </xf>
    <xf numFmtId="0" fontId="7" fillId="0" borderId="9" xfId="2" applyFont="1" applyBorder="1"/>
    <xf numFmtId="0" fontId="18" fillId="2" borderId="0" xfId="2" applyFont="1" applyFill="1" applyAlignment="1">
      <alignment horizontal="left"/>
    </xf>
    <xf numFmtId="0" fontId="8" fillId="0" borderId="2" xfId="2" applyFont="1" applyBorder="1"/>
    <xf numFmtId="0" fontId="9" fillId="3" borderId="0" xfId="2" applyFont="1" applyFill="1" applyAlignment="1">
      <alignment horizontal="center"/>
    </xf>
    <xf numFmtId="0" fontId="8" fillId="0" borderId="12" xfId="2" applyFont="1" applyBorder="1"/>
    <xf numFmtId="0" fontId="19" fillId="3" borderId="0" xfId="2" applyFont="1" applyFill="1" applyAlignment="1">
      <alignment horizontal="center"/>
    </xf>
    <xf numFmtId="0" fontId="19" fillId="3" borderId="12" xfId="2" applyFont="1" applyFill="1" applyBorder="1"/>
    <xf numFmtId="0" fontId="4" fillId="3" borderId="3" xfId="2" applyFont="1" applyFill="1" applyBorder="1" applyAlignment="1">
      <alignment horizontal="left" vertical="center"/>
    </xf>
    <xf numFmtId="0" fontId="4" fillId="3" borderId="5" xfId="2" applyFont="1" applyFill="1" applyBorder="1" applyAlignment="1">
      <alignment horizontal="left" vertical="center"/>
    </xf>
    <xf numFmtId="0" fontId="4" fillId="3" borderId="8" xfId="2" applyFont="1" applyFill="1" applyBorder="1" applyAlignment="1">
      <alignment horizontal="left" vertical="center"/>
    </xf>
    <xf numFmtId="0" fontId="4" fillId="2" borderId="0" xfId="2" applyFont="1" applyFill="1" applyAlignment="1">
      <alignment horizontal="left" vertical="center" wrapText="1"/>
    </xf>
    <xf numFmtId="0" fontId="4" fillId="2" borderId="5" xfId="2" applyFont="1" applyFill="1" applyBorder="1" applyAlignment="1">
      <alignment horizontal="left" vertical="center" wrapText="1"/>
    </xf>
    <xf numFmtId="0" fontId="4" fillId="2" borderId="1" xfId="2" applyFont="1" applyFill="1" applyBorder="1" applyAlignment="1">
      <alignment horizontal="left" vertical="center"/>
    </xf>
    <xf numFmtId="0" fontId="4" fillId="2" borderId="6" xfId="2" applyFont="1" applyFill="1" applyBorder="1" applyAlignment="1">
      <alignment horizontal="left" vertical="center"/>
    </xf>
    <xf numFmtId="0" fontId="5" fillId="0" borderId="2" xfId="2" applyFont="1" applyBorder="1" applyAlignment="1">
      <alignment horizontal="left"/>
    </xf>
    <xf numFmtId="0" fontId="5" fillId="0" borderId="7" xfId="2" applyFont="1" applyBorder="1" applyAlignment="1">
      <alignment horizontal="left"/>
    </xf>
    <xf numFmtId="0" fontId="4" fillId="2" borderId="3" xfId="2" applyFont="1" applyFill="1" applyBorder="1" applyAlignment="1">
      <alignment horizontal="left" vertical="center"/>
    </xf>
    <xf numFmtId="0" fontId="4" fillId="2" borderId="8" xfId="2" applyFont="1" applyFill="1" applyBorder="1" applyAlignment="1">
      <alignment horizontal="left" vertical="center"/>
    </xf>
    <xf numFmtId="0" fontId="19" fillId="3" borderId="0" xfId="2" applyFont="1" applyFill="1" applyAlignment="1">
      <alignment horizontal="center"/>
    </xf>
    <xf numFmtId="0" fontId="5" fillId="0" borderId="9" xfId="2" applyFont="1" applyBorder="1" applyAlignment="1">
      <alignment vertical="top" wrapText="1"/>
    </xf>
    <xf numFmtId="0" fontId="5" fillId="0" borderId="13" xfId="2" applyFont="1" applyBorder="1" applyAlignment="1">
      <alignment vertical="top" wrapText="1"/>
    </xf>
    <xf numFmtId="0" fontId="5" fillId="0" borderId="11" xfId="2" applyFont="1" applyBorder="1" applyAlignment="1">
      <alignment vertical="top" wrapText="1"/>
    </xf>
    <xf numFmtId="0" fontId="7" fillId="2" borderId="0" xfId="2" applyFont="1" applyFill="1" applyAlignment="1">
      <alignment horizontal="left"/>
    </xf>
    <xf numFmtId="0" fontId="4" fillId="2" borderId="12" xfId="2" applyFont="1" applyFill="1" applyBorder="1" applyAlignment="1">
      <alignment horizontal="left" vertical="center" wrapText="1"/>
    </xf>
    <xf numFmtId="0" fontId="5" fillId="0" borderId="4" xfId="2" applyFont="1" applyBorder="1" applyAlignment="1">
      <alignment horizontal="center"/>
    </xf>
    <xf numFmtId="0" fontId="5" fillId="0" borderId="5" xfId="2" applyFont="1" applyBorder="1" applyAlignment="1">
      <alignment horizontal="center"/>
    </xf>
    <xf numFmtId="0" fontId="5" fillId="0" borderId="6" xfId="2" applyFont="1" applyBorder="1" applyAlignment="1">
      <alignment horizontal="center"/>
    </xf>
    <xf numFmtId="0" fontId="5" fillId="0" borderId="8" xfId="2" applyFont="1" applyBorder="1" applyAlignment="1">
      <alignment horizontal="center"/>
    </xf>
    <xf numFmtId="0" fontId="4" fillId="2" borderId="1" xfId="2" applyFont="1" applyFill="1" applyBorder="1" applyAlignment="1">
      <alignment horizontal="left" vertical="center" wrapText="1"/>
    </xf>
    <xf numFmtId="0" fontId="4" fillId="2" borderId="4" xfId="2" applyFont="1" applyFill="1" applyBorder="1" applyAlignment="1">
      <alignment horizontal="left" vertical="center" wrapText="1"/>
    </xf>
    <xf numFmtId="0" fontId="4" fillId="2" borderId="6" xfId="2" applyFont="1" applyFill="1" applyBorder="1" applyAlignment="1">
      <alignment horizontal="left" vertical="center" wrapText="1"/>
    </xf>
    <xf numFmtId="0" fontId="5" fillId="0" borderId="0" xfId="2" applyFont="1" applyAlignment="1">
      <alignment horizontal="left"/>
    </xf>
    <xf numFmtId="0" fontId="4" fillId="2" borderId="3" xfId="2" applyFont="1" applyFill="1" applyBorder="1" applyAlignment="1">
      <alignment horizontal="left" vertical="center" wrapText="1"/>
    </xf>
    <xf numFmtId="0" fontId="4" fillId="2" borderId="8" xfId="2" applyFont="1" applyFill="1" applyBorder="1" applyAlignment="1">
      <alignment horizontal="left" vertical="center" wrapText="1"/>
    </xf>
    <xf numFmtId="0" fontId="4" fillId="3" borderId="0" xfId="2" applyFont="1" applyFill="1" applyAlignment="1">
      <alignment horizontal="left" vertical="center" wrapText="1"/>
    </xf>
    <xf numFmtId="0" fontId="4" fillId="3" borderId="5" xfId="2" applyFont="1" applyFill="1" applyBorder="1" applyAlignment="1">
      <alignment horizontal="left" vertical="center" wrapText="1"/>
    </xf>
    <xf numFmtId="0" fontId="4" fillId="3" borderId="1" xfId="2" applyFont="1" applyFill="1" applyBorder="1" applyAlignment="1">
      <alignment horizontal="left" vertical="center"/>
    </xf>
    <xf numFmtId="0" fontId="4" fillId="3" borderId="4" xfId="2" applyFont="1" applyFill="1" applyBorder="1" applyAlignment="1">
      <alignment horizontal="left" vertical="center"/>
    </xf>
    <xf numFmtId="0" fontId="4" fillId="3" borderId="6" xfId="2" applyFont="1" applyFill="1" applyBorder="1" applyAlignment="1">
      <alignment horizontal="left" vertical="center"/>
    </xf>
    <xf numFmtId="0" fontId="5" fillId="0" borderId="9" xfId="2" applyFont="1" applyBorder="1" applyAlignment="1">
      <alignment horizontal="left" vertical="center" wrapText="1"/>
    </xf>
    <xf numFmtId="0" fontId="5" fillId="0" borderId="13" xfId="2" applyFont="1" applyBorder="1" applyAlignment="1">
      <alignment horizontal="left" vertical="center" wrapText="1"/>
    </xf>
    <xf numFmtId="0" fontId="5" fillId="0" borderId="11" xfId="2" applyFont="1" applyBorder="1" applyAlignment="1">
      <alignment horizontal="left" vertical="center" wrapText="1"/>
    </xf>
    <xf numFmtId="0" fontId="17" fillId="2" borderId="12" xfId="2" applyFont="1" applyFill="1" applyBorder="1"/>
    <xf numFmtId="0" fontId="7" fillId="2" borderId="9" xfId="2" applyFont="1" applyFill="1" applyBorder="1" applyAlignment="1">
      <alignment horizontal="left"/>
    </xf>
    <xf numFmtId="0" fontId="7" fillId="2" borderId="13" xfId="2" applyFont="1" applyFill="1" applyBorder="1" applyAlignment="1">
      <alignment horizontal="left"/>
    </xf>
    <xf numFmtId="0" fontId="5" fillId="0" borderId="9" xfId="2" applyFont="1" applyBorder="1"/>
    <xf numFmtId="0" fontId="5" fillId="0" borderId="13" xfId="2" applyFont="1" applyBorder="1"/>
    <xf numFmtId="0" fontId="5" fillId="0" borderId="11" xfId="2" applyFont="1" applyBorder="1"/>
    <xf numFmtId="0" fontId="5" fillId="0" borderId="9" xfId="2" applyFont="1" applyBorder="1" applyAlignment="1">
      <alignment horizontal="left" vertical="top" wrapText="1"/>
    </xf>
    <xf numFmtId="0" fontId="5" fillId="0" borderId="13" xfId="2" applyFont="1" applyBorder="1" applyAlignment="1">
      <alignment horizontal="left" vertical="top" wrapText="1"/>
    </xf>
    <xf numFmtId="0" fontId="5" fillId="0" borderId="11" xfId="2" applyFont="1" applyBorder="1" applyAlignment="1">
      <alignment horizontal="left" vertical="top" wrapText="1"/>
    </xf>
    <xf numFmtId="0" fontId="5" fillId="0" borderId="6" xfId="2" applyFont="1" applyBorder="1"/>
    <xf numFmtId="0" fontId="5" fillId="0" borderId="7" xfId="2" applyFont="1" applyBorder="1"/>
    <xf numFmtId="0" fontId="5" fillId="0" borderId="8" xfId="2" applyFont="1" applyBorder="1"/>
    <xf numFmtId="0" fontId="11" fillId="0" borderId="14" xfId="2" applyFont="1" applyBorder="1" applyAlignment="1">
      <alignment horizontal="center" vertical="center"/>
    </xf>
    <xf numFmtId="0" fontId="11" fillId="0" borderId="10" xfId="2" applyFont="1" applyBorder="1" applyAlignment="1">
      <alignment horizontal="center" vertical="center"/>
    </xf>
    <xf numFmtId="0" fontId="11" fillId="0" borderId="14" xfId="2" applyFont="1" applyBorder="1" applyAlignment="1">
      <alignment horizontal="left" vertical="center" wrapText="1"/>
    </xf>
    <xf numFmtId="0" fontId="11" fillId="0" borderId="10" xfId="2" applyFont="1" applyBorder="1" applyAlignment="1">
      <alignment horizontal="left" vertical="center" wrapText="1"/>
    </xf>
    <xf numFmtId="2" fontId="11" fillId="0" borderId="14" xfId="2" applyNumberFormat="1" applyFont="1" applyBorder="1" applyAlignment="1">
      <alignment horizontal="center" vertical="center" wrapText="1"/>
    </xf>
    <xf numFmtId="2" fontId="11" fillId="0" borderId="10" xfId="2" applyNumberFormat="1" applyFont="1" applyBorder="1" applyAlignment="1">
      <alignment horizontal="center" vertical="center" wrapText="1"/>
    </xf>
    <xf numFmtId="0" fontId="7" fillId="2" borderId="0" xfId="2" applyFont="1" applyFill="1" applyAlignment="1">
      <alignment horizontal="left" vertical="center" wrapText="1"/>
    </xf>
    <xf numFmtId="0" fontId="7" fillId="2" borderId="10" xfId="2" applyFont="1" applyFill="1" applyBorder="1" applyAlignment="1">
      <alignment horizontal="center" vertical="center" wrapText="1"/>
    </xf>
    <xf numFmtId="0" fontId="7" fillId="2" borderId="6" xfId="2" applyFont="1" applyFill="1" applyBorder="1" applyAlignment="1">
      <alignment horizontal="center" vertical="center" wrapText="1"/>
    </xf>
    <xf numFmtId="0" fontId="7" fillId="2" borderId="12" xfId="2" applyFont="1" applyFill="1" applyBorder="1" applyAlignment="1">
      <alignment horizontal="center" vertical="center"/>
    </xf>
    <xf numFmtId="0" fontId="7" fillId="3" borderId="0" xfId="2" applyFont="1" applyFill="1" applyAlignment="1">
      <alignment horizontal="center" vertical="center"/>
    </xf>
    <xf numFmtId="0" fontId="11" fillId="0" borderId="15" xfId="2" applyFont="1" applyBorder="1" applyAlignment="1">
      <alignment horizontal="center" vertical="center"/>
    </xf>
    <xf numFmtId="0" fontId="11" fillId="0" borderId="15" xfId="2" applyFont="1" applyBorder="1" applyAlignment="1">
      <alignment horizontal="left" vertical="center" wrapText="1"/>
    </xf>
    <xf numFmtId="2" fontId="11" fillId="0" borderId="14" xfId="2" applyNumberFormat="1" applyFont="1" applyBorder="1" applyAlignment="1">
      <alignment horizontal="center" vertical="center"/>
    </xf>
    <xf numFmtId="2" fontId="11" fillId="0" borderId="15" xfId="2" applyNumberFormat="1" applyFont="1" applyBorder="1" applyAlignment="1">
      <alignment horizontal="center" vertical="center"/>
    </xf>
    <xf numFmtId="2" fontId="11" fillId="0" borderId="10" xfId="2" applyNumberFormat="1" applyFont="1" applyBorder="1" applyAlignment="1">
      <alignment horizontal="center" vertical="center"/>
    </xf>
    <xf numFmtId="0" fontId="10" fillId="2" borderId="9" xfId="2" applyFont="1" applyFill="1" applyBorder="1" applyAlignment="1">
      <alignment horizontal="center" vertical="center" wrapText="1"/>
    </xf>
    <xf numFmtId="0" fontId="10" fillId="2" borderId="13" xfId="2" applyFont="1" applyFill="1" applyBorder="1" applyAlignment="1">
      <alignment horizontal="center" vertical="center" wrapText="1"/>
    </xf>
    <xf numFmtId="0" fontId="10" fillId="2" borderId="11" xfId="2" applyFont="1" applyFill="1" applyBorder="1" applyAlignment="1">
      <alignment horizontal="center" vertical="center" wrapText="1"/>
    </xf>
    <xf numFmtId="0" fontId="10" fillId="2" borderId="14" xfId="2" applyFont="1" applyFill="1" applyBorder="1" applyAlignment="1">
      <alignment horizontal="center" vertical="center"/>
    </xf>
    <xf numFmtId="0" fontId="10" fillId="2" borderId="15" xfId="2" applyFont="1" applyFill="1" applyBorder="1" applyAlignment="1">
      <alignment horizontal="center" vertical="center"/>
    </xf>
    <xf numFmtId="0" fontId="10" fillId="2" borderId="14" xfId="2" applyFont="1" applyFill="1" applyBorder="1" applyAlignment="1">
      <alignment horizontal="center" vertical="center" wrapText="1"/>
    </xf>
    <xf numFmtId="0" fontId="10" fillId="2" borderId="15" xfId="2" applyFont="1" applyFill="1" applyBorder="1" applyAlignment="1">
      <alignment horizontal="center" vertical="center" wrapText="1"/>
    </xf>
    <xf numFmtId="0" fontId="10" fillId="2" borderId="1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3" fillId="0" borderId="6" xfId="2" applyFont="1" applyBorder="1" applyAlignment="1">
      <alignment horizontal="center" vertical="center"/>
    </xf>
    <xf numFmtId="0" fontId="3" fillId="0" borderId="7" xfId="2" applyFont="1" applyBorder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0" fontId="20" fillId="2" borderId="0" xfId="2" applyFont="1" applyFill="1" applyAlignment="1">
      <alignment horizontal="left" vertical="center" wrapText="1"/>
    </xf>
    <xf numFmtId="0" fontId="20" fillId="2" borderId="0" xfId="2" applyFont="1" applyFill="1" applyAlignment="1">
      <alignment horizontal="left" vertical="center" wrapText="1"/>
    </xf>
    <xf numFmtId="0" fontId="12" fillId="2" borderId="0" xfId="2" applyFont="1" applyFill="1"/>
    <xf numFmtId="0" fontId="12" fillId="0" borderId="0" xfId="2" applyFont="1"/>
    <xf numFmtId="0" fontId="20" fillId="3" borderId="0" xfId="2" applyFont="1" applyFill="1" applyAlignment="1">
      <alignment vertical="center"/>
    </xf>
    <xf numFmtId="49" fontId="20" fillId="4" borderId="0" xfId="2" applyNumberFormat="1" applyFont="1" applyFill="1" applyAlignment="1">
      <alignment vertical="center"/>
    </xf>
    <xf numFmtId="0" fontId="20" fillId="3" borderId="0" xfId="2" applyFont="1" applyFill="1" applyAlignment="1">
      <alignment horizontal="center" vertical="center"/>
    </xf>
    <xf numFmtId="49" fontId="20" fillId="0" borderId="9" xfId="2" applyNumberFormat="1" applyFont="1" applyBorder="1" applyAlignment="1">
      <alignment horizontal="center"/>
    </xf>
    <xf numFmtId="0" fontId="21" fillId="2" borderId="0" xfId="2" applyFont="1" applyFill="1" applyAlignment="1">
      <alignment horizontal="center"/>
    </xf>
    <xf numFmtId="0" fontId="21" fillId="2" borderId="0" xfId="2" applyFont="1" applyFill="1" applyAlignment="1">
      <alignment horizontal="center"/>
    </xf>
    <xf numFmtId="0" fontId="22" fillId="2" borderId="0" xfId="2" applyFont="1" applyFill="1" applyAlignment="1">
      <alignment horizontal="left"/>
    </xf>
    <xf numFmtId="0" fontId="22" fillId="2" borderId="0" xfId="2" applyFont="1" applyFill="1" applyAlignment="1">
      <alignment horizontal="left"/>
    </xf>
    <xf numFmtId="0" fontId="20" fillId="3" borderId="0" xfId="3" applyFont="1" applyFill="1" applyAlignment="1">
      <alignment horizontal="left" vertical="center"/>
    </xf>
    <xf numFmtId="0" fontId="20" fillId="3" borderId="5" xfId="3" applyFont="1" applyFill="1" applyBorder="1" applyAlignment="1">
      <alignment horizontal="left" vertical="center"/>
    </xf>
    <xf numFmtId="0" fontId="20" fillId="0" borderId="8" xfId="3" applyFont="1" applyBorder="1" applyAlignment="1">
      <alignment horizontal="left"/>
    </xf>
    <xf numFmtId="0" fontId="20" fillId="3" borderId="10" xfId="3" applyFont="1" applyFill="1" applyBorder="1" applyAlignment="1">
      <alignment horizontal="left"/>
    </xf>
    <xf numFmtId="0" fontId="20" fillId="0" borderId="6" xfId="3" applyFont="1" applyBorder="1" applyAlignment="1">
      <alignment horizontal="left"/>
    </xf>
    <xf numFmtId="0" fontId="20" fillId="0" borderId="7" xfId="3" applyFont="1" applyBorder="1" applyAlignment="1">
      <alignment horizontal="left"/>
    </xf>
    <xf numFmtId="0" fontId="20" fillId="0" borderId="8" xfId="3" applyFont="1" applyBorder="1" applyAlignment="1">
      <alignment horizontal="left"/>
    </xf>
    <xf numFmtId="0" fontId="23" fillId="2" borderId="0" xfId="3" applyFont="1" applyFill="1" applyAlignment="1">
      <alignment horizontal="left"/>
    </xf>
    <xf numFmtId="0" fontId="23" fillId="0" borderId="0" xfId="3" applyFont="1" applyAlignment="1">
      <alignment horizontal="left"/>
    </xf>
    <xf numFmtId="0" fontId="20" fillId="3" borderId="0" xfId="3" applyFont="1" applyFill="1" applyAlignment="1">
      <alignment horizontal="left"/>
    </xf>
    <xf numFmtId="0" fontId="20" fillId="3" borderId="5" xfId="3" applyFont="1" applyFill="1" applyBorder="1" applyAlignment="1">
      <alignment horizontal="left"/>
    </xf>
    <xf numFmtId="0" fontId="20" fillId="0" borderId="11" xfId="3" applyFont="1" applyBorder="1" applyAlignment="1">
      <alignment horizontal="left"/>
    </xf>
    <xf numFmtId="0" fontId="20" fillId="3" borderId="12" xfId="3" applyFont="1" applyFill="1" applyBorder="1" applyAlignment="1">
      <alignment horizontal="left"/>
    </xf>
    <xf numFmtId="0" fontId="24" fillId="0" borderId="11" xfId="1" applyFont="1" applyBorder="1" applyAlignment="1">
      <alignment horizontal="left"/>
    </xf>
    <xf numFmtId="0" fontId="20" fillId="0" borderId="9" xfId="3" applyFont="1" applyBorder="1" applyAlignment="1">
      <alignment horizontal="left"/>
    </xf>
    <xf numFmtId="0" fontId="20" fillId="0" borderId="13" xfId="3" applyFont="1" applyBorder="1" applyAlignment="1">
      <alignment horizontal="left"/>
    </xf>
    <xf numFmtId="0" fontId="20" fillId="0" borderId="11" xfId="3" applyFont="1" applyBorder="1" applyAlignment="1">
      <alignment horizontal="left"/>
    </xf>
    <xf numFmtId="0" fontId="23" fillId="2" borderId="0" xfId="2" applyFont="1" applyFill="1" applyAlignment="1">
      <alignment horizontal="left"/>
    </xf>
    <xf numFmtId="0" fontId="23" fillId="0" borderId="0" xfId="2" applyFont="1" applyAlignment="1">
      <alignment horizontal="left"/>
    </xf>
    <xf numFmtId="0" fontId="22" fillId="3" borderId="0" xfId="4" applyFont="1" applyFill="1" applyAlignment="1">
      <alignment horizontal="left" vertical="center"/>
    </xf>
    <xf numFmtId="0" fontId="22" fillId="3" borderId="5" xfId="4" applyFont="1" applyFill="1" applyBorder="1" applyAlignment="1">
      <alignment horizontal="left" vertical="center"/>
    </xf>
    <xf numFmtId="0" fontId="22" fillId="0" borderId="8" xfId="4" applyFont="1" applyBorder="1" applyAlignment="1">
      <alignment horizontal="left"/>
    </xf>
    <xf numFmtId="0" fontId="22" fillId="3" borderId="10" xfId="4" applyFont="1" applyFill="1" applyBorder="1" applyAlignment="1">
      <alignment horizontal="left"/>
    </xf>
    <xf numFmtId="0" fontId="22" fillId="0" borderId="6" xfId="4" applyFont="1" applyBorder="1" applyAlignment="1">
      <alignment horizontal="left"/>
    </xf>
    <xf numFmtId="0" fontId="22" fillId="0" borderId="7" xfId="4" applyFont="1" applyBorder="1" applyAlignment="1">
      <alignment horizontal="left"/>
    </xf>
    <xf numFmtId="0" fontId="22" fillId="0" borderId="8" xfId="4" applyFont="1" applyBorder="1" applyAlignment="1">
      <alignment horizontal="left"/>
    </xf>
    <xf numFmtId="0" fontId="23" fillId="2" borderId="0" xfId="4" applyFont="1" applyFill="1" applyAlignment="1">
      <alignment horizontal="left"/>
    </xf>
    <xf numFmtId="0" fontId="23" fillId="0" borderId="0" xfId="4" applyFont="1" applyAlignment="1">
      <alignment horizontal="left"/>
    </xf>
    <xf numFmtId="0" fontId="22" fillId="3" borderId="0" xfId="4" applyFont="1" applyFill="1" applyAlignment="1">
      <alignment horizontal="left"/>
    </xf>
    <xf numFmtId="0" fontId="22" fillId="3" borderId="5" xfId="4" applyFont="1" applyFill="1" applyBorder="1" applyAlignment="1">
      <alignment horizontal="left"/>
    </xf>
    <xf numFmtId="0" fontId="22" fillId="0" borderId="11" xfId="4" applyFont="1" applyBorder="1" applyAlignment="1">
      <alignment horizontal="left"/>
    </xf>
    <xf numFmtId="0" fontId="22" fillId="3" borderId="12" xfId="4" applyFont="1" applyFill="1" applyBorder="1" applyAlignment="1">
      <alignment horizontal="left"/>
    </xf>
    <xf numFmtId="0" fontId="25" fillId="0" borderId="11" xfId="1" applyFont="1" applyBorder="1" applyAlignment="1">
      <alignment horizontal="left"/>
    </xf>
    <xf numFmtId="49" fontId="22" fillId="0" borderId="9" xfId="4" applyNumberFormat="1" applyFont="1" applyBorder="1" applyAlignment="1">
      <alignment horizontal="left"/>
    </xf>
    <xf numFmtId="0" fontId="22" fillId="0" borderId="13" xfId="4" applyFont="1" applyBorder="1" applyAlignment="1">
      <alignment horizontal="left"/>
    </xf>
    <xf numFmtId="0" fontId="22" fillId="0" borderId="11" xfId="4" applyFont="1" applyBorder="1" applyAlignment="1">
      <alignment horizontal="left"/>
    </xf>
    <xf numFmtId="0" fontId="22" fillId="3" borderId="0" xfId="5" applyFont="1" applyFill="1" applyAlignment="1">
      <alignment horizontal="left" vertical="center"/>
    </xf>
    <xf numFmtId="0" fontId="22" fillId="3" borderId="5" xfId="5" applyFont="1" applyFill="1" applyBorder="1" applyAlignment="1">
      <alignment horizontal="left" vertical="center"/>
    </xf>
    <xf numFmtId="0" fontId="22" fillId="0" borderId="8" xfId="5" applyFont="1" applyBorder="1" applyAlignment="1">
      <alignment horizontal="left"/>
    </xf>
    <xf numFmtId="0" fontId="22" fillId="3" borderId="10" xfId="5" applyFont="1" applyFill="1" applyBorder="1" applyAlignment="1">
      <alignment horizontal="left"/>
    </xf>
    <xf numFmtId="0" fontId="22" fillId="3" borderId="6" xfId="5" applyFont="1" applyFill="1" applyBorder="1" applyAlignment="1">
      <alignment horizontal="left"/>
    </xf>
    <xf numFmtId="0" fontId="22" fillId="0" borderId="6" xfId="5" applyFont="1" applyBorder="1" applyAlignment="1">
      <alignment horizontal="left"/>
    </xf>
    <xf numFmtId="0" fontId="22" fillId="0" borderId="7" xfId="6" applyFont="1" applyBorder="1" applyAlignment="1">
      <alignment horizontal="left"/>
    </xf>
    <xf numFmtId="0" fontId="22" fillId="0" borderId="8" xfId="6" applyFont="1" applyBorder="1" applyAlignment="1">
      <alignment horizontal="left"/>
    </xf>
    <xf numFmtId="0" fontId="12" fillId="2" borderId="0" xfId="5" applyFont="1" applyFill="1"/>
    <xf numFmtId="0" fontId="12" fillId="0" borderId="0" xfId="5" applyFont="1"/>
    <xf numFmtId="0" fontId="22" fillId="3" borderId="0" xfId="5" applyFont="1" applyFill="1" applyAlignment="1">
      <alignment horizontal="left"/>
    </xf>
    <xf numFmtId="0" fontId="22" fillId="3" borderId="5" xfId="5" applyFont="1" applyFill="1" applyBorder="1" applyAlignment="1">
      <alignment horizontal="left"/>
    </xf>
    <xf numFmtId="0" fontId="22" fillId="0" borderId="11" xfId="5" applyFont="1" applyBorder="1" applyAlignment="1">
      <alignment horizontal="left"/>
    </xf>
    <xf numFmtId="0" fontId="22" fillId="3" borderId="12" xfId="5" applyFont="1" applyFill="1" applyBorder="1" applyAlignment="1">
      <alignment horizontal="left"/>
    </xf>
    <xf numFmtId="0" fontId="26" fillId="0" borderId="11" xfId="1" quotePrefix="1" applyFont="1" applyBorder="1" applyAlignment="1">
      <alignment horizontal="left"/>
    </xf>
    <xf numFmtId="0" fontId="22" fillId="3" borderId="9" xfId="5" applyFont="1" applyFill="1" applyBorder="1" applyAlignment="1">
      <alignment horizontal="left"/>
    </xf>
    <xf numFmtId="0" fontId="11" fillId="0" borderId="9" xfId="5" applyFont="1" applyBorder="1" applyAlignment="1">
      <alignment horizontal="left"/>
    </xf>
    <xf numFmtId="0" fontId="22" fillId="0" borderId="9" xfId="6" applyFont="1" applyBorder="1" applyAlignment="1">
      <alignment horizontal="left"/>
    </xf>
    <xf numFmtId="0" fontId="22" fillId="0" borderId="11" xfId="6" applyFont="1" applyBorder="1" applyAlignment="1">
      <alignment horizontal="left"/>
    </xf>
    <xf numFmtId="0" fontId="12" fillId="2" borderId="0" xfId="2" applyFont="1" applyFill="1"/>
    <xf numFmtId="0" fontId="11" fillId="2" borderId="0" xfId="2" applyFont="1" applyFill="1" applyAlignment="1">
      <alignment horizontal="center"/>
    </xf>
    <xf numFmtId="0" fontId="20" fillId="3" borderId="0" xfId="2" applyFont="1" applyFill="1" applyAlignment="1">
      <alignment horizontal="left"/>
    </xf>
    <xf numFmtId="0" fontId="20" fillId="3" borderId="0" xfId="2" applyFont="1" applyFill="1" applyAlignment="1">
      <alignment horizontal="left"/>
    </xf>
    <xf numFmtId="0" fontId="21" fillId="3" borderId="0" xfId="2" applyFont="1" applyFill="1"/>
    <xf numFmtId="0" fontId="11" fillId="3" borderId="0" xfId="2" applyFont="1" applyFill="1"/>
  </cellXfs>
  <cellStyles count="9">
    <cellStyle name="Hyperlink" xfId="1" builtinId="8"/>
    <cellStyle name="Normal" xfId="0" builtinId="0"/>
    <cellStyle name="Normal 2 3" xfId="2" xr:uid="{7C91B39A-C4AA-4B5B-846E-98E2426A0A40}"/>
    <cellStyle name="Normal 2 3 2" xfId="6" xr:uid="{DEB09CA8-9D65-40AB-8A53-71FE16EDB7F8}"/>
    <cellStyle name="Normal 2 3 3" xfId="4" xr:uid="{7593A01E-F864-4DC1-991B-75823C5A8BAA}"/>
    <cellStyle name="Normal 2 4 2" xfId="5" xr:uid="{7D0B3C26-03B8-4DDC-AA23-6DB74CD90FCC}"/>
    <cellStyle name="Normal 2 5" xfId="3" xr:uid="{075A4583-0B81-4E11-9371-3102E2309D2D}"/>
    <cellStyle name="Normal 4 2 2 2 2" xfId="8" xr:uid="{E2ADD85B-8F2F-4481-AC97-3F1CF74C81D7}"/>
    <cellStyle name="Normal 5 2 2" xfId="7" xr:uid="{C518692E-5F89-42F1-98C0-EB25071945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142875</xdr:rowOff>
    </xdr:from>
    <xdr:ext cx="520327" cy="538529"/>
    <xdr:pic>
      <xdr:nvPicPr>
        <xdr:cNvPr id="2" name="Picture 1">
          <a:extLst>
            <a:ext uri="{FF2B5EF4-FFF2-40B4-BE49-F238E27FC236}">
              <a16:creationId xmlns:a16="http://schemas.microsoft.com/office/drawing/2014/main" id="{F1E12F9F-B6F0-417B-BF38-7821A6A1A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53425" y="142875"/>
          <a:ext cx="520327" cy="53852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isah5002@gmail.com" TargetMode="External"/><Relationship Id="rId1" Type="http://schemas.openxmlformats.org/officeDocument/2006/relationships/hyperlink" Target="mailto:nwabuachinyere@gmail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1A0FF-58C7-4C00-85DC-8AD70D8D42D4}">
  <sheetPr>
    <pageSetUpPr fitToPage="1"/>
  </sheetPr>
  <dimension ref="A1:O67"/>
  <sheetViews>
    <sheetView tabSelected="1" zoomScale="20" zoomScaleNormal="20" workbookViewId="0">
      <selection activeCell="D20" sqref="D20"/>
    </sheetView>
  </sheetViews>
  <sheetFormatPr defaultColWidth="9.140625" defaultRowHeight="15" x14ac:dyDescent="0.25"/>
  <cols>
    <col min="1" max="1" width="14.42578125" style="1" customWidth="1"/>
    <col min="2" max="2" width="110.85546875" style="1" customWidth="1"/>
    <col min="3" max="3" width="68.7109375" style="1" bestFit="1" customWidth="1"/>
    <col min="4" max="4" width="255.7109375" style="1" bestFit="1" customWidth="1"/>
    <col min="5" max="5" width="113.7109375" style="1" bestFit="1" customWidth="1"/>
    <col min="6" max="6" width="69" style="1" customWidth="1"/>
    <col min="7" max="7" width="255.7109375" style="1" bestFit="1" customWidth="1"/>
    <col min="8" max="8" width="74.7109375" style="1" customWidth="1"/>
    <col min="9" max="9" width="70.5703125" style="1" customWidth="1"/>
    <col min="10" max="10" width="45.7109375" style="1" customWidth="1"/>
    <col min="11" max="13" width="32.7109375" style="1" customWidth="1"/>
    <col min="14" max="14" width="28.7109375" style="1" customWidth="1"/>
    <col min="15" max="15" width="31.28515625" style="1" customWidth="1"/>
    <col min="16" max="16384" width="9.140625" style="1"/>
  </cols>
  <sheetData>
    <row r="1" spans="1:15" ht="22.5" customHeight="1" x14ac:dyDescent="0.25">
      <c r="A1" s="129" t="s">
        <v>0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1"/>
    </row>
    <row r="2" spans="1:15" ht="22.5" customHeight="1" x14ac:dyDescent="0.25">
      <c r="A2" s="132"/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4"/>
    </row>
    <row r="3" spans="1:15" ht="22.5" customHeight="1" x14ac:dyDescent="0.25">
      <c r="A3" s="135"/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7"/>
    </row>
    <row r="4" spans="1:15" s="141" customFormat="1" ht="64.5" x14ac:dyDescent="0.95">
      <c r="A4" s="138" t="s">
        <v>1</v>
      </c>
      <c r="B4" s="138"/>
      <c r="C4" s="138"/>
      <c r="D4" s="138"/>
      <c r="E4" s="138"/>
      <c r="F4" s="138"/>
      <c r="G4" s="138"/>
      <c r="H4" s="138"/>
      <c r="I4" s="138"/>
      <c r="J4" s="139"/>
      <c r="K4" s="140"/>
      <c r="L4" s="140"/>
      <c r="M4" s="140"/>
      <c r="N4" s="140"/>
      <c r="O4" s="140"/>
    </row>
    <row r="5" spans="1:15" s="141" customFormat="1" ht="65.25" x14ac:dyDescent="0.95">
      <c r="A5" s="142" t="s">
        <v>2</v>
      </c>
      <c r="B5" s="143" t="s">
        <v>3</v>
      </c>
      <c r="C5" s="144" t="s">
        <v>4</v>
      </c>
      <c r="D5" s="145" t="s">
        <v>5</v>
      </c>
      <c r="E5" s="146"/>
      <c r="F5" s="146"/>
      <c r="G5" s="146"/>
      <c r="H5" s="146"/>
      <c r="I5" s="146"/>
      <c r="J5" s="147"/>
      <c r="K5" s="140"/>
      <c r="L5" s="140"/>
      <c r="M5" s="140"/>
      <c r="N5" s="140"/>
      <c r="O5" s="140"/>
    </row>
    <row r="6" spans="1:15" s="141" customFormat="1" ht="64.5" x14ac:dyDescent="0.95">
      <c r="A6" s="148" t="s">
        <v>6</v>
      </c>
      <c r="B6" s="148"/>
      <c r="C6" s="148"/>
      <c r="D6" s="148"/>
      <c r="E6" s="148"/>
      <c r="F6" s="148"/>
      <c r="G6" s="148"/>
      <c r="H6" s="148"/>
      <c r="I6" s="148"/>
      <c r="J6" s="149"/>
      <c r="K6" s="140"/>
      <c r="L6" s="140"/>
      <c r="M6" s="140"/>
      <c r="N6" s="140"/>
      <c r="O6" s="140"/>
    </row>
    <row r="7" spans="1:15" s="158" customFormat="1" ht="64.5" x14ac:dyDescent="0.95">
      <c r="A7" s="150" t="s">
        <v>7</v>
      </c>
      <c r="B7" s="151"/>
      <c r="C7" s="152" t="s">
        <v>8</v>
      </c>
      <c r="D7" s="153" t="s">
        <v>9</v>
      </c>
      <c r="E7" s="152" t="s">
        <v>10</v>
      </c>
      <c r="F7" s="153" t="s">
        <v>11</v>
      </c>
      <c r="G7" s="154" t="s">
        <v>12</v>
      </c>
      <c r="H7" s="153" t="s">
        <v>13</v>
      </c>
      <c r="I7" s="155" t="s">
        <v>14</v>
      </c>
      <c r="J7" s="156"/>
      <c r="K7" s="157"/>
      <c r="L7" s="157"/>
      <c r="M7" s="157"/>
      <c r="N7" s="157"/>
      <c r="O7" s="157"/>
    </row>
    <row r="8" spans="1:15" s="158" customFormat="1" ht="64.5" x14ac:dyDescent="0.95">
      <c r="A8" s="159" t="s">
        <v>15</v>
      </c>
      <c r="B8" s="160"/>
      <c r="C8" s="161">
        <v>88717</v>
      </c>
      <c r="D8" s="162" t="s">
        <v>16</v>
      </c>
      <c r="E8" s="163" t="s">
        <v>17</v>
      </c>
      <c r="F8" s="162" t="s">
        <v>18</v>
      </c>
      <c r="G8" s="164"/>
      <c r="H8" s="162" t="s">
        <v>19</v>
      </c>
      <c r="I8" s="165" t="s">
        <v>20</v>
      </c>
      <c r="J8" s="166"/>
      <c r="K8" s="157"/>
      <c r="L8" s="157"/>
      <c r="M8" s="157"/>
      <c r="N8" s="157"/>
      <c r="O8" s="157"/>
    </row>
    <row r="9" spans="1:15" s="168" customFormat="1" ht="64.5" x14ac:dyDescent="0.95">
      <c r="A9" s="148" t="s">
        <v>21</v>
      </c>
      <c r="B9" s="148"/>
      <c r="C9" s="148"/>
      <c r="D9" s="148"/>
      <c r="E9" s="148"/>
      <c r="F9" s="148"/>
      <c r="G9" s="148"/>
      <c r="H9" s="148"/>
      <c r="I9" s="148"/>
      <c r="J9" s="149"/>
      <c r="K9" s="167"/>
      <c r="L9" s="167"/>
      <c r="M9" s="167"/>
      <c r="N9" s="167"/>
      <c r="O9" s="167"/>
    </row>
    <row r="10" spans="1:15" s="177" customFormat="1" ht="64.5" x14ac:dyDescent="0.95">
      <c r="A10" s="169" t="s">
        <v>7</v>
      </c>
      <c r="B10" s="170"/>
      <c r="C10" s="171" t="s">
        <v>22</v>
      </c>
      <c r="D10" s="172" t="s">
        <v>9</v>
      </c>
      <c r="E10" s="171" t="s">
        <v>23</v>
      </c>
      <c r="F10" s="172" t="s">
        <v>11</v>
      </c>
      <c r="G10" s="173" t="s">
        <v>24</v>
      </c>
      <c r="H10" s="172" t="s">
        <v>13</v>
      </c>
      <c r="I10" s="174" t="s">
        <v>25</v>
      </c>
      <c r="J10" s="175"/>
      <c r="K10" s="176"/>
      <c r="L10" s="176"/>
      <c r="M10" s="176"/>
      <c r="N10" s="176"/>
      <c r="O10" s="176"/>
    </row>
    <row r="11" spans="1:15" s="177" customFormat="1" ht="64.5" x14ac:dyDescent="0.95">
      <c r="A11" s="178" t="s">
        <v>15</v>
      </c>
      <c r="B11" s="179"/>
      <c r="C11" s="180">
        <v>64218</v>
      </c>
      <c r="D11" s="181" t="s">
        <v>16</v>
      </c>
      <c r="E11" s="182" t="s">
        <v>26</v>
      </c>
      <c r="F11" s="181" t="s">
        <v>18</v>
      </c>
      <c r="G11" s="183" t="s">
        <v>27</v>
      </c>
      <c r="H11" s="181" t="s">
        <v>19</v>
      </c>
      <c r="I11" s="184" t="s">
        <v>20</v>
      </c>
      <c r="J11" s="185"/>
      <c r="K11" s="176"/>
      <c r="L11" s="176"/>
      <c r="M11" s="176"/>
      <c r="N11" s="176"/>
      <c r="O11" s="176"/>
    </row>
    <row r="12" spans="1:15" s="168" customFormat="1" ht="64.5" x14ac:dyDescent="0.95">
      <c r="A12" s="148" t="s">
        <v>28</v>
      </c>
      <c r="B12" s="148"/>
      <c r="C12" s="148"/>
      <c r="D12" s="148"/>
      <c r="E12" s="148"/>
      <c r="F12" s="148"/>
      <c r="G12" s="148"/>
      <c r="H12" s="148"/>
      <c r="I12" s="148"/>
      <c r="J12" s="149"/>
      <c r="K12" s="167"/>
      <c r="L12" s="167"/>
      <c r="M12" s="167"/>
      <c r="N12" s="167"/>
      <c r="O12" s="167"/>
    </row>
    <row r="13" spans="1:15" s="195" customFormat="1" ht="64.5" x14ac:dyDescent="0.95">
      <c r="A13" s="186" t="s">
        <v>7</v>
      </c>
      <c r="B13" s="187"/>
      <c r="C13" s="188" t="s">
        <v>29</v>
      </c>
      <c r="D13" s="189" t="s">
        <v>9</v>
      </c>
      <c r="E13" s="188" t="s">
        <v>30</v>
      </c>
      <c r="F13" s="190" t="s">
        <v>11</v>
      </c>
      <c r="G13" s="191" t="s">
        <v>31</v>
      </c>
      <c r="H13" s="189" t="s">
        <v>13</v>
      </c>
      <c r="I13" s="192" t="s">
        <v>32</v>
      </c>
      <c r="J13" s="193"/>
      <c r="K13" s="194"/>
      <c r="L13" s="194"/>
      <c r="M13" s="194"/>
      <c r="N13" s="194"/>
      <c r="O13" s="194"/>
    </row>
    <row r="14" spans="1:15" s="195" customFormat="1" ht="65.25" x14ac:dyDescent="0.95">
      <c r="A14" s="196" t="s">
        <v>15</v>
      </c>
      <c r="B14" s="197"/>
      <c r="C14" s="198">
        <v>60529</v>
      </c>
      <c r="D14" s="199" t="s">
        <v>16</v>
      </c>
      <c r="E14" s="200" t="s">
        <v>33</v>
      </c>
      <c r="F14" s="201" t="s">
        <v>18</v>
      </c>
      <c r="G14" s="202"/>
      <c r="H14" s="199" t="s">
        <v>19</v>
      </c>
      <c r="I14" s="203" t="s">
        <v>34</v>
      </c>
      <c r="J14" s="204"/>
      <c r="K14" s="194"/>
      <c r="L14" s="194"/>
      <c r="M14" s="194"/>
      <c r="N14" s="194"/>
      <c r="O14" s="194"/>
    </row>
    <row r="15" spans="1:15" s="141" customFormat="1" ht="65.25" x14ac:dyDescent="0.95">
      <c r="A15" s="205"/>
      <c r="B15" s="205"/>
      <c r="C15" s="205"/>
      <c r="D15" s="205"/>
      <c r="E15" s="205"/>
      <c r="F15" s="205"/>
      <c r="G15" s="205"/>
      <c r="H15" s="205"/>
      <c r="I15" s="205"/>
      <c r="J15" s="206"/>
      <c r="K15" s="140"/>
      <c r="L15" s="140"/>
      <c r="M15" s="140"/>
      <c r="N15" s="140"/>
      <c r="O15" s="140"/>
    </row>
    <row r="16" spans="1:15" s="141" customFormat="1" ht="65.25" x14ac:dyDescent="0.95">
      <c r="A16" s="207" t="s">
        <v>35</v>
      </c>
      <c r="B16" s="207"/>
      <c r="C16" s="207"/>
      <c r="D16" s="207"/>
      <c r="E16" s="207"/>
      <c r="F16" s="207"/>
      <c r="G16" s="207"/>
      <c r="H16" s="207"/>
      <c r="I16" s="207"/>
      <c r="J16" s="208"/>
      <c r="K16" s="209"/>
      <c r="L16" s="210"/>
      <c r="M16" s="210"/>
      <c r="N16" s="210"/>
      <c r="O16" s="210"/>
    </row>
    <row r="17" spans="1:15" ht="57.75" customHeight="1" x14ac:dyDescent="0.25">
      <c r="A17" s="123" t="s">
        <v>36</v>
      </c>
      <c r="B17" s="124" t="s">
        <v>37</v>
      </c>
      <c r="C17" s="123" t="s">
        <v>38</v>
      </c>
      <c r="D17" s="123" t="s">
        <v>39</v>
      </c>
      <c r="E17" s="123" t="s">
        <v>38</v>
      </c>
      <c r="F17" s="125" t="s">
        <v>40</v>
      </c>
      <c r="G17" s="125" t="s">
        <v>41</v>
      </c>
      <c r="H17" s="127" t="s">
        <v>42</v>
      </c>
      <c r="I17" s="125" t="s">
        <v>43</v>
      </c>
      <c r="J17" s="120" t="s">
        <v>44</v>
      </c>
      <c r="K17" s="121"/>
      <c r="L17" s="121"/>
      <c r="M17" s="121"/>
      <c r="N17" s="121"/>
      <c r="O17" s="122"/>
    </row>
    <row r="18" spans="1:15" ht="51.75" customHeight="1" x14ac:dyDescent="0.25">
      <c r="A18" s="124"/>
      <c r="B18" s="124"/>
      <c r="C18" s="124"/>
      <c r="D18" s="124"/>
      <c r="E18" s="124"/>
      <c r="F18" s="126"/>
      <c r="G18" s="126"/>
      <c r="H18" s="128"/>
      <c r="I18" s="126"/>
      <c r="J18" s="2" t="s">
        <v>45</v>
      </c>
      <c r="K18" s="3" t="s">
        <v>46</v>
      </c>
      <c r="L18" s="3" t="s">
        <v>47</v>
      </c>
      <c r="M18" s="2" t="s">
        <v>48</v>
      </c>
      <c r="N18" s="2" t="s">
        <v>49</v>
      </c>
      <c r="O18" s="2" t="s">
        <v>50</v>
      </c>
    </row>
    <row r="19" spans="1:15" s="13" customFormat="1" ht="253.5" customHeight="1" x14ac:dyDescent="0.25">
      <c r="A19" s="104">
        <v>1</v>
      </c>
      <c r="B19" s="106" t="s">
        <v>51</v>
      </c>
      <c r="C19" s="117">
        <f>0.25 *8.59335038363171</f>
        <v>2.1483375959079276</v>
      </c>
      <c r="D19" s="6" t="s">
        <v>52</v>
      </c>
      <c r="E19" s="7">
        <f>C19/5</f>
        <v>0.42966751918158552</v>
      </c>
      <c r="F19" s="7">
        <f t="shared" ref="F19:F37" si="0">E19/$E$38 * 100</f>
        <v>1.6200578592092558</v>
      </c>
      <c r="G19" s="8" t="s">
        <v>53</v>
      </c>
      <c r="H19" s="9">
        <v>1</v>
      </c>
      <c r="I19" s="10" t="s">
        <v>54</v>
      </c>
      <c r="J19" s="11">
        <v>100</v>
      </c>
      <c r="K19" s="12">
        <v>95</v>
      </c>
      <c r="L19" s="12">
        <v>90</v>
      </c>
      <c r="M19" s="12">
        <v>85</v>
      </c>
      <c r="N19" s="12">
        <v>80</v>
      </c>
      <c r="O19" s="12" t="s">
        <v>55</v>
      </c>
    </row>
    <row r="20" spans="1:15" s="13" customFormat="1" ht="253.5" customHeight="1" x14ac:dyDescent="0.25">
      <c r="A20" s="115"/>
      <c r="B20" s="116"/>
      <c r="C20" s="118"/>
      <c r="D20" s="6" t="s">
        <v>56</v>
      </c>
      <c r="E20" s="7">
        <f>C19/5</f>
        <v>0.42966751918158552</v>
      </c>
      <c r="F20" s="7">
        <f t="shared" si="0"/>
        <v>1.6200578592092558</v>
      </c>
      <c r="G20" s="8" t="s">
        <v>57</v>
      </c>
      <c r="H20" s="9">
        <v>1</v>
      </c>
      <c r="I20" s="10" t="s">
        <v>54</v>
      </c>
      <c r="J20" s="11">
        <v>100</v>
      </c>
      <c r="K20" s="12">
        <v>95</v>
      </c>
      <c r="L20" s="12">
        <v>90</v>
      </c>
      <c r="M20" s="12">
        <v>85</v>
      </c>
      <c r="N20" s="12">
        <v>80</v>
      </c>
      <c r="O20" s="12" t="s">
        <v>55</v>
      </c>
    </row>
    <row r="21" spans="1:15" s="13" customFormat="1" ht="253.5" customHeight="1" x14ac:dyDescent="0.25">
      <c r="A21" s="115"/>
      <c r="B21" s="116"/>
      <c r="C21" s="118"/>
      <c r="D21" s="6" t="s">
        <v>58</v>
      </c>
      <c r="E21" s="7">
        <f>C19/5</f>
        <v>0.42966751918158552</v>
      </c>
      <c r="F21" s="7">
        <f t="shared" si="0"/>
        <v>1.6200578592092558</v>
      </c>
      <c r="G21" s="8" t="s">
        <v>59</v>
      </c>
      <c r="H21" s="9">
        <v>1</v>
      </c>
      <c r="I21" s="10" t="s">
        <v>54</v>
      </c>
      <c r="J21" s="11">
        <v>100</v>
      </c>
      <c r="K21" s="12">
        <v>95</v>
      </c>
      <c r="L21" s="12">
        <v>90</v>
      </c>
      <c r="M21" s="12">
        <v>85</v>
      </c>
      <c r="N21" s="12">
        <v>80</v>
      </c>
      <c r="O21" s="12" t="s">
        <v>55</v>
      </c>
    </row>
    <row r="22" spans="1:15" s="13" customFormat="1" ht="258" customHeight="1" x14ac:dyDescent="0.25">
      <c r="A22" s="115"/>
      <c r="B22" s="116"/>
      <c r="C22" s="118"/>
      <c r="D22" s="6" t="s">
        <v>60</v>
      </c>
      <c r="E22" s="7">
        <f>C19/5</f>
        <v>0.42966751918158552</v>
      </c>
      <c r="F22" s="7">
        <f t="shared" si="0"/>
        <v>1.6200578592092558</v>
      </c>
      <c r="G22" s="8" t="s">
        <v>61</v>
      </c>
      <c r="H22" s="14">
        <v>5</v>
      </c>
      <c r="I22" s="10" t="s">
        <v>62</v>
      </c>
      <c r="J22" s="11" t="s">
        <v>63</v>
      </c>
      <c r="K22" s="12">
        <v>5</v>
      </c>
      <c r="L22" s="12">
        <v>4</v>
      </c>
      <c r="M22" s="12">
        <v>3</v>
      </c>
      <c r="N22" s="12">
        <v>2</v>
      </c>
      <c r="O22" s="12">
        <v>1</v>
      </c>
    </row>
    <row r="23" spans="1:15" s="13" customFormat="1" ht="298.5" customHeight="1" x14ac:dyDescent="0.25">
      <c r="A23" s="105"/>
      <c r="B23" s="107"/>
      <c r="C23" s="119"/>
      <c r="D23" s="6" t="s">
        <v>64</v>
      </c>
      <c r="E23" s="7">
        <f>C19/5</f>
        <v>0.42966751918158552</v>
      </c>
      <c r="F23" s="7">
        <f t="shared" si="0"/>
        <v>1.6200578592092558</v>
      </c>
      <c r="G23" s="8" t="s">
        <v>65</v>
      </c>
      <c r="H23" s="9">
        <v>1</v>
      </c>
      <c r="I23" s="10" t="s">
        <v>54</v>
      </c>
      <c r="J23" s="11">
        <v>100</v>
      </c>
      <c r="K23" s="12">
        <v>95</v>
      </c>
      <c r="L23" s="12">
        <v>90</v>
      </c>
      <c r="M23" s="12">
        <v>85</v>
      </c>
      <c r="N23" s="12">
        <v>80</v>
      </c>
      <c r="O23" s="12" t="s">
        <v>55</v>
      </c>
    </row>
    <row r="24" spans="1:15" s="13" customFormat="1" ht="231.75" customHeight="1" x14ac:dyDescent="0.25">
      <c r="A24" s="104">
        <v>2</v>
      </c>
      <c r="B24" s="106" t="s">
        <v>66</v>
      </c>
      <c r="C24" s="117">
        <f>0.5*4.29667519181586</f>
        <v>2.1483375959079298</v>
      </c>
      <c r="D24" s="6" t="s">
        <v>67</v>
      </c>
      <c r="E24" s="7">
        <f>C24/2</f>
        <v>1.0741687979539649</v>
      </c>
      <c r="F24" s="7">
        <f t="shared" si="0"/>
        <v>4.050144648023144</v>
      </c>
      <c r="G24" s="8" t="s">
        <v>68</v>
      </c>
      <c r="H24" s="9">
        <v>0.5</v>
      </c>
      <c r="I24" s="10" t="s">
        <v>54</v>
      </c>
      <c r="J24" s="11" t="s">
        <v>69</v>
      </c>
      <c r="K24" s="12">
        <v>50</v>
      </c>
      <c r="L24" s="12">
        <v>45</v>
      </c>
      <c r="M24" s="12">
        <v>40</v>
      </c>
      <c r="N24" s="12">
        <v>25</v>
      </c>
      <c r="O24" s="12" t="s">
        <v>70</v>
      </c>
    </row>
    <row r="25" spans="1:15" s="13" customFormat="1" ht="199.5" customHeight="1" x14ac:dyDescent="0.25">
      <c r="A25" s="105"/>
      <c r="B25" s="107"/>
      <c r="C25" s="119"/>
      <c r="D25" s="6" t="s">
        <v>71</v>
      </c>
      <c r="E25" s="7">
        <f>C24/2</f>
        <v>1.0741687979539649</v>
      </c>
      <c r="F25" s="7">
        <f t="shared" si="0"/>
        <v>4.050144648023144</v>
      </c>
      <c r="G25" s="8" t="s">
        <v>72</v>
      </c>
      <c r="H25" s="9">
        <v>0.5</v>
      </c>
      <c r="I25" s="10" t="s">
        <v>54</v>
      </c>
      <c r="J25" s="11" t="s">
        <v>69</v>
      </c>
      <c r="K25" s="12">
        <v>50</v>
      </c>
      <c r="L25" s="12">
        <v>45</v>
      </c>
      <c r="M25" s="12">
        <v>40</v>
      </c>
      <c r="N25" s="12">
        <v>25</v>
      </c>
      <c r="O25" s="12" t="s">
        <v>70</v>
      </c>
    </row>
    <row r="26" spans="1:15" s="13" customFormat="1" ht="246" customHeight="1" x14ac:dyDescent="0.25">
      <c r="A26" s="104">
        <v>3</v>
      </c>
      <c r="B26" s="106" t="s">
        <v>73</v>
      </c>
      <c r="C26" s="117">
        <f>0.25*57.2122762148338</f>
        <v>14.30306905370845</v>
      </c>
      <c r="D26" s="15" t="s">
        <v>74</v>
      </c>
      <c r="E26" s="7">
        <f>C26/5</f>
        <v>2.8606138107416901</v>
      </c>
      <c r="F26" s="7">
        <f t="shared" si="0"/>
        <v>10.785920925747352</v>
      </c>
      <c r="G26" s="8" t="s">
        <v>75</v>
      </c>
      <c r="H26" s="16">
        <v>0.8</v>
      </c>
      <c r="I26" s="14" t="s">
        <v>54</v>
      </c>
      <c r="J26" s="11" t="s">
        <v>76</v>
      </c>
      <c r="K26" s="12">
        <v>80</v>
      </c>
      <c r="L26" s="12">
        <v>75</v>
      </c>
      <c r="M26" s="12">
        <v>70</v>
      </c>
      <c r="N26" s="12">
        <v>50</v>
      </c>
      <c r="O26" s="12" t="s">
        <v>77</v>
      </c>
    </row>
    <row r="27" spans="1:15" s="13" customFormat="1" ht="246" customHeight="1" x14ac:dyDescent="0.25">
      <c r="A27" s="115"/>
      <c r="B27" s="116"/>
      <c r="C27" s="118"/>
      <c r="D27" s="6" t="s">
        <v>78</v>
      </c>
      <c r="E27" s="7">
        <f>C26/5</f>
        <v>2.8606138107416901</v>
      </c>
      <c r="F27" s="7">
        <f t="shared" si="0"/>
        <v>10.785920925747352</v>
      </c>
      <c r="G27" s="8" t="s">
        <v>79</v>
      </c>
      <c r="H27" s="16">
        <v>0.8</v>
      </c>
      <c r="I27" s="14" t="s">
        <v>54</v>
      </c>
      <c r="J27" s="11" t="s">
        <v>76</v>
      </c>
      <c r="K27" s="12">
        <v>80</v>
      </c>
      <c r="L27" s="12">
        <v>75</v>
      </c>
      <c r="M27" s="12">
        <v>70</v>
      </c>
      <c r="N27" s="12">
        <v>50</v>
      </c>
      <c r="O27" s="12" t="s">
        <v>77</v>
      </c>
    </row>
    <row r="28" spans="1:15" s="13" customFormat="1" ht="407.25" customHeight="1" x14ac:dyDescent="0.25">
      <c r="A28" s="115"/>
      <c r="B28" s="116"/>
      <c r="C28" s="118"/>
      <c r="D28" s="6" t="s">
        <v>80</v>
      </c>
      <c r="E28" s="7">
        <f>C26/5</f>
        <v>2.8606138107416901</v>
      </c>
      <c r="F28" s="7">
        <f t="shared" si="0"/>
        <v>10.785920925747352</v>
      </c>
      <c r="G28" s="8" t="s">
        <v>81</v>
      </c>
      <c r="H28" s="16">
        <v>0.8</v>
      </c>
      <c r="I28" s="14" t="s">
        <v>54</v>
      </c>
      <c r="J28" s="11" t="s">
        <v>76</v>
      </c>
      <c r="K28" s="12">
        <v>80</v>
      </c>
      <c r="L28" s="12">
        <v>75</v>
      </c>
      <c r="M28" s="12">
        <v>70</v>
      </c>
      <c r="N28" s="12">
        <v>50</v>
      </c>
      <c r="O28" s="12" t="s">
        <v>77</v>
      </c>
    </row>
    <row r="29" spans="1:15" s="13" customFormat="1" ht="407.25" customHeight="1" x14ac:dyDescent="0.25">
      <c r="A29" s="115"/>
      <c r="B29" s="116"/>
      <c r="C29" s="118"/>
      <c r="D29" s="6" t="s">
        <v>82</v>
      </c>
      <c r="E29" s="7">
        <f>C26/5</f>
        <v>2.8606138107416901</v>
      </c>
      <c r="F29" s="7">
        <f t="shared" si="0"/>
        <v>10.785920925747352</v>
      </c>
      <c r="G29" s="8" t="s">
        <v>83</v>
      </c>
      <c r="H29" s="16">
        <v>1</v>
      </c>
      <c r="I29" s="10" t="s">
        <v>54</v>
      </c>
      <c r="J29" s="11">
        <v>100</v>
      </c>
      <c r="K29" s="12">
        <v>95</v>
      </c>
      <c r="L29" s="12">
        <v>90</v>
      </c>
      <c r="M29" s="12">
        <v>85</v>
      </c>
      <c r="N29" s="12">
        <v>80</v>
      </c>
      <c r="O29" s="12" t="s">
        <v>55</v>
      </c>
    </row>
    <row r="30" spans="1:15" s="13" customFormat="1" ht="246" customHeight="1" x14ac:dyDescent="0.25">
      <c r="A30" s="105"/>
      <c r="B30" s="107"/>
      <c r="C30" s="119"/>
      <c r="D30" s="6" t="s">
        <v>84</v>
      </c>
      <c r="E30" s="7">
        <f>C26/5</f>
        <v>2.8606138107416901</v>
      </c>
      <c r="F30" s="7">
        <f t="shared" si="0"/>
        <v>10.785920925747352</v>
      </c>
      <c r="G30" s="8" t="s">
        <v>85</v>
      </c>
      <c r="H30" s="16">
        <v>0.9</v>
      </c>
      <c r="I30" s="14" t="s">
        <v>54</v>
      </c>
      <c r="J30" s="11" t="s">
        <v>86</v>
      </c>
      <c r="K30" s="12">
        <v>90</v>
      </c>
      <c r="L30" s="12">
        <v>80</v>
      </c>
      <c r="M30" s="12">
        <v>70</v>
      </c>
      <c r="N30" s="12">
        <v>50</v>
      </c>
      <c r="O30" s="12" t="s">
        <v>77</v>
      </c>
    </row>
    <row r="31" spans="1:15" s="13" customFormat="1" ht="246" customHeight="1" x14ac:dyDescent="0.25">
      <c r="A31" s="104">
        <v>4</v>
      </c>
      <c r="B31" s="106" t="s">
        <v>87</v>
      </c>
      <c r="C31" s="108">
        <f>0.25*0.895140664961637</f>
        <v>0.22378516624040926</v>
      </c>
      <c r="D31" s="6" t="s">
        <v>88</v>
      </c>
      <c r="E31" s="7">
        <f>C31/2</f>
        <v>0.11189258312020463</v>
      </c>
      <c r="F31" s="7">
        <f t="shared" si="0"/>
        <v>0.4218900675024107</v>
      </c>
      <c r="G31" s="8" t="s">
        <v>89</v>
      </c>
      <c r="H31" s="16">
        <v>1</v>
      </c>
      <c r="I31" s="10" t="s">
        <v>54</v>
      </c>
      <c r="J31" s="11">
        <v>100</v>
      </c>
      <c r="K31" s="12">
        <v>95</v>
      </c>
      <c r="L31" s="12">
        <v>90</v>
      </c>
      <c r="M31" s="12">
        <v>85</v>
      </c>
      <c r="N31" s="12">
        <v>80</v>
      </c>
      <c r="O31" s="12" t="s">
        <v>55</v>
      </c>
    </row>
    <row r="32" spans="1:15" s="13" customFormat="1" ht="246" customHeight="1" x14ac:dyDescent="0.25">
      <c r="A32" s="105"/>
      <c r="B32" s="107"/>
      <c r="C32" s="109"/>
      <c r="D32" s="6" t="s">
        <v>90</v>
      </c>
      <c r="E32" s="7">
        <f>C31/2</f>
        <v>0.11189258312020463</v>
      </c>
      <c r="F32" s="7">
        <f t="shared" si="0"/>
        <v>0.4218900675024107</v>
      </c>
      <c r="G32" s="8" t="s">
        <v>91</v>
      </c>
      <c r="H32" s="14">
        <v>5</v>
      </c>
      <c r="I32" s="10" t="s">
        <v>62</v>
      </c>
      <c r="J32" s="11" t="s">
        <v>63</v>
      </c>
      <c r="K32" s="12">
        <v>5</v>
      </c>
      <c r="L32" s="12">
        <v>4</v>
      </c>
      <c r="M32" s="12">
        <v>3</v>
      </c>
      <c r="N32" s="12">
        <v>2</v>
      </c>
      <c r="O32" s="12">
        <v>1</v>
      </c>
    </row>
    <row r="33" spans="1:15" s="13" customFormat="1" ht="246" customHeight="1" x14ac:dyDescent="0.25">
      <c r="A33" s="104">
        <v>5</v>
      </c>
      <c r="B33" s="106" t="s">
        <v>92</v>
      </c>
      <c r="C33" s="108">
        <f>0.5*1.79028132992327</f>
        <v>0.89514066496163502</v>
      </c>
      <c r="D33" s="6" t="s">
        <v>93</v>
      </c>
      <c r="E33" s="7">
        <f>C33/2</f>
        <v>0.44757033248081751</v>
      </c>
      <c r="F33" s="7">
        <f t="shared" si="0"/>
        <v>1.687560270009639</v>
      </c>
      <c r="G33" s="8" t="s">
        <v>94</v>
      </c>
      <c r="H33" s="14">
        <v>5</v>
      </c>
      <c r="I33" s="14" t="s">
        <v>62</v>
      </c>
      <c r="J33" s="11" t="s">
        <v>63</v>
      </c>
      <c r="K33" s="12">
        <v>5</v>
      </c>
      <c r="L33" s="12">
        <v>4</v>
      </c>
      <c r="M33" s="12">
        <v>3</v>
      </c>
      <c r="N33" s="12">
        <v>2</v>
      </c>
      <c r="O33" s="12">
        <v>1</v>
      </c>
    </row>
    <row r="34" spans="1:15" s="13" customFormat="1" ht="407.25" customHeight="1" x14ac:dyDescent="0.25">
      <c r="A34" s="105"/>
      <c r="B34" s="107"/>
      <c r="C34" s="109"/>
      <c r="D34" s="6" t="s">
        <v>95</v>
      </c>
      <c r="E34" s="7">
        <f>C33/2</f>
        <v>0.44757033248081751</v>
      </c>
      <c r="F34" s="7">
        <f t="shared" si="0"/>
        <v>1.687560270009639</v>
      </c>
      <c r="G34" s="8" t="s">
        <v>96</v>
      </c>
      <c r="H34" s="9">
        <v>0.5</v>
      </c>
      <c r="I34" s="10" t="s">
        <v>54</v>
      </c>
      <c r="J34" s="11" t="s">
        <v>69</v>
      </c>
      <c r="K34" s="12">
        <v>50</v>
      </c>
      <c r="L34" s="12">
        <v>45</v>
      </c>
      <c r="M34" s="12">
        <v>40</v>
      </c>
      <c r="N34" s="12">
        <v>25</v>
      </c>
      <c r="O34" s="12" t="s">
        <v>70</v>
      </c>
    </row>
    <row r="35" spans="1:15" s="13" customFormat="1" ht="407.25" customHeight="1" x14ac:dyDescent="0.25">
      <c r="A35" s="4">
        <v>6</v>
      </c>
      <c r="B35" s="5" t="s">
        <v>97</v>
      </c>
      <c r="C35" s="17">
        <f>0.25*14.3222506393862</f>
        <v>3.5805626598465499</v>
      </c>
      <c r="D35" s="6" t="s">
        <v>98</v>
      </c>
      <c r="E35" s="7">
        <f>C35</f>
        <v>3.5805626598465499</v>
      </c>
      <c r="F35" s="7">
        <f t="shared" si="0"/>
        <v>13.500482160077148</v>
      </c>
      <c r="G35" s="8" t="s">
        <v>99</v>
      </c>
      <c r="H35" s="16">
        <v>0.8</v>
      </c>
      <c r="I35" s="14" t="s">
        <v>54</v>
      </c>
      <c r="J35" s="11" t="s">
        <v>76</v>
      </c>
      <c r="K35" s="12">
        <v>80</v>
      </c>
      <c r="L35" s="12">
        <v>75</v>
      </c>
      <c r="M35" s="12">
        <v>70</v>
      </c>
      <c r="N35" s="12">
        <v>50</v>
      </c>
      <c r="O35" s="12" t="s">
        <v>77</v>
      </c>
    </row>
    <row r="36" spans="1:15" s="13" customFormat="1" ht="246" customHeight="1" x14ac:dyDescent="0.25">
      <c r="A36" s="18">
        <v>7</v>
      </c>
      <c r="B36" s="6" t="s">
        <v>100</v>
      </c>
      <c r="C36" s="19">
        <f>0.25*5.72890025575448</f>
        <v>1.43222506393862</v>
      </c>
      <c r="D36" s="5" t="s">
        <v>101</v>
      </c>
      <c r="E36" s="7">
        <f>C36</f>
        <v>1.43222506393862</v>
      </c>
      <c r="F36" s="7">
        <f t="shared" si="0"/>
        <v>5.4001928640308599</v>
      </c>
      <c r="G36" s="8" t="s">
        <v>102</v>
      </c>
      <c r="H36" s="9">
        <v>0.7</v>
      </c>
      <c r="I36" s="14" t="s">
        <v>54</v>
      </c>
      <c r="J36" s="11" t="s">
        <v>103</v>
      </c>
      <c r="K36" s="12">
        <v>70</v>
      </c>
      <c r="L36" s="12">
        <v>60</v>
      </c>
      <c r="M36" s="12">
        <v>50</v>
      </c>
      <c r="N36" s="12">
        <v>40</v>
      </c>
      <c r="O36" s="12" t="s">
        <v>104</v>
      </c>
    </row>
    <row r="37" spans="1:15" ht="209.25" customHeight="1" x14ac:dyDescent="0.25">
      <c r="A37" s="18">
        <v>8</v>
      </c>
      <c r="B37" s="6" t="s">
        <v>105</v>
      </c>
      <c r="C37" s="19">
        <f>0.25*7.16112531969309</f>
        <v>1.7902813299232725</v>
      </c>
      <c r="D37" s="8" t="s">
        <v>106</v>
      </c>
      <c r="E37" s="7">
        <f>C37</f>
        <v>1.7902813299232725</v>
      </c>
      <c r="F37" s="7">
        <f t="shared" si="0"/>
        <v>6.7502410800385642</v>
      </c>
      <c r="G37" s="8" t="s">
        <v>107</v>
      </c>
      <c r="H37" s="9">
        <v>0.5</v>
      </c>
      <c r="I37" s="10" t="s">
        <v>54</v>
      </c>
      <c r="J37" s="11" t="s">
        <v>69</v>
      </c>
      <c r="K37" s="12">
        <v>50</v>
      </c>
      <c r="L37" s="12">
        <v>45</v>
      </c>
      <c r="M37" s="12">
        <v>40</v>
      </c>
      <c r="N37" s="12">
        <v>25</v>
      </c>
      <c r="O37" s="12" t="s">
        <v>70</v>
      </c>
    </row>
    <row r="38" spans="1:15" ht="82.5" customHeight="1" x14ac:dyDescent="0.45">
      <c r="A38" s="20"/>
      <c r="B38" s="21" t="s">
        <v>108</v>
      </c>
      <c r="C38" s="22">
        <f>SUM(C19:C37)</f>
        <v>26.521739130434788</v>
      </c>
      <c r="D38" s="22"/>
      <c r="E38" s="22">
        <f>SUM(E19:E37)</f>
        <v>26.521739130434796</v>
      </c>
      <c r="F38" s="22">
        <f>SUM(F19:F37)</f>
        <v>100</v>
      </c>
      <c r="G38" s="23"/>
      <c r="H38" s="24"/>
      <c r="I38" s="25"/>
      <c r="J38" s="26"/>
      <c r="K38" s="27"/>
      <c r="L38" s="27"/>
      <c r="M38" s="27"/>
      <c r="N38" s="27"/>
      <c r="O38" s="27"/>
    </row>
    <row r="39" spans="1:15" ht="32.25" x14ac:dyDescent="0.25">
      <c r="A39" s="110" t="s">
        <v>109</v>
      </c>
      <c r="B39" s="110"/>
      <c r="C39" s="110"/>
      <c r="D39" s="110"/>
      <c r="E39" s="110"/>
      <c r="F39" s="110"/>
      <c r="G39" s="110"/>
      <c r="H39" s="111"/>
      <c r="I39" s="111"/>
      <c r="J39" s="112"/>
      <c r="K39" s="113" t="s">
        <v>110</v>
      </c>
      <c r="L39" s="113"/>
      <c r="M39" s="113"/>
      <c r="N39" s="113"/>
      <c r="O39" s="113"/>
    </row>
    <row r="40" spans="1:15" ht="33" x14ac:dyDescent="0.45">
      <c r="A40" s="28"/>
      <c r="B40" s="29"/>
      <c r="C40" s="114" t="s">
        <v>111</v>
      </c>
      <c r="D40" s="114"/>
      <c r="E40" s="114"/>
      <c r="F40" s="114"/>
      <c r="G40" s="114"/>
      <c r="H40" s="30" t="s">
        <v>112</v>
      </c>
      <c r="I40" s="30" t="s">
        <v>113</v>
      </c>
      <c r="J40" s="30" t="s">
        <v>114</v>
      </c>
      <c r="K40" s="113"/>
      <c r="L40" s="113"/>
      <c r="M40" s="113"/>
      <c r="N40" s="113"/>
      <c r="O40" s="113"/>
    </row>
    <row r="41" spans="1:15" ht="49.5" x14ac:dyDescent="0.6">
      <c r="A41" s="31">
        <v>1</v>
      </c>
      <c r="B41" s="32" t="s">
        <v>115</v>
      </c>
      <c r="C41" s="101"/>
      <c r="D41" s="102"/>
      <c r="E41" s="102"/>
      <c r="F41" s="102"/>
      <c r="G41" s="103"/>
      <c r="H41" s="33"/>
      <c r="I41" s="33"/>
      <c r="J41" s="34"/>
      <c r="K41" s="35"/>
      <c r="L41" s="36" t="s">
        <v>45</v>
      </c>
      <c r="M41" s="92" t="s">
        <v>116</v>
      </c>
      <c r="N41" s="92"/>
      <c r="O41" s="92"/>
    </row>
    <row r="42" spans="1:15" ht="89.25" customHeight="1" x14ac:dyDescent="0.45">
      <c r="A42" s="38" t="s">
        <v>117</v>
      </c>
      <c r="B42" s="39" t="s">
        <v>118</v>
      </c>
      <c r="C42" s="98"/>
      <c r="D42" s="99"/>
      <c r="E42" s="99"/>
      <c r="F42" s="99"/>
      <c r="G42" s="100"/>
      <c r="H42" s="27">
        <v>3</v>
      </c>
      <c r="I42" s="27">
        <v>3</v>
      </c>
      <c r="J42" s="40"/>
      <c r="K42" s="35"/>
      <c r="L42" s="36" t="s">
        <v>46</v>
      </c>
      <c r="M42" s="92" t="s">
        <v>119</v>
      </c>
      <c r="N42" s="92"/>
      <c r="O42" s="92"/>
    </row>
    <row r="43" spans="1:15" ht="86.25" customHeight="1" x14ac:dyDescent="0.45">
      <c r="A43" s="38" t="s">
        <v>120</v>
      </c>
      <c r="B43" s="39" t="s">
        <v>121</v>
      </c>
      <c r="C43" s="98"/>
      <c r="D43" s="99"/>
      <c r="E43" s="99"/>
      <c r="F43" s="99"/>
      <c r="G43" s="100"/>
      <c r="H43" s="27">
        <v>3</v>
      </c>
      <c r="I43" s="27">
        <v>3</v>
      </c>
      <c r="J43" s="40"/>
      <c r="K43" s="35"/>
      <c r="L43" s="36" t="s">
        <v>47</v>
      </c>
      <c r="M43" s="92" t="s">
        <v>122</v>
      </c>
      <c r="N43" s="92"/>
      <c r="O43" s="92"/>
    </row>
    <row r="44" spans="1:15" ht="79.5" customHeight="1" x14ac:dyDescent="0.45">
      <c r="A44" s="38" t="s">
        <v>123</v>
      </c>
      <c r="B44" s="39" t="s">
        <v>124</v>
      </c>
      <c r="C44" s="98"/>
      <c r="D44" s="99"/>
      <c r="E44" s="99"/>
      <c r="F44" s="99"/>
      <c r="G44" s="100"/>
      <c r="H44" s="27">
        <v>3</v>
      </c>
      <c r="I44" s="27">
        <v>3</v>
      </c>
      <c r="J44" s="40"/>
      <c r="K44" s="35"/>
      <c r="L44" s="36" t="s">
        <v>48</v>
      </c>
      <c r="M44" s="92" t="s">
        <v>125</v>
      </c>
      <c r="N44" s="92"/>
      <c r="O44" s="92"/>
    </row>
    <row r="45" spans="1:15" ht="79.5" customHeight="1" x14ac:dyDescent="0.6">
      <c r="A45" s="41">
        <v>2</v>
      </c>
      <c r="B45" s="42" t="s">
        <v>126</v>
      </c>
      <c r="C45" s="95"/>
      <c r="D45" s="96"/>
      <c r="E45" s="96"/>
      <c r="F45" s="96"/>
      <c r="G45" s="97"/>
      <c r="H45" s="27"/>
      <c r="I45" s="27"/>
      <c r="J45" s="40"/>
      <c r="K45" s="35"/>
      <c r="L45" s="36" t="s">
        <v>49</v>
      </c>
      <c r="M45" s="92" t="s">
        <v>127</v>
      </c>
      <c r="N45" s="92"/>
      <c r="O45" s="92"/>
    </row>
    <row r="46" spans="1:15" ht="96.75" customHeight="1" x14ac:dyDescent="0.45">
      <c r="A46" s="38" t="s">
        <v>117</v>
      </c>
      <c r="B46" s="43" t="s">
        <v>128</v>
      </c>
      <c r="C46" s="69"/>
      <c r="D46" s="70"/>
      <c r="E46" s="70"/>
      <c r="F46" s="70"/>
      <c r="G46" s="71"/>
      <c r="H46" s="27">
        <v>3</v>
      </c>
      <c r="I46" s="27">
        <v>3</v>
      </c>
      <c r="J46" s="40"/>
      <c r="K46" s="35"/>
      <c r="L46" s="36" t="s">
        <v>50</v>
      </c>
      <c r="M46" s="92" t="s">
        <v>129</v>
      </c>
      <c r="N46" s="92"/>
      <c r="O46" s="92"/>
    </row>
    <row r="47" spans="1:15" ht="84.75" customHeight="1" x14ac:dyDescent="0.45">
      <c r="A47" s="38" t="s">
        <v>120</v>
      </c>
      <c r="B47" s="43" t="s">
        <v>130</v>
      </c>
      <c r="C47" s="69"/>
      <c r="D47" s="70"/>
      <c r="E47" s="70"/>
      <c r="F47" s="70"/>
      <c r="G47" s="71"/>
      <c r="H47" s="27">
        <v>2</v>
      </c>
      <c r="I47" s="27">
        <v>2</v>
      </c>
      <c r="J47" s="40"/>
      <c r="K47" s="35"/>
      <c r="L47" s="37" t="s">
        <v>114</v>
      </c>
      <c r="M47" s="37" t="s">
        <v>131</v>
      </c>
      <c r="N47" s="44"/>
      <c r="O47" s="44"/>
    </row>
    <row r="48" spans="1:15" ht="96" customHeight="1" x14ac:dyDescent="0.45">
      <c r="A48" s="38" t="s">
        <v>123</v>
      </c>
      <c r="B48" s="45" t="s">
        <v>132</v>
      </c>
      <c r="C48" s="69"/>
      <c r="D48" s="70"/>
      <c r="E48" s="70"/>
      <c r="F48" s="70"/>
      <c r="G48" s="71"/>
      <c r="H48" s="27">
        <v>2</v>
      </c>
      <c r="I48" s="27">
        <v>2</v>
      </c>
      <c r="J48" s="40"/>
      <c r="K48" s="35"/>
      <c r="L48" s="37" t="s">
        <v>133</v>
      </c>
      <c r="M48" s="92" t="s">
        <v>134</v>
      </c>
      <c r="N48" s="92"/>
      <c r="O48" s="92"/>
    </row>
    <row r="49" spans="1:15" ht="49.5" x14ac:dyDescent="0.6">
      <c r="A49" s="41">
        <v>3</v>
      </c>
      <c r="B49" s="42" t="s">
        <v>135</v>
      </c>
      <c r="C49" s="95"/>
      <c r="D49" s="96"/>
      <c r="E49" s="96"/>
      <c r="F49" s="96"/>
      <c r="G49" s="97"/>
      <c r="H49" s="27"/>
      <c r="I49" s="27"/>
      <c r="J49" s="40"/>
      <c r="K49" s="35"/>
      <c r="L49" s="37" t="s">
        <v>112</v>
      </c>
      <c r="M49" s="92" t="s">
        <v>136</v>
      </c>
      <c r="N49" s="92"/>
      <c r="O49" s="92"/>
    </row>
    <row r="50" spans="1:15" ht="81.75" customHeight="1" x14ac:dyDescent="0.45">
      <c r="A50" s="38" t="s">
        <v>117</v>
      </c>
      <c r="B50" s="43" t="s">
        <v>137</v>
      </c>
      <c r="C50" s="89"/>
      <c r="D50" s="90"/>
      <c r="E50" s="90"/>
      <c r="F50" s="90"/>
      <c r="G50" s="91"/>
      <c r="H50" s="27">
        <v>2</v>
      </c>
      <c r="I50" s="27">
        <v>2</v>
      </c>
      <c r="J50" s="40"/>
      <c r="K50" s="35"/>
      <c r="L50" s="37" t="s">
        <v>113</v>
      </c>
      <c r="M50" s="92" t="s">
        <v>138</v>
      </c>
      <c r="N50" s="92"/>
      <c r="O50" s="92"/>
    </row>
    <row r="51" spans="1:15" ht="72" customHeight="1" x14ac:dyDescent="0.45">
      <c r="A51" s="38" t="s">
        <v>120</v>
      </c>
      <c r="B51" s="43" t="s">
        <v>139</v>
      </c>
      <c r="C51" s="89"/>
      <c r="D51" s="90"/>
      <c r="E51" s="90"/>
      <c r="F51" s="90"/>
      <c r="G51" s="91"/>
      <c r="H51" s="27">
        <v>1</v>
      </c>
      <c r="I51" s="27">
        <v>1</v>
      </c>
      <c r="J51" s="40"/>
      <c r="K51" s="35"/>
      <c r="L51" s="37" t="s">
        <v>140</v>
      </c>
      <c r="M51" s="92" t="s">
        <v>141</v>
      </c>
      <c r="N51" s="92"/>
      <c r="O51" s="92"/>
    </row>
    <row r="52" spans="1:15" ht="78" customHeight="1" x14ac:dyDescent="0.45">
      <c r="A52" s="38" t="s">
        <v>123</v>
      </c>
      <c r="B52" s="43" t="s">
        <v>142</v>
      </c>
      <c r="C52" s="89"/>
      <c r="D52" s="90"/>
      <c r="E52" s="90"/>
      <c r="F52" s="90"/>
      <c r="G52" s="91"/>
      <c r="H52" s="27">
        <v>1</v>
      </c>
      <c r="I52" s="27">
        <v>1</v>
      </c>
      <c r="J52" s="40"/>
      <c r="K52" s="35"/>
      <c r="L52" s="44"/>
      <c r="M52" s="44"/>
      <c r="N52" s="44"/>
      <c r="O52" s="44"/>
    </row>
    <row r="53" spans="1:15" ht="33" x14ac:dyDescent="0.45">
      <c r="A53" s="93" t="s">
        <v>143</v>
      </c>
      <c r="B53" s="94"/>
      <c r="C53" s="94"/>
      <c r="D53" s="94"/>
      <c r="E53" s="94"/>
      <c r="F53" s="94"/>
      <c r="G53" s="94"/>
      <c r="H53" s="46"/>
      <c r="I53" s="46"/>
      <c r="J53" s="46"/>
      <c r="K53" s="35"/>
      <c r="L53" s="44"/>
      <c r="M53" s="44"/>
      <c r="N53" s="44"/>
      <c r="O53" s="44"/>
    </row>
    <row r="54" spans="1:15" ht="49.5" x14ac:dyDescent="0.6">
      <c r="A54" s="38" t="s">
        <v>117</v>
      </c>
      <c r="B54" s="47" t="s">
        <v>144</v>
      </c>
      <c r="C54" s="69" t="s">
        <v>145</v>
      </c>
      <c r="D54" s="70"/>
      <c r="E54" s="70"/>
      <c r="F54" s="70"/>
      <c r="G54" s="71"/>
      <c r="H54" s="48">
        <v>4</v>
      </c>
      <c r="I54" s="49">
        <v>4</v>
      </c>
      <c r="J54" s="50"/>
      <c r="K54" s="35"/>
      <c r="L54" s="44"/>
      <c r="M54" s="44"/>
      <c r="N54" s="44"/>
      <c r="O54" s="44"/>
    </row>
    <row r="55" spans="1:15" ht="49.5" x14ac:dyDescent="0.6">
      <c r="A55" s="38" t="s">
        <v>120</v>
      </c>
      <c r="B55" s="47" t="s">
        <v>146</v>
      </c>
      <c r="C55" s="69" t="s">
        <v>147</v>
      </c>
      <c r="D55" s="70"/>
      <c r="E55" s="70"/>
      <c r="F55" s="70"/>
      <c r="G55" s="71"/>
      <c r="H55" s="48">
        <v>4</v>
      </c>
      <c r="I55" s="49">
        <v>4</v>
      </c>
      <c r="J55" s="50"/>
      <c r="K55" s="35"/>
      <c r="L55" s="44"/>
      <c r="M55" s="44"/>
      <c r="N55" s="44"/>
      <c r="O55" s="44"/>
    </row>
    <row r="56" spans="1:15" ht="49.5" x14ac:dyDescent="0.6">
      <c r="A56" s="38" t="s">
        <v>120</v>
      </c>
      <c r="B56" s="47" t="s">
        <v>148</v>
      </c>
      <c r="C56" s="69" t="s">
        <v>149</v>
      </c>
      <c r="D56" s="70"/>
      <c r="E56" s="70"/>
      <c r="F56" s="70"/>
      <c r="G56" s="71"/>
      <c r="H56" s="48">
        <v>2</v>
      </c>
      <c r="I56" s="49">
        <v>2</v>
      </c>
      <c r="J56" s="50"/>
      <c r="K56" s="35"/>
      <c r="L56" s="44"/>
      <c r="M56" s="44"/>
      <c r="N56" s="44"/>
      <c r="O56" s="44"/>
    </row>
    <row r="57" spans="1:15" ht="33" x14ac:dyDescent="0.45">
      <c r="A57" s="72" t="s">
        <v>150</v>
      </c>
      <c r="B57" s="72"/>
      <c r="C57" s="72"/>
      <c r="D57" s="72"/>
      <c r="E57" s="72"/>
      <c r="F57" s="72"/>
      <c r="G57" s="72"/>
      <c r="H57" s="72"/>
      <c r="I57" s="72"/>
      <c r="J57" s="51"/>
      <c r="K57" s="44"/>
      <c r="L57" s="44"/>
      <c r="M57" s="44"/>
      <c r="N57" s="44"/>
      <c r="O57" s="44"/>
    </row>
    <row r="58" spans="1:15" ht="15" customHeight="1" x14ac:dyDescent="0.45">
      <c r="A58" s="73" t="s">
        <v>151</v>
      </c>
      <c r="B58" s="73"/>
      <c r="C58" s="74"/>
      <c r="D58" s="75"/>
      <c r="E58" s="78" t="s">
        <v>152</v>
      </c>
      <c r="F58" s="64"/>
      <c r="G58" s="82" t="s">
        <v>153</v>
      </c>
      <c r="H58" s="52"/>
      <c r="I58" s="52"/>
      <c r="J58" s="53"/>
      <c r="K58" s="35"/>
      <c r="L58" s="35"/>
      <c r="M58" s="35"/>
      <c r="N58" s="35"/>
      <c r="O58" s="35"/>
    </row>
    <row r="59" spans="1:15" ht="33" customHeight="1" x14ac:dyDescent="0.45">
      <c r="A59" s="73"/>
      <c r="B59" s="73"/>
      <c r="C59" s="74"/>
      <c r="D59" s="75"/>
      <c r="E59" s="79"/>
      <c r="F59" s="81"/>
      <c r="G59" s="61"/>
      <c r="H59" s="54"/>
      <c r="I59" s="54"/>
      <c r="J59" s="53"/>
      <c r="K59" s="35"/>
      <c r="L59" s="35"/>
      <c r="M59" s="35"/>
      <c r="N59" s="35"/>
      <c r="O59" s="35"/>
    </row>
    <row r="60" spans="1:15" ht="33" customHeight="1" x14ac:dyDescent="0.45">
      <c r="A60" s="73"/>
      <c r="B60" s="73"/>
      <c r="C60" s="74"/>
      <c r="D60" s="75"/>
      <c r="E60" s="79"/>
      <c r="F60" s="81"/>
      <c r="G60" s="61"/>
      <c r="H60" s="54"/>
      <c r="I60" s="54"/>
      <c r="J60" s="53"/>
      <c r="K60" s="35"/>
      <c r="L60" s="35"/>
      <c r="M60" s="35"/>
      <c r="N60" s="35"/>
      <c r="O60" s="35"/>
    </row>
    <row r="61" spans="1:15" ht="27.75" customHeight="1" x14ac:dyDescent="0.45">
      <c r="A61" s="73"/>
      <c r="B61" s="73"/>
      <c r="C61" s="74"/>
      <c r="D61" s="75"/>
      <c r="E61" s="80"/>
      <c r="F61" s="65"/>
      <c r="G61" s="83"/>
      <c r="H61" s="54"/>
      <c r="I61" s="54"/>
      <c r="J61" s="53"/>
      <c r="K61" s="35"/>
      <c r="L61" s="35"/>
      <c r="M61" s="35"/>
      <c r="N61" s="35"/>
      <c r="O61" s="35"/>
    </row>
    <row r="62" spans="1:15" ht="33" customHeight="1" x14ac:dyDescent="0.45">
      <c r="A62" s="84" t="s">
        <v>154</v>
      </c>
      <c r="B62" s="85"/>
      <c r="C62" s="74"/>
      <c r="D62" s="75"/>
      <c r="E62" s="86" t="s">
        <v>154</v>
      </c>
      <c r="F62" s="64"/>
      <c r="G62" s="57" t="s">
        <v>154</v>
      </c>
      <c r="H62" s="54"/>
      <c r="I62" s="54"/>
      <c r="J62" s="53"/>
      <c r="K62" s="35"/>
      <c r="L62" s="35"/>
      <c r="M62" s="35"/>
      <c r="N62" s="35"/>
      <c r="O62" s="35"/>
    </row>
    <row r="63" spans="1:15" ht="30.75" customHeight="1" x14ac:dyDescent="0.45">
      <c r="A63" s="84"/>
      <c r="B63" s="85"/>
      <c r="C63" s="74"/>
      <c r="D63" s="75"/>
      <c r="E63" s="87"/>
      <c r="F63" s="81"/>
      <c r="G63" s="58"/>
      <c r="H63" s="54"/>
      <c r="I63" s="54"/>
      <c r="J63" s="53"/>
      <c r="K63" s="35"/>
      <c r="L63" s="35"/>
      <c r="M63" s="35"/>
      <c r="N63" s="35"/>
      <c r="O63" s="35"/>
    </row>
    <row r="64" spans="1:15" ht="17.25" hidden="1" customHeight="1" x14ac:dyDescent="0.45">
      <c r="A64" s="84"/>
      <c r="B64" s="85"/>
      <c r="C64" s="74"/>
      <c r="D64" s="75"/>
      <c r="E64" s="88"/>
      <c r="F64" s="65"/>
      <c r="G64" s="59"/>
      <c r="H64" s="54"/>
      <c r="I64" s="54"/>
      <c r="J64" s="53"/>
      <c r="K64" s="35"/>
      <c r="L64" s="35"/>
      <c r="M64" s="35"/>
      <c r="N64" s="35"/>
      <c r="O64" s="35"/>
    </row>
    <row r="65" spans="1:15" ht="33" customHeight="1" x14ac:dyDescent="0.45">
      <c r="A65" s="60" t="s">
        <v>155</v>
      </c>
      <c r="B65" s="61"/>
      <c r="C65" s="74"/>
      <c r="D65" s="75"/>
      <c r="E65" s="62" t="s">
        <v>155</v>
      </c>
      <c r="F65" s="64"/>
      <c r="G65" s="66" t="s">
        <v>155</v>
      </c>
      <c r="H65" s="54"/>
      <c r="I65" s="54"/>
      <c r="J65" s="53"/>
      <c r="K65" s="35"/>
      <c r="L65" s="35"/>
      <c r="M65" s="35"/>
      <c r="N65" s="35"/>
      <c r="O65" s="35"/>
    </row>
    <row r="66" spans="1:15" ht="33" customHeight="1" x14ac:dyDescent="0.45">
      <c r="A66" s="60"/>
      <c r="B66" s="61"/>
      <c r="C66" s="76"/>
      <c r="D66" s="77"/>
      <c r="E66" s="63"/>
      <c r="F66" s="65"/>
      <c r="G66" s="67"/>
      <c r="H66" s="54"/>
      <c r="I66" s="54"/>
      <c r="J66" s="53"/>
      <c r="K66" s="35"/>
      <c r="L66" s="35"/>
      <c r="M66" s="35"/>
      <c r="N66" s="35"/>
      <c r="O66" s="35"/>
    </row>
    <row r="67" spans="1:15" ht="19.5" x14ac:dyDescent="0.25">
      <c r="A67" s="68"/>
      <c r="B67" s="68"/>
      <c r="C67" s="68"/>
      <c r="D67" s="68"/>
      <c r="E67" s="68"/>
      <c r="F67" s="68"/>
      <c r="G67" s="68"/>
      <c r="H67" s="68"/>
      <c r="I67" s="68"/>
      <c r="J67" s="55"/>
      <c r="K67" s="56"/>
      <c r="L67" s="56"/>
      <c r="M67" s="56"/>
      <c r="N67" s="56"/>
      <c r="O67" s="56"/>
    </row>
  </sheetData>
  <mergeCells count="90">
    <mergeCell ref="A1:O3"/>
    <mergeCell ref="A4:I4"/>
    <mergeCell ref="E5:I5"/>
    <mergeCell ref="A6:I6"/>
    <mergeCell ref="A7:B7"/>
    <mergeCell ref="I7:J7"/>
    <mergeCell ref="A15:I15"/>
    <mergeCell ref="A8:B8"/>
    <mergeCell ref="I8:J8"/>
    <mergeCell ref="A9:I9"/>
    <mergeCell ref="A10:B10"/>
    <mergeCell ref="I10:J10"/>
    <mergeCell ref="A11:B11"/>
    <mergeCell ref="I11:J11"/>
    <mergeCell ref="A12:I12"/>
    <mergeCell ref="A13:B13"/>
    <mergeCell ref="I13:J13"/>
    <mergeCell ref="A14:B14"/>
    <mergeCell ref="I14:J14"/>
    <mergeCell ref="A16:I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O17"/>
    <mergeCell ref="A19:A23"/>
    <mergeCell ref="B19:B23"/>
    <mergeCell ref="C19:C23"/>
    <mergeCell ref="A24:A25"/>
    <mergeCell ref="B24:B25"/>
    <mergeCell ref="C24:C25"/>
    <mergeCell ref="K39:O40"/>
    <mergeCell ref="C40:G40"/>
    <mergeCell ref="A26:A30"/>
    <mergeCell ref="B26:B30"/>
    <mergeCell ref="C26:C30"/>
    <mergeCell ref="A31:A32"/>
    <mergeCell ref="B31:B32"/>
    <mergeCell ref="C31:C32"/>
    <mergeCell ref="A33:A34"/>
    <mergeCell ref="B33:B34"/>
    <mergeCell ref="C33:C34"/>
    <mergeCell ref="A39:G39"/>
    <mergeCell ref="H39:J39"/>
    <mergeCell ref="C41:G41"/>
    <mergeCell ref="M41:O41"/>
    <mergeCell ref="C42:G42"/>
    <mergeCell ref="M42:O42"/>
    <mergeCell ref="C43:G43"/>
    <mergeCell ref="M43:O43"/>
    <mergeCell ref="C44:G44"/>
    <mergeCell ref="M44:O44"/>
    <mergeCell ref="C45:G45"/>
    <mergeCell ref="M45:O45"/>
    <mergeCell ref="C46:G46"/>
    <mergeCell ref="M46:O46"/>
    <mergeCell ref="C55:G55"/>
    <mergeCell ref="C47:G47"/>
    <mergeCell ref="C48:G48"/>
    <mergeCell ref="M48:O48"/>
    <mergeCell ref="C49:G49"/>
    <mergeCell ref="M49:O49"/>
    <mergeCell ref="C50:G50"/>
    <mergeCell ref="M50:O50"/>
    <mergeCell ref="C51:G51"/>
    <mergeCell ref="M51:O51"/>
    <mergeCell ref="C52:G52"/>
    <mergeCell ref="A53:G53"/>
    <mergeCell ref="C54:G54"/>
    <mergeCell ref="A67:I67"/>
    <mergeCell ref="C56:G56"/>
    <mergeCell ref="A57:I57"/>
    <mergeCell ref="A58:B61"/>
    <mergeCell ref="C58:D66"/>
    <mergeCell ref="E58:E61"/>
    <mergeCell ref="F58:F61"/>
    <mergeCell ref="G58:G61"/>
    <mergeCell ref="A62:B64"/>
    <mergeCell ref="E62:E64"/>
    <mergeCell ref="F62:F64"/>
    <mergeCell ref="G62:G64"/>
    <mergeCell ref="A65:B66"/>
    <mergeCell ref="E65:E66"/>
    <mergeCell ref="F65:F66"/>
    <mergeCell ref="G65:G66"/>
  </mergeCells>
  <hyperlinks>
    <hyperlink ref="E11" r:id="rId1" xr:uid="{BF5214C0-ADE3-4527-ADBB-A2EBAEB8CEAC}"/>
    <hyperlink ref="E8" r:id="rId2" xr:uid="{EED42A2D-C7C0-4246-B1CE-267695B424C1}"/>
  </hyperlinks>
  <pageMargins left="0.45" right="0.2" top="0.25" bottom="0.25" header="0.3" footer="0.3"/>
  <pageSetup paperSize="9" scale="11" fitToHeight="0" orientation="landscape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ABDULLAHI_ISAH</vt:lpstr>
      <vt:lpstr>ABDULLAHI_ISAH!Print_Area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2026-04-09T09:58:23Z</dcterms:created>
  <dcterms:modified xsi:type="dcterms:W3CDTF">2026-04-10T10:36:27Z</dcterms:modified>
</cp:coreProperties>
</file>