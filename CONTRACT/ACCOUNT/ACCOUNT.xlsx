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ACCOUNT\"/>
    </mc:Choice>
  </mc:AlternateContent>
  <xr:revisionPtr revIDLastSave="0" documentId="13_ncr:1_{08C70E9D-17B0-44A2-9384-9FF69EF2ADBD}" xr6:coauthVersionLast="47" xr6:coauthVersionMax="47" xr10:uidLastSave="{00000000-0000-0000-0000-000000000000}"/>
  <bookViews>
    <workbookView xWindow="-120" yWindow="-120" windowWidth="20730" windowHeight="11040" activeTab="2" xr2:uid="{9350E0BD-CD50-49F0-9647-912E8CF24614}"/>
  </bookViews>
  <sheets>
    <sheet name="FINANCE_&amp;_ACCOUNT " sheetId="1" r:id="rId1"/>
    <sheet name="OMEGO_HILARY" sheetId="3" r:id="rId2"/>
    <sheet name="OLADIMEJI_FUNMILAYO" sheetId="2" r:id="rId3"/>
  </sheets>
  <definedNames>
    <definedName name="_xlnm.Print_Area" localSheetId="0">'FINANCE_&amp;_ACCOUNT '!$A$1:$O$76</definedName>
    <definedName name="_xlnm.Print_Area" localSheetId="2">OLADIMEJI_FUNMILAYO!$A$1:$O$69</definedName>
    <definedName name="_xlnm.Print_Area" localSheetId="1">OMEGO_HILARY!$A$1:$O$68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2" l="1"/>
  <c r="E39" i="2"/>
  <c r="C38" i="3" l="1"/>
  <c r="C37" i="3"/>
  <c r="C35" i="3"/>
  <c r="E35" i="3" s="1"/>
  <c r="C33" i="3"/>
  <c r="E33" i="3" s="1"/>
  <c r="C31" i="3"/>
  <c r="E32" i="3" s="1"/>
  <c r="C26" i="3"/>
  <c r="E28" i="3" s="1"/>
  <c r="C24" i="3"/>
  <c r="E25" i="3" s="1"/>
  <c r="C19" i="3"/>
  <c r="E21" i="3" s="1"/>
  <c r="C39" i="2"/>
  <c r="C38" i="2"/>
  <c r="C36" i="2"/>
  <c r="E37" i="2" s="1"/>
  <c r="C34" i="2"/>
  <c r="E35" i="2" s="1"/>
  <c r="C32" i="2"/>
  <c r="E33" i="2" s="1"/>
  <c r="C26" i="2"/>
  <c r="E28" i="2" s="1"/>
  <c r="C24" i="2"/>
  <c r="E25" i="2" s="1"/>
  <c r="C19" i="2"/>
  <c r="E23" i="2" s="1"/>
  <c r="E31" i="2"/>
  <c r="E30" i="2"/>
  <c r="E29" i="2"/>
  <c r="E27" i="2"/>
  <c r="E26" i="2"/>
  <c r="E30" i="3"/>
  <c r="E29" i="3"/>
  <c r="E27" i="3"/>
  <c r="E26" i="3"/>
  <c r="E22" i="3"/>
  <c r="E36" i="2"/>
  <c r="E34" i="2"/>
  <c r="E32" i="2"/>
  <c r="E24" i="2"/>
  <c r="E22" i="2"/>
  <c r="E47" i="1"/>
  <c r="C47" i="1"/>
  <c r="F46" i="1"/>
  <c r="F45" i="1"/>
  <c r="C45" i="1"/>
  <c r="F44" i="1"/>
  <c r="F43" i="1"/>
  <c r="F42" i="1"/>
  <c r="C42" i="1"/>
  <c r="F41" i="1"/>
  <c r="F40" i="1"/>
  <c r="C40" i="1"/>
  <c r="F39" i="1"/>
  <c r="F38" i="1"/>
  <c r="F37" i="1"/>
  <c r="C37" i="1"/>
  <c r="F36" i="1"/>
  <c r="F35" i="1"/>
  <c r="F34" i="1"/>
  <c r="C34" i="1"/>
  <c r="F33" i="1"/>
  <c r="F32" i="1"/>
  <c r="F31" i="1"/>
  <c r="F30" i="1"/>
  <c r="F29" i="1"/>
  <c r="F28" i="1"/>
  <c r="F27" i="1"/>
  <c r="F26" i="1"/>
  <c r="F25" i="1"/>
  <c r="F24" i="1"/>
  <c r="F23" i="1"/>
  <c r="F22" i="1"/>
  <c r="F21" i="1"/>
  <c r="F20" i="1"/>
  <c r="F19" i="1"/>
  <c r="F47" i="1" s="1"/>
  <c r="C19" i="1"/>
  <c r="E20" i="2" l="1"/>
  <c r="E40" i="2" s="1"/>
  <c r="E21" i="2"/>
  <c r="E34" i="3"/>
  <c r="E36" i="3"/>
  <c r="E31" i="3"/>
  <c r="E24" i="3"/>
  <c r="E19" i="3"/>
  <c r="E20" i="3"/>
  <c r="E23" i="3"/>
  <c r="C39" i="3"/>
  <c r="E19" i="2"/>
  <c r="C40" i="2"/>
  <c r="E39" i="3" l="1"/>
  <c r="F23" i="3" s="1"/>
  <c r="F23" i="2"/>
  <c r="F27" i="2"/>
  <c r="F31" i="2"/>
  <c r="F35" i="2"/>
  <c r="F39" i="2"/>
  <c r="F30" i="2"/>
  <c r="F20" i="2"/>
  <c r="F24" i="2"/>
  <c r="F28" i="2"/>
  <c r="F32" i="2"/>
  <c r="F36" i="2"/>
  <c r="F26" i="2"/>
  <c r="F34" i="2"/>
  <c r="F21" i="2"/>
  <c r="F25" i="2"/>
  <c r="F29" i="2"/>
  <c r="F33" i="2"/>
  <c r="F37" i="2"/>
  <c r="F22" i="2"/>
  <c r="F38" i="2"/>
  <c r="F19" i="2"/>
  <c r="F19" i="3" l="1"/>
  <c r="F20" i="3"/>
  <c r="F38" i="3"/>
  <c r="F27" i="3"/>
  <c r="F31" i="3"/>
  <c r="F35" i="3"/>
  <c r="F24" i="3"/>
  <c r="F28" i="3"/>
  <c r="F32" i="3"/>
  <c r="F36" i="3"/>
  <c r="F25" i="3"/>
  <c r="F29" i="3"/>
  <c r="F33" i="3"/>
  <c r="F26" i="3"/>
  <c r="F34" i="3"/>
  <c r="F37" i="3"/>
  <c r="F30" i="3"/>
  <c r="F22" i="3"/>
  <c r="F21" i="3"/>
  <c r="F40" i="2"/>
  <c r="F39" i="3" l="1"/>
</calcChain>
</file>

<file path=xl/sharedStrings.xml><?xml version="1.0" encoding="utf-8"?>
<sst xmlns="http://schemas.openxmlformats.org/spreadsheetml/2006/main" count="706" uniqueCount="224">
  <si>
    <t>PERFORMANCE CONTRACT</t>
  </si>
  <si>
    <t>PERFORMANCE APPRAISAL PERIOD:</t>
  </si>
  <si>
    <t>FROM</t>
  </si>
  <si>
    <t>JANUARY 2026</t>
  </si>
  <si>
    <t>To</t>
  </si>
  <si>
    <t>DECEMBER 2026</t>
  </si>
  <si>
    <t>SECTION 1: EMPLOYEE INFORMATION</t>
  </si>
  <si>
    <t>Surname:</t>
  </si>
  <si>
    <t>ODUMU</t>
  </si>
  <si>
    <t>Firstname</t>
  </si>
  <si>
    <t>GODWIN</t>
  </si>
  <si>
    <t>Othername</t>
  </si>
  <si>
    <t>Designation</t>
  </si>
  <si>
    <t>PEOI</t>
  </si>
  <si>
    <t>IPPIS No.</t>
  </si>
  <si>
    <t>Email</t>
  </si>
  <si>
    <t>Phone No.</t>
  </si>
  <si>
    <t>Department</t>
  </si>
  <si>
    <t>ACCOUNT AND AUDIT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</si>
  <si>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</si>
  <si>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</si>
  <si>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</si>
  <si>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</si>
  <si>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</si>
  <si>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</si>
  <si>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</si>
  <si>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</si>
  <si>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</si>
  <si>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</si>
  <si>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</si>
  <si>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</si>
  <si>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</si>
  <si>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</si>
  <si>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</si>
  <si>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</si>
  <si>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</si>
  <si>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</si>
  <si>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</si>
  <si>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</si>
  <si>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</si>
  <si>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</si>
  <si>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</si>
  <si>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</si>
  <si>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</si>
  <si>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</si>
  <si>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</si>
  <si>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</si>
  <si>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</si>
  <si>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</si>
  <si>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</si>
  <si>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</si>
  <si>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</si>
  <si>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</si>
  <si>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</si>
  <si>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</si>
  <si>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</si>
  <si>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</si>
  <si>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</si>
  <si>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Financial Management, Budgeting, and Accounting Services</t>
  </si>
  <si>
    <t>Prepare and manage SERVICOM’s annual budget in line with approved financial regulations</t>
  </si>
  <si>
    <t>Timely preparation and submission of annual budget</t>
  </si>
  <si>
    <t>Percentage of budget estimates prepared in line with approved guidelines</t>
  </si>
  <si>
    <t>Ensure accurate financial record-keeping and proper retirement of advances</t>
  </si>
  <si>
    <t>Percentage of advances retired within approved timelines</t>
  </si>
  <si>
    <t>Percentage of vouchers with complete and accurate supporting documents</t>
  </si>
  <si>
    <t>Ensure proper verification, processing, and payment of financial transactions</t>
  </si>
  <si>
    <t>Percentage of payment vouchers verified and processed in line with approval</t>
  </si>
  <si>
    <t>Percentage of payments effected based on duly approved memos</t>
  </si>
  <si>
    <t>Average turnaround time for processing payment vouchers</t>
  </si>
  <si>
    <t>Strengthen financial reporting and compliance with IPSAS (Accrual Basis)</t>
  </si>
  <si>
    <t>Timely preparation and submission of annual financial statements</t>
  </si>
  <si>
    <t>Level of compliance with IPSAS (Accrual) requirements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</si>
  <si>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</si>
  <si>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</si>
  <si>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</si>
  <si>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NUMBER</t>
  </si>
  <si>
    <t>&gt;5</t>
  </si>
  <si>
    <t>Percentage of Identified Innovations and Initiatives Implemented or Piloted</t>
  </si>
  <si>
    <t>&gt;10</t>
  </si>
  <si>
    <t>&lt;5</t>
  </si>
  <si>
    <t>Number of SERVICOM Staff Participating in the OHCSF Innovation Challenge</t>
  </si>
  <si>
    <t>&gt;2</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</si>
  <si>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</si>
  <si>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</si>
  <si>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</si>
  <si>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</si>
  <si>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</si>
  <si>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</si>
  <si>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&gt;80</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</si>
  <si>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</si>
  <si>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</si>
  <si>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</si>
  <si>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</si>
  <si>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</si>
  <si>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Ensure the efficient and effective implementation of services and programmes within SERVICOM and streamline payment processes to guarantee that payments and staff claims are processed and disbursed within required timelines, thereby optimizing financial efficiency and reducing delays</t>
  </si>
  <si>
    <t>Percentage of services and programmes implemented within approved timelines</t>
  </si>
  <si>
    <t>Percentage of payments and staff claims processed within the required timeline</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</si>
  <si>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</si>
  <si>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</si>
  <si>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</si>
  <si>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</si>
  <si>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</si>
  <si>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</si>
  <si>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</si>
  <si>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</si>
  <si>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Number of wellness and fitness sessions conducted</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</si>
  <si>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</si>
  <si>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</si>
  <si>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</si>
  <si>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</si>
  <si>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</si>
  <si>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</si>
  <si>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</si>
  <si>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</si>
  <si>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</si>
  <si>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</si>
  <si>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</si>
  <si>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</si>
  <si>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</si>
  <si>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</si>
  <si>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</si>
  <si>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</si>
  <si>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</si>
  <si>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</si>
  <si>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</si>
  <si>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</si>
  <si>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</si>
  <si>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</si>
  <si>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</si>
  <si>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</si>
  <si>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</si>
  <si>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</si>
  <si>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</si>
  <si>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</si>
  <si>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</si>
  <si>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</si>
  <si>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</si>
  <si>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</si>
  <si>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</si>
  <si>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</si>
  <si>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</si>
  <si>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</si>
  <si>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</si>
  <si>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</si>
  <si>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</si>
  <si>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</si>
  <si>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</si>
  <si>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</si>
  <si>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</si>
  <si>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</si>
  <si>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</si>
  <si>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</si>
  <si>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</si>
  <si>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</si>
  <si>
    <t>ACCOUNT</t>
  </si>
  <si>
    <t>Staff Recognition</t>
  </si>
  <si>
    <t>Wellness Programs</t>
  </si>
  <si>
    <t>Participate in staff recognition programs, award ceremonies, and motivational events</t>
  </si>
  <si>
    <t>Attend wellness and health programs (fitness sessions, health checks, mental health workshops)</t>
  </si>
  <si>
    <t>Percentage of participation in all scheduled events per year</t>
  </si>
  <si>
    <t>Percentage participation in wellness programs</t>
  </si>
  <si>
    <t>Capacity Development &amp; Professional Growth,</t>
  </si>
  <si>
    <t>Participate actively in trainings, workshops, and seminars to enhance professional skills</t>
  </si>
  <si>
    <t>Continuously update personal knowledge on best practices, policies, and service standards</t>
  </si>
  <si>
    <t>Percentage of assigned training sessions attended</t>
  </si>
  <si>
    <t>Number of new accounting tools, techniques, or standards learned and applied</t>
  </si>
  <si>
    <t>Process Automation &amp; Digital Communication Compliance</t>
  </si>
  <si>
    <t>Identify gaps or inefficiencies in existing service delivery processes</t>
  </si>
  <si>
    <t>Identify areas for service improvement within the unit or agency</t>
  </si>
  <si>
    <t>Percentage of service processes reviewed vs total assigned</t>
  </si>
  <si>
    <t>Number of improvement opportunities identified</t>
  </si>
  <si>
    <t>Identify and prioritize routine processes for automation</t>
  </si>
  <si>
    <t>Use official email for all formal communication, submission of media content, and correspondence</t>
  </si>
  <si>
    <t>Number of processes identified</t>
  </si>
  <si>
    <t>Percentage compliance with official email usage</t>
  </si>
  <si>
    <t>Innovation &amp; Service Improvement Initiatives</t>
  </si>
  <si>
    <t>Develop and submit personal performance contract with clearly defined (SMART) targets aligned to SERVICOM and unit objectives</t>
  </si>
  <si>
    <t>Participate in PMS trainings and capacity-building sessions to enhance understanding of PMS processes</t>
  </si>
  <si>
    <t>Complete and submit quarterly self-appraisal reports within approved timelines</t>
  </si>
  <si>
    <t>Engage in periodic performance review discussions with supervisor and implement feedback</t>
  </si>
  <si>
    <t>Maintain accurate personal performance records and supporting evidence for appraisal</t>
  </si>
  <si>
    <t>PMS Compliance &amp; Performance Management</t>
  </si>
  <si>
    <t>Timely submission of performance contract (within approved timeline)</t>
  </si>
  <si>
    <t>Percentage of assigned PMS trainings attended</t>
  </si>
  <si>
    <t>Percentage of quarterly appraisals submitted on time</t>
  </si>
  <si>
    <t>Number of review sessions attended and feedback implemented</t>
  </si>
  <si>
    <t>Completeness of appraisal documentation (no gaps/errors)</t>
  </si>
  <si>
    <t>Records &amp; Workflow Digitization.</t>
  </si>
  <si>
    <t>Scan and digitize physical records into electronic formats</t>
  </si>
  <si>
    <t>Ensure secure storage and backup of digitized records</t>
  </si>
  <si>
    <t>Percentage of targeted records digitized</t>
  </si>
  <si>
    <t>Percentage of records backed up successfully</t>
  </si>
  <si>
    <t>Financial Oversight Support</t>
  </si>
  <si>
    <t>Assist in the preparation of annual budget by providing necessary financial data</t>
  </si>
  <si>
    <t>Percentage of requested data submitted accurately and on time</t>
  </si>
  <si>
    <t>Verify and process financial transactions</t>
  </si>
  <si>
    <t>Percentage of transactions processed without error within deadlines</t>
  </si>
  <si>
    <t>Support proper retirement of advances</t>
  </si>
  <si>
    <t>Percentage of advances properly documented and retired on time</t>
  </si>
  <si>
    <t>Maintain and reconcile financial records</t>
  </si>
  <si>
    <t>Percentage of records reconciled and updated on schedule</t>
  </si>
  <si>
    <t>Assist in financial reporting and ensure IPSAS compliance</t>
  </si>
  <si>
    <t>Percentage of reports supported/prepared that comply with IPSAS standards</t>
  </si>
  <si>
    <t>Financial Transactions Support</t>
  </si>
  <si>
    <t>Process verified financial transactions</t>
  </si>
  <si>
    <t>Percentage of transactions processed accurately and on schedule</t>
  </si>
  <si>
    <t>Maintain accurate financial records</t>
  </si>
  <si>
    <t>Percentage of records updated and reconciled within deadlines</t>
  </si>
  <si>
    <t>Assist in retirement of advances and imprest</t>
  </si>
  <si>
    <t>Percentage of advances properly retired and documented</t>
  </si>
  <si>
    <t>Support preparation of financial reports</t>
  </si>
  <si>
    <t>Percentage of reports prepared with accuracy and IPSAS compliance</t>
  </si>
  <si>
    <t>Reconcile revenue collections and expenditures</t>
  </si>
  <si>
    <t>Percentage of reconciliations completed on time and error-free</t>
  </si>
  <si>
    <t>Provide documentation for audits when required</t>
  </si>
  <si>
    <t>Percentage of audit requests supported with complete documentation</t>
  </si>
  <si>
    <t>OMEGO</t>
  </si>
  <si>
    <t>HILARY</t>
  </si>
  <si>
    <t>IKECHUKWU</t>
  </si>
  <si>
    <t>SEO</t>
  </si>
  <si>
    <t>OLADIMEJI</t>
  </si>
  <si>
    <t>FUNMILAYO</t>
  </si>
  <si>
    <t>OLUWASEUN</t>
  </si>
  <si>
    <t>oluwaseunfunmi733@gmail.com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</si>
</sst>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32" x14ac:knownFonts="1">
    <font>
      <sz val="11"/>
      <color theme="1"/>
      <name val="Calibri"/>
      <family val="2"/>
      <scheme val="minor"/>
    </font>
    <font>
      <sz val="11"/>
      <color theme="1"/>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b/>
      <sz val="50"/>
      <name val="Century Gothic"/>
      <family val="2"/>
    </font>
    <font>
      <sz val="50"/>
      <color theme="1"/>
      <name val="Calibri"/>
      <family val="2"/>
      <scheme val="minor"/>
    </font>
    <font>
      <sz val="50"/>
      <name val="Century Gothic"/>
      <family val="2"/>
    </font>
    <font>
      <u/>
      <sz val="11"/>
      <color theme="10"/>
      <name val="Calibri"/>
      <family val="2"/>
      <charset val="1"/>
      <scheme val="minor"/>
    </font>
    <font>
      <u/>
      <sz val="50"/>
      <color theme="10"/>
      <name val="Calibri"/>
      <family val="2"/>
      <charset val="1"/>
      <scheme val="minor"/>
    </font>
    <font>
      <b/>
      <sz val="40"/>
      <color theme="1"/>
      <name val="Century Gothic"/>
      <family val="2"/>
    </font>
    <font>
      <b/>
      <sz val="40"/>
      <color theme="1"/>
      <name val="Calibri"/>
      <family val="2"/>
      <scheme val="minor"/>
    </font>
    <font>
      <u/>
      <sz val="11"/>
      <color theme="10"/>
      <name val="Calibri"/>
      <family val="2"/>
      <scheme val="minor"/>
    </font>
    <font>
      <u/>
      <sz val="40"/>
      <color theme="1"/>
      <name val="Calibri"/>
      <family val="2"/>
      <scheme val="minor"/>
    </font>
    <font>
      <sz val="40"/>
      <color theme="1"/>
      <name val="Century Gothic"/>
      <family val="2"/>
    </font>
    <font>
      <sz val="18"/>
      <name val="Calibri"/>
      <family val="2"/>
      <scheme val="minor"/>
    </font>
    <font>
      <sz val="18"/>
      <name val="Century Gothic"/>
      <family val="2"/>
    </font>
    <font>
      <sz val="11"/>
      <name val="Calibri"/>
      <family val="2"/>
      <scheme val="minor"/>
    </font>
    <font>
      <b/>
      <sz val="26"/>
      <name val="Century Gothic"/>
      <family val="2"/>
    </font>
    <font>
      <sz val="26"/>
      <name val="Century Gothic"/>
      <family val="2"/>
    </font>
    <font>
      <sz val="26"/>
      <color theme="1"/>
      <name val="Century Gothic"/>
      <family val="2"/>
    </font>
    <font>
      <b/>
      <sz val="36"/>
      <name val="Century Gothic"/>
      <family val="2"/>
    </font>
    <font>
      <sz val="50"/>
      <color theme="1"/>
      <name val="Century Gothic"/>
      <family val="2"/>
    </font>
    <font>
      <b/>
      <sz val="26"/>
      <color theme="1" tint="4.9989318521683403E-2"/>
      <name val="Century Gothic"/>
      <family val="2"/>
    </font>
    <font>
      <b/>
      <sz val="50"/>
      <color theme="1" tint="4.9989318521683403E-2"/>
      <name val="Century Gothic"/>
      <family val="2"/>
    </font>
    <font>
      <b/>
      <sz val="50"/>
      <color theme="1"/>
      <name val="Century Gothic"/>
      <family val="2"/>
    </font>
    <font>
      <sz val="50"/>
      <color theme="1" tint="4.9989318521683403E-2"/>
      <name val="Century Gothic"/>
      <family val="2"/>
    </font>
    <font>
      <b/>
      <sz val="50"/>
      <color theme="0"/>
      <name val="Century Gothic"/>
      <family val="2"/>
    </font>
    <font>
      <u/>
      <sz val="40"/>
      <color theme="10"/>
      <name val="Calibri"/>
      <family val="2"/>
      <charset val="1"/>
      <scheme val="minor"/>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0">
    <xf numFmtId="0" fontId="0" fillId="0" borderId="0"/>
    <xf numFmtId="0" fontId="1" fillId="0" borderId="0"/>
    <xf numFmtId="0" fontId="1" fillId="0" borderId="0"/>
    <xf numFmtId="0" fontId="11" fillId="0" borderId="0" applyNumberFormat="0" applyFill="0" applyBorder="0" applyAlignment="0" applyProtection="0"/>
    <xf numFmtId="0" fontId="1" fillId="0" borderId="0"/>
    <xf numFmtId="0" fontId="1" fillId="0" borderId="0"/>
    <xf numFmtId="0" fontId="15" fillId="0" borderId="0" applyNumberFormat="0" applyFill="0" applyBorder="0" applyAlignment="0" applyProtection="0"/>
    <xf numFmtId="0" fontId="1" fillId="0" borderId="0"/>
    <xf numFmtId="0" fontId="1" fillId="0" borderId="0"/>
    <xf numFmtId="0" fontId="1" fillId="0" borderId="0"/>
  </cellStyleXfs>
  <cellXfs count="255">
    <xf numFmtId="0" fontId="0" fillId="0" borderId="0" xfId="0"/>
    <xf numFmtId="0" fontId="1" fillId="0" borderId="0" xfId="1"/>
    <xf numFmtId="0" fontId="3" fillId="2" borderId="0" xfId="1" applyFont="1" applyFill="1" applyAlignment="1">
      <alignment horizontal="left" vertical="center" wrapText="1"/>
    </xf>
    <xf numFmtId="0" fontId="4" fillId="2" borderId="0" xfId="1" applyFont="1" applyFill="1"/>
    <xf numFmtId="0" fontId="4" fillId="0" borderId="0" xfId="1" applyFont="1"/>
    <xf numFmtId="0" fontId="3" fillId="3" borderId="0" xfId="1" applyFont="1" applyFill="1" applyAlignment="1">
      <alignment vertical="center"/>
    </xf>
    <xf numFmtId="49" fontId="3" fillId="4" borderId="0" xfId="1" applyNumberFormat="1" applyFont="1" applyFill="1" applyAlignment="1">
      <alignment vertical="center"/>
    </xf>
    <xf numFmtId="0" fontId="3" fillId="3" borderId="0" xfId="1" applyFont="1" applyFill="1" applyAlignment="1">
      <alignment horizontal="center" vertical="center"/>
    </xf>
    <xf numFmtId="49" fontId="3" fillId="0" borderId="9" xfId="1" applyNumberFormat="1" applyFont="1" applyBorder="1" applyAlignment="1">
      <alignment horizontal="center"/>
    </xf>
    <xf numFmtId="0" fontId="5" fillId="2" borderId="0" xfId="1" applyFont="1" applyFill="1" applyAlignment="1">
      <alignment horizontal="center"/>
    </xf>
    <xf numFmtId="0" fontId="6" fillId="2" borderId="0" xfId="1" applyFont="1" applyFill="1" applyAlignment="1">
      <alignment horizontal="left"/>
    </xf>
    <xf numFmtId="0" fontId="7" fillId="2" borderId="0" xfId="1" applyFont="1" applyFill="1"/>
    <xf numFmtId="0" fontId="7" fillId="0" borderId="0" xfId="1" applyFont="1"/>
    <xf numFmtId="0" fontId="8" fillId="0" borderId="8" xfId="2" applyFont="1" applyBorder="1" applyAlignment="1">
      <alignment horizontal="left"/>
    </xf>
    <xf numFmtId="0" fontId="8" fillId="3" borderId="10" xfId="2" applyFont="1" applyFill="1" applyBorder="1" applyAlignment="1">
      <alignment horizontal="left"/>
    </xf>
    <xf numFmtId="0" fontId="8" fillId="0" borderId="6" xfId="2" applyFont="1" applyBorder="1" applyAlignment="1">
      <alignment horizontal="left"/>
    </xf>
    <xf numFmtId="0" fontId="9" fillId="2" borderId="0" xfId="2" applyFont="1" applyFill="1" applyAlignment="1">
      <alignment horizontal="left"/>
    </xf>
    <xf numFmtId="0" fontId="9" fillId="0" borderId="0" xfId="2" applyFont="1" applyAlignment="1">
      <alignment horizontal="left"/>
    </xf>
    <xf numFmtId="0" fontId="10" fillId="0" borderId="11" xfId="2" applyFont="1" applyBorder="1" applyAlignment="1">
      <alignment horizontal="left"/>
    </xf>
    <xf numFmtId="0" fontId="8" fillId="3" borderId="12" xfId="2" applyFont="1" applyFill="1" applyBorder="1" applyAlignment="1">
      <alignment horizontal="left"/>
    </xf>
    <xf numFmtId="0" fontId="12" fillId="0" borderId="11" xfId="3" applyFont="1" applyBorder="1" applyAlignment="1">
      <alignment horizontal="left"/>
    </xf>
    <xf numFmtId="0" fontId="10" fillId="0" borderId="9" xfId="2" applyFont="1" applyBorder="1" applyAlignment="1">
      <alignment horizontal="left"/>
    </xf>
    <xf numFmtId="0" fontId="13" fillId="2" borderId="0" xfId="1" applyFont="1" applyFill="1" applyAlignment="1">
      <alignment horizontal="left"/>
    </xf>
    <xf numFmtId="0" fontId="14" fillId="2" borderId="0" xfId="1" applyFont="1" applyFill="1" applyAlignment="1">
      <alignment horizontal="left"/>
    </xf>
    <xf numFmtId="0" fontId="14" fillId="0" borderId="0" xfId="1" applyFont="1" applyAlignment="1">
      <alignment horizontal="left"/>
    </xf>
    <xf numFmtId="0" fontId="13" fillId="0" borderId="8" xfId="4" applyFont="1" applyBorder="1" applyAlignment="1">
      <alignment horizontal="left"/>
    </xf>
    <xf numFmtId="0" fontId="13" fillId="3" borderId="10" xfId="4" applyFont="1" applyFill="1" applyBorder="1" applyAlignment="1">
      <alignment horizontal="left"/>
    </xf>
    <xf numFmtId="0" fontId="13" fillId="3" borderId="6" xfId="4" applyFont="1" applyFill="1" applyBorder="1" applyAlignment="1">
      <alignment horizontal="left"/>
    </xf>
    <xf numFmtId="0" fontId="13" fillId="0" borderId="6" xfId="4" applyFont="1" applyBorder="1" applyAlignment="1">
      <alignment horizontal="left"/>
    </xf>
    <xf numFmtId="0" fontId="4" fillId="2" borderId="0" xfId="4" applyFont="1" applyFill="1"/>
    <xf numFmtId="0" fontId="4" fillId="0" borderId="0" xfId="4" applyFont="1"/>
    <xf numFmtId="0" fontId="13" fillId="0" borderId="11" xfId="4" applyFont="1" applyBorder="1" applyAlignment="1">
      <alignment horizontal="left"/>
    </xf>
    <xf numFmtId="0" fontId="13" fillId="3" borderId="12" xfId="4" applyFont="1" applyFill="1" applyBorder="1" applyAlignment="1">
      <alignment horizontal="left"/>
    </xf>
    <xf numFmtId="0" fontId="16" fillId="0" borderId="11" xfId="6" quotePrefix="1" applyFont="1" applyBorder="1" applyAlignment="1">
      <alignment horizontal="left"/>
    </xf>
    <xf numFmtId="0" fontId="13" fillId="3" borderId="9" xfId="4" applyFont="1" applyFill="1" applyBorder="1" applyAlignment="1">
      <alignment horizontal="left"/>
    </xf>
    <xf numFmtId="0" fontId="17" fillId="0" borderId="9" xfId="4" applyFont="1" applyBorder="1" applyAlignment="1">
      <alignment horizontal="left"/>
    </xf>
    <xf numFmtId="0" fontId="16" fillId="0" borderId="11" xfId="6" applyFont="1" applyBorder="1" applyAlignment="1">
      <alignment horizontal="left"/>
    </xf>
    <xf numFmtId="0" fontId="19" fillId="2" borderId="0" xfId="1" applyFont="1" applyFill="1" applyAlignment="1">
      <alignment horizontal="center"/>
    </xf>
    <xf numFmtId="0" fontId="20" fillId="2" borderId="0" xfId="1" applyFont="1" applyFill="1"/>
    <xf numFmtId="0" fontId="1" fillId="2" borderId="0" xfId="1" applyFill="1"/>
    <xf numFmtId="0" fontId="21" fillId="3" borderId="0" xfId="1" applyFont="1" applyFill="1" applyAlignment="1">
      <alignment horizontal="left"/>
    </xf>
    <xf numFmtId="0" fontId="22" fillId="3" borderId="0" xfId="1" applyFont="1" applyFill="1"/>
    <xf numFmtId="0" fontId="23" fillId="3" borderId="0" xfId="1" applyFont="1" applyFill="1"/>
    <xf numFmtId="0" fontId="24" fillId="2" borderId="14" xfId="1" applyFont="1" applyFill="1" applyBorder="1" applyAlignment="1">
      <alignment horizontal="center" vertical="center"/>
    </xf>
    <xf numFmtId="0" fontId="24" fillId="2" borderId="14" xfId="1" applyFont="1" applyFill="1" applyBorder="1" applyAlignment="1">
      <alignment horizontal="center" vertical="center" wrapText="1"/>
    </xf>
    <xf numFmtId="0" fontId="25" fillId="0" borderId="12" xfId="1" applyFont="1" applyBorder="1" applyAlignment="1">
      <alignment horizontal="center" vertical="center"/>
    </xf>
    <xf numFmtId="0" fontId="25" fillId="0" borderId="12" xfId="1" applyFont="1" applyBorder="1" applyAlignment="1">
      <alignment horizontal="left" vertical="center" wrapText="1"/>
    </xf>
    <xf numFmtId="0" fontId="25" fillId="0" borderId="14" xfId="1" applyFont="1" applyBorder="1" applyAlignment="1">
      <alignment horizontal="left" vertical="center" wrapText="1"/>
    </xf>
    <xf numFmtId="2" fontId="25" fillId="0" borderId="12" xfId="0" applyNumberFormat="1" applyFont="1" applyBorder="1" applyAlignment="1">
      <alignment horizontal="center" vertical="center"/>
    </xf>
    <xf numFmtId="9" fontId="25" fillId="0" borderId="12" xfId="1" applyNumberFormat="1" applyFont="1" applyBorder="1" applyAlignment="1">
      <alignment horizontal="center" vertical="center" wrapText="1"/>
    </xf>
    <xf numFmtId="0" fontId="25" fillId="0" borderId="12" xfId="7" applyFont="1" applyBorder="1" applyAlignment="1">
      <alignment horizontal="center" vertical="center" wrapText="1"/>
    </xf>
    <xf numFmtId="0" fontId="25" fillId="0" borderId="12" xfId="8" applyFont="1" applyBorder="1" applyAlignment="1">
      <alignment horizontal="center" vertical="center" wrapText="1"/>
    </xf>
    <xf numFmtId="0" fontId="9" fillId="0" borderId="12" xfId="8" applyFont="1" applyBorder="1" applyAlignment="1">
      <alignment horizontal="center" vertical="center"/>
    </xf>
    <xf numFmtId="0" fontId="26" fillId="0" borderId="0" xfId="1" applyFont="1" applyAlignment="1">
      <alignment vertical="center"/>
    </xf>
    <xf numFmtId="9" fontId="25" fillId="0" borderId="12" xfId="1" applyNumberFormat="1" applyFont="1" applyBorder="1" applyAlignment="1">
      <alignment horizontal="center" vertical="center"/>
    </xf>
    <xf numFmtId="2" fontId="25" fillId="0" borderId="12" xfId="1" applyNumberFormat="1" applyFont="1" applyBorder="1" applyAlignment="1">
      <alignment horizontal="center" vertical="center" wrapText="1"/>
    </xf>
    <xf numFmtId="0" fontId="25" fillId="0" borderId="12" xfId="1" applyFont="1" applyBorder="1" applyAlignment="1">
      <alignment vertical="center" wrapText="1"/>
    </xf>
    <xf numFmtId="1" fontId="25" fillId="0" borderId="12" xfId="1" applyNumberFormat="1" applyFont="1" applyBorder="1" applyAlignment="1">
      <alignment horizontal="center" vertical="center" wrapText="1"/>
    </xf>
    <xf numFmtId="0" fontId="27" fillId="0" borderId="12" xfId="1" applyFont="1" applyBorder="1" applyAlignment="1">
      <alignment horizontal="center" vertical="center"/>
    </xf>
    <xf numFmtId="0" fontId="28" fillId="0" borderId="10" xfId="1" applyFont="1" applyBorder="1" applyAlignment="1">
      <alignment vertical="center" wrapText="1"/>
    </xf>
    <xf numFmtId="2" fontId="28" fillId="0" borderId="10" xfId="1" applyNumberFormat="1" applyFont="1" applyBorder="1" applyAlignment="1">
      <alignment horizontal="center" vertical="center"/>
    </xf>
    <xf numFmtId="9" fontId="29" fillId="0" borderId="10" xfId="1" applyNumberFormat="1" applyFont="1" applyBorder="1" applyAlignment="1">
      <alignment horizontal="center" vertical="center"/>
    </xf>
    <xf numFmtId="164" fontId="25" fillId="0" borderId="10" xfId="1" applyNumberFormat="1" applyFont="1" applyBorder="1" applyAlignment="1">
      <alignment vertical="center" wrapText="1"/>
    </xf>
    <xf numFmtId="164" fontId="25" fillId="0" borderId="10" xfId="1" applyNumberFormat="1" applyFont="1" applyBorder="1" applyAlignment="1">
      <alignment horizontal="center" vertical="center" wrapText="1"/>
    </xf>
    <xf numFmtId="0" fontId="29" fillId="0" borderId="6" xfId="1" applyFont="1" applyBorder="1" applyAlignment="1">
      <alignment horizontal="center"/>
    </xf>
    <xf numFmtId="0" fontId="25" fillId="0" borderId="12" xfId="1" applyFont="1" applyBorder="1"/>
    <xf numFmtId="0" fontId="25" fillId="2" borderId="0" xfId="1" applyFont="1" applyFill="1"/>
    <xf numFmtId="0" fontId="10" fillId="2" borderId="0" xfId="1" applyFont="1" applyFill="1" applyAlignment="1">
      <alignment horizontal="center"/>
    </xf>
    <xf numFmtId="0" fontId="8" fillId="2" borderId="0" xfId="1" applyFont="1" applyFill="1" applyAlignment="1">
      <alignment horizontal="center" vertical="center" wrapText="1"/>
    </xf>
    <xf numFmtId="0" fontId="8" fillId="0" borderId="10" xfId="1" applyFont="1" applyBorder="1" applyAlignment="1">
      <alignment horizontal="center"/>
    </xf>
    <xf numFmtId="0" fontId="8" fillId="0" borderId="12" xfId="1" applyFont="1" applyBorder="1" applyAlignment="1">
      <alignment horizontal="left"/>
    </xf>
    <xf numFmtId="0" fontId="25" fillId="0" borderId="10" xfId="1" applyFont="1" applyBorder="1" applyAlignment="1">
      <alignment horizontal="center"/>
    </xf>
    <xf numFmtId="0" fontId="25" fillId="0" borderId="6" xfId="1" applyFont="1" applyBorder="1" applyAlignment="1">
      <alignment horizontal="center"/>
    </xf>
    <xf numFmtId="0" fontId="25" fillId="3" borderId="12" xfId="1" applyFont="1" applyFill="1" applyBorder="1"/>
    <xf numFmtId="0" fontId="8" fillId="2" borderId="12" xfId="1" applyFont="1" applyFill="1" applyBorder="1" applyAlignment="1">
      <alignment horizontal="left"/>
    </xf>
    <xf numFmtId="0" fontId="28" fillId="2" borderId="12" xfId="1" applyFont="1" applyFill="1" applyBorder="1"/>
    <xf numFmtId="0" fontId="10" fillId="0" borderId="12" xfId="1" applyFont="1" applyBorder="1" applyAlignment="1">
      <alignment horizontal="center" vertical="center"/>
    </xf>
    <xf numFmtId="0" fontId="10" fillId="0" borderId="12" xfId="1" applyFont="1" applyBorder="1" applyAlignment="1">
      <alignment vertical="center" wrapText="1"/>
    </xf>
    <xf numFmtId="0" fontId="25" fillId="0" borderId="9" xfId="1" applyFont="1" applyBorder="1"/>
    <xf numFmtId="0" fontId="8" fillId="0" borderId="12" xfId="1" applyFont="1" applyBorder="1" applyAlignment="1">
      <alignment horizontal="center" vertical="center"/>
    </xf>
    <xf numFmtId="0" fontId="8" fillId="0" borderId="12" xfId="1" applyFont="1" applyBorder="1" applyAlignment="1">
      <alignment horizontal="left" vertical="center"/>
    </xf>
    <xf numFmtId="0" fontId="10" fillId="0" borderId="12" xfId="1" applyFont="1" applyBorder="1" applyAlignment="1">
      <alignment horizontal="left" vertical="center"/>
    </xf>
    <xf numFmtId="0" fontId="25" fillId="2" borderId="12" xfId="1" applyFont="1" applyFill="1" applyBorder="1"/>
    <xf numFmtId="0" fontId="10" fillId="0" borderId="12" xfId="1" applyFont="1" applyBorder="1" applyAlignment="1">
      <alignment horizontal="left" vertical="center" wrapText="1"/>
    </xf>
    <xf numFmtId="0" fontId="8" fillId="2" borderId="13" xfId="1" applyFont="1" applyFill="1" applyBorder="1" applyAlignment="1">
      <alignment horizontal="center"/>
    </xf>
    <xf numFmtId="0" fontId="8" fillId="0" borderId="9" xfId="1" applyFont="1" applyBorder="1"/>
    <xf numFmtId="0" fontId="8" fillId="0" borderId="12" xfId="1" applyFont="1" applyBorder="1"/>
    <xf numFmtId="0" fontId="10" fillId="0" borderId="12" xfId="1" applyFont="1" applyBorder="1" applyAlignment="1">
      <alignment horizontal="right" vertical="center"/>
    </xf>
    <xf numFmtId="0" fontId="30" fillId="2" borderId="0" xfId="1" applyFont="1" applyFill="1" applyAlignment="1">
      <alignment horizontal="left"/>
    </xf>
    <xf numFmtId="0" fontId="9" fillId="0" borderId="0" xfId="1" applyFont="1"/>
    <xf numFmtId="0" fontId="25" fillId="3" borderId="0" xfId="1" applyFont="1" applyFill="1" applyAlignment="1">
      <alignment horizontal="center"/>
    </xf>
    <xf numFmtId="0" fontId="10" fillId="0" borderId="4" xfId="1" applyFont="1" applyBorder="1"/>
    <xf numFmtId="0" fontId="10" fillId="0" borderId="5" xfId="1" applyFont="1" applyBorder="1"/>
    <xf numFmtId="0" fontId="10" fillId="0" borderId="12" xfId="1" applyFont="1" applyBorder="1"/>
    <xf numFmtId="2" fontId="25" fillId="0" borderId="12" xfId="1" applyNumberFormat="1" applyFont="1" applyBorder="1" applyAlignment="1">
      <alignment vertical="center" wrapText="1"/>
    </xf>
    <xf numFmtId="0" fontId="3" fillId="0" borderId="8" xfId="9" applyFont="1" applyBorder="1" applyAlignment="1">
      <alignment horizontal="left"/>
    </xf>
    <xf numFmtId="0" fontId="3" fillId="3" borderId="10" xfId="9" applyFont="1" applyFill="1" applyBorder="1" applyAlignment="1">
      <alignment horizontal="left"/>
    </xf>
    <xf numFmtId="0" fontId="3" fillId="0" borderId="6" xfId="9" applyFont="1" applyBorder="1" applyAlignment="1">
      <alignment horizontal="left"/>
    </xf>
    <xf numFmtId="0" fontId="14" fillId="2" borderId="0" xfId="9" applyFont="1" applyFill="1" applyAlignment="1">
      <alignment horizontal="left"/>
    </xf>
    <xf numFmtId="0" fontId="14" fillId="0" borderId="0" xfId="9" applyFont="1" applyAlignment="1">
      <alignment horizontal="left"/>
    </xf>
    <xf numFmtId="0" fontId="3" fillId="0" borderId="11" xfId="9" applyFont="1" applyBorder="1" applyAlignment="1">
      <alignment horizontal="left"/>
    </xf>
    <xf numFmtId="0" fontId="3" fillId="3" borderId="12" xfId="9" applyFont="1" applyFill="1" applyBorder="1" applyAlignment="1">
      <alignment horizontal="left"/>
    </xf>
    <xf numFmtId="0" fontId="31" fillId="0" borderId="11" xfId="3" applyFont="1" applyBorder="1" applyAlignment="1">
      <alignment horizontal="left"/>
    </xf>
    <xf numFmtId="0" fontId="3" fillId="0" borderId="9" xfId="9" applyFont="1" applyBorder="1" applyAlignment="1">
      <alignment horizontal="left"/>
    </xf>
    <xf numFmtId="0" fontId="3" fillId="0" borderId="8" xfId="2" applyFont="1" applyBorder="1" applyAlignment="1">
      <alignment horizontal="left"/>
    </xf>
    <xf numFmtId="0" fontId="3" fillId="3" borderId="10" xfId="2" applyFont="1" applyFill="1" applyBorder="1" applyAlignment="1">
      <alignment horizontal="left"/>
    </xf>
    <xf numFmtId="0" fontId="3" fillId="0" borderId="6" xfId="2" applyFont="1" applyBorder="1" applyAlignment="1">
      <alignment horizontal="left"/>
    </xf>
    <xf numFmtId="0" fontId="4" fillId="2" borderId="0" xfId="2" applyFont="1" applyFill="1" applyAlignment="1">
      <alignment horizontal="left"/>
    </xf>
    <xf numFmtId="0" fontId="4" fillId="0" borderId="0" xfId="2" applyFont="1" applyAlignment="1">
      <alignment horizontal="left"/>
    </xf>
    <xf numFmtId="0" fontId="5" fillId="0" borderId="11" xfId="2" applyFont="1" applyBorder="1" applyAlignment="1">
      <alignment horizontal="left"/>
    </xf>
    <xf numFmtId="0" fontId="3" fillId="3" borderId="12" xfId="2" applyFont="1" applyFill="1" applyBorder="1" applyAlignment="1">
      <alignment horizontal="left"/>
    </xf>
    <xf numFmtId="0" fontId="5" fillId="0" borderId="9" xfId="2" applyFont="1" applyBorder="1" applyAlignment="1">
      <alignment horizontal="left"/>
    </xf>
    <xf numFmtId="2" fontId="25" fillId="0" borderId="14" xfId="1" applyNumberFormat="1" applyFont="1" applyBorder="1" applyAlignment="1">
      <alignment horizontal="center" vertical="center" wrapText="1"/>
    </xf>
    <xf numFmtId="2" fontId="25" fillId="0" borderId="10" xfId="1" applyNumberFormat="1" applyFont="1" applyBorder="1" applyAlignment="1">
      <alignment horizontal="center" vertical="center" wrapText="1"/>
    </xf>
    <xf numFmtId="0" fontId="25" fillId="0" borderId="14" xfId="1" applyFont="1" applyBorder="1" applyAlignment="1">
      <alignment horizontal="center" vertical="center"/>
    </xf>
    <xf numFmtId="0" fontId="25" fillId="0" borderId="15" xfId="1" applyFont="1" applyBorder="1" applyAlignment="1">
      <alignment horizontal="center" vertical="center"/>
    </xf>
    <xf numFmtId="0" fontId="25" fillId="0" borderId="10" xfId="1" applyFont="1" applyBorder="1" applyAlignment="1">
      <alignment horizontal="center" vertical="center"/>
    </xf>
    <xf numFmtId="0" fontId="25" fillId="0" borderId="14" xfId="1" applyFont="1" applyBorder="1" applyAlignment="1">
      <alignment horizontal="left" vertical="center" wrapText="1"/>
    </xf>
    <xf numFmtId="0" fontId="25" fillId="0" borderId="10" xfId="1" applyFont="1" applyBorder="1" applyAlignment="1">
      <alignment horizontal="left" vertical="center" wrapText="1"/>
    </xf>
    <xf numFmtId="2" fontId="25" fillId="0" borderId="14" xfId="1" applyNumberFormat="1" applyFont="1" applyBorder="1" applyAlignment="1">
      <alignment horizontal="center" vertical="center"/>
    </xf>
    <xf numFmtId="2" fontId="25" fillId="0" borderId="10" xfId="1" applyNumberFormat="1" applyFont="1" applyBorder="1" applyAlignment="1">
      <alignment horizontal="center" vertical="center"/>
    </xf>
    <xf numFmtId="2" fontId="25" fillId="0" borderId="15" xfId="1" applyNumberFormat="1" applyFont="1" applyBorder="1" applyAlignment="1">
      <alignment horizontal="center" vertical="center"/>
    </xf>
    <xf numFmtId="0" fontId="25" fillId="0" borderId="15" xfId="1" applyFont="1" applyBorder="1" applyAlignment="1">
      <alignment horizontal="left" vertical="center" wrapText="1"/>
    </xf>
    <xf numFmtId="0" fontId="8" fillId="2" borderId="3" xfId="1" applyFont="1" applyFill="1" applyBorder="1" applyAlignment="1">
      <alignment horizontal="left" vertical="center"/>
    </xf>
    <xf numFmtId="0" fontId="8" fillId="2" borderId="8" xfId="1" applyFont="1" applyFill="1" applyBorder="1" applyAlignment="1">
      <alignment horizontal="left" vertical="center"/>
    </xf>
    <xf numFmtId="0" fontId="10" fillId="0" borderId="1" xfId="1" applyFont="1" applyBorder="1" applyAlignment="1">
      <alignment horizontal="center"/>
    </xf>
    <xf numFmtId="0" fontId="10" fillId="0" borderId="3" xfId="1" applyFont="1" applyBorder="1" applyAlignment="1">
      <alignment horizontal="center"/>
    </xf>
    <xf numFmtId="0" fontId="10" fillId="0" borderId="6" xfId="1" applyFont="1" applyBorder="1" applyAlignment="1">
      <alignment horizontal="center"/>
    </xf>
    <xf numFmtId="0" fontId="10" fillId="0" borderId="8" xfId="1" applyFont="1" applyBorder="1" applyAlignment="1">
      <alignment horizontal="center"/>
    </xf>
    <xf numFmtId="0" fontId="25" fillId="3" borderId="0" xfId="1" applyFont="1" applyFill="1" applyAlignment="1">
      <alignment horizontal="center"/>
    </xf>
    <xf numFmtId="0" fontId="25" fillId="3" borderId="1" xfId="1" applyFont="1" applyFill="1" applyBorder="1" applyAlignment="1">
      <alignment horizontal="center"/>
    </xf>
    <xf numFmtId="0" fontId="25" fillId="3" borderId="2" xfId="1" applyFont="1" applyFill="1" applyBorder="1" applyAlignment="1">
      <alignment horizontal="center"/>
    </xf>
    <xf numFmtId="0" fontId="25" fillId="3" borderId="3" xfId="1" applyFont="1" applyFill="1" applyBorder="1" applyAlignment="1">
      <alignment horizontal="center"/>
    </xf>
    <xf numFmtId="0" fontId="25" fillId="3" borderId="4" xfId="1" applyFont="1" applyFill="1" applyBorder="1" applyAlignment="1">
      <alignment horizontal="center"/>
    </xf>
    <xf numFmtId="0" fontId="25" fillId="3" borderId="5" xfId="1" applyFont="1" applyFill="1" applyBorder="1" applyAlignment="1">
      <alignment horizontal="center"/>
    </xf>
    <xf numFmtId="0" fontId="25" fillId="3" borderId="6" xfId="1" applyFont="1" applyFill="1" applyBorder="1" applyAlignment="1">
      <alignment horizontal="center"/>
    </xf>
    <xf numFmtId="0" fontId="25" fillId="3" borderId="7" xfId="1" applyFont="1" applyFill="1" applyBorder="1" applyAlignment="1">
      <alignment horizontal="center"/>
    </xf>
    <xf numFmtId="0" fontId="25" fillId="3" borderId="8" xfId="1" applyFont="1" applyFill="1" applyBorder="1" applyAlignment="1">
      <alignment horizontal="center"/>
    </xf>
    <xf numFmtId="0" fontId="8" fillId="3" borderId="0" xfId="1" applyFont="1" applyFill="1" applyAlignment="1">
      <alignment horizontal="left" vertical="center" wrapText="1"/>
    </xf>
    <xf numFmtId="0" fontId="8" fillId="3" borderId="5" xfId="1" applyFont="1" applyFill="1" applyBorder="1" applyAlignment="1">
      <alignment horizontal="left" vertical="center" wrapText="1"/>
    </xf>
    <xf numFmtId="0" fontId="8" fillId="3" borderId="1" xfId="1" applyFont="1" applyFill="1" applyBorder="1" applyAlignment="1">
      <alignment horizontal="left" vertical="center"/>
    </xf>
    <xf numFmtId="0" fontId="8" fillId="3" borderId="4" xfId="1" applyFont="1" applyFill="1" applyBorder="1" applyAlignment="1">
      <alignment horizontal="left" vertical="center"/>
    </xf>
    <xf numFmtId="0" fontId="8" fillId="3" borderId="6" xfId="1" applyFont="1" applyFill="1" applyBorder="1" applyAlignment="1">
      <alignment horizontal="left" vertical="center"/>
    </xf>
    <xf numFmtId="0" fontId="10" fillId="0" borderId="2" xfId="1" applyFont="1" applyBorder="1" applyAlignment="1">
      <alignment horizontal="left"/>
    </xf>
    <xf numFmtId="0" fontId="10" fillId="0" borderId="0" xfId="1" applyFont="1" applyAlignment="1">
      <alignment horizontal="left"/>
    </xf>
    <xf numFmtId="0" fontId="10" fillId="0" borderId="7" xfId="1" applyFont="1" applyBorder="1" applyAlignment="1">
      <alignment horizontal="left"/>
    </xf>
    <xf numFmtId="0" fontId="8" fillId="3" borderId="3" xfId="1" applyFont="1" applyFill="1" applyBorder="1" applyAlignment="1">
      <alignment horizontal="left" vertical="center"/>
    </xf>
    <xf numFmtId="0" fontId="8" fillId="3" borderId="5" xfId="1" applyFont="1" applyFill="1" applyBorder="1" applyAlignment="1">
      <alignment horizontal="left" vertical="center"/>
    </xf>
    <xf numFmtId="0" fontId="8" fillId="3" borderId="8" xfId="1" applyFont="1" applyFill="1" applyBorder="1" applyAlignment="1">
      <alignment horizontal="left" vertical="center"/>
    </xf>
    <xf numFmtId="0" fontId="8" fillId="2" borderId="0" xfId="1" applyFont="1" applyFill="1" applyAlignment="1">
      <alignment horizontal="left" vertical="center" wrapText="1"/>
    </xf>
    <xf numFmtId="0" fontId="8" fillId="2" borderId="5" xfId="1" applyFont="1" applyFill="1" applyBorder="1" applyAlignment="1">
      <alignment horizontal="left" vertical="center" wrapText="1"/>
    </xf>
    <xf numFmtId="0" fontId="10" fillId="0" borderId="12" xfId="1" applyFont="1" applyBorder="1" applyAlignment="1">
      <alignment horizontal="center"/>
    </xf>
    <xf numFmtId="0" fontId="8" fillId="2" borderId="1" xfId="1" applyFont="1" applyFill="1" applyBorder="1" applyAlignment="1">
      <alignment horizontal="left" vertical="center"/>
    </xf>
    <xf numFmtId="0" fontId="8" fillId="2" borderId="6" xfId="1" applyFont="1" applyFill="1" applyBorder="1" applyAlignment="1">
      <alignment horizontal="left" vertical="center"/>
    </xf>
    <xf numFmtId="0" fontId="10" fillId="0" borderId="9" xfId="1" applyFont="1" applyBorder="1" applyAlignment="1">
      <alignment vertical="top" wrapText="1"/>
    </xf>
    <xf numFmtId="0" fontId="10" fillId="0" borderId="13" xfId="1" applyFont="1" applyBorder="1" applyAlignment="1">
      <alignment vertical="top" wrapText="1"/>
    </xf>
    <xf numFmtId="0" fontId="10" fillId="0" borderId="11" xfId="1" applyFont="1" applyBorder="1" applyAlignment="1">
      <alignment vertical="top" wrapText="1"/>
    </xf>
    <xf numFmtId="0" fontId="8" fillId="2" borderId="0" xfId="1" applyFont="1" applyFill="1" applyAlignment="1">
      <alignment horizontal="left"/>
    </xf>
    <xf numFmtId="0" fontId="8" fillId="2" borderId="12" xfId="1" applyFont="1" applyFill="1" applyBorder="1" applyAlignment="1">
      <alignment horizontal="left" vertical="center" wrapText="1"/>
    </xf>
    <xf numFmtId="0" fontId="10" fillId="0" borderId="4" xfId="1" applyFont="1" applyBorder="1" applyAlignment="1">
      <alignment horizontal="center"/>
    </xf>
    <xf numFmtId="0" fontId="10" fillId="0" borderId="5" xfId="1" applyFont="1" applyBorder="1" applyAlignment="1">
      <alignment horizontal="center"/>
    </xf>
    <xf numFmtId="0" fontId="8" fillId="2" borderId="1" xfId="1" applyFont="1" applyFill="1" applyBorder="1" applyAlignment="1">
      <alignment horizontal="left" vertical="center" wrapText="1"/>
    </xf>
    <xf numFmtId="0" fontId="8" fillId="2" borderId="4" xfId="1" applyFont="1" applyFill="1" applyBorder="1" applyAlignment="1">
      <alignment horizontal="left" vertical="center" wrapText="1"/>
    </xf>
    <xf numFmtId="0" fontId="8" fillId="2" borderId="6" xfId="1" applyFont="1" applyFill="1" applyBorder="1" applyAlignment="1">
      <alignment horizontal="left" vertical="center" wrapText="1"/>
    </xf>
    <xf numFmtId="0" fontId="8" fillId="2" borderId="3" xfId="1" applyFont="1" applyFill="1" applyBorder="1" applyAlignment="1">
      <alignment horizontal="left" vertical="center" wrapText="1"/>
    </xf>
    <xf numFmtId="0" fontId="8" fillId="2" borderId="8" xfId="1" applyFont="1" applyFill="1" applyBorder="1" applyAlignment="1">
      <alignment horizontal="left" vertical="center" wrapText="1"/>
    </xf>
    <xf numFmtId="0" fontId="10" fillId="0" borderId="2" xfId="1" applyFont="1" applyBorder="1" applyAlignment="1">
      <alignment horizontal="center"/>
    </xf>
    <xf numFmtId="0" fontId="10" fillId="0" borderId="0" xfId="1" applyFont="1" applyAlignment="1">
      <alignment horizontal="center"/>
    </xf>
    <xf numFmtId="0" fontId="10" fillId="0" borderId="7" xfId="1" applyFont="1" applyBorder="1" applyAlignment="1">
      <alignment horizontal="center"/>
    </xf>
    <xf numFmtId="0" fontId="10" fillId="0" borderId="9" xfId="1" applyFont="1" applyBorder="1" applyAlignment="1">
      <alignment horizontal="left" vertical="center" wrapText="1"/>
    </xf>
    <xf numFmtId="0" fontId="10" fillId="0" borderId="13" xfId="1" applyFont="1" applyBorder="1" applyAlignment="1">
      <alignment horizontal="left" vertical="center" wrapText="1"/>
    </xf>
    <xf numFmtId="0" fontId="10" fillId="0" borderId="11" xfId="1" applyFont="1" applyBorder="1" applyAlignment="1">
      <alignment horizontal="left" vertical="center" wrapText="1"/>
    </xf>
    <xf numFmtId="0" fontId="28" fillId="2" borderId="12" xfId="1" applyFont="1" applyFill="1" applyBorder="1"/>
    <xf numFmtId="0" fontId="8" fillId="2" borderId="9" xfId="1" applyFont="1" applyFill="1" applyBorder="1" applyAlignment="1">
      <alignment horizontal="left"/>
    </xf>
    <xf numFmtId="0" fontId="8" fillId="2" borderId="13" xfId="1" applyFont="1" applyFill="1" applyBorder="1" applyAlignment="1">
      <alignment horizontal="left"/>
    </xf>
    <xf numFmtId="0" fontId="10" fillId="0" borderId="9" xfId="1" applyFont="1" applyBorder="1"/>
    <xf numFmtId="0" fontId="10" fillId="0" borderId="13" xfId="1" applyFont="1" applyBorder="1"/>
    <xf numFmtId="0" fontId="10" fillId="0" borderId="11" xfId="1" applyFont="1" applyBorder="1"/>
    <xf numFmtId="0" fontId="10" fillId="0" borderId="9" xfId="1" applyFont="1" applyBorder="1" applyAlignment="1">
      <alignment horizontal="left" vertical="top" wrapText="1"/>
    </xf>
    <xf numFmtId="0" fontId="10" fillId="0" borderId="13" xfId="1" applyFont="1" applyBorder="1" applyAlignment="1">
      <alignment horizontal="left" vertical="top" wrapText="1"/>
    </xf>
    <xf numFmtId="0" fontId="10" fillId="0" borderId="11" xfId="1" applyFont="1" applyBorder="1" applyAlignment="1">
      <alignment horizontal="left" vertical="top" wrapText="1"/>
    </xf>
    <xf numFmtId="0" fontId="10" fillId="0" borderId="6" xfId="1" applyFont="1" applyBorder="1"/>
    <xf numFmtId="0" fontId="10" fillId="0" borderId="7" xfId="1" applyFont="1" applyBorder="1"/>
    <xf numFmtId="0" fontId="10" fillId="0" borderId="8" xfId="1" applyFont="1" applyBorder="1"/>
    <xf numFmtId="0" fontId="8" fillId="2" borderId="10"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12" xfId="1" applyFont="1" applyFill="1" applyBorder="1" applyAlignment="1">
      <alignment horizontal="center" vertical="center"/>
    </xf>
    <xf numFmtId="0" fontId="8" fillId="3" borderId="0" xfId="1" applyFont="1" applyFill="1" applyAlignment="1">
      <alignment horizontal="center" vertical="center"/>
    </xf>
    <xf numFmtId="0" fontId="24" fillId="2" borderId="9" xfId="1" applyFont="1" applyFill="1" applyBorder="1" applyAlignment="1">
      <alignment horizontal="center" vertical="center" wrapText="1"/>
    </xf>
    <xf numFmtId="0" fontId="24" fillId="2" borderId="13" xfId="1" applyFont="1" applyFill="1" applyBorder="1" applyAlignment="1">
      <alignment horizontal="center" vertical="center" wrapText="1"/>
    </xf>
    <xf numFmtId="0" fontId="24" fillId="2" borderId="11" xfId="1" applyFont="1" applyFill="1" applyBorder="1" applyAlignment="1">
      <alignment horizontal="center" vertical="center" wrapText="1"/>
    </xf>
    <xf numFmtId="0" fontId="21" fillId="3" borderId="0" xfId="1" applyFont="1" applyFill="1" applyAlignment="1">
      <alignment horizontal="left"/>
    </xf>
    <xf numFmtId="0" fontId="24" fillId="2" borderId="14" xfId="1" applyFont="1" applyFill="1" applyBorder="1" applyAlignment="1">
      <alignment horizontal="center" vertical="center"/>
    </xf>
    <xf numFmtId="0" fontId="24" fillId="2" borderId="15" xfId="1" applyFont="1" applyFill="1" applyBorder="1" applyAlignment="1">
      <alignment horizontal="center" vertical="center"/>
    </xf>
    <xf numFmtId="0" fontId="24" fillId="2" borderId="14" xfId="1" applyFont="1" applyFill="1" applyBorder="1" applyAlignment="1">
      <alignment horizontal="center" vertical="center" wrapText="1"/>
    </xf>
    <xf numFmtId="0" fontId="24" fillId="2" borderId="15" xfId="1" applyFont="1" applyFill="1" applyBorder="1" applyAlignment="1">
      <alignment horizontal="center" vertical="center" wrapText="1"/>
    </xf>
    <xf numFmtId="0" fontId="24" fillId="2" borderId="1" xfId="1" applyFont="1" applyFill="1" applyBorder="1" applyAlignment="1">
      <alignment horizontal="center" vertical="center" wrapText="1"/>
    </xf>
    <xf numFmtId="0" fontId="24" fillId="2" borderId="4" xfId="1" applyFont="1" applyFill="1" applyBorder="1" applyAlignment="1">
      <alignment horizontal="center" vertical="center"/>
    </xf>
    <xf numFmtId="0" fontId="13" fillId="2" borderId="0" xfId="1" applyFont="1" applyFill="1" applyAlignment="1">
      <alignment horizontal="left"/>
    </xf>
    <xf numFmtId="0" fontId="13" fillId="3" borderId="0" xfId="4" applyFont="1" applyFill="1" applyAlignment="1">
      <alignment horizontal="left" vertical="center"/>
    </xf>
    <xf numFmtId="0" fontId="13" fillId="3" borderId="5" xfId="4" applyFont="1" applyFill="1" applyBorder="1" applyAlignment="1">
      <alignment horizontal="left" vertical="center"/>
    </xf>
    <xf numFmtId="0" fontId="13" fillId="0" borderId="7" xfId="5" applyFont="1" applyBorder="1" applyAlignment="1">
      <alignment horizontal="left"/>
    </xf>
    <xf numFmtId="0" fontId="13" fillId="0" borderId="8" xfId="5" applyFont="1" applyBorder="1" applyAlignment="1">
      <alignment horizontal="left"/>
    </xf>
    <xf numFmtId="0" fontId="13" fillId="3" borderId="0" xfId="4" applyFont="1" applyFill="1" applyAlignment="1">
      <alignment horizontal="left"/>
    </xf>
    <xf numFmtId="0" fontId="13" fillId="3" borderId="5" xfId="4" applyFont="1" applyFill="1" applyBorder="1" applyAlignment="1">
      <alignment horizontal="left"/>
    </xf>
    <xf numFmtId="0" fontId="13" fillId="0" borderId="9" xfId="5" applyFont="1" applyBorder="1" applyAlignment="1">
      <alignment horizontal="left"/>
    </xf>
    <xf numFmtId="0" fontId="13" fillId="0" borderId="11" xfId="5" applyFont="1" applyBorder="1" applyAlignment="1">
      <alignment horizontal="left"/>
    </xf>
    <xf numFmtId="0" fontId="18" fillId="2" borderId="0" xfId="1" applyFont="1" applyFill="1"/>
    <xf numFmtId="0" fontId="3" fillId="3" borderId="0" xfId="9" applyFont="1" applyFill="1" applyAlignment="1">
      <alignment horizontal="left"/>
    </xf>
    <xf numFmtId="0" fontId="3" fillId="3" borderId="5" xfId="9" applyFont="1" applyFill="1" applyBorder="1" applyAlignment="1">
      <alignment horizontal="left"/>
    </xf>
    <xf numFmtId="0" fontId="3" fillId="0" borderId="13" xfId="9" applyFont="1" applyBorder="1" applyAlignment="1">
      <alignment horizontal="left"/>
    </xf>
    <xf numFmtId="0" fontId="3" fillId="0" borderId="11" xfId="9" applyFont="1" applyBorder="1" applyAlignment="1">
      <alignment horizontal="left"/>
    </xf>
    <xf numFmtId="0" fontId="3" fillId="3" borderId="0" xfId="2" applyFont="1" applyFill="1" applyAlignment="1">
      <alignment horizontal="left" vertical="center"/>
    </xf>
    <xf numFmtId="0" fontId="3" fillId="3" borderId="5" xfId="2" applyFont="1" applyFill="1" applyBorder="1" applyAlignment="1">
      <alignment horizontal="left" vertical="center"/>
    </xf>
    <xf numFmtId="0" fontId="3" fillId="0" borderId="7" xfId="2" applyFont="1" applyBorder="1" applyAlignment="1">
      <alignment horizontal="left"/>
    </xf>
    <xf numFmtId="0" fontId="3" fillId="0" borderId="8" xfId="2" applyFont="1" applyBorder="1" applyAlignment="1">
      <alignment horizontal="left"/>
    </xf>
    <xf numFmtId="0" fontId="3" fillId="3" borderId="0" xfId="2" applyFont="1" applyFill="1" applyAlignment="1">
      <alignment horizontal="left"/>
    </xf>
    <xf numFmtId="0" fontId="3" fillId="3" borderId="5" xfId="2" applyFont="1" applyFill="1" applyBorder="1" applyAlignment="1">
      <alignment horizontal="left"/>
    </xf>
    <xf numFmtId="0" fontId="5" fillId="0" borderId="9" xfId="2" applyFont="1" applyBorder="1" applyAlignment="1">
      <alignment horizontal="left"/>
    </xf>
    <xf numFmtId="0" fontId="5" fillId="0" borderId="11" xfId="2" applyFont="1" applyBorder="1" applyAlignment="1">
      <alignment horizontal="left"/>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0" xfId="1" applyFont="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3" fillId="2" borderId="0" xfId="1" applyFont="1" applyFill="1" applyAlignment="1">
      <alignment horizontal="left" vertical="center" wrapText="1"/>
    </xf>
    <xf numFmtId="0" fontId="5" fillId="2" borderId="0" xfId="1" applyFont="1" applyFill="1" applyAlignment="1">
      <alignment horizontal="center"/>
    </xf>
    <xf numFmtId="0" fontId="6" fillId="2" borderId="0" xfId="1" applyFont="1" applyFill="1" applyAlignment="1">
      <alignment horizontal="left"/>
    </xf>
    <xf numFmtId="0" fontId="3" fillId="3" borderId="0" xfId="9" applyFont="1" applyFill="1" applyAlignment="1">
      <alignment horizontal="left" vertical="center"/>
    </xf>
    <xf numFmtId="0" fontId="3" fillId="3" borderId="5" xfId="9" applyFont="1" applyFill="1" applyBorder="1" applyAlignment="1">
      <alignment horizontal="left" vertical="center"/>
    </xf>
    <xf numFmtId="0" fontId="3" fillId="0" borderId="7" xfId="9" applyFont="1" applyBorder="1" applyAlignment="1">
      <alignment horizontal="left"/>
    </xf>
    <xf numFmtId="0" fontId="3" fillId="0" borderId="8" xfId="9" applyFont="1" applyBorder="1" applyAlignment="1">
      <alignment horizontal="left"/>
    </xf>
    <xf numFmtId="0" fontId="25" fillId="0" borderId="12" xfId="1" applyFont="1" applyBorder="1" applyAlignment="1">
      <alignment horizontal="center" vertical="center"/>
    </xf>
    <xf numFmtId="0" fontId="25" fillId="0" borderId="12" xfId="1" applyFont="1" applyBorder="1" applyAlignment="1">
      <alignment horizontal="left" vertical="center" wrapText="1"/>
    </xf>
    <xf numFmtId="2" fontId="25" fillId="0" borderId="12" xfId="1" applyNumberFormat="1" applyFont="1" applyBorder="1" applyAlignment="1">
      <alignment horizontal="center" vertical="center" wrapText="1"/>
    </xf>
    <xf numFmtId="2" fontId="25" fillId="0" borderId="15" xfId="1" applyNumberFormat="1" applyFont="1" applyBorder="1" applyAlignment="1">
      <alignment horizontal="center" vertical="center" wrapText="1"/>
    </xf>
    <xf numFmtId="2" fontId="25" fillId="0" borderId="12" xfId="1" applyNumberFormat="1" applyFont="1" applyBorder="1" applyAlignment="1">
      <alignment horizontal="center" vertical="center"/>
    </xf>
    <xf numFmtId="0" fontId="13" fillId="3" borderId="12" xfId="4" applyFont="1" applyFill="1" applyBorder="1" applyAlignment="1">
      <alignment horizontal="left" vertical="center"/>
    </xf>
    <xf numFmtId="0" fontId="13" fillId="0" borderId="7" xfId="1" applyFont="1" applyBorder="1" applyAlignment="1">
      <alignment horizontal="left"/>
    </xf>
    <xf numFmtId="0" fontId="13" fillId="0" borderId="8" xfId="1" applyFont="1" applyBorder="1" applyAlignment="1">
      <alignment horizontal="left"/>
    </xf>
    <xf numFmtId="0" fontId="13" fillId="3" borderId="12" xfId="4" applyFont="1" applyFill="1" applyBorder="1" applyAlignment="1">
      <alignment horizontal="left"/>
    </xf>
    <xf numFmtId="0" fontId="13" fillId="0" borderId="13" xfId="1" applyFont="1" applyBorder="1" applyAlignment="1">
      <alignment horizontal="left"/>
    </xf>
    <xf numFmtId="0" fontId="13" fillId="0" borderId="11" xfId="1" applyFont="1" applyBorder="1" applyAlignment="1">
      <alignment horizontal="left"/>
    </xf>
    <xf numFmtId="0" fontId="8" fillId="3" borderId="0" xfId="2" applyFont="1" applyFill="1" applyAlignment="1">
      <alignment horizontal="left"/>
    </xf>
    <xf numFmtId="0" fontId="8" fillId="3" borderId="5" xfId="2" applyFont="1" applyFill="1" applyBorder="1" applyAlignment="1">
      <alignment horizontal="left"/>
    </xf>
    <xf numFmtId="0" fontId="10" fillId="0" borderId="9" xfId="2" applyFont="1" applyBorder="1" applyAlignment="1">
      <alignment horizontal="left"/>
    </xf>
    <xf numFmtId="0" fontId="10" fillId="0" borderId="11" xfId="2" applyFont="1" applyBorder="1" applyAlignment="1">
      <alignment horizontal="left"/>
    </xf>
    <xf numFmtId="0" fontId="8" fillId="3" borderId="0" xfId="2" applyFont="1" applyFill="1" applyAlignment="1">
      <alignment horizontal="left" vertical="center"/>
    </xf>
    <xf numFmtId="0" fontId="8" fillId="3" borderId="5" xfId="2" applyFont="1" applyFill="1" applyBorder="1" applyAlignment="1">
      <alignment horizontal="left" vertical="center"/>
    </xf>
    <xf numFmtId="0" fontId="8" fillId="0" borderId="7" xfId="2" applyFont="1" applyBorder="1" applyAlignment="1">
      <alignment horizontal="left"/>
    </xf>
    <xf numFmtId="0" fontId="8" fillId="0" borderId="8" xfId="2" applyFont="1" applyBorder="1" applyAlignment="1">
      <alignment horizontal="left"/>
    </xf>
  </cellXfs>
  <cellStyles count="10">
    <cellStyle name="Hyperlink" xfId="6" builtinId="8"/>
    <cellStyle name="Hyperlink 2" xfId="3" xr:uid="{6DA641AC-0B39-4B5B-8E55-509381067437}"/>
    <cellStyle name="Normal" xfId="0" builtinId="0"/>
    <cellStyle name="Normal 2 2 2 3" xfId="9" xr:uid="{C968381C-EF3D-475C-9EA3-A413DF74B2B0}"/>
    <cellStyle name="Normal 2 3" xfId="1" xr:uid="{FBC6E134-6D48-433F-9970-E4BC091DDF10}"/>
    <cellStyle name="Normal 2 3 2" xfId="5" xr:uid="{D5685941-DC8F-4568-B830-83FAC8B36226}"/>
    <cellStyle name="Normal 2 3 4" xfId="2" xr:uid="{91BE9F2E-BCEC-4385-9F6A-34BA80888831}"/>
    <cellStyle name="Normal 2 4 2" xfId="4" xr:uid="{B38BA190-2AB0-40A1-AFDD-AC8E2E5B5F77}"/>
    <cellStyle name="Normal 4 2 2 2 2" xfId="8" xr:uid="{B6C0B72E-2C3F-4C9A-ABE8-34D968350B8A}"/>
    <cellStyle name="Normal 5 2 2" xfId="7" xr:uid="{20880B4C-C652-47AD-AD91-CBA9A2F679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B650EEDF-47A1-4CA3-98E7-4D372D1FB015}"/>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7A5A46C3-2C27-4630-AF97-216BEB5E7459}"/>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5444AFDD-3C14-4AF5-9E22-6DCF80991163}"/>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oluwaseunfunmi73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019F-AF6B-4058-AB9E-ED058CFAD879}">
  <sheetPr>
    <pageSetUpPr fitToPage="1"/>
  </sheetPr>
  <dimension ref="A1:R76"/>
  <sheetViews>
    <sheetView zoomScale="20" zoomScaleNormal="20" workbookViewId="0">
      <selection activeCell="C25" sqref="C25:C33"/>
    </sheetView>
  </sheetViews>
  <sheetFormatPr defaultColWidth="9.140625" defaultRowHeight="15" x14ac:dyDescent="0.25"/>
  <cols>
    <col min="1" max="1" width="14.42578125" style="1" customWidth="1"/>
    <col min="2" max="2" width="110.85546875" style="1" customWidth="1"/>
    <col min="3" max="3" width="68.7109375" style="1" bestFit="1" customWidth="1"/>
    <col min="4" max="4" width="255.7109375" style="1" bestFit="1" customWidth="1"/>
    <col min="5" max="5" width="102.28515625" style="1" bestFit="1" customWidth="1"/>
    <col min="6" max="6" width="69" style="1" customWidth="1"/>
    <col min="7" max="7" width="255.7109375" style="1" bestFit="1" customWidth="1"/>
    <col min="8" max="8" width="74.7109375" style="1" customWidth="1"/>
    <col min="9" max="9" width="70.5703125" style="1" customWidth="1"/>
    <col min="10" max="10" width="45.7109375" style="1" customWidth="1"/>
    <col min="11" max="13" width="32.7109375" style="1" customWidth="1"/>
    <col min="14" max="14" width="28.7109375" style="1" customWidth="1"/>
    <col min="15" max="15" width="31.28515625" style="1" customWidth="1"/>
    <col min="16" max="16384" width="9.140625" style="1"/>
  </cols>
  <sheetData>
    <row r="1" spans="1:18" ht="22.5" customHeight="1" x14ac:dyDescent="0.25">
      <c r="A1" s="220" t="s">
        <v>0</v>
      </c>
      <c r="B1" s="221"/>
      <c r="C1" s="221"/>
      <c r="D1" s="221"/>
      <c r="E1" s="221"/>
      <c r="F1" s="221"/>
      <c r="G1" s="221"/>
      <c r="H1" s="221"/>
      <c r="I1" s="221"/>
      <c r="J1" s="221"/>
      <c r="K1" s="221"/>
      <c r="L1" s="221"/>
      <c r="M1" s="221"/>
      <c r="N1" s="221"/>
      <c r="O1" s="222"/>
    </row>
    <row r="2" spans="1:18" ht="22.5" customHeight="1" x14ac:dyDescent="0.25">
      <c r="A2" s="223"/>
      <c r="B2" s="224"/>
      <c r="C2" s="224"/>
      <c r="D2" s="224"/>
      <c r="E2" s="224"/>
      <c r="F2" s="224"/>
      <c r="G2" s="224"/>
      <c r="H2" s="224"/>
      <c r="I2" s="224"/>
      <c r="J2" s="224"/>
      <c r="K2" s="224"/>
      <c r="L2" s="224"/>
      <c r="M2" s="224"/>
      <c r="N2" s="224"/>
      <c r="O2" s="225"/>
    </row>
    <row r="3" spans="1:18" ht="22.5" customHeight="1" x14ac:dyDescent="0.25">
      <c r="A3" s="226"/>
      <c r="B3" s="227"/>
      <c r="C3" s="227"/>
      <c r="D3" s="227"/>
      <c r="E3" s="227"/>
      <c r="F3" s="227"/>
      <c r="G3" s="227"/>
      <c r="H3" s="227"/>
      <c r="I3" s="227"/>
      <c r="J3" s="227"/>
      <c r="K3" s="227"/>
      <c r="L3" s="227"/>
      <c r="M3" s="227"/>
      <c r="N3" s="227"/>
      <c r="O3" s="228"/>
    </row>
    <row r="4" spans="1:18" s="4" customFormat="1" ht="51" x14ac:dyDescent="0.75">
      <c r="A4" s="229" t="s">
        <v>1</v>
      </c>
      <c r="B4" s="229"/>
      <c r="C4" s="229"/>
      <c r="D4" s="229"/>
      <c r="E4" s="229"/>
      <c r="F4" s="229"/>
      <c r="G4" s="229"/>
      <c r="H4" s="229"/>
      <c r="I4" s="229"/>
      <c r="J4" s="2"/>
      <c r="K4" s="3"/>
      <c r="L4" s="3"/>
      <c r="M4" s="3"/>
      <c r="N4" s="3"/>
      <c r="O4" s="3"/>
    </row>
    <row r="5" spans="1:18" s="4" customFormat="1" ht="47.25" customHeight="1" x14ac:dyDescent="0.75">
      <c r="A5" s="5" t="s">
        <v>2</v>
      </c>
      <c r="B5" s="6" t="s">
        <v>3</v>
      </c>
      <c r="C5" s="7" t="s">
        <v>4</v>
      </c>
      <c r="D5" s="8" t="s">
        <v>5</v>
      </c>
      <c r="E5" s="230"/>
      <c r="F5" s="230"/>
      <c r="G5" s="230"/>
      <c r="H5" s="230"/>
      <c r="I5" s="230"/>
      <c r="J5" s="9"/>
      <c r="K5" s="3"/>
      <c r="L5" s="3"/>
      <c r="M5" s="3"/>
      <c r="N5" s="3"/>
      <c r="O5" s="3"/>
    </row>
    <row r="6" spans="1:18" s="12" customFormat="1" ht="38.25" customHeight="1" x14ac:dyDescent="0.55000000000000004">
      <c r="A6" s="231" t="s">
        <v>6</v>
      </c>
      <c r="B6" s="231"/>
      <c r="C6" s="231"/>
      <c r="D6" s="231"/>
      <c r="E6" s="231"/>
      <c r="F6" s="231"/>
      <c r="G6" s="231"/>
      <c r="H6" s="231"/>
      <c r="I6" s="231"/>
      <c r="J6" s="10"/>
      <c r="K6" s="11"/>
      <c r="L6" s="11"/>
      <c r="M6" s="11"/>
      <c r="N6" s="11"/>
      <c r="O6" s="11"/>
    </row>
    <row r="7" spans="1:18" s="17" customFormat="1" ht="64.5" x14ac:dyDescent="0.95">
      <c r="A7" s="251" t="s">
        <v>7</v>
      </c>
      <c r="B7" s="252"/>
      <c r="C7" s="13" t="s">
        <v>8</v>
      </c>
      <c r="D7" s="14" t="s">
        <v>9</v>
      </c>
      <c r="E7" s="13" t="s">
        <v>10</v>
      </c>
      <c r="F7" s="14" t="s">
        <v>11</v>
      </c>
      <c r="G7" s="15"/>
      <c r="H7" s="14" t="s">
        <v>12</v>
      </c>
      <c r="I7" s="253" t="s">
        <v>13</v>
      </c>
      <c r="J7" s="254"/>
      <c r="K7" s="16"/>
      <c r="L7" s="16"/>
      <c r="M7" s="16"/>
      <c r="N7" s="16"/>
      <c r="O7" s="16"/>
      <c r="P7" s="16"/>
      <c r="Q7" s="16"/>
      <c r="R7" s="16"/>
    </row>
    <row r="8" spans="1:18" s="17" customFormat="1" ht="65.25" x14ac:dyDescent="0.95">
      <c r="A8" s="247" t="s">
        <v>14</v>
      </c>
      <c r="B8" s="248"/>
      <c r="C8" s="18">
        <v>371546</v>
      </c>
      <c r="D8" s="19" t="s">
        <v>15</v>
      </c>
      <c r="E8" s="20"/>
      <c r="F8" s="19" t="s">
        <v>16</v>
      </c>
      <c r="G8" s="21"/>
      <c r="H8" s="19" t="s">
        <v>17</v>
      </c>
      <c r="I8" s="249" t="s">
        <v>18</v>
      </c>
      <c r="J8" s="250"/>
      <c r="K8" s="16"/>
      <c r="L8" s="16"/>
      <c r="M8" s="16"/>
      <c r="N8" s="16"/>
      <c r="O8" s="16"/>
      <c r="P8" s="16"/>
      <c r="Q8" s="16"/>
      <c r="R8" s="16"/>
    </row>
    <row r="9" spans="1:18" s="24" customFormat="1" ht="62.25" customHeight="1" x14ac:dyDescent="0.75">
      <c r="A9" s="198" t="s">
        <v>19</v>
      </c>
      <c r="B9" s="198"/>
      <c r="C9" s="198"/>
      <c r="D9" s="198"/>
      <c r="E9" s="198"/>
      <c r="F9" s="198"/>
      <c r="G9" s="198"/>
      <c r="H9" s="198"/>
      <c r="I9" s="198"/>
      <c r="J9" s="22"/>
      <c r="K9" s="23"/>
      <c r="L9" s="23"/>
      <c r="M9" s="23"/>
      <c r="N9" s="23"/>
      <c r="O9" s="23"/>
    </row>
    <row r="10" spans="1:18" s="30" customFormat="1" ht="51" x14ac:dyDescent="0.75">
      <c r="A10" s="199" t="s">
        <v>7</v>
      </c>
      <c r="B10" s="200"/>
      <c r="C10" s="25" t="s">
        <v>20</v>
      </c>
      <c r="D10" s="26" t="s">
        <v>9</v>
      </c>
      <c r="E10" s="25" t="s">
        <v>21</v>
      </c>
      <c r="F10" s="27" t="s">
        <v>11</v>
      </c>
      <c r="G10" s="28" t="s">
        <v>22</v>
      </c>
      <c r="H10" s="26" t="s">
        <v>12</v>
      </c>
      <c r="I10" s="201" t="s">
        <v>23</v>
      </c>
      <c r="J10" s="202"/>
      <c r="K10" s="29"/>
      <c r="L10" s="29"/>
      <c r="M10" s="29"/>
      <c r="N10" s="29"/>
      <c r="O10" s="29"/>
    </row>
    <row r="11" spans="1:18" s="30" customFormat="1" ht="51.75" x14ac:dyDescent="0.75">
      <c r="A11" s="203" t="s">
        <v>14</v>
      </c>
      <c r="B11" s="204"/>
      <c r="C11" s="31">
        <v>60529</v>
      </c>
      <c r="D11" s="32" t="s">
        <v>15</v>
      </c>
      <c r="E11" s="33" t="s">
        <v>24</v>
      </c>
      <c r="F11" s="34" t="s">
        <v>16</v>
      </c>
      <c r="G11" s="35"/>
      <c r="H11" s="32" t="s">
        <v>17</v>
      </c>
      <c r="I11" s="205" t="s">
        <v>25</v>
      </c>
      <c r="J11" s="206"/>
      <c r="K11" s="29"/>
      <c r="L11" s="29"/>
      <c r="M11" s="29"/>
      <c r="N11" s="29"/>
      <c r="O11" s="29"/>
    </row>
    <row r="12" spans="1:18" s="24" customFormat="1" ht="51" x14ac:dyDescent="0.75">
      <c r="A12" s="198" t="s">
        <v>26</v>
      </c>
      <c r="B12" s="198"/>
      <c r="C12" s="198"/>
      <c r="D12" s="198"/>
      <c r="E12" s="198"/>
      <c r="F12" s="198"/>
      <c r="G12" s="198"/>
      <c r="H12" s="198"/>
      <c r="I12" s="198"/>
      <c r="J12" s="22"/>
      <c r="K12" s="23"/>
      <c r="L12" s="23"/>
      <c r="M12" s="23"/>
      <c r="N12" s="23"/>
      <c r="O12" s="23"/>
    </row>
    <row r="13" spans="1:18" s="30" customFormat="1" ht="56.25" customHeight="1" x14ac:dyDescent="0.75">
      <c r="A13" s="241" t="s">
        <v>7</v>
      </c>
      <c r="B13" s="241"/>
      <c r="C13" s="25"/>
      <c r="D13" s="26" t="s">
        <v>9</v>
      </c>
      <c r="E13" s="25"/>
      <c r="F13" s="27" t="s">
        <v>11</v>
      </c>
      <c r="G13" s="28"/>
      <c r="H13" s="26" t="s">
        <v>12</v>
      </c>
      <c r="I13" s="242"/>
      <c r="J13" s="243"/>
      <c r="K13" s="29"/>
      <c r="L13" s="29"/>
      <c r="M13" s="29"/>
      <c r="N13" s="29"/>
      <c r="O13" s="29"/>
    </row>
    <row r="14" spans="1:18" s="30" customFormat="1" ht="57" customHeight="1" x14ac:dyDescent="0.75">
      <c r="A14" s="244" t="s">
        <v>14</v>
      </c>
      <c r="B14" s="244"/>
      <c r="C14" s="31"/>
      <c r="D14" s="32" t="s">
        <v>15</v>
      </c>
      <c r="E14" s="36"/>
      <c r="F14" s="34" t="s">
        <v>16</v>
      </c>
      <c r="G14" s="35"/>
      <c r="H14" s="32" t="s">
        <v>17</v>
      </c>
      <c r="I14" s="245"/>
      <c r="J14" s="246"/>
      <c r="K14" s="29"/>
      <c r="L14" s="29"/>
      <c r="M14" s="29"/>
      <c r="N14" s="29"/>
      <c r="O14" s="29"/>
    </row>
    <row r="15" spans="1:18" ht="24" x14ac:dyDescent="0.35">
      <c r="A15" s="207"/>
      <c r="B15" s="207"/>
      <c r="C15" s="207"/>
      <c r="D15" s="207"/>
      <c r="E15" s="207"/>
      <c r="F15" s="207"/>
      <c r="G15" s="207"/>
      <c r="H15" s="207"/>
      <c r="I15" s="207"/>
      <c r="J15" s="37"/>
      <c r="K15" s="38"/>
      <c r="L15" s="39"/>
      <c r="M15" s="39"/>
      <c r="N15" s="39"/>
      <c r="O15" s="39"/>
    </row>
    <row r="16" spans="1:18" ht="33" x14ac:dyDescent="0.45">
      <c r="A16" s="191" t="s">
        <v>27</v>
      </c>
      <c r="B16" s="191"/>
      <c r="C16" s="191"/>
      <c r="D16" s="191"/>
      <c r="E16" s="191"/>
      <c r="F16" s="191"/>
      <c r="G16" s="191"/>
      <c r="H16" s="191"/>
      <c r="I16" s="191"/>
      <c r="J16" s="40"/>
      <c r="K16" s="41"/>
      <c r="L16" s="42"/>
      <c r="M16" s="42"/>
      <c r="N16" s="42"/>
      <c r="O16" s="42"/>
    </row>
    <row r="17" spans="1:15" ht="57.75" customHeight="1" x14ac:dyDescent="0.25">
      <c r="A17" s="192" t="s">
        <v>28</v>
      </c>
      <c r="B17" s="193" t="s">
        <v>29</v>
      </c>
      <c r="C17" s="192" t="s">
        <v>30</v>
      </c>
      <c r="D17" s="192" t="s">
        <v>31</v>
      </c>
      <c r="E17" s="192" t="s">
        <v>30</v>
      </c>
      <c r="F17" s="194" t="s">
        <v>32</v>
      </c>
      <c r="G17" s="194" t="s">
        <v>33</v>
      </c>
      <c r="H17" s="196" t="s">
        <v>34</v>
      </c>
      <c r="I17" s="194" t="s">
        <v>35</v>
      </c>
      <c r="J17" s="188" t="s">
        <v>36</v>
      </c>
      <c r="K17" s="189"/>
      <c r="L17" s="189"/>
      <c r="M17" s="189"/>
      <c r="N17" s="189"/>
      <c r="O17" s="190"/>
    </row>
    <row r="18" spans="1:15" ht="51.75" customHeight="1" x14ac:dyDescent="0.25">
      <c r="A18" s="193"/>
      <c r="B18" s="193"/>
      <c r="C18" s="193"/>
      <c r="D18" s="193"/>
      <c r="E18" s="193"/>
      <c r="F18" s="195"/>
      <c r="G18" s="195"/>
      <c r="H18" s="197"/>
      <c r="I18" s="195"/>
      <c r="J18" s="43" t="s">
        <v>37</v>
      </c>
      <c r="K18" s="44" t="s">
        <v>38</v>
      </c>
      <c r="L18" s="44" t="s">
        <v>39</v>
      </c>
      <c r="M18" s="43" t="s">
        <v>40</v>
      </c>
      <c r="N18" s="43" t="s">
        <v>41</v>
      </c>
      <c r="O18" s="43" t="s">
        <v>42</v>
      </c>
    </row>
    <row r="19" spans="1:15" s="53" customFormat="1" ht="212.25" customHeight="1" x14ac:dyDescent="0.25">
      <c r="A19" s="236">
        <v>1</v>
      </c>
      <c r="B19" s="237" t="s">
        <v>43</v>
      </c>
      <c r="C19" s="240">
        <f>SUM(E19:E24)</f>
        <v>0.42666666666666664</v>
      </c>
      <c r="D19" s="117" t="s">
        <v>44</v>
      </c>
      <c r="E19" s="48">
        <v>6.6666666666666666E-2</v>
      </c>
      <c r="F19" s="48">
        <f>E19/$E$47 * 100</f>
        <v>0.74862306828511871</v>
      </c>
      <c r="G19" s="46" t="s">
        <v>45</v>
      </c>
      <c r="H19" s="49">
        <v>1</v>
      </c>
      <c r="I19" s="50" t="s">
        <v>46</v>
      </c>
      <c r="J19" s="51">
        <v>100</v>
      </c>
      <c r="K19" s="52">
        <v>95</v>
      </c>
      <c r="L19" s="52">
        <v>90</v>
      </c>
      <c r="M19" s="52">
        <v>85</v>
      </c>
      <c r="N19" s="52">
        <v>80</v>
      </c>
      <c r="O19" s="52" t="s">
        <v>47</v>
      </c>
    </row>
    <row r="20" spans="1:15" s="53" customFormat="1" ht="325.5" customHeight="1" x14ac:dyDescent="0.25">
      <c r="A20" s="236"/>
      <c r="B20" s="237"/>
      <c r="C20" s="240"/>
      <c r="D20" s="122"/>
      <c r="E20" s="48">
        <v>6.6666666666666666E-2</v>
      </c>
      <c r="F20" s="48">
        <f t="shared" ref="F20:F46" si="0">E20/$E$47 * 100</f>
        <v>0.74862306828511871</v>
      </c>
      <c r="G20" s="46" t="s">
        <v>48</v>
      </c>
      <c r="H20" s="49">
        <v>1</v>
      </c>
      <c r="I20" s="50" t="s">
        <v>46</v>
      </c>
      <c r="J20" s="51">
        <v>100</v>
      </c>
      <c r="K20" s="52">
        <v>95</v>
      </c>
      <c r="L20" s="52">
        <v>90</v>
      </c>
      <c r="M20" s="52">
        <v>85</v>
      </c>
      <c r="N20" s="52">
        <v>80</v>
      </c>
      <c r="O20" s="52" t="s">
        <v>47</v>
      </c>
    </row>
    <row r="21" spans="1:15" s="53" customFormat="1" ht="287.25" customHeight="1" x14ac:dyDescent="0.25">
      <c r="A21" s="236"/>
      <c r="B21" s="237"/>
      <c r="C21" s="240"/>
      <c r="D21" s="118"/>
      <c r="E21" s="48">
        <v>0.13333333333333333</v>
      </c>
      <c r="F21" s="48">
        <f t="shared" si="0"/>
        <v>1.4972461365702374</v>
      </c>
      <c r="G21" s="46" t="s">
        <v>49</v>
      </c>
      <c r="H21" s="49">
        <v>1</v>
      </c>
      <c r="I21" s="50" t="s">
        <v>46</v>
      </c>
      <c r="J21" s="51">
        <v>100</v>
      </c>
      <c r="K21" s="52">
        <v>95</v>
      </c>
      <c r="L21" s="52">
        <v>90</v>
      </c>
      <c r="M21" s="52">
        <v>85</v>
      </c>
      <c r="N21" s="52">
        <v>80</v>
      </c>
      <c r="O21" s="52" t="s">
        <v>47</v>
      </c>
    </row>
    <row r="22" spans="1:15" s="53" customFormat="1" ht="231.75" customHeight="1" x14ac:dyDescent="0.25">
      <c r="A22" s="236"/>
      <c r="B22" s="237"/>
      <c r="C22" s="240"/>
      <c r="D22" s="237" t="s">
        <v>50</v>
      </c>
      <c r="E22" s="48">
        <v>0.08</v>
      </c>
      <c r="F22" s="48">
        <f t="shared" si="0"/>
        <v>0.89834768194214254</v>
      </c>
      <c r="G22" s="46" t="s">
        <v>51</v>
      </c>
      <c r="H22" s="49">
        <v>0.5</v>
      </c>
      <c r="I22" s="50" t="s">
        <v>46</v>
      </c>
      <c r="J22" s="51" t="s">
        <v>52</v>
      </c>
      <c r="K22" s="52">
        <v>50</v>
      </c>
      <c r="L22" s="52">
        <v>45</v>
      </c>
      <c r="M22" s="52">
        <v>40</v>
      </c>
      <c r="N22" s="52">
        <v>25</v>
      </c>
      <c r="O22" s="52" t="s">
        <v>53</v>
      </c>
    </row>
    <row r="23" spans="1:15" s="53" customFormat="1" ht="199.5" customHeight="1" x14ac:dyDescent="0.25">
      <c r="A23" s="236"/>
      <c r="B23" s="237"/>
      <c r="C23" s="240"/>
      <c r="D23" s="237"/>
      <c r="E23" s="48">
        <v>0.04</v>
      </c>
      <c r="F23" s="48">
        <f t="shared" si="0"/>
        <v>0.44917384097107127</v>
      </c>
      <c r="G23" s="46" t="s">
        <v>54</v>
      </c>
      <c r="H23" s="49">
        <v>0.5</v>
      </c>
      <c r="I23" s="50" t="s">
        <v>46</v>
      </c>
      <c r="J23" s="51" t="s">
        <v>52</v>
      </c>
      <c r="K23" s="52">
        <v>50</v>
      </c>
      <c r="L23" s="52">
        <v>45</v>
      </c>
      <c r="M23" s="52">
        <v>40</v>
      </c>
      <c r="N23" s="52">
        <v>25</v>
      </c>
      <c r="O23" s="52" t="s">
        <v>53</v>
      </c>
    </row>
    <row r="24" spans="1:15" s="53" customFormat="1" ht="246" customHeight="1" x14ac:dyDescent="0.25">
      <c r="A24" s="236"/>
      <c r="B24" s="237"/>
      <c r="C24" s="240"/>
      <c r="D24" s="237"/>
      <c r="E24" s="48">
        <v>0.04</v>
      </c>
      <c r="F24" s="48">
        <f t="shared" si="0"/>
        <v>0.44917384097107127</v>
      </c>
      <c r="G24" s="46" t="s">
        <v>55</v>
      </c>
      <c r="H24" s="49">
        <v>0.75</v>
      </c>
      <c r="I24" s="50" t="s">
        <v>46</v>
      </c>
      <c r="J24" s="51" t="s">
        <v>56</v>
      </c>
      <c r="K24" s="52">
        <v>75</v>
      </c>
      <c r="L24" s="52">
        <v>70</v>
      </c>
      <c r="M24" s="52">
        <v>60</v>
      </c>
      <c r="N24" s="52">
        <v>50</v>
      </c>
      <c r="O24" s="52" t="s">
        <v>57</v>
      </c>
    </row>
    <row r="25" spans="1:15" s="53" customFormat="1" ht="246" customHeight="1" x14ac:dyDescent="0.25">
      <c r="A25" s="114">
        <v>2</v>
      </c>
      <c r="B25" s="117" t="s">
        <v>58</v>
      </c>
      <c r="C25" s="119">
        <v>5</v>
      </c>
      <c r="D25" s="117" t="s">
        <v>59</v>
      </c>
      <c r="E25" s="48">
        <v>0.5</v>
      </c>
      <c r="F25" s="48">
        <f t="shared" si="0"/>
        <v>5.6146730121383905</v>
      </c>
      <c r="G25" s="46" t="s">
        <v>60</v>
      </c>
      <c r="H25" s="54">
        <v>1</v>
      </c>
      <c r="I25" s="50" t="s">
        <v>46</v>
      </c>
      <c r="J25" s="51">
        <v>100</v>
      </c>
      <c r="K25" s="52">
        <v>95</v>
      </c>
      <c r="L25" s="52">
        <v>90</v>
      </c>
      <c r="M25" s="52">
        <v>85</v>
      </c>
      <c r="N25" s="52">
        <v>80</v>
      </c>
      <c r="O25" s="52" t="s">
        <v>47</v>
      </c>
    </row>
    <row r="26" spans="1:15" s="53" customFormat="1" ht="246" customHeight="1" x14ac:dyDescent="0.25">
      <c r="A26" s="115"/>
      <c r="B26" s="122"/>
      <c r="C26" s="121"/>
      <c r="D26" s="118"/>
      <c r="E26" s="48">
        <v>0.5</v>
      </c>
      <c r="F26" s="48">
        <f t="shared" si="0"/>
        <v>5.6146730121383905</v>
      </c>
      <c r="G26" s="46" t="s">
        <v>61</v>
      </c>
      <c r="H26" s="54">
        <v>1</v>
      </c>
      <c r="I26" s="50" t="s">
        <v>46</v>
      </c>
      <c r="J26" s="51">
        <v>100</v>
      </c>
      <c r="K26" s="52">
        <v>95</v>
      </c>
      <c r="L26" s="52">
        <v>90</v>
      </c>
      <c r="M26" s="52">
        <v>85</v>
      </c>
      <c r="N26" s="52">
        <v>80</v>
      </c>
      <c r="O26" s="52" t="s">
        <v>47</v>
      </c>
    </row>
    <row r="27" spans="1:15" s="53" customFormat="1" ht="246" customHeight="1" x14ac:dyDescent="0.25">
      <c r="A27" s="115"/>
      <c r="B27" s="122"/>
      <c r="C27" s="121"/>
      <c r="D27" s="117" t="s">
        <v>62</v>
      </c>
      <c r="E27" s="48">
        <v>0.5</v>
      </c>
      <c r="F27" s="48">
        <f t="shared" si="0"/>
        <v>5.6146730121383905</v>
      </c>
      <c r="G27" s="46" t="s">
        <v>63</v>
      </c>
      <c r="H27" s="54">
        <v>1</v>
      </c>
      <c r="I27" s="50" t="s">
        <v>46</v>
      </c>
      <c r="J27" s="51">
        <v>100</v>
      </c>
      <c r="K27" s="52">
        <v>95</v>
      </c>
      <c r="L27" s="52">
        <v>90</v>
      </c>
      <c r="M27" s="52">
        <v>85</v>
      </c>
      <c r="N27" s="52">
        <v>80</v>
      </c>
      <c r="O27" s="52" t="s">
        <v>47</v>
      </c>
    </row>
    <row r="28" spans="1:15" s="53" customFormat="1" ht="246" customHeight="1" x14ac:dyDescent="0.25">
      <c r="A28" s="115"/>
      <c r="B28" s="122"/>
      <c r="C28" s="121"/>
      <c r="D28" s="118"/>
      <c r="E28" s="48">
        <v>0.5</v>
      </c>
      <c r="F28" s="48">
        <f t="shared" si="0"/>
        <v>5.6146730121383905</v>
      </c>
      <c r="G28" s="46" t="s">
        <v>64</v>
      </c>
      <c r="H28" s="54">
        <v>1</v>
      </c>
      <c r="I28" s="50" t="s">
        <v>46</v>
      </c>
      <c r="J28" s="51">
        <v>100</v>
      </c>
      <c r="K28" s="52">
        <v>95</v>
      </c>
      <c r="L28" s="52">
        <v>90</v>
      </c>
      <c r="M28" s="52">
        <v>85</v>
      </c>
      <c r="N28" s="52">
        <v>80</v>
      </c>
      <c r="O28" s="52" t="s">
        <v>47</v>
      </c>
    </row>
    <row r="29" spans="1:15" s="53" customFormat="1" ht="246" customHeight="1" x14ac:dyDescent="0.25">
      <c r="A29" s="115"/>
      <c r="B29" s="122"/>
      <c r="C29" s="121"/>
      <c r="D29" s="117" t="s">
        <v>65</v>
      </c>
      <c r="E29" s="48">
        <v>0.3</v>
      </c>
      <c r="F29" s="48">
        <f t="shared" si="0"/>
        <v>3.3688038072830344</v>
      </c>
      <c r="G29" s="46" t="s">
        <v>66</v>
      </c>
      <c r="H29" s="54">
        <v>1</v>
      </c>
      <c r="I29" s="50" t="s">
        <v>46</v>
      </c>
      <c r="J29" s="51">
        <v>100</v>
      </c>
      <c r="K29" s="52">
        <v>95</v>
      </c>
      <c r="L29" s="52">
        <v>90</v>
      </c>
      <c r="M29" s="52">
        <v>85</v>
      </c>
      <c r="N29" s="52">
        <v>80</v>
      </c>
      <c r="O29" s="52" t="s">
        <v>47</v>
      </c>
    </row>
    <row r="30" spans="1:15" s="53" customFormat="1" ht="246" customHeight="1" x14ac:dyDescent="0.25">
      <c r="A30" s="115"/>
      <c r="B30" s="122"/>
      <c r="C30" s="121"/>
      <c r="D30" s="122"/>
      <c r="E30" s="48">
        <v>0.3</v>
      </c>
      <c r="F30" s="48">
        <f t="shared" si="0"/>
        <v>3.3688038072830344</v>
      </c>
      <c r="G30" s="46" t="s">
        <v>67</v>
      </c>
      <c r="H30" s="54">
        <v>1</v>
      </c>
      <c r="I30" s="50" t="s">
        <v>46</v>
      </c>
      <c r="J30" s="51">
        <v>100</v>
      </c>
      <c r="K30" s="52">
        <v>95</v>
      </c>
      <c r="L30" s="52">
        <v>90</v>
      </c>
      <c r="M30" s="52">
        <v>85</v>
      </c>
      <c r="N30" s="52">
        <v>80</v>
      </c>
      <c r="O30" s="52" t="s">
        <v>47</v>
      </c>
    </row>
    <row r="31" spans="1:15" s="53" customFormat="1" ht="246" customHeight="1" x14ac:dyDescent="0.25">
      <c r="A31" s="115"/>
      <c r="B31" s="122"/>
      <c r="C31" s="121"/>
      <c r="D31" s="118"/>
      <c r="E31" s="48">
        <v>0.4</v>
      </c>
      <c r="F31" s="48">
        <f t="shared" si="0"/>
        <v>4.4917384097107123</v>
      </c>
      <c r="G31" s="46" t="s">
        <v>68</v>
      </c>
      <c r="H31" s="54">
        <v>1</v>
      </c>
      <c r="I31" s="50" t="s">
        <v>46</v>
      </c>
      <c r="J31" s="51">
        <v>100</v>
      </c>
      <c r="K31" s="52">
        <v>95</v>
      </c>
      <c r="L31" s="52">
        <v>90</v>
      </c>
      <c r="M31" s="52">
        <v>85</v>
      </c>
      <c r="N31" s="52">
        <v>80</v>
      </c>
      <c r="O31" s="52" t="s">
        <v>47</v>
      </c>
    </row>
    <row r="32" spans="1:15" s="53" customFormat="1" ht="246" customHeight="1" x14ac:dyDescent="0.25">
      <c r="A32" s="115"/>
      <c r="B32" s="122"/>
      <c r="C32" s="121"/>
      <c r="D32" s="117" t="s">
        <v>69</v>
      </c>
      <c r="E32" s="48">
        <v>1</v>
      </c>
      <c r="F32" s="48">
        <f t="shared" si="0"/>
        <v>11.229346024276781</v>
      </c>
      <c r="G32" s="46" t="s">
        <v>70</v>
      </c>
      <c r="H32" s="54">
        <v>1</v>
      </c>
      <c r="I32" s="50" t="s">
        <v>46</v>
      </c>
      <c r="J32" s="51">
        <v>100</v>
      </c>
      <c r="K32" s="52">
        <v>95</v>
      </c>
      <c r="L32" s="52">
        <v>90</v>
      </c>
      <c r="M32" s="52">
        <v>85</v>
      </c>
      <c r="N32" s="52">
        <v>80</v>
      </c>
      <c r="O32" s="52" t="s">
        <v>47</v>
      </c>
    </row>
    <row r="33" spans="1:15" s="53" customFormat="1" ht="246" customHeight="1" x14ac:dyDescent="0.25">
      <c r="A33" s="116"/>
      <c r="B33" s="118"/>
      <c r="C33" s="120"/>
      <c r="D33" s="118"/>
      <c r="E33" s="48">
        <v>1</v>
      </c>
      <c r="F33" s="48">
        <f t="shared" si="0"/>
        <v>11.229346024276781</v>
      </c>
      <c r="G33" s="46" t="s">
        <v>71</v>
      </c>
      <c r="H33" s="54">
        <v>1</v>
      </c>
      <c r="I33" s="50" t="s">
        <v>46</v>
      </c>
      <c r="J33" s="51">
        <v>100</v>
      </c>
      <c r="K33" s="52">
        <v>95</v>
      </c>
      <c r="L33" s="52">
        <v>90</v>
      </c>
      <c r="M33" s="52">
        <v>85</v>
      </c>
      <c r="N33" s="52">
        <v>80</v>
      </c>
      <c r="O33" s="52" t="s">
        <v>47</v>
      </c>
    </row>
    <row r="34" spans="1:15" s="53" customFormat="1" ht="246" customHeight="1" x14ac:dyDescent="0.25">
      <c r="A34" s="236">
        <v>3</v>
      </c>
      <c r="B34" s="237" t="s">
        <v>72</v>
      </c>
      <c r="C34" s="238">
        <f>SUM(E34:E36)</f>
        <v>0.24999999999999997</v>
      </c>
      <c r="D34" s="237" t="s">
        <v>73</v>
      </c>
      <c r="E34" s="48">
        <v>9.9999999999999992E-2</v>
      </c>
      <c r="F34" s="48">
        <f t="shared" si="0"/>
        <v>1.1229346024276781</v>
      </c>
      <c r="G34" s="46" t="s">
        <v>74</v>
      </c>
      <c r="H34" s="45">
        <v>5</v>
      </c>
      <c r="I34" s="50" t="s">
        <v>75</v>
      </c>
      <c r="J34" s="51" t="s">
        <v>76</v>
      </c>
      <c r="K34" s="52">
        <v>5</v>
      </c>
      <c r="L34" s="52">
        <v>4</v>
      </c>
      <c r="M34" s="52">
        <v>3</v>
      </c>
      <c r="N34" s="52">
        <v>2</v>
      </c>
      <c r="O34" s="52">
        <v>1</v>
      </c>
    </row>
    <row r="35" spans="1:15" s="53" customFormat="1" ht="246" customHeight="1" x14ac:dyDescent="0.25">
      <c r="A35" s="236"/>
      <c r="B35" s="237"/>
      <c r="C35" s="238"/>
      <c r="D35" s="237"/>
      <c r="E35" s="48">
        <v>9.9999999999999992E-2</v>
      </c>
      <c r="F35" s="48">
        <f t="shared" si="0"/>
        <v>1.1229346024276781</v>
      </c>
      <c r="G35" s="46" t="s">
        <v>77</v>
      </c>
      <c r="H35" s="54">
        <v>0.1</v>
      </c>
      <c r="I35" s="45" t="s">
        <v>46</v>
      </c>
      <c r="J35" s="51" t="s">
        <v>78</v>
      </c>
      <c r="K35" s="52">
        <v>10</v>
      </c>
      <c r="L35" s="52">
        <v>7</v>
      </c>
      <c r="M35" s="52">
        <v>6</v>
      </c>
      <c r="N35" s="52">
        <v>5</v>
      </c>
      <c r="O35" s="52" t="s">
        <v>79</v>
      </c>
    </row>
    <row r="36" spans="1:15" s="53" customFormat="1" ht="358.5" customHeight="1" x14ac:dyDescent="0.25">
      <c r="A36" s="236"/>
      <c r="B36" s="237"/>
      <c r="C36" s="238"/>
      <c r="D36" s="237"/>
      <c r="E36" s="48">
        <v>4.9999999999999996E-2</v>
      </c>
      <c r="F36" s="48">
        <f t="shared" si="0"/>
        <v>0.56146730121383903</v>
      </c>
      <c r="G36" s="46" t="s">
        <v>80</v>
      </c>
      <c r="H36" s="45">
        <v>2</v>
      </c>
      <c r="I36" s="50" t="s">
        <v>75</v>
      </c>
      <c r="J36" s="51" t="s">
        <v>81</v>
      </c>
      <c r="K36" s="52">
        <v>2</v>
      </c>
      <c r="L36" s="52">
        <v>1</v>
      </c>
      <c r="M36" s="52">
        <v>0</v>
      </c>
      <c r="N36" s="52"/>
      <c r="O36" s="52"/>
    </row>
    <row r="37" spans="1:15" s="53" customFormat="1" ht="246" customHeight="1" x14ac:dyDescent="0.25">
      <c r="A37" s="114">
        <v>4</v>
      </c>
      <c r="B37" s="117" t="s">
        <v>82</v>
      </c>
      <c r="C37" s="112">
        <f>SUM(E37:E39)</f>
        <v>0.5</v>
      </c>
      <c r="D37" s="117" t="s">
        <v>83</v>
      </c>
      <c r="E37" s="48">
        <v>9.9999999999999992E-2</v>
      </c>
      <c r="F37" s="48">
        <f t="shared" si="0"/>
        <v>1.1229346024276781</v>
      </c>
      <c r="G37" s="46" t="s">
        <v>84</v>
      </c>
      <c r="H37" s="45">
        <v>5</v>
      </c>
      <c r="I37" s="45" t="s">
        <v>75</v>
      </c>
      <c r="J37" s="51" t="s">
        <v>76</v>
      </c>
      <c r="K37" s="52">
        <v>5</v>
      </c>
      <c r="L37" s="52">
        <v>4</v>
      </c>
      <c r="M37" s="52">
        <v>3</v>
      </c>
      <c r="N37" s="52">
        <v>2</v>
      </c>
      <c r="O37" s="52">
        <v>1</v>
      </c>
    </row>
    <row r="38" spans="1:15" s="53" customFormat="1" ht="246" customHeight="1" x14ac:dyDescent="0.25">
      <c r="A38" s="115"/>
      <c r="B38" s="122"/>
      <c r="C38" s="239"/>
      <c r="D38" s="122"/>
      <c r="E38" s="48">
        <v>0.19999999999999998</v>
      </c>
      <c r="F38" s="48">
        <f t="shared" si="0"/>
        <v>2.2458692048553561</v>
      </c>
      <c r="G38" s="46" t="s">
        <v>85</v>
      </c>
      <c r="H38" s="54">
        <v>0.2</v>
      </c>
      <c r="I38" s="50" t="s">
        <v>46</v>
      </c>
      <c r="J38" s="51" t="s">
        <v>86</v>
      </c>
      <c r="K38" s="52">
        <v>20</v>
      </c>
      <c r="L38" s="52">
        <v>15</v>
      </c>
      <c r="M38" s="52">
        <v>10</v>
      </c>
      <c r="N38" s="52">
        <v>5</v>
      </c>
      <c r="O38" s="52" t="s">
        <v>79</v>
      </c>
    </row>
    <row r="39" spans="1:15" s="53" customFormat="1" ht="246" customHeight="1" x14ac:dyDescent="0.25">
      <c r="A39" s="116"/>
      <c r="B39" s="118"/>
      <c r="C39" s="113"/>
      <c r="D39" s="118"/>
      <c r="E39" s="48">
        <v>0.19999999999999998</v>
      </c>
      <c r="F39" s="48">
        <f t="shared" si="0"/>
        <v>2.2458692048553561</v>
      </c>
      <c r="G39" s="46" t="s">
        <v>87</v>
      </c>
      <c r="H39" s="54">
        <v>0.8</v>
      </c>
      <c r="I39" s="45" t="s">
        <v>46</v>
      </c>
      <c r="J39" s="51" t="s">
        <v>88</v>
      </c>
      <c r="K39" s="52">
        <v>80</v>
      </c>
      <c r="L39" s="52">
        <v>75</v>
      </c>
      <c r="M39" s="52">
        <v>70</v>
      </c>
      <c r="N39" s="52">
        <v>50</v>
      </c>
      <c r="O39" s="52" t="s">
        <v>57</v>
      </c>
    </row>
    <row r="40" spans="1:15" s="53" customFormat="1" ht="246" customHeight="1" x14ac:dyDescent="0.25">
      <c r="A40" s="236">
        <v>5</v>
      </c>
      <c r="B40" s="237" t="s">
        <v>89</v>
      </c>
      <c r="C40" s="238">
        <f>SUM(E40:E41)</f>
        <v>0.16666666666666669</v>
      </c>
      <c r="D40" s="237" t="s">
        <v>90</v>
      </c>
      <c r="E40" s="48">
        <v>0.10000000000000002</v>
      </c>
      <c r="F40" s="48">
        <f t="shared" si="0"/>
        <v>1.1229346024276783</v>
      </c>
      <c r="G40" s="46" t="s">
        <v>91</v>
      </c>
      <c r="H40" s="54">
        <v>0.8</v>
      </c>
      <c r="I40" s="45" t="s">
        <v>46</v>
      </c>
      <c r="J40" s="51" t="s">
        <v>88</v>
      </c>
      <c r="K40" s="52">
        <v>80</v>
      </c>
      <c r="L40" s="52">
        <v>75</v>
      </c>
      <c r="M40" s="52">
        <v>70</v>
      </c>
      <c r="N40" s="52">
        <v>50</v>
      </c>
      <c r="O40" s="52" t="s">
        <v>57</v>
      </c>
    </row>
    <row r="41" spans="1:15" s="53" customFormat="1" ht="246" customHeight="1" x14ac:dyDescent="0.25">
      <c r="A41" s="236"/>
      <c r="B41" s="237"/>
      <c r="C41" s="238"/>
      <c r="D41" s="237"/>
      <c r="E41" s="48">
        <v>6.6666666666666666E-2</v>
      </c>
      <c r="F41" s="48">
        <f t="shared" si="0"/>
        <v>0.74862306828511871</v>
      </c>
      <c r="G41" s="46" t="s">
        <v>92</v>
      </c>
      <c r="H41" s="54">
        <v>0.8</v>
      </c>
      <c r="I41" s="45" t="s">
        <v>46</v>
      </c>
      <c r="J41" s="51" t="s">
        <v>88</v>
      </c>
      <c r="K41" s="52">
        <v>80</v>
      </c>
      <c r="L41" s="52">
        <v>75</v>
      </c>
      <c r="M41" s="52">
        <v>70</v>
      </c>
      <c r="N41" s="52">
        <v>50</v>
      </c>
      <c r="O41" s="52" t="s">
        <v>57</v>
      </c>
    </row>
    <row r="42" spans="1:15" s="53" customFormat="1" ht="246" customHeight="1" x14ac:dyDescent="0.25">
      <c r="A42" s="114">
        <v>6</v>
      </c>
      <c r="B42" s="117" t="s">
        <v>93</v>
      </c>
      <c r="C42" s="112">
        <f>SUM(E42:E44)</f>
        <v>2.4285714285714284</v>
      </c>
      <c r="D42" s="117" t="s">
        <v>94</v>
      </c>
      <c r="E42" s="48">
        <v>1</v>
      </c>
      <c r="F42" s="48">
        <f t="shared" si="0"/>
        <v>11.229346024276781</v>
      </c>
      <c r="G42" s="46" t="s">
        <v>95</v>
      </c>
      <c r="H42" s="54">
        <v>1</v>
      </c>
      <c r="I42" s="50" t="s">
        <v>46</v>
      </c>
      <c r="J42" s="51">
        <v>100</v>
      </c>
      <c r="K42" s="52">
        <v>95</v>
      </c>
      <c r="L42" s="52">
        <v>90</v>
      </c>
      <c r="M42" s="52">
        <v>85</v>
      </c>
      <c r="N42" s="52">
        <v>80</v>
      </c>
      <c r="O42" s="52" t="s">
        <v>47</v>
      </c>
    </row>
    <row r="43" spans="1:15" s="53" customFormat="1" ht="246" customHeight="1" x14ac:dyDescent="0.25">
      <c r="A43" s="115"/>
      <c r="B43" s="122"/>
      <c r="C43" s="239"/>
      <c r="D43" s="118"/>
      <c r="E43" s="48">
        <v>1</v>
      </c>
      <c r="F43" s="48">
        <f t="shared" si="0"/>
        <v>11.229346024276781</v>
      </c>
      <c r="G43" s="46" t="s">
        <v>96</v>
      </c>
      <c r="H43" s="54">
        <v>1</v>
      </c>
      <c r="I43" s="50" t="s">
        <v>46</v>
      </c>
      <c r="J43" s="51">
        <v>100</v>
      </c>
      <c r="K43" s="52">
        <v>95</v>
      </c>
      <c r="L43" s="52">
        <v>90</v>
      </c>
      <c r="M43" s="52">
        <v>85</v>
      </c>
      <c r="N43" s="52">
        <v>80</v>
      </c>
      <c r="O43" s="52" t="s">
        <v>47</v>
      </c>
    </row>
    <row r="44" spans="1:15" s="53" customFormat="1" ht="388.5" customHeight="1" x14ac:dyDescent="0.25">
      <c r="A44" s="116"/>
      <c r="B44" s="118"/>
      <c r="C44" s="113"/>
      <c r="D44" s="56" t="s">
        <v>97</v>
      </c>
      <c r="E44" s="48">
        <v>0.42857142857142855</v>
      </c>
      <c r="F44" s="48">
        <f t="shared" si="0"/>
        <v>4.8125768675471914</v>
      </c>
      <c r="G44" s="46" t="s">
        <v>98</v>
      </c>
      <c r="H44" s="54">
        <v>1</v>
      </c>
      <c r="I44" s="50" t="s">
        <v>46</v>
      </c>
      <c r="J44" s="51">
        <v>100</v>
      </c>
      <c r="K44" s="52">
        <v>95</v>
      </c>
      <c r="L44" s="52">
        <v>90</v>
      </c>
      <c r="M44" s="52">
        <v>85</v>
      </c>
      <c r="N44" s="52">
        <v>80</v>
      </c>
      <c r="O44" s="52" t="s">
        <v>47</v>
      </c>
    </row>
    <row r="45" spans="1:15" s="53" customFormat="1" ht="246" customHeight="1" x14ac:dyDescent="0.25">
      <c r="A45" s="236">
        <v>7</v>
      </c>
      <c r="B45" s="237" t="s">
        <v>99</v>
      </c>
      <c r="C45" s="238">
        <f>SUM(E45:E46)</f>
        <v>0.13333333333333333</v>
      </c>
      <c r="D45" s="46" t="s">
        <v>100</v>
      </c>
      <c r="E45" s="48">
        <v>6.6666666666666666E-2</v>
      </c>
      <c r="F45" s="48">
        <f t="shared" si="0"/>
        <v>0.74862306828511871</v>
      </c>
      <c r="G45" s="46" t="s">
        <v>101</v>
      </c>
      <c r="H45" s="49">
        <v>0.7</v>
      </c>
      <c r="I45" s="50" t="s">
        <v>46</v>
      </c>
      <c r="J45" s="51" t="s">
        <v>102</v>
      </c>
      <c r="K45" s="52">
        <v>70</v>
      </c>
      <c r="L45" s="52">
        <v>60</v>
      </c>
      <c r="M45" s="52">
        <v>50</v>
      </c>
      <c r="N45" s="52">
        <v>40</v>
      </c>
      <c r="O45" s="52" t="s">
        <v>103</v>
      </c>
    </row>
    <row r="46" spans="1:15" s="53" customFormat="1" ht="246" customHeight="1" x14ac:dyDescent="0.25">
      <c r="A46" s="236"/>
      <c r="B46" s="237"/>
      <c r="C46" s="238"/>
      <c r="D46" s="46" t="s">
        <v>104</v>
      </c>
      <c r="E46" s="48">
        <v>6.6666666666666666E-2</v>
      </c>
      <c r="F46" s="48">
        <f t="shared" si="0"/>
        <v>0.74862306828511871</v>
      </c>
      <c r="G46" s="46" t="s">
        <v>105</v>
      </c>
      <c r="H46" s="57">
        <v>5</v>
      </c>
      <c r="I46" s="45" t="s">
        <v>75</v>
      </c>
      <c r="J46" s="51" t="s">
        <v>76</v>
      </c>
      <c r="K46" s="52">
        <v>5</v>
      </c>
      <c r="L46" s="52">
        <v>4</v>
      </c>
      <c r="M46" s="52">
        <v>3</v>
      </c>
      <c r="N46" s="52">
        <v>2</v>
      </c>
      <c r="O46" s="52">
        <v>1</v>
      </c>
    </row>
    <row r="47" spans="1:15" ht="82.5" customHeight="1" x14ac:dyDescent="0.8">
      <c r="A47" s="58"/>
      <c r="B47" s="59" t="s">
        <v>106</v>
      </c>
      <c r="C47" s="60">
        <f>SUM(C19:C46)</f>
        <v>8.9052380952380954</v>
      </c>
      <c r="D47" s="60"/>
      <c r="E47" s="60">
        <f>SUM(E19:E46)</f>
        <v>8.9052380952380918</v>
      </c>
      <c r="F47" s="60">
        <f>SUM(F19:F46)</f>
        <v>100</v>
      </c>
      <c r="G47" s="61"/>
      <c r="H47" s="62"/>
      <c r="I47" s="63"/>
      <c r="J47" s="64"/>
      <c r="K47" s="65"/>
      <c r="L47" s="65"/>
      <c r="M47" s="65"/>
      <c r="N47" s="65"/>
      <c r="O47" s="65"/>
    </row>
    <row r="48" spans="1:15" s="4" customFormat="1" ht="61.5" x14ac:dyDescent="0.75">
      <c r="A48" s="149" t="s">
        <v>107</v>
      </c>
      <c r="B48" s="149"/>
      <c r="C48" s="149"/>
      <c r="D48" s="149"/>
      <c r="E48" s="149"/>
      <c r="F48" s="149"/>
      <c r="G48" s="149"/>
      <c r="H48" s="184"/>
      <c r="I48" s="184"/>
      <c r="J48" s="185"/>
      <c r="K48" s="186" t="s">
        <v>108</v>
      </c>
      <c r="L48" s="186"/>
      <c r="M48" s="186"/>
      <c r="N48" s="186"/>
      <c r="O48" s="186"/>
    </row>
    <row r="49" spans="1:15" s="4" customFormat="1" ht="63" x14ac:dyDescent="0.8">
      <c r="A49" s="66"/>
      <c r="B49" s="67"/>
      <c r="C49" s="187" t="s">
        <v>109</v>
      </c>
      <c r="D49" s="187"/>
      <c r="E49" s="187"/>
      <c r="F49" s="187"/>
      <c r="G49" s="187"/>
      <c r="H49" s="68" t="s">
        <v>110</v>
      </c>
      <c r="I49" s="68" t="s">
        <v>111</v>
      </c>
      <c r="J49" s="68" t="s">
        <v>112</v>
      </c>
      <c r="K49" s="186"/>
      <c r="L49" s="186"/>
      <c r="M49" s="186"/>
      <c r="N49" s="186"/>
      <c r="O49" s="186"/>
    </row>
    <row r="50" spans="1:15" ht="63" x14ac:dyDescent="0.8">
      <c r="A50" s="69">
        <v>1</v>
      </c>
      <c r="B50" s="70" t="s">
        <v>113</v>
      </c>
      <c r="C50" s="181"/>
      <c r="D50" s="182"/>
      <c r="E50" s="182"/>
      <c r="F50" s="182"/>
      <c r="G50" s="183"/>
      <c r="H50" s="71"/>
      <c r="I50" s="71"/>
      <c r="J50" s="72"/>
      <c r="K50" s="73"/>
      <c r="L50" s="74" t="s">
        <v>37</v>
      </c>
      <c r="M50" s="172" t="s">
        <v>114</v>
      </c>
      <c r="N50" s="172"/>
      <c r="O50" s="172"/>
    </row>
    <row r="51" spans="1:15" ht="89.25" customHeight="1" x14ac:dyDescent="0.8">
      <c r="A51" s="76" t="s">
        <v>115</v>
      </c>
      <c r="B51" s="77" t="s">
        <v>116</v>
      </c>
      <c r="C51" s="178"/>
      <c r="D51" s="179"/>
      <c r="E51" s="179"/>
      <c r="F51" s="179"/>
      <c r="G51" s="180"/>
      <c r="H51" s="65">
        <v>3</v>
      </c>
      <c r="I51" s="65">
        <v>3</v>
      </c>
      <c r="J51" s="78"/>
      <c r="K51" s="73"/>
      <c r="L51" s="74" t="s">
        <v>38</v>
      </c>
      <c r="M51" s="172" t="s">
        <v>117</v>
      </c>
      <c r="N51" s="172"/>
      <c r="O51" s="172"/>
    </row>
    <row r="52" spans="1:15" ht="86.25" customHeight="1" x14ac:dyDescent="0.8">
      <c r="A52" s="76" t="s">
        <v>118</v>
      </c>
      <c r="B52" s="77" t="s">
        <v>119</v>
      </c>
      <c r="C52" s="178"/>
      <c r="D52" s="179"/>
      <c r="E52" s="179"/>
      <c r="F52" s="179"/>
      <c r="G52" s="180"/>
      <c r="H52" s="65">
        <v>3</v>
      </c>
      <c r="I52" s="65">
        <v>3</v>
      </c>
      <c r="J52" s="78"/>
      <c r="K52" s="73"/>
      <c r="L52" s="74" t="s">
        <v>39</v>
      </c>
      <c r="M52" s="172" t="s">
        <v>120</v>
      </c>
      <c r="N52" s="172"/>
      <c r="O52" s="172"/>
    </row>
    <row r="53" spans="1:15" ht="79.5" customHeight="1" x14ac:dyDescent="0.8">
      <c r="A53" s="76" t="s">
        <v>121</v>
      </c>
      <c r="B53" s="77" t="s">
        <v>122</v>
      </c>
      <c r="C53" s="178"/>
      <c r="D53" s="179"/>
      <c r="E53" s="179"/>
      <c r="F53" s="179"/>
      <c r="G53" s="180"/>
      <c r="H53" s="65">
        <v>3</v>
      </c>
      <c r="I53" s="65">
        <v>3</v>
      </c>
      <c r="J53" s="78"/>
      <c r="K53" s="73"/>
      <c r="L53" s="74" t="s">
        <v>40</v>
      </c>
      <c r="M53" s="172" t="s">
        <v>123</v>
      </c>
      <c r="N53" s="172"/>
      <c r="O53" s="172"/>
    </row>
    <row r="54" spans="1:15" ht="79.5" customHeight="1" x14ac:dyDescent="0.8">
      <c r="A54" s="79">
        <v>2</v>
      </c>
      <c r="B54" s="80" t="s">
        <v>124</v>
      </c>
      <c r="C54" s="175"/>
      <c r="D54" s="176"/>
      <c r="E54" s="176"/>
      <c r="F54" s="176"/>
      <c r="G54" s="177"/>
      <c r="H54" s="65"/>
      <c r="I54" s="65"/>
      <c r="J54" s="78"/>
      <c r="K54" s="73"/>
      <c r="L54" s="74" t="s">
        <v>41</v>
      </c>
      <c r="M54" s="172" t="s">
        <v>125</v>
      </c>
      <c r="N54" s="172"/>
      <c r="O54" s="172"/>
    </row>
    <row r="55" spans="1:15" ht="96.75" customHeight="1" x14ac:dyDescent="0.8">
      <c r="A55" s="76" t="s">
        <v>115</v>
      </c>
      <c r="B55" s="81" t="s">
        <v>126</v>
      </c>
      <c r="C55" s="154"/>
      <c r="D55" s="155"/>
      <c r="E55" s="155"/>
      <c r="F55" s="155"/>
      <c r="G55" s="156"/>
      <c r="H55" s="65">
        <v>3</v>
      </c>
      <c r="I55" s="65">
        <v>3</v>
      </c>
      <c r="J55" s="78"/>
      <c r="K55" s="73"/>
      <c r="L55" s="74" t="s">
        <v>42</v>
      </c>
      <c r="M55" s="172" t="s">
        <v>127</v>
      </c>
      <c r="N55" s="172"/>
      <c r="O55" s="172"/>
    </row>
    <row r="56" spans="1:15" ht="84.75" customHeight="1" x14ac:dyDescent="0.8">
      <c r="A56" s="76" t="s">
        <v>118</v>
      </c>
      <c r="B56" s="81" t="s">
        <v>128</v>
      </c>
      <c r="C56" s="154"/>
      <c r="D56" s="155"/>
      <c r="E56" s="155"/>
      <c r="F56" s="155"/>
      <c r="G56" s="156"/>
      <c r="H56" s="65">
        <v>2</v>
      </c>
      <c r="I56" s="65">
        <v>2</v>
      </c>
      <c r="J56" s="78"/>
      <c r="K56" s="73"/>
      <c r="L56" s="75" t="s">
        <v>112</v>
      </c>
      <c r="M56" s="75" t="s">
        <v>129</v>
      </c>
      <c r="N56" s="82"/>
      <c r="O56" s="82"/>
    </row>
    <row r="57" spans="1:15" ht="96" customHeight="1" x14ac:dyDescent="0.8">
      <c r="A57" s="76" t="s">
        <v>121</v>
      </c>
      <c r="B57" s="83" t="s">
        <v>130</v>
      </c>
      <c r="C57" s="154"/>
      <c r="D57" s="155"/>
      <c r="E57" s="155"/>
      <c r="F57" s="155"/>
      <c r="G57" s="156"/>
      <c r="H57" s="65">
        <v>2</v>
      </c>
      <c r="I57" s="65">
        <v>2</v>
      </c>
      <c r="J57" s="78"/>
      <c r="K57" s="73"/>
      <c r="L57" s="75" t="s">
        <v>131</v>
      </c>
      <c r="M57" s="172" t="s">
        <v>132</v>
      </c>
      <c r="N57" s="172"/>
      <c r="O57" s="172"/>
    </row>
    <row r="58" spans="1:15" ht="63" x14ac:dyDescent="0.8">
      <c r="A58" s="79">
        <v>3</v>
      </c>
      <c r="B58" s="80" t="s">
        <v>133</v>
      </c>
      <c r="C58" s="175"/>
      <c r="D58" s="176"/>
      <c r="E58" s="176"/>
      <c r="F58" s="176"/>
      <c r="G58" s="177"/>
      <c r="H58" s="65"/>
      <c r="I58" s="65"/>
      <c r="J58" s="78"/>
      <c r="K58" s="73"/>
      <c r="L58" s="75" t="s">
        <v>110</v>
      </c>
      <c r="M58" s="172" t="s">
        <v>134</v>
      </c>
      <c r="N58" s="172"/>
      <c r="O58" s="172"/>
    </row>
    <row r="59" spans="1:15" ht="81.75" customHeight="1" x14ac:dyDescent="0.8">
      <c r="A59" s="76" t="s">
        <v>115</v>
      </c>
      <c r="B59" s="81" t="s">
        <v>135</v>
      </c>
      <c r="C59" s="169"/>
      <c r="D59" s="170"/>
      <c r="E59" s="170"/>
      <c r="F59" s="170"/>
      <c r="G59" s="171"/>
      <c r="H59" s="65">
        <v>2</v>
      </c>
      <c r="I59" s="65">
        <v>2</v>
      </c>
      <c r="J59" s="78"/>
      <c r="K59" s="73"/>
      <c r="L59" s="75" t="s">
        <v>111</v>
      </c>
      <c r="M59" s="172" t="s">
        <v>136</v>
      </c>
      <c r="N59" s="172"/>
      <c r="O59" s="172"/>
    </row>
    <row r="60" spans="1:15" ht="72" customHeight="1" x14ac:dyDescent="0.8">
      <c r="A60" s="76" t="s">
        <v>118</v>
      </c>
      <c r="B60" s="81" t="s">
        <v>137</v>
      </c>
      <c r="C60" s="169"/>
      <c r="D60" s="170"/>
      <c r="E60" s="170"/>
      <c r="F60" s="170"/>
      <c r="G60" s="171"/>
      <c r="H60" s="65">
        <v>1</v>
      </c>
      <c r="I60" s="65">
        <v>1</v>
      </c>
      <c r="J60" s="78"/>
      <c r="K60" s="73"/>
      <c r="L60" s="75" t="s">
        <v>138</v>
      </c>
      <c r="M60" s="172" t="s">
        <v>139</v>
      </c>
      <c r="N60" s="172"/>
      <c r="O60" s="172"/>
    </row>
    <row r="61" spans="1:15" ht="78" customHeight="1" x14ac:dyDescent="0.8">
      <c r="A61" s="76" t="s">
        <v>121</v>
      </c>
      <c r="B61" s="81" t="s">
        <v>140</v>
      </c>
      <c r="C61" s="169"/>
      <c r="D61" s="170"/>
      <c r="E61" s="170"/>
      <c r="F61" s="170"/>
      <c r="G61" s="171"/>
      <c r="H61" s="65">
        <v>1</v>
      </c>
      <c r="I61" s="65">
        <v>1</v>
      </c>
      <c r="J61" s="78"/>
      <c r="K61" s="73"/>
      <c r="L61" s="82"/>
      <c r="M61" s="82"/>
      <c r="N61" s="82"/>
      <c r="O61" s="82"/>
    </row>
    <row r="62" spans="1:15" ht="63" x14ac:dyDescent="0.8">
      <c r="A62" s="173" t="s">
        <v>141</v>
      </c>
      <c r="B62" s="174"/>
      <c r="C62" s="174"/>
      <c r="D62" s="174"/>
      <c r="E62" s="174"/>
      <c r="F62" s="174"/>
      <c r="G62" s="174"/>
      <c r="H62" s="84"/>
      <c r="I62" s="84"/>
      <c r="J62" s="84"/>
      <c r="K62" s="73"/>
      <c r="L62" s="82"/>
      <c r="M62" s="82"/>
      <c r="N62" s="82"/>
      <c r="O62" s="82"/>
    </row>
    <row r="63" spans="1:15" ht="63" x14ac:dyDescent="0.8">
      <c r="A63" s="76" t="s">
        <v>115</v>
      </c>
      <c r="B63" s="85" t="s">
        <v>142</v>
      </c>
      <c r="C63" s="154" t="s">
        <v>143</v>
      </c>
      <c r="D63" s="155"/>
      <c r="E63" s="155"/>
      <c r="F63" s="155"/>
      <c r="G63" s="156"/>
      <c r="H63" s="86">
        <v>4</v>
      </c>
      <c r="I63" s="87">
        <v>4</v>
      </c>
      <c r="J63" s="85"/>
      <c r="K63" s="73"/>
      <c r="L63" s="82"/>
      <c r="M63" s="82"/>
      <c r="N63" s="82"/>
      <c r="O63" s="82"/>
    </row>
    <row r="64" spans="1:15" ht="63" x14ac:dyDescent="0.8">
      <c r="A64" s="76" t="s">
        <v>118</v>
      </c>
      <c r="B64" s="85" t="s">
        <v>144</v>
      </c>
      <c r="C64" s="154" t="s">
        <v>145</v>
      </c>
      <c r="D64" s="155"/>
      <c r="E64" s="155"/>
      <c r="F64" s="155"/>
      <c r="G64" s="156"/>
      <c r="H64" s="86">
        <v>4</v>
      </c>
      <c r="I64" s="87">
        <v>4</v>
      </c>
      <c r="J64" s="85"/>
      <c r="K64" s="73"/>
      <c r="L64" s="82"/>
      <c r="M64" s="82"/>
      <c r="N64" s="82"/>
      <c r="O64" s="82"/>
    </row>
    <row r="65" spans="1:15" ht="63" x14ac:dyDescent="0.8">
      <c r="A65" s="76" t="s">
        <v>118</v>
      </c>
      <c r="B65" s="85" t="s">
        <v>146</v>
      </c>
      <c r="C65" s="154" t="s">
        <v>147</v>
      </c>
      <c r="D65" s="155"/>
      <c r="E65" s="155"/>
      <c r="F65" s="155"/>
      <c r="G65" s="156"/>
      <c r="H65" s="86">
        <v>2</v>
      </c>
      <c r="I65" s="87">
        <v>2</v>
      </c>
      <c r="J65" s="85"/>
      <c r="K65" s="73"/>
      <c r="L65" s="82"/>
      <c r="M65" s="82"/>
      <c r="N65" s="82"/>
      <c r="O65" s="82"/>
    </row>
    <row r="66" spans="1:15" s="89" customFormat="1" ht="65.25" x14ac:dyDescent="0.95">
      <c r="A66" s="157" t="s">
        <v>148</v>
      </c>
      <c r="B66" s="157"/>
      <c r="C66" s="157"/>
      <c r="D66" s="157"/>
      <c r="E66" s="157"/>
      <c r="F66" s="157"/>
      <c r="G66" s="157"/>
      <c r="H66" s="157"/>
      <c r="I66" s="157"/>
      <c r="J66" s="88"/>
      <c r="K66" s="82"/>
      <c r="L66" s="82"/>
      <c r="M66" s="82"/>
      <c r="N66" s="82"/>
      <c r="O66" s="82"/>
    </row>
    <row r="67" spans="1:15" s="89" customFormat="1" ht="15" customHeight="1" x14ac:dyDescent="0.95">
      <c r="A67" s="158" t="s">
        <v>149</v>
      </c>
      <c r="B67" s="158"/>
      <c r="C67" s="159"/>
      <c r="D67" s="160"/>
      <c r="E67" s="161" t="s">
        <v>150</v>
      </c>
      <c r="F67" s="143"/>
      <c r="G67" s="164" t="s">
        <v>151</v>
      </c>
      <c r="H67" s="125"/>
      <c r="I67" s="166"/>
      <c r="J67" s="90"/>
      <c r="K67" s="73"/>
      <c r="L67" s="73"/>
      <c r="M67" s="73"/>
      <c r="N67" s="73"/>
      <c r="O67" s="73"/>
    </row>
    <row r="68" spans="1:15" s="89" customFormat="1" ht="33" customHeight="1" x14ac:dyDescent="0.95">
      <c r="A68" s="158"/>
      <c r="B68" s="158"/>
      <c r="C68" s="159"/>
      <c r="D68" s="160"/>
      <c r="E68" s="162"/>
      <c r="F68" s="144"/>
      <c r="G68" s="150"/>
      <c r="H68" s="159"/>
      <c r="I68" s="167"/>
      <c r="J68" s="90"/>
      <c r="K68" s="130"/>
      <c r="L68" s="131"/>
      <c r="M68" s="131"/>
      <c r="N68" s="131"/>
      <c r="O68" s="132"/>
    </row>
    <row r="69" spans="1:15" s="89" customFormat="1" ht="33" customHeight="1" x14ac:dyDescent="0.95">
      <c r="A69" s="158"/>
      <c r="B69" s="158"/>
      <c r="C69" s="159"/>
      <c r="D69" s="160"/>
      <c r="E69" s="162"/>
      <c r="F69" s="144"/>
      <c r="G69" s="150"/>
      <c r="H69" s="159"/>
      <c r="I69" s="167"/>
      <c r="J69" s="90"/>
      <c r="K69" s="133"/>
      <c r="L69" s="129"/>
      <c r="M69" s="129"/>
      <c r="N69" s="129"/>
      <c r="O69" s="134"/>
    </row>
    <row r="70" spans="1:15" s="89" customFormat="1" ht="27.75" customHeight="1" x14ac:dyDescent="0.95">
      <c r="A70" s="158"/>
      <c r="B70" s="158"/>
      <c r="C70" s="127"/>
      <c r="D70" s="128"/>
      <c r="E70" s="163"/>
      <c r="F70" s="145"/>
      <c r="G70" s="165"/>
      <c r="H70" s="127"/>
      <c r="I70" s="168"/>
      <c r="J70" s="90"/>
      <c r="K70" s="133"/>
      <c r="L70" s="129"/>
      <c r="M70" s="129"/>
      <c r="N70" s="129"/>
      <c r="O70" s="134"/>
    </row>
    <row r="71" spans="1:15" s="89" customFormat="1" ht="33" customHeight="1" x14ac:dyDescent="0.95">
      <c r="A71" s="138" t="s">
        <v>152</v>
      </c>
      <c r="B71" s="139"/>
      <c r="C71" s="91"/>
      <c r="D71" s="92"/>
      <c r="E71" s="140" t="s">
        <v>152</v>
      </c>
      <c r="F71" s="143"/>
      <c r="G71" s="146" t="s">
        <v>152</v>
      </c>
      <c r="H71" s="125"/>
      <c r="I71" s="126"/>
      <c r="J71" s="90"/>
      <c r="K71" s="133"/>
      <c r="L71" s="129"/>
      <c r="M71" s="129"/>
      <c r="N71" s="129"/>
      <c r="O71" s="134"/>
    </row>
    <row r="72" spans="1:15" s="89" customFormat="1" ht="30.75" customHeight="1" x14ac:dyDescent="0.95">
      <c r="A72" s="138"/>
      <c r="B72" s="139"/>
      <c r="C72" s="91"/>
      <c r="D72" s="92"/>
      <c r="E72" s="141"/>
      <c r="F72" s="144"/>
      <c r="G72" s="147"/>
      <c r="H72" s="127"/>
      <c r="I72" s="128"/>
      <c r="J72" s="90"/>
      <c r="K72" s="133"/>
      <c r="L72" s="129"/>
      <c r="M72" s="129"/>
      <c r="N72" s="129"/>
      <c r="O72" s="134"/>
    </row>
    <row r="73" spans="1:15" s="89" customFormat="1" ht="17.25" hidden="1" customHeight="1" x14ac:dyDescent="0.95">
      <c r="A73" s="138"/>
      <c r="B73" s="139"/>
      <c r="C73" s="91"/>
      <c r="D73" s="92"/>
      <c r="E73" s="142"/>
      <c r="F73" s="145"/>
      <c r="G73" s="148"/>
      <c r="H73" s="93"/>
      <c r="I73" s="93"/>
      <c r="J73" s="90"/>
      <c r="K73" s="133"/>
      <c r="L73" s="129"/>
      <c r="M73" s="129"/>
      <c r="N73" s="129"/>
      <c r="O73" s="134"/>
    </row>
    <row r="74" spans="1:15" s="89" customFormat="1" ht="33" customHeight="1" x14ac:dyDescent="0.95">
      <c r="A74" s="149" t="s">
        <v>153</v>
      </c>
      <c r="B74" s="150"/>
      <c r="C74" s="151"/>
      <c r="D74" s="151"/>
      <c r="E74" s="152" t="s">
        <v>153</v>
      </c>
      <c r="F74" s="143"/>
      <c r="G74" s="123" t="s">
        <v>153</v>
      </c>
      <c r="H74" s="125"/>
      <c r="I74" s="126"/>
      <c r="J74" s="90"/>
      <c r="K74" s="133"/>
      <c r="L74" s="129"/>
      <c r="M74" s="129"/>
      <c r="N74" s="129"/>
      <c r="O74" s="134"/>
    </row>
    <row r="75" spans="1:15" s="89" customFormat="1" ht="33" customHeight="1" x14ac:dyDescent="0.95">
      <c r="A75" s="149"/>
      <c r="B75" s="150"/>
      <c r="C75" s="151"/>
      <c r="D75" s="151"/>
      <c r="E75" s="153"/>
      <c r="F75" s="145"/>
      <c r="G75" s="124"/>
      <c r="H75" s="127"/>
      <c r="I75" s="128"/>
      <c r="J75" s="90"/>
      <c r="K75" s="133"/>
      <c r="L75" s="129"/>
      <c r="M75" s="129"/>
      <c r="N75" s="129"/>
      <c r="O75" s="134"/>
    </row>
    <row r="76" spans="1:15" s="89" customFormat="1" ht="65.25" x14ac:dyDescent="0.95">
      <c r="A76" s="129"/>
      <c r="B76" s="129"/>
      <c r="C76" s="129"/>
      <c r="D76" s="129"/>
      <c r="E76" s="129"/>
      <c r="F76" s="129"/>
      <c r="G76" s="129"/>
      <c r="H76" s="129"/>
      <c r="I76" s="129"/>
      <c r="J76" s="90"/>
      <c r="K76" s="135"/>
      <c r="L76" s="136"/>
      <c r="M76" s="136"/>
      <c r="N76" s="136"/>
      <c r="O76" s="137"/>
    </row>
  </sheetData>
  <mergeCells count="111">
    <mergeCell ref="A1:O3"/>
    <mergeCell ref="A4:I4"/>
    <mergeCell ref="E5:I5"/>
    <mergeCell ref="A6:I6"/>
    <mergeCell ref="A7:B7"/>
    <mergeCell ref="I7:J7"/>
    <mergeCell ref="A12:I12"/>
    <mergeCell ref="A13:B13"/>
    <mergeCell ref="I13:J13"/>
    <mergeCell ref="A14:B14"/>
    <mergeCell ref="I14:J14"/>
    <mergeCell ref="A15:I15"/>
    <mergeCell ref="A8:B8"/>
    <mergeCell ref="I8:J8"/>
    <mergeCell ref="A9:I9"/>
    <mergeCell ref="A10:B10"/>
    <mergeCell ref="I10:J10"/>
    <mergeCell ref="A11:B11"/>
    <mergeCell ref="I11:J11"/>
    <mergeCell ref="J17:O17"/>
    <mergeCell ref="A19:A24"/>
    <mergeCell ref="B19:B24"/>
    <mergeCell ref="C19:C24"/>
    <mergeCell ref="D19:D21"/>
    <mergeCell ref="D22:D24"/>
    <mergeCell ref="A16:I16"/>
    <mergeCell ref="A17:A18"/>
    <mergeCell ref="B17:B18"/>
    <mergeCell ref="C17:C18"/>
    <mergeCell ref="D17:D18"/>
    <mergeCell ref="E17:E18"/>
    <mergeCell ref="F17:F18"/>
    <mergeCell ref="G17:G18"/>
    <mergeCell ref="H17:H18"/>
    <mergeCell ref="I17:I18"/>
    <mergeCell ref="A34:A36"/>
    <mergeCell ref="B34:B36"/>
    <mergeCell ref="C34:C36"/>
    <mergeCell ref="D34:D36"/>
    <mergeCell ref="A37:A39"/>
    <mergeCell ref="B37:B39"/>
    <mergeCell ref="C37:C39"/>
    <mergeCell ref="D37:D39"/>
    <mergeCell ref="A25:A33"/>
    <mergeCell ref="B25:B33"/>
    <mergeCell ref="C25:C33"/>
    <mergeCell ref="D25:D26"/>
    <mergeCell ref="D27:D28"/>
    <mergeCell ref="D29:D31"/>
    <mergeCell ref="D32:D33"/>
    <mergeCell ref="A45:A46"/>
    <mergeCell ref="B45:B46"/>
    <mergeCell ref="C45:C46"/>
    <mergeCell ref="A48:G48"/>
    <mergeCell ref="H48:J48"/>
    <mergeCell ref="K48:O49"/>
    <mergeCell ref="C49:G49"/>
    <mergeCell ref="A40:A41"/>
    <mergeCell ref="B40:B41"/>
    <mergeCell ref="C40:C41"/>
    <mergeCell ref="D40:D41"/>
    <mergeCell ref="A42:A44"/>
    <mergeCell ref="B42:B44"/>
    <mergeCell ref="C42:C44"/>
    <mergeCell ref="D42:D43"/>
    <mergeCell ref="C53:G53"/>
    <mergeCell ref="M53:O53"/>
    <mergeCell ref="C54:G54"/>
    <mergeCell ref="M54:O54"/>
    <mergeCell ref="C55:G55"/>
    <mergeCell ref="M55:O55"/>
    <mergeCell ref="C50:G50"/>
    <mergeCell ref="M50:O50"/>
    <mergeCell ref="C51:G51"/>
    <mergeCell ref="M51:O51"/>
    <mergeCell ref="C52:G52"/>
    <mergeCell ref="M52:O52"/>
    <mergeCell ref="M60:O60"/>
    <mergeCell ref="C61:G61"/>
    <mergeCell ref="A62:G62"/>
    <mergeCell ref="C63:G63"/>
    <mergeCell ref="C64:G64"/>
    <mergeCell ref="C56:G56"/>
    <mergeCell ref="C57:G57"/>
    <mergeCell ref="M57:O57"/>
    <mergeCell ref="C58:G58"/>
    <mergeCell ref="M58:O58"/>
    <mergeCell ref="C59:G59"/>
    <mergeCell ref="M59:O59"/>
    <mergeCell ref="C65:G65"/>
    <mergeCell ref="A66:I66"/>
    <mergeCell ref="A67:B70"/>
    <mergeCell ref="C67:D70"/>
    <mergeCell ref="E67:E70"/>
    <mergeCell ref="F67:F70"/>
    <mergeCell ref="G67:G70"/>
    <mergeCell ref="H67:I70"/>
    <mergeCell ref="C60:G60"/>
    <mergeCell ref="G74:G75"/>
    <mergeCell ref="H74:I75"/>
    <mergeCell ref="A76:I76"/>
    <mergeCell ref="K68:O76"/>
    <mergeCell ref="A71:B73"/>
    <mergeCell ref="E71:E73"/>
    <mergeCell ref="F71:F73"/>
    <mergeCell ref="G71:G73"/>
    <mergeCell ref="H71:I72"/>
    <mergeCell ref="A74:B75"/>
    <mergeCell ref="C74:D75"/>
    <mergeCell ref="E74:E75"/>
    <mergeCell ref="F74:F75"/>
  </mergeCells>
  <pageMargins left="0.45" right="0.2" top="0.25" bottom="0.25" header="0.3" footer="0.3"/>
  <pageSetup paperSize="9" scale="1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E673-E5DD-477E-A005-CB13178E8ED5}">
  <sheetPr>
    <pageSetUpPr fitToPage="1"/>
  </sheetPr>
  <dimension ref="A1:O68"/>
  <sheetViews>
    <sheetView zoomScale="20" zoomScaleNormal="20" workbookViewId="0">
      <selection activeCell="D21" sqref="D21"/>
    </sheetView>
  </sheetViews>
  <sheetFormatPr defaultColWidth="9.140625" defaultRowHeight="15" x14ac:dyDescent="0.25"/>
  <cols>
    <col min="1" max="1" width="14.42578125" style="1" customWidth="1"/>
    <col min="2" max="2" width="110.85546875" style="1" customWidth="1"/>
    <col min="3" max="3" width="68.7109375" style="1" bestFit="1" customWidth="1"/>
    <col min="4" max="4" width="255.7109375" style="1" bestFit="1" customWidth="1"/>
    <col min="5" max="5" width="102.28515625" style="1" bestFit="1" customWidth="1"/>
    <col min="6" max="6" width="69" style="1" customWidth="1"/>
    <col min="7" max="7" width="255.7109375" style="1" bestFit="1" customWidth="1"/>
    <col min="8" max="8" width="74.7109375" style="1" customWidth="1"/>
    <col min="9" max="9" width="70.5703125" style="1" customWidth="1"/>
    <col min="10" max="10" width="45.7109375" style="1" customWidth="1"/>
    <col min="11" max="13" width="32.7109375" style="1" customWidth="1"/>
    <col min="14" max="14" width="28.7109375" style="1" customWidth="1"/>
    <col min="15" max="15" width="31.28515625" style="1" customWidth="1"/>
    <col min="16" max="16384" width="9.140625" style="1"/>
  </cols>
  <sheetData>
    <row r="1" spans="1:15" ht="22.5" customHeight="1" x14ac:dyDescent="0.25">
      <c r="A1" s="220" t="s">
        <v>0</v>
      </c>
      <c r="B1" s="221"/>
      <c r="C1" s="221"/>
      <c r="D1" s="221"/>
      <c r="E1" s="221"/>
      <c r="F1" s="221"/>
      <c r="G1" s="221"/>
      <c r="H1" s="221"/>
      <c r="I1" s="221"/>
      <c r="J1" s="221"/>
      <c r="K1" s="221"/>
      <c r="L1" s="221"/>
      <c r="M1" s="221"/>
      <c r="N1" s="221"/>
      <c r="O1" s="222"/>
    </row>
    <row r="2" spans="1:15" ht="22.5" customHeight="1" x14ac:dyDescent="0.25">
      <c r="A2" s="223"/>
      <c r="B2" s="224"/>
      <c r="C2" s="224"/>
      <c r="D2" s="224"/>
      <c r="E2" s="224"/>
      <c r="F2" s="224"/>
      <c r="G2" s="224"/>
      <c r="H2" s="224"/>
      <c r="I2" s="224"/>
      <c r="J2" s="224"/>
      <c r="K2" s="224"/>
      <c r="L2" s="224"/>
      <c r="M2" s="224"/>
      <c r="N2" s="224"/>
      <c r="O2" s="225"/>
    </row>
    <row r="3" spans="1:15" ht="22.5" customHeight="1" x14ac:dyDescent="0.25">
      <c r="A3" s="226"/>
      <c r="B3" s="227"/>
      <c r="C3" s="227"/>
      <c r="D3" s="227"/>
      <c r="E3" s="227"/>
      <c r="F3" s="227"/>
      <c r="G3" s="227"/>
      <c r="H3" s="227"/>
      <c r="I3" s="227"/>
      <c r="J3" s="227"/>
      <c r="K3" s="227"/>
      <c r="L3" s="227"/>
      <c r="M3" s="227"/>
      <c r="N3" s="227"/>
      <c r="O3" s="228"/>
    </row>
    <row r="4" spans="1:15" s="4" customFormat="1" ht="51" x14ac:dyDescent="0.75">
      <c r="A4" s="229" t="s">
        <v>1</v>
      </c>
      <c r="B4" s="229"/>
      <c r="C4" s="229"/>
      <c r="D4" s="229"/>
      <c r="E4" s="229"/>
      <c r="F4" s="229"/>
      <c r="G4" s="229"/>
      <c r="H4" s="229"/>
      <c r="I4" s="229"/>
      <c r="J4" s="2"/>
      <c r="K4" s="3"/>
      <c r="L4" s="3"/>
      <c r="M4" s="3"/>
      <c r="N4" s="3"/>
      <c r="O4" s="3"/>
    </row>
    <row r="5" spans="1:15" s="4" customFormat="1" ht="47.25" customHeight="1" x14ac:dyDescent="0.75">
      <c r="A5" s="5" t="s">
        <v>2</v>
      </c>
      <c r="B5" s="6" t="s">
        <v>3</v>
      </c>
      <c r="C5" s="7" t="s">
        <v>4</v>
      </c>
      <c r="D5" s="8" t="s">
        <v>5</v>
      </c>
      <c r="E5" s="230"/>
      <c r="F5" s="230"/>
      <c r="G5" s="230"/>
      <c r="H5" s="230"/>
      <c r="I5" s="230"/>
      <c r="J5" s="9"/>
      <c r="K5" s="3"/>
      <c r="L5" s="3"/>
      <c r="M5" s="3"/>
      <c r="N5" s="3"/>
      <c r="O5" s="3"/>
    </row>
    <row r="6" spans="1:15" s="12" customFormat="1" ht="38.25" customHeight="1" x14ac:dyDescent="0.55000000000000004">
      <c r="A6" s="231" t="s">
        <v>6</v>
      </c>
      <c r="B6" s="231"/>
      <c r="C6" s="231"/>
      <c r="D6" s="231"/>
      <c r="E6" s="231"/>
      <c r="F6" s="231"/>
      <c r="G6" s="231"/>
      <c r="H6" s="231"/>
      <c r="I6" s="231"/>
      <c r="J6" s="10"/>
      <c r="K6" s="11"/>
      <c r="L6" s="11"/>
      <c r="M6" s="11"/>
      <c r="N6" s="11"/>
      <c r="O6" s="11"/>
    </row>
    <row r="7" spans="1:15" s="99" customFormat="1" ht="51" x14ac:dyDescent="0.75">
      <c r="A7" s="232" t="s">
        <v>7</v>
      </c>
      <c r="B7" s="233"/>
      <c r="C7" s="95" t="s">
        <v>216</v>
      </c>
      <c r="D7" s="96" t="s">
        <v>9</v>
      </c>
      <c r="E7" s="95" t="s">
        <v>217</v>
      </c>
      <c r="F7" s="96" t="s">
        <v>11</v>
      </c>
      <c r="G7" s="97" t="s">
        <v>218</v>
      </c>
      <c r="H7" s="96" t="s">
        <v>12</v>
      </c>
      <c r="I7" s="234" t="s">
        <v>13</v>
      </c>
      <c r="J7" s="235"/>
      <c r="K7" s="98"/>
      <c r="L7" s="98"/>
      <c r="M7" s="98"/>
      <c r="N7" s="98"/>
      <c r="O7" s="98"/>
    </row>
    <row r="8" spans="1:15" s="99" customFormat="1" ht="51" x14ac:dyDescent="0.75">
      <c r="A8" s="208" t="s">
        <v>14</v>
      </c>
      <c r="B8" s="209"/>
      <c r="C8" s="100">
        <v>88723</v>
      </c>
      <c r="D8" s="101" t="s">
        <v>15</v>
      </c>
      <c r="E8" s="102"/>
      <c r="F8" s="101" t="s">
        <v>16</v>
      </c>
      <c r="G8" s="103"/>
      <c r="H8" s="101" t="s">
        <v>17</v>
      </c>
      <c r="I8" s="210" t="s">
        <v>154</v>
      </c>
      <c r="J8" s="211"/>
      <c r="K8" s="98"/>
      <c r="L8" s="98"/>
      <c r="M8" s="98"/>
      <c r="N8" s="98"/>
      <c r="O8" s="98"/>
    </row>
    <row r="9" spans="1:15" s="24" customFormat="1" ht="62.25" customHeight="1" x14ac:dyDescent="0.75">
      <c r="A9" s="198" t="s">
        <v>19</v>
      </c>
      <c r="B9" s="198"/>
      <c r="C9" s="198"/>
      <c r="D9" s="198"/>
      <c r="E9" s="198"/>
      <c r="F9" s="198"/>
      <c r="G9" s="198"/>
      <c r="H9" s="198"/>
      <c r="I9" s="198"/>
      <c r="J9" s="22"/>
      <c r="K9" s="23"/>
      <c r="L9" s="23"/>
      <c r="M9" s="23"/>
      <c r="N9" s="23"/>
      <c r="O9" s="23"/>
    </row>
    <row r="10" spans="1:15" s="108" customFormat="1" ht="51" x14ac:dyDescent="0.75">
      <c r="A10" s="212" t="s">
        <v>7</v>
      </c>
      <c r="B10" s="213"/>
      <c r="C10" s="104" t="s">
        <v>8</v>
      </c>
      <c r="D10" s="105" t="s">
        <v>9</v>
      </c>
      <c r="E10" s="104" t="s">
        <v>10</v>
      </c>
      <c r="F10" s="105" t="s">
        <v>11</v>
      </c>
      <c r="G10" s="106"/>
      <c r="H10" s="105" t="s">
        <v>12</v>
      </c>
      <c r="I10" s="214" t="s">
        <v>13</v>
      </c>
      <c r="J10" s="215"/>
      <c r="K10" s="107"/>
      <c r="L10" s="107"/>
      <c r="M10" s="107"/>
      <c r="N10" s="107"/>
      <c r="O10" s="107"/>
    </row>
    <row r="11" spans="1:15" s="108" customFormat="1" ht="51.75" x14ac:dyDescent="0.75">
      <c r="A11" s="216" t="s">
        <v>14</v>
      </c>
      <c r="B11" s="217"/>
      <c r="C11" s="109">
        <v>371546</v>
      </c>
      <c r="D11" s="110" t="s">
        <v>15</v>
      </c>
      <c r="E11" s="102"/>
      <c r="F11" s="110" t="s">
        <v>16</v>
      </c>
      <c r="G11" s="111"/>
      <c r="H11" s="110" t="s">
        <v>17</v>
      </c>
      <c r="I11" s="218" t="s">
        <v>154</v>
      </c>
      <c r="J11" s="219"/>
      <c r="K11" s="107"/>
      <c r="L11" s="107"/>
      <c r="M11" s="107"/>
      <c r="N11" s="107"/>
      <c r="O11" s="107"/>
    </row>
    <row r="12" spans="1:15" s="24" customFormat="1" ht="51" x14ac:dyDescent="0.75">
      <c r="A12" s="198" t="s">
        <v>26</v>
      </c>
      <c r="B12" s="198"/>
      <c r="C12" s="198"/>
      <c r="D12" s="198"/>
      <c r="E12" s="198"/>
      <c r="F12" s="198"/>
      <c r="G12" s="198"/>
      <c r="H12" s="198"/>
      <c r="I12" s="198"/>
      <c r="J12" s="22"/>
      <c r="K12" s="23"/>
      <c r="L12" s="23"/>
      <c r="M12" s="23"/>
      <c r="N12" s="23"/>
      <c r="O12" s="23"/>
    </row>
    <row r="13" spans="1:15" s="30" customFormat="1" ht="51" x14ac:dyDescent="0.75">
      <c r="A13" s="199" t="s">
        <v>7</v>
      </c>
      <c r="B13" s="200"/>
      <c r="C13" s="25" t="s">
        <v>20</v>
      </c>
      <c r="D13" s="26" t="s">
        <v>9</v>
      </c>
      <c r="E13" s="25" t="s">
        <v>21</v>
      </c>
      <c r="F13" s="27" t="s">
        <v>11</v>
      </c>
      <c r="G13" s="28" t="s">
        <v>22</v>
      </c>
      <c r="H13" s="26" t="s">
        <v>12</v>
      </c>
      <c r="I13" s="201" t="s">
        <v>23</v>
      </c>
      <c r="J13" s="202"/>
      <c r="K13" s="29"/>
      <c r="L13" s="29"/>
      <c r="M13" s="29"/>
      <c r="N13" s="29"/>
      <c r="O13" s="29"/>
    </row>
    <row r="14" spans="1:15" s="30" customFormat="1" ht="51.75" x14ac:dyDescent="0.75">
      <c r="A14" s="203" t="s">
        <v>14</v>
      </c>
      <c r="B14" s="204"/>
      <c r="C14" s="31">
        <v>60529</v>
      </c>
      <c r="D14" s="32" t="s">
        <v>15</v>
      </c>
      <c r="E14" s="33" t="s">
        <v>24</v>
      </c>
      <c r="F14" s="34" t="s">
        <v>16</v>
      </c>
      <c r="G14" s="35"/>
      <c r="H14" s="32" t="s">
        <v>17</v>
      </c>
      <c r="I14" s="205" t="s">
        <v>25</v>
      </c>
      <c r="J14" s="206"/>
      <c r="K14" s="29"/>
      <c r="L14" s="29"/>
      <c r="M14" s="29"/>
      <c r="N14" s="29"/>
      <c r="O14" s="29"/>
    </row>
    <row r="15" spans="1:15" ht="24" x14ac:dyDescent="0.35">
      <c r="A15" s="207"/>
      <c r="B15" s="207"/>
      <c r="C15" s="207"/>
      <c r="D15" s="207"/>
      <c r="E15" s="207"/>
      <c r="F15" s="207"/>
      <c r="G15" s="207"/>
      <c r="H15" s="207"/>
      <c r="I15" s="207"/>
      <c r="J15" s="37"/>
      <c r="K15" s="38"/>
      <c r="L15" s="39"/>
      <c r="M15" s="39"/>
      <c r="N15" s="39"/>
      <c r="O15" s="39"/>
    </row>
    <row r="16" spans="1:15" ht="33" x14ac:dyDescent="0.45">
      <c r="A16" s="191" t="s">
        <v>27</v>
      </c>
      <c r="B16" s="191"/>
      <c r="C16" s="191"/>
      <c r="D16" s="191"/>
      <c r="E16" s="191"/>
      <c r="F16" s="191"/>
      <c r="G16" s="191"/>
      <c r="H16" s="191"/>
      <c r="I16" s="191"/>
      <c r="J16" s="40"/>
      <c r="K16" s="41"/>
      <c r="L16" s="42"/>
      <c r="M16" s="42"/>
      <c r="N16" s="42"/>
      <c r="O16" s="42"/>
    </row>
    <row r="17" spans="1:15" ht="57.75" customHeight="1" x14ac:dyDescent="0.25">
      <c r="A17" s="192" t="s">
        <v>28</v>
      </c>
      <c r="B17" s="193" t="s">
        <v>29</v>
      </c>
      <c r="C17" s="192" t="s">
        <v>30</v>
      </c>
      <c r="D17" s="192" t="s">
        <v>31</v>
      </c>
      <c r="E17" s="192" t="s">
        <v>30</v>
      </c>
      <c r="F17" s="194" t="s">
        <v>32</v>
      </c>
      <c r="G17" s="194" t="s">
        <v>33</v>
      </c>
      <c r="H17" s="196" t="s">
        <v>34</v>
      </c>
      <c r="I17" s="194" t="s">
        <v>35</v>
      </c>
      <c r="J17" s="188" t="s">
        <v>36</v>
      </c>
      <c r="K17" s="189"/>
      <c r="L17" s="189"/>
      <c r="M17" s="189"/>
      <c r="N17" s="189"/>
      <c r="O17" s="190"/>
    </row>
    <row r="18" spans="1:15" ht="51.75" customHeight="1" x14ac:dyDescent="0.25">
      <c r="A18" s="193"/>
      <c r="B18" s="193"/>
      <c r="C18" s="193"/>
      <c r="D18" s="193"/>
      <c r="E18" s="193"/>
      <c r="F18" s="195"/>
      <c r="G18" s="195"/>
      <c r="H18" s="197"/>
      <c r="I18" s="195"/>
      <c r="J18" s="43" t="s">
        <v>37</v>
      </c>
      <c r="K18" s="44" t="s">
        <v>38</v>
      </c>
      <c r="L18" s="44" t="s">
        <v>39</v>
      </c>
      <c r="M18" s="43" t="s">
        <v>40</v>
      </c>
      <c r="N18" s="43" t="s">
        <v>41</v>
      </c>
      <c r="O18" s="43" t="s">
        <v>42</v>
      </c>
    </row>
    <row r="19" spans="1:15" s="53" customFormat="1" ht="212.25" customHeight="1" x14ac:dyDescent="0.25">
      <c r="A19" s="114">
        <v>1</v>
      </c>
      <c r="B19" s="117" t="s">
        <v>181</v>
      </c>
      <c r="C19" s="119">
        <f>0.6 *2.99449227314047</f>
        <v>1.796695363884282</v>
      </c>
      <c r="D19" s="56" t="s">
        <v>176</v>
      </c>
      <c r="E19" s="48">
        <f>C19/5</f>
        <v>0.35933907277685639</v>
      </c>
      <c r="F19" s="48">
        <f>E19/$E$39 * 100</f>
        <v>0.59297954573531175</v>
      </c>
      <c r="G19" s="46" t="s">
        <v>182</v>
      </c>
      <c r="H19" s="49">
        <v>1</v>
      </c>
      <c r="I19" s="50" t="s">
        <v>46</v>
      </c>
      <c r="J19" s="51">
        <v>100</v>
      </c>
      <c r="K19" s="52">
        <v>95</v>
      </c>
      <c r="L19" s="52">
        <v>90</v>
      </c>
      <c r="M19" s="52">
        <v>85</v>
      </c>
      <c r="N19" s="52">
        <v>80</v>
      </c>
      <c r="O19" s="52" t="s">
        <v>47</v>
      </c>
    </row>
    <row r="20" spans="1:15" s="53" customFormat="1" ht="325.5" customHeight="1" x14ac:dyDescent="0.25">
      <c r="A20" s="115"/>
      <c r="B20" s="122"/>
      <c r="C20" s="121"/>
      <c r="D20" s="56" t="s">
        <v>177</v>
      </c>
      <c r="E20" s="48">
        <f>C19/5</f>
        <v>0.35933907277685639</v>
      </c>
      <c r="F20" s="48">
        <f t="shared" ref="F20:F38" si="0">E20/$E$39 * 100</f>
        <v>0.59297954573531175</v>
      </c>
      <c r="G20" s="46" t="s">
        <v>183</v>
      </c>
      <c r="H20" s="49">
        <v>1</v>
      </c>
      <c r="I20" s="50" t="s">
        <v>46</v>
      </c>
      <c r="J20" s="51">
        <v>100</v>
      </c>
      <c r="K20" s="52">
        <v>95</v>
      </c>
      <c r="L20" s="52">
        <v>90</v>
      </c>
      <c r="M20" s="52">
        <v>85</v>
      </c>
      <c r="N20" s="52">
        <v>80</v>
      </c>
      <c r="O20" s="52" t="s">
        <v>47</v>
      </c>
    </row>
    <row r="21" spans="1:15" s="53" customFormat="1" ht="325.5" customHeight="1" x14ac:dyDescent="0.25">
      <c r="A21" s="115"/>
      <c r="B21" s="122"/>
      <c r="C21" s="121"/>
      <c r="D21" s="56" t="s">
        <v>178</v>
      </c>
      <c r="E21" s="48">
        <f>C19/5</f>
        <v>0.35933907277685639</v>
      </c>
      <c r="F21" s="48">
        <f t="shared" si="0"/>
        <v>0.59297954573531175</v>
      </c>
      <c r="G21" s="46" t="s">
        <v>184</v>
      </c>
      <c r="H21" s="49">
        <v>1</v>
      </c>
      <c r="I21" s="50" t="s">
        <v>46</v>
      </c>
      <c r="J21" s="51">
        <v>100</v>
      </c>
      <c r="K21" s="52">
        <v>95</v>
      </c>
      <c r="L21" s="52">
        <v>90</v>
      </c>
      <c r="M21" s="52">
        <v>85</v>
      </c>
      <c r="N21" s="52">
        <v>80</v>
      </c>
      <c r="O21" s="52" t="s">
        <v>47</v>
      </c>
    </row>
    <row r="22" spans="1:15" s="53" customFormat="1" ht="325.5" customHeight="1" x14ac:dyDescent="0.25">
      <c r="A22" s="115"/>
      <c r="B22" s="122"/>
      <c r="C22" s="121"/>
      <c r="D22" s="56" t="s">
        <v>179</v>
      </c>
      <c r="E22" s="48">
        <f>C19/5</f>
        <v>0.35933907277685639</v>
      </c>
      <c r="F22" s="48">
        <f t="shared" si="0"/>
        <v>0.59297954573531175</v>
      </c>
      <c r="G22" s="46" t="s">
        <v>185</v>
      </c>
      <c r="H22" s="45">
        <v>5</v>
      </c>
      <c r="I22" s="50" t="s">
        <v>75</v>
      </c>
      <c r="J22" s="51" t="s">
        <v>76</v>
      </c>
      <c r="K22" s="52">
        <v>5</v>
      </c>
      <c r="L22" s="52">
        <v>4</v>
      </c>
      <c r="M22" s="52">
        <v>3</v>
      </c>
      <c r="N22" s="52">
        <v>2</v>
      </c>
      <c r="O22" s="52">
        <v>1</v>
      </c>
    </row>
    <row r="23" spans="1:15" s="53" customFormat="1" ht="287.25" customHeight="1" x14ac:dyDescent="0.25">
      <c r="A23" s="116"/>
      <c r="B23" s="118"/>
      <c r="C23" s="120"/>
      <c r="D23" s="56" t="s">
        <v>180</v>
      </c>
      <c r="E23" s="48">
        <f>C19/5</f>
        <v>0.35933907277685639</v>
      </c>
      <c r="F23" s="48">
        <f t="shared" si="0"/>
        <v>0.59297954573531175</v>
      </c>
      <c r="G23" s="46" t="s">
        <v>186</v>
      </c>
      <c r="H23" s="49">
        <v>1</v>
      </c>
      <c r="I23" s="50" t="s">
        <v>46</v>
      </c>
      <c r="J23" s="51">
        <v>100</v>
      </c>
      <c r="K23" s="52">
        <v>95</v>
      </c>
      <c r="L23" s="52">
        <v>90</v>
      </c>
      <c r="M23" s="52">
        <v>85</v>
      </c>
      <c r="N23" s="52">
        <v>80</v>
      </c>
      <c r="O23" s="52" t="s">
        <v>47</v>
      </c>
    </row>
    <row r="24" spans="1:15" s="53" customFormat="1" ht="231.75" customHeight="1" x14ac:dyDescent="0.25">
      <c r="A24" s="114">
        <v>2</v>
      </c>
      <c r="B24" s="117" t="s">
        <v>187</v>
      </c>
      <c r="C24" s="119">
        <f>0.6 *1.79669536388429</f>
        <v>1.0780172183305738</v>
      </c>
      <c r="D24" s="56" t="s">
        <v>188</v>
      </c>
      <c r="E24" s="48">
        <f>C24/2</f>
        <v>0.53900860916528692</v>
      </c>
      <c r="F24" s="48">
        <f t="shared" si="0"/>
        <v>0.8894693186029714</v>
      </c>
      <c r="G24" s="46" t="s">
        <v>190</v>
      </c>
      <c r="H24" s="49">
        <v>0.5</v>
      </c>
      <c r="I24" s="50" t="s">
        <v>46</v>
      </c>
      <c r="J24" s="51" t="s">
        <v>52</v>
      </c>
      <c r="K24" s="52">
        <v>50</v>
      </c>
      <c r="L24" s="52">
        <v>45</v>
      </c>
      <c r="M24" s="52">
        <v>40</v>
      </c>
      <c r="N24" s="52">
        <v>25</v>
      </c>
      <c r="O24" s="52" t="s">
        <v>53</v>
      </c>
    </row>
    <row r="25" spans="1:15" s="53" customFormat="1" ht="199.5" customHeight="1" x14ac:dyDescent="0.25">
      <c r="A25" s="116"/>
      <c r="B25" s="118"/>
      <c r="C25" s="120"/>
      <c r="D25" s="56" t="s">
        <v>189</v>
      </c>
      <c r="E25" s="48">
        <f>C24/2</f>
        <v>0.53900860916528692</v>
      </c>
      <c r="F25" s="48">
        <f t="shared" si="0"/>
        <v>0.8894693186029714</v>
      </c>
      <c r="G25" s="46" t="s">
        <v>191</v>
      </c>
      <c r="H25" s="49">
        <v>0.5</v>
      </c>
      <c r="I25" s="50" t="s">
        <v>46</v>
      </c>
      <c r="J25" s="51" t="s">
        <v>52</v>
      </c>
      <c r="K25" s="52">
        <v>50</v>
      </c>
      <c r="L25" s="52">
        <v>45</v>
      </c>
      <c r="M25" s="52">
        <v>40</v>
      </c>
      <c r="N25" s="52">
        <v>25</v>
      </c>
      <c r="O25" s="52" t="s">
        <v>53</v>
      </c>
    </row>
    <row r="26" spans="1:15" s="53" customFormat="1" ht="246" customHeight="1" x14ac:dyDescent="0.25">
      <c r="A26" s="114">
        <v>3</v>
      </c>
      <c r="B26" s="117" t="s">
        <v>192</v>
      </c>
      <c r="C26" s="119">
        <f>0.6 *83.4179990374846</f>
        <v>50.050799422490762</v>
      </c>
      <c r="D26" s="94" t="s">
        <v>193</v>
      </c>
      <c r="E26" s="48">
        <f>C26/5</f>
        <v>10.010159884498153</v>
      </c>
      <c r="F26" s="48">
        <f t="shared" si="0"/>
        <v>16.518715916912271</v>
      </c>
      <c r="G26" s="46" t="s">
        <v>194</v>
      </c>
      <c r="H26" s="54">
        <v>1</v>
      </c>
      <c r="I26" s="50" t="s">
        <v>46</v>
      </c>
      <c r="J26" s="51">
        <v>100</v>
      </c>
      <c r="K26" s="52">
        <v>95</v>
      </c>
      <c r="L26" s="52">
        <v>90</v>
      </c>
      <c r="M26" s="52">
        <v>85</v>
      </c>
      <c r="N26" s="52">
        <v>80</v>
      </c>
      <c r="O26" s="52" t="s">
        <v>47</v>
      </c>
    </row>
    <row r="27" spans="1:15" s="53" customFormat="1" ht="246" customHeight="1" x14ac:dyDescent="0.25">
      <c r="A27" s="115"/>
      <c r="B27" s="122"/>
      <c r="C27" s="121"/>
      <c r="D27" s="56" t="s">
        <v>195</v>
      </c>
      <c r="E27" s="48">
        <f>C26/5</f>
        <v>10.010159884498153</v>
      </c>
      <c r="F27" s="48">
        <f t="shared" si="0"/>
        <v>16.518715916912271</v>
      </c>
      <c r="G27" s="46" t="s">
        <v>196</v>
      </c>
      <c r="H27" s="54">
        <v>1</v>
      </c>
      <c r="I27" s="50" t="s">
        <v>46</v>
      </c>
      <c r="J27" s="51">
        <v>100</v>
      </c>
      <c r="K27" s="52">
        <v>95</v>
      </c>
      <c r="L27" s="52">
        <v>90</v>
      </c>
      <c r="M27" s="52">
        <v>85</v>
      </c>
      <c r="N27" s="52">
        <v>80</v>
      </c>
      <c r="O27" s="52" t="s">
        <v>47</v>
      </c>
    </row>
    <row r="28" spans="1:15" s="53" customFormat="1" ht="246" customHeight="1" x14ac:dyDescent="0.25">
      <c r="A28" s="115"/>
      <c r="B28" s="122"/>
      <c r="C28" s="121"/>
      <c r="D28" s="56" t="s">
        <v>197</v>
      </c>
      <c r="E28" s="48">
        <f>C26/5</f>
        <v>10.010159884498153</v>
      </c>
      <c r="F28" s="48">
        <f t="shared" si="0"/>
        <v>16.518715916912271</v>
      </c>
      <c r="G28" s="46" t="s">
        <v>198</v>
      </c>
      <c r="H28" s="54">
        <v>1</v>
      </c>
      <c r="I28" s="50" t="s">
        <v>46</v>
      </c>
      <c r="J28" s="51">
        <v>100</v>
      </c>
      <c r="K28" s="52">
        <v>95</v>
      </c>
      <c r="L28" s="52">
        <v>90</v>
      </c>
      <c r="M28" s="52">
        <v>85</v>
      </c>
      <c r="N28" s="52">
        <v>80</v>
      </c>
      <c r="O28" s="52" t="s">
        <v>47</v>
      </c>
    </row>
    <row r="29" spans="1:15" s="53" customFormat="1" ht="246" customHeight="1" x14ac:dyDescent="0.25">
      <c r="A29" s="115"/>
      <c r="B29" s="122"/>
      <c r="C29" s="121"/>
      <c r="D29" s="56" t="s">
        <v>199</v>
      </c>
      <c r="E29" s="48">
        <f>C26/5</f>
        <v>10.010159884498153</v>
      </c>
      <c r="F29" s="48">
        <f t="shared" si="0"/>
        <v>16.518715916912271</v>
      </c>
      <c r="G29" s="46" t="s">
        <v>200</v>
      </c>
      <c r="H29" s="54">
        <v>1</v>
      </c>
      <c r="I29" s="50" t="s">
        <v>46</v>
      </c>
      <c r="J29" s="51">
        <v>100</v>
      </c>
      <c r="K29" s="52">
        <v>95</v>
      </c>
      <c r="L29" s="52">
        <v>90</v>
      </c>
      <c r="M29" s="52">
        <v>85</v>
      </c>
      <c r="N29" s="52">
        <v>80</v>
      </c>
      <c r="O29" s="52" t="s">
        <v>47</v>
      </c>
    </row>
    <row r="30" spans="1:15" s="53" customFormat="1" ht="246" customHeight="1" x14ac:dyDescent="0.25">
      <c r="A30" s="116"/>
      <c r="B30" s="118"/>
      <c r="C30" s="120"/>
      <c r="D30" s="56" t="s">
        <v>201</v>
      </c>
      <c r="E30" s="48">
        <f>C26/5</f>
        <v>10.010159884498153</v>
      </c>
      <c r="F30" s="48">
        <f t="shared" si="0"/>
        <v>16.518715916912271</v>
      </c>
      <c r="G30" s="46" t="s">
        <v>202</v>
      </c>
      <c r="H30" s="54">
        <v>1</v>
      </c>
      <c r="I30" s="50" t="s">
        <v>46</v>
      </c>
      <c r="J30" s="51">
        <v>100</v>
      </c>
      <c r="K30" s="52">
        <v>95</v>
      </c>
      <c r="L30" s="52">
        <v>90</v>
      </c>
      <c r="M30" s="52">
        <v>85</v>
      </c>
      <c r="N30" s="52">
        <v>80</v>
      </c>
      <c r="O30" s="52" t="s">
        <v>47</v>
      </c>
    </row>
    <row r="31" spans="1:15" s="53" customFormat="1" ht="246" customHeight="1" x14ac:dyDescent="0.25">
      <c r="A31" s="114">
        <v>4</v>
      </c>
      <c r="B31" s="117" t="s">
        <v>175</v>
      </c>
      <c r="C31" s="112">
        <f>0.6 *2.8073365060692</f>
        <v>1.6844019036415201</v>
      </c>
      <c r="D31" s="56" t="s">
        <v>167</v>
      </c>
      <c r="E31" s="48">
        <f>C31/2</f>
        <v>0.84220095182076005</v>
      </c>
      <c r="F31" s="48">
        <f t="shared" si="0"/>
        <v>1.3897958103171415</v>
      </c>
      <c r="G31" s="46" t="s">
        <v>169</v>
      </c>
      <c r="H31" s="54">
        <v>1</v>
      </c>
      <c r="I31" s="50" t="s">
        <v>46</v>
      </c>
      <c r="J31" s="51">
        <v>100</v>
      </c>
      <c r="K31" s="52">
        <v>95</v>
      </c>
      <c r="L31" s="52">
        <v>90</v>
      </c>
      <c r="M31" s="52">
        <v>85</v>
      </c>
      <c r="N31" s="52">
        <v>80</v>
      </c>
      <c r="O31" s="52" t="s">
        <v>47</v>
      </c>
    </row>
    <row r="32" spans="1:15" s="53" customFormat="1" ht="246" customHeight="1" x14ac:dyDescent="0.25">
      <c r="A32" s="116"/>
      <c r="B32" s="118"/>
      <c r="C32" s="113"/>
      <c r="D32" s="56" t="s">
        <v>168</v>
      </c>
      <c r="E32" s="48">
        <f>C31/2</f>
        <v>0.84220095182076005</v>
      </c>
      <c r="F32" s="48">
        <f t="shared" si="0"/>
        <v>1.3897958103171415</v>
      </c>
      <c r="G32" s="46" t="s">
        <v>170</v>
      </c>
      <c r="H32" s="45">
        <v>5</v>
      </c>
      <c r="I32" s="50" t="s">
        <v>75</v>
      </c>
      <c r="J32" s="51" t="s">
        <v>76</v>
      </c>
      <c r="K32" s="52">
        <v>5</v>
      </c>
      <c r="L32" s="52">
        <v>4</v>
      </c>
      <c r="M32" s="52">
        <v>3</v>
      </c>
      <c r="N32" s="52">
        <v>2</v>
      </c>
      <c r="O32" s="52">
        <v>1</v>
      </c>
    </row>
    <row r="33" spans="1:15" s="53" customFormat="1" ht="246" customHeight="1" x14ac:dyDescent="0.25">
      <c r="A33" s="114">
        <v>5</v>
      </c>
      <c r="B33" s="117" t="s">
        <v>166</v>
      </c>
      <c r="C33" s="112">
        <f>0.6 *5.61467301213839</f>
        <v>3.3688038072830335</v>
      </c>
      <c r="D33" s="56" t="s">
        <v>171</v>
      </c>
      <c r="E33" s="48">
        <f>C33/2</f>
        <v>1.6844019036415168</v>
      </c>
      <c r="F33" s="48">
        <f t="shared" si="0"/>
        <v>2.7795916206342777</v>
      </c>
      <c r="G33" s="46" t="s">
        <v>173</v>
      </c>
      <c r="H33" s="45">
        <v>5</v>
      </c>
      <c r="I33" s="45" t="s">
        <v>75</v>
      </c>
      <c r="J33" s="51" t="s">
        <v>76</v>
      </c>
      <c r="K33" s="52">
        <v>5</v>
      </c>
      <c r="L33" s="52">
        <v>4</v>
      </c>
      <c r="M33" s="52">
        <v>3</v>
      </c>
      <c r="N33" s="52">
        <v>2</v>
      </c>
      <c r="O33" s="52">
        <v>1</v>
      </c>
    </row>
    <row r="34" spans="1:15" s="53" customFormat="1" ht="246" customHeight="1" x14ac:dyDescent="0.25">
      <c r="A34" s="116"/>
      <c r="B34" s="118"/>
      <c r="C34" s="113"/>
      <c r="D34" s="56" t="s">
        <v>172</v>
      </c>
      <c r="E34" s="48">
        <f>C33/2</f>
        <v>1.6844019036415168</v>
      </c>
      <c r="F34" s="48">
        <f t="shared" si="0"/>
        <v>2.7795916206342777</v>
      </c>
      <c r="G34" s="46" t="s">
        <v>174</v>
      </c>
      <c r="H34" s="49">
        <v>0.5</v>
      </c>
      <c r="I34" s="50" t="s">
        <v>46</v>
      </c>
      <c r="J34" s="51" t="s">
        <v>52</v>
      </c>
      <c r="K34" s="52">
        <v>50</v>
      </c>
      <c r="L34" s="52">
        <v>45</v>
      </c>
      <c r="M34" s="52">
        <v>40</v>
      </c>
      <c r="N34" s="52">
        <v>25</v>
      </c>
      <c r="O34" s="52" t="s">
        <v>53</v>
      </c>
    </row>
    <row r="35" spans="1:15" s="53" customFormat="1" ht="246" customHeight="1" x14ac:dyDescent="0.25">
      <c r="A35" s="114">
        <v>6</v>
      </c>
      <c r="B35" s="117" t="s">
        <v>161</v>
      </c>
      <c r="C35" s="112">
        <f>0.6 *1.8715576707128</f>
        <v>1.1229346024276801</v>
      </c>
      <c r="D35" s="56" t="s">
        <v>162</v>
      </c>
      <c r="E35" s="48">
        <f>C35/2</f>
        <v>0.56146730121384003</v>
      </c>
      <c r="F35" s="48">
        <f t="shared" si="0"/>
        <v>0.92653054021142778</v>
      </c>
      <c r="G35" s="46" t="s">
        <v>164</v>
      </c>
      <c r="H35" s="54">
        <v>0.8</v>
      </c>
      <c r="I35" s="45" t="s">
        <v>46</v>
      </c>
      <c r="J35" s="51" t="s">
        <v>88</v>
      </c>
      <c r="K35" s="52">
        <v>80</v>
      </c>
      <c r="L35" s="52">
        <v>75</v>
      </c>
      <c r="M35" s="52">
        <v>70</v>
      </c>
      <c r="N35" s="52">
        <v>50</v>
      </c>
      <c r="O35" s="52" t="s">
        <v>57</v>
      </c>
    </row>
    <row r="36" spans="1:15" s="53" customFormat="1" ht="246" customHeight="1" x14ac:dyDescent="0.25">
      <c r="A36" s="116"/>
      <c r="B36" s="118"/>
      <c r="C36" s="113"/>
      <c r="D36" s="56" t="s">
        <v>163</v>
      </c>
      <c r="E36" s="48">
        <f>C35/2</f>
        <v>0.56146730121384003</v>
      </c>
      <c r="F36" s="48">
        <f t="shared" si="0"/>
        <v>0.92653054021142778</v>
      </c>
      <c r="G36" s="46" t="s">
        <v>165</v>
      </c>
      <c r="H36" s="45">
        <v>5</v>
      </c>
      <c r="I36" s="45" t="s">
        <v>75</v>
      </c>
      <c r="J36" s="51" t="s">
        <v>76</v>
      </c>
      <c r="K36" s="52">
        <v>5</v>
      </c>
      <c r="L36" s="52">
        <v>4</v>
      </c>
      <c r="M36" s="52">
        <v>3</v>
      </c>
      <c r="N36" s="52">
        <v>2</v>
      </c>
      <c r="O36" s="52">
        <v>1</v>
      </c>
    </row>
    <row r="37" spans="1:15" s="53" customFormat="1" ht="246" customHeight="1" x14ac:dyDescent="0.25">
      <c r="A37" s="45">
        <v>7</v>
      </c>
      <c r="B37" s="56" t="s">
        <v>155</v>
      </c>
      <c r="C37" s="55">
        <f>0.6 *0.748623068285119</f>
        <v>0.44917384097107144</v>
      </c>
      <c r="D37" s="47" t="s">
        <v>157</v>
      </c>
      <c r="E37" s="48">
        <v>0.74862306828511871</v>
      </c>
      <c r="F37" s="48">
        <f t="shared" si="0"/>
        <v>1.2353740536152347</v>
      </c>
      <c r="G37" s="46" t="s">
        <v>159</v>
      </c>
      <c r="H37" s="49">
        <v>0.7</v>
      </c>
      <c r="I37" s="45" t="s">
        <v>46</v>
      </c>
      <c r="J37" s="51" t="s">
        <v>102</v>
      </c>
      <c r="K37" s="52">
        <v>70</v>
      </c>
      <c r="L37" s="52">
        <v>60</v>
      </c>
      <c r="M37" s="52">
        <v>50</v>
      </c>
      <c r="N37" s="52">
        <v>40</v>
      </c>
      <c r="O37" s="52" t="s">
        <v>103</v>
      </c>
    </row>
    <row r="38" spans="1:15" s="53" customFormat="1" ht="246" customHeight="1" x14ac:dyDescent="0.25">
      <c r="A38" s="45">
        <v>8</v>
      </c>
      <c r="B38" s="56" t="s">
        <v>156</v>
      </c>
      <c r="C38" s="55">
        <f>0.6 *0.748623068285119</f>
        <v>0.44917384097107144</v>
      </c>
      <c r="D38" s="46" t="s">
        <v>158</v>
      </c>
      <c r="E38" s="48">
        <v>0.74862306828511871</v>
      </c>
      <c r="F38" s="48">
        <f t="shared" si="0"/>
        <v>1.2353740536152347</v>
      </c>
      <c r="G38" s="46" t="s">
        <v>160</v>
      </c>
      <c r="H38" s="49">
        <v>0.5</v>
      </c>
      <c r="I38" s="50" t="s">
        <v>46</v>
      </c>
      <c r="J38" s="51" t="s">
        <v>52</v>
      </c>
      <c r="K38" s="52">
        <v>50</v>
      </c>
      <c r="L38" s="52">
        <v>45</v>
      </c>
      <c r="M38" s="52">
        <v>40</v>
      </c>
      <c r="N38" s="52">
        <v>25</v>
      </c>
      <c r="O38" s="52" t="s">
        <v>53</v>
      </c>
    </row>
    <row r="39" spans="1:15" ht="82.5" customHeight="1" x14ac:dyDescent="0.8">
      <c r="A39" s="58"/>
      <c r="B39" s="59" t="s">
        <v>106</v>
      </c>
      <c r="C39" s="60">
        <f>SUM(C19:C38)</f>
        <v>60</v>
      </c>
      <c r="D39" s="60"/>
      <c r="E39" s="60">
        <f>SUM(E19:E38)</f>
        <v>60.598898454628078</v>
      </c>
      <c r="F39" s="60">
        <f>SUM(F19:F38)</f>
        <v>100.00000000000001</v>
      </c>
      <c r="G39" s="61"/>
      <c r="H39" s="62"/>
      <c r="I39" s="63"/>
      <c r="J39" s="64"/>
      <c r="K39" s="65"/>
      <c r="L39" s="65"/>
      <c r="M39" s="65"/>
      <c r="N39" s="65"/>
      <c r="O39" s="65"/>
    </row>
    <row r="40" spans="1:15" s="4" customFormat="1" ht="61.5" x14ac:dyDescent="0.75">
      <c r="A40" s="149" t="s">
        <v>107</v>
      </c>
      <c r="B40" s="149"/>
      <c r="C40" s="149"/>
      <c r="D40" s="149"/>
      <c r="E40" s="149"/>
      <c r="F40" s="149"/>
      <c r="G40" s="149"/>
      <c r="H40" s="184"/>
      <c r="I40" s="184"/>
      <c r="J40" s="185"/>
      <c r="K40" s="186" t="s">
        <v>108</v>
      </c>
      <c r="L40" s="186"/>
      <c r="M40" s="186"/>
      <c r="N40" s="186"/>
      <c r="O40" s="186"/>
    </row>
    <row r="41" spans="1:15" s="4" customFormat="1" ht="63" x14ac:dyDescent="0.8">
      <c r="A41" s="66"/>
      <c r="B41" s="67"/>
      <c r="C41" s="187" t="s">
        <v>109</v>
      </c>
      <c r="D41" s="187"/>
      <c r="E41" s="187"/>
      <c r="F41" s="187"/>
      <c r="G41" s="187"/>
      <c r="H41" s="68" t="s">
        <v>110</v>
      </c>
      <c r="I41" s="68" t="s">
        <v>111</v>
      </c>
      <c r="J41" s="68" t="s">
        <v>112</v>
      </c>
      <c r="K41" s="186"/>
      <c r="L41" s="186"/>
      <c r="M41" s="186"/>
      <c r="N41" s="186"/>
      <c r="O41" s="186"/>
    </row>
    <row r="42" spans="1:15" ht="63" x14ac:dyDescent="0.8">
      <c r="A42" s="69">
        <v>1</v>
      </c>
      <c r="B42" s="70" t="s">
        <v>113</v>
      </c>
      <c r="C42" s="181"/>
      <c r="D42" s="182"/>
      <c r="E42" s="182"/>
      <c r="F42" s="182"/>
      <c r="G42" s="183"/>
      <c r="H42" s="71"/>
      <c r="I42" s="71"/>
      <c r="J42" s="72"/>
      <c r="K42" s="73"/>
      <c r="L42" s="74" t="s">
        <v>37</v>
      </c>
      <c r="M42" s="172" t="s">
        <v>114</v>
      </c>
      <c r="N42" s="172"/>
      <c r="O42" s="172"/>
    </row>
    <row r="43" spans="1:15" ht="89.25" customHeight="1" x14ac:dyDescent="0.8">
      <c r="A43" s="76" t="s">
        <v>115</v>
      </c>
      <c r="B43" s="77" t="s">
        <v>116</v>
      </c>
      <c r="C43" s="178"/>
      <c r="D43" s="179"/>
      <c r="E43" s="179"/>
      <c r="F43" s="179"/>
      <c r="G43" s="180"/>
      <c r="H43" s="65">
        <v>3</v>
      </c>
      <c r="I43" s="65">
        <v>3</v>
      </c>
      <c r="J43" s="78"/>
      <c r="K43" s="73"/>
      <c r="L43" s="74" t="s">
        <v>38</v>
      </c>
      <c r="M43" s="172" t="s">
        <v>117</v>
      </c>
      <c r="N43" s="172"/>
      <c r="O43" s="172"/>
    </row>
    <row r="44" spans="1:15" ht="86.25" customHeight="1" x14ac:dyDescent="0.8">
      <c r="A44" s="76" t="s">
        <v>118</v>
      </c>
      <c r="B44" s="77" t="s">
        <v>119</v>
      </c>
      <c r="C44" s="178"/>
      <c r="D44" s="179"/>
      <c r="E44" s="179"/>
      <c r="F44" s="179"/>
      <c r="G44" s="180"/>
      <c r="H44" s="65">
        <v>3</v>
      </c>
      <c r="I44" s="65">
        <v>3</v>
      </c>
      <c r="J44" s="78"/>
      <c r="K44" s="73"/>
      <c r="L44" s="74" t="s">
        <v>39</v>
      </c>
      <c r="M44" s="172" t="s">
        <v>120</v>
      </c>
      <c r="N44" s="172"/>
      <c r="O44" s="172"/>
    </row>
    <row r="45" spans="1:15" ht="79.5" customHeight="1" x14ac:dyDescent="0.8">
      <c r="A45" s="76" t="s">
        <v>121</v>
      </c>
      <c r="B45" s="77" t="s">
        <v>122</v>
      </c>
      <c r="C45" s="178"/>
      <c r="D45" s="179"/>
      <c r="E45" s="179"/>
      <c r="F45" s="179"/>
      <c r="G45" s="180"/>
      <c r="H45" s="65">
        <v>3</v>
      </c>
      <c r="I45" s="65">
        <v>3</v>
      </c>
      <c r="J45" s="78"/>
      <c r="K45" s="73"/>
      <c r="L45" s="74" t="s">
        <v>40</v>
      </c>
      <c r="M45" s="172" t="s">
        <v>123</v>
      </c>
      <c r="N45" s="172"/>
      <c r="O45" s="172"/>
    </row>
    <row r="46" spans="1:15" ht="79.5" customHeight="1" x14ac:dyDescent="0.8">
      <c r="A46" s="79">
        <v>2</v>
      </c>
      <c r="B46" s="80" t="s">
        <v>124</v>
      </c>
      <c r="C46" s="175"/>
      <c r="D46" s="176"/>
      <c r="E46" s="176"/>
      <c r="F46" s="176"/>
      <c r="G46" s="177"/>
      <c r="H46" s="65"/>
      <c r="I46" s="65"/>
      <c r="J46" s="78"/>
      <c r="K46" s="73"/>
      <c r="L46" s="74" t="s">
        <v>41</v>
      </c>
      <c r="M46" s="172" t="s">
        <v>125</v>
      </c>
      <c r="N46" s="172"/>
      <c r="O46" s="172"/>
    </row>
    <row r="47" spans="1:15" ht="96.75" customHeight="1" x14ac:dyDescent="0.8">
      <c r="A47" s="76" t="s">
        <v>115</v>
      </c>
      <c r="B47" s="81" t="s">
        <v>126</v>
      </c>
      <c r="C47" s="154"/>
      <c r="D47" s="155"/>
      <c r="E47" s="155"/>
      <c r="F47" s="155"/>
      <c r="G47" s="156"/>
      <c r="H47" s="65">
        <v>3</v>
      </c>
      <c r="I47" s="65">
        <v>3</v>
      </c>
      <c r="J47" s="78"/>
      <c r="K47" s="73"/>
      <c r="L47" s="74" t="s">
        <v>42</v>
      </c>
      <c r="M47" s="172" t="s">
        <v>127</v>
      </c>
      <c r="N47" s="172"/>
      <c r="O47" s="172"/>
    </row>
    <row r="48" spans="1:15" ht="84.75" customHeight="1" x14ac:dyDescent="0.8">
      <c r="A48" s="76" t="s">
        <v>118</v>
      </c>
      <c r="B48" s="81" t="s">
        <v>128</v>
      </c>
      <c r="C48" s="154"/>
      <c r="D48" s="155"/>
      <c r="E48" s="155"/>
      <c r="F48" s="155"/>
      <c r="G48" s="156"/>
      <c r="H48" s="65">
        <v>2</v>
      </c>
      <c r="I48" s="65">
        <v>2</v>
      </c>
      <c r="J48" s="78"/>
      <c r="K48" s="73"/>
      <c r="L48" s="75" t="s">
        <v>112</v>
      </c>
      <c r="M48" s="75" t="s">
        <v>129</v>
      </c>
      <c r="N48" s="82"/>
      <c r="O48" s="82"/>
    </row>
    <row r="49" spans="1:15" ht="96" customHeight="1" x14ac:dyDescent="0.8">
      <c r="A49" s="76" t="s">
        <v>121</v>
      </c>
      <c r="B49" s="83" t="s">
        <v>130</v>
      </c>
      <c r="C49" s="154"/>
      <c r="D49" s="155"/>
      <c r="E49" s="155"/>
      <c r="F49" s="155"/>
      <c r="G49" s="156"/>
      <c r="H49" s="65">
        <v>2</v>
      </c>
      <c r="I49" s="65">
        <v>2</v>
      </c>
      <c r="J49" s="78"/>
      <c r="K49" s="73"/>
      <c r="L49" s="75" t="s">
        <v>131</v>
      </c>
      <c r="M49" s="172" t="s">
        <v>132</v>
      </c>
      <c r="N49" s="172"/>
      <c r="O49" s="172"/>
    </row>
    <row r="50" spans="1:15" ht="63" x14ac:dyDescent="0.8">
      <c r="A50" s="79">
        <v>3</v>
      </c>
      <c r="B50" s="80" t="s">
        <v>133</v>
      </c>
      <c r="C50" s="175"/>
      <c r="D50" s="176"/>
      <c r="E50" s="176"/>
      <c r="F50" s="176"/>
      <c r="G50" s="177"/>
      <c r="H50" s="65"/>
      <c r="I50" s="65"/>
      <c r="J50" s="78"/>
      <c r="K50" s="73"/>
      <c r="L50" s="75" t="s">
        <v>110</v>
      </c>
      <c r="M50" s="172" t="s">
        <v>134</v>
      </c>
      <c r="N50" s="172"/>
      <c r="O50" s="172"/>
    </row>
    <row r="51" spans="1:15" ht="81.75" customHeight="1" x14ac:dyDescent="0.8">
      <c r="A51" s="76" t="s">
        <v>115</v>
      </c>
      <c r="B51" s="81" t="s">
        <v>135</v>
      </c>
      <c r="C51" s="169"/>
      <c r="D51" s="170"/>
      <c r="E51" s="170"/>
      <c r="F51" s="170"/>
      <c r="G51" s="171"/>
      <c r="H51" s="65">
        <v>2</v>
      </c>
      <c r="I51" s="65">
        <v>2</v>
      </c>
      <c r="J51" s="78"/>
      <c r="K51" s="73"/>
      <c r="L51" s="75" t="s">
        <v>111</v>
      </c>
      <c r="M51" s="172" t="s">
        <v>136</v>
      </c>
      <c r="N51" s="172"/>
      <c r="O51" s="172"/>
    </row>
    <row r="52" spans="1:15" ht="72" customHeight="1" x14ac:dyDescent="0.8">
      <c r="A52" s="76" t="s">
        <v>118</v>
      </c>
      <c r="B52" s="81" t="s">
        <v>137</v>
      </c>
      <c r="C52" s="169"/>
      <c r="D52" s="170"/>
      <c r="E52" s="170"/>
      <c r="F52" s="170"/>
      <c r="G52" s="171"/>
      <c r="H52" s="65">
        <v>1</v>
      </c>
      <c r="I52" s="65">
        <v>1</v>
      </c>
      <c r="J52" s="78"/>
      <c r="K52" s="73"/>
      <c r="L52" s="75" t="s">
        <v>138</v>
      </c>
      <c r="M52" s="172" t="s">
        <v>139</v>
      </c>
      <c r="N52" s="172"/>
      <c r="O52" s="172"/>
    </row>
    <row r="53" spans="1:15" ht="78" customHeight="1" x14ac:dyDescent="0.8">
      <c r="A53" s="76" t="s">
        <v>121</v>
      </c>
      <c r="B53" s="81" t="s">
        <v>140</v>
      </c>
      <c r="C53" s="169"/>
      <c r="D53" s="170"/>
      <c r="E53" s="170"/>
      <c r="F53" s="170"/>
      <c r="G53" s="171"/>
      <c r="H53" s="65">
        <v>1</v>
      </c>
      <c r="I53" s="65">
        <v>1</v>
      </c>
      <c r="J53" s="78"/>
      <c r="K53" s="73"/>
      <c r="L53" s="82"/>
      <c r="M53" s="82"/>
      <c r="N53" s="82"/>
      <c r="O53" s="82"/>
    </row>
    <row r="54" spans="1:15" ht="63" x14ac:dyDescent="0.8">
      <c r="A54" s="173" t="s">
        <v>141</v>
      </c>
      <c r="B54" s="174"/>
      <c r="C54" s="174"/>
      <c r="D54" s="174"/>
      <c r="E54" s="174"/>
      <c r="F54" s="174"/>
      <c r="G54" s="174"/>
      <c r="H54" s="84"/>
      <c r="I54" s="84"/>
      <c r="J54" s="84"/>
      <c r="K54" s="73"/>
      <c r="L54" s="82"/>
      <c r="M54" s="82"/>
      <c r="N54" s="82"/>
      <c r="O54" s="82"/>
    </row>
    <row r="55" spans="1:15" ht="63" x14ac:dyDescent="0.8">
      <c r="A55" s="76" t="s">
        <v>115</v>
      </c>
      <c r="B55" s="85" t="s">
        <v>142</v>
      </c>
      <c r="C55" s="154" t="s">
        <v>143</v>
      </c>
      <c r="D55" s="155"/>
      <c r="E55" s="155"/>
      <c r="F55" s="155"/>
      <c r="G55" s="156"/>
      <c r="H55" s="86">
        <v>4</v>
      </c>
      <c r="I55" s="87">
        <v>4</v>
      </c>
      <c r="J55" s="85"/>
      <c r="K55" s="73"/>
      <c r="L55" s="82"/>
      <c r="M55" s="82"/>
      <c r="N55" s="82"/>
      <c r="O55" s="82"/>
    </row>
    <row r="56" spans="1:15" ht="63" x14ac:dyDescent="0.8">
      <c r="A56" s="76" t="s">
        <v>118</v>
      </c>
      <c r="B56" s="85" t="s">
        <v>144</v>
      </c>
      <c r="C56" s="154" t="s">
        <v>145</v>
      </c>
      <c r="D56" s="155"/>
      <c r="E56" s="155"/>
      <c r="F56" s="155"/>
      <c r="G56" s="156"/>
      <c r="H56" s="86">
        <v>4</v>
      </c>
      <c r="I56" s="87">
        <v>4</v>
      </c>
      <c r="J56" s="85"/>
      <c r="K56" s="73"/>
      <c r="L56" s="82"/>
      <c r="M56" s="82"/>
      <c r="N56" s="82"/>
      <c r="O56" s="82"/>
    </row>
    <row r="57" spans="1:15" ht="63" x14ac:dyDescent="0.8">
      <c r="A57" s="76" t="s">
        <v>118</v>
      </c>
      <c r="B57" s="85" t="s">
        <v>146</v>
      </c>
      <c r="C57" s="154" t="s">
        <v>147</v>
      </c>
      <c r="D57" s="155"/>
      <c r="E57" s="155"/>
      <c r="F57" s="155"/>
      <c r="G57" s="156"/>
      <c r="H57" s="86">
        <v>2</v>
      </c>
      <c r="I57" s="87">
        <v>2</v>
      </c>
      <c r="J57" s="85"/>
      <c r="K57" s="73"/>
      <c r="L57" s="82"/>
      <c r="M57" s="82"/>
      <c r="N57" s="82"/>
      <c r="O57" s="82"/>
    </row>
    <row r="58" spans="1:15" s="89" customFormat="1" ht="65.25" x14ac:dyDescent="0.95">
      <c r="A58" s="157" t="s">
        <v>148</v>
      </c>
      <c r="B58" s="157"/>
      <c r="C58" s="157"/>
      <c r="D58" s="157"/>
      <c r="E58" s="157"/>
      <c r="F58" s="157"/>
      <c r="G58" s="157"/>
      <c r="H58" s="157"/>
      <c r="I58" s="157"/>
      <c r="J58" s="88"/>
      <c r="K58" s="82"/>
      <c r="L58" s="82"/>
      <c r="M58" s="82"/>
      <c r="N58" s="82"/>
      <c r="O58" s="82"/>
    </row>
    <row r="59" spans="1:15" s="89" customFormat="1" ht="15" customHeight="1" x14ac:dyDescent="0.95">
      <c r="A59" s="158" t="s">
        <v>149</v>
      </c>
      <c r="B59" s="158"/>
      <c r="C59" s="159"/>
      <c r="D59" s="160"/>
      <c r="E59" s="161" t="s">
        <v>150</v>
      </c>
      <c r="F59" s="143"/>
      <c r="G59" s="164" t="s">
        <v>151</v>
      </c>
      <c r="H59" s="125"/>
      <c r="I59" s="166"/>
      <c r="J59" s="90"/>
      <c r="K59" s="73"/>
      <c r="L59" s="73"/>
      <c r="M59" s="73"/>
      <c r="N59" s="73"/>
      <c r="O59" s="73"/>
    </row>
    <row r="60" spans="1:15" s="89" customFormat="1" ht="33" customHeight="1" x14ac:dyDescent="0.95">
      <c r="A60" s="158"/>
      <c r="B60" s="158"/>
      <c r="C60" s="159"/>
      <c r="D60" s="160"/>
      <c r="E60" s="162"/>
      <c r="F60" s="144"/>
      <c r="G60" s="150"/>
      <c r="H60" s="159"/>
      <c r="I60" s="167"/>
      <c r="J60" s="90"/>
      <c r="K60" s="130"/>
      <c r="L60" s="131"/>
      <c r="M60" s="131"/>
      <c r="N60" s="131"/>
      <c r="O60" s="132"/>
    </row>
    <row r="61" spans="1:15" s="89" customFormat="1" ht="33" customHeight="1" x14ac:dyDescent="0.95">
      <c r="A61" s="158"/>
      <c r="B61" s="158"/>
      <c r="C61" s="159"/>
      <c r="D61" s="160"/>
      <c r="E61" s="162"/>
      <c r="F61" s="144"/>
      <c r="G61" s="150"/>
      <c r="H61" s="159"/>
      <c r="I61" s="167"/>
      <c r="J61" s="90"/>
      <c r="K61" s="133"/>
      <c r="L61" s="129"/>
      <c r="M61" s="129"/>
      <c r="N61" s="129"/>
      <c r="O61" s="134"/>
    </row>
    <row r="62" spans="1:15" s="89" customFormat="1" ht="27.75" customHeight="1" x14ac:dyDescent="0.95">
      <c r="A62" s="158"/>
      <c r="B62" s="158"/>
      <c r="C62" s="127"/>
      <c r="D62" s="128"/>
      <c r="E62" s="163"/>
      <c r="F62" s="145"/>
      <c r="G62" s="165"/>
      <c r="H62" s="127"/>
      <c r="I62" s="168"/>
      <c r="J62" s="90"/>
      <c r="K62" s="133"/>
      <c r="L62" s="129"/>
      <c r="M62" s="129"/>
      <c r="N62" s="129"/>
      <c r="O62" s="134"/>
    </row>
    <row r="63" spans="1:15" s="89" customFormat="1" ht="33" customHeight="1" x14ac:dyDescent="0.95">
      <c r="A63" s="138" t="s">
        <v>152</v>
      </c>
      <c r="B63" s="139"/>
      <c r="C63" s="91"/>
      <c r="D63" s="92"/>
      <c r="E63" s="140" t="s">
        <v>152</v>
      </c>
      <c r="F63" s="143"/>
      <c r="G63" s="146" t="s">
        <v>152</v>
      </c>
      <c r="H63" s="125"/>
      <c r="I63" s="126"/>
      <c r="J63" s="90"/>
      <c r="K63" s="133"/>
      <c r="L63" s="129"/>
      <c r="M63" s="129"/>
      <c r="N63" s="129"/>
      <c r="O63" s="134"/>
    </row>
    <row r="64" spans="1:15" s="89" customFormat="1" ht="30.75" customHeight="1" x14ac:dyDescent="0.95">
      <c r="A64" s="138"/>
      <c r="B64" s="139"/>
      <c r="C64" s="91"/>
      <c r="D64" s="92"/>
      <c r="E64" s="141"/>
      <c r="F64" s="144"/>
      <c r="G64" s="147"/>
      <c r="H64" s="127"/>
      <c r="I64" s="128"/>
      <c r="J64" s="90"/>
      <c r="K64" s="133"/>
      <c r="L64" s="129"/>
      <c r="M64" s="129"/>
      <c r="N64" s="129"/>
      <c r="O64" s="134"/>
    </row>
    <row r="65" spans="1:15" s="89" customFormat="1" ht="17.25" hidden="1" customHeight="1" x14ac:dyDescent="0.95">
      <c r="A65" s="138"/>
      <c r="B65" s="139"/>
      <c r="C65" s="91"/>
      <c r="D65" s="92"/>
      <c r="E65" s="142"/>
      <c r="F65" s="145"/>
      <c r="G65" s="148"/>
      <c r="H65" s="93"/>
      <c r="I65" s="93"/>
      <c r="J65" s="90"/>
      <c r="K65" s="133"/>
      <c r="L65" s="129"/>
      <c r="M65" s="129"/>
      <c r="N65" s="129"/>
      <c r="O65" s="134"/>
    </row>
    <row r="66" spans="1:15" s="89" customFormat="1" ht="33" customHeight="1" x14ac:dyDescent="0.95">
      <c r="A66" s="149" t="s">
        <v>153</v>
      </c>
      <c r="B66" s="150"/>
      <c r="C66" s="151"/>
      <c r="D66" s="151"/>
      <c r="E66" s="152" t="s">
        <v>153</v>
      </c>
      <c r="F66" s="143"/>
      <c r="G66" s="123" t="s">
        <v>153</v>
      </c>
      <c r="H66" s="125"/>
      <c r="I66" s="126"/>
      <c r="J66" s="90"/>
      <c r="K66" s="133"/>
      <c r="L66" s="129"/>
      <c r="M66" s="129"/>
      <c r="N66" s="129"/>
      <c r="O66" s="134"/>
    </row>
    <row r="67" spans="1:15" s="89" customFormat="1" ht="33" customHeight="1" x14ac:dyDescent="0.95">
      <c r="A67" s="149"/>
      <c r="B67" s="150"/>
      <c r="C67" s="151"/>
      <c r="D67" s="151"/>
      <c r="E67" s="153"/>
      <c r="F67" s="145"/>
      <c r="G67" s="124"/>
      <c r="H67" s="127"/>
      <c r="I67" s="128"/>
      <c r="J67" s="90"/>
      <c r="K67" s="133"/>
      <c r="L67" s="129"/>
      <c r="M67" s="129"/>
      <c r="N67" s="129"/>
      <c r="O67" s="134"/>
    </row>
    <row r="68" spans="1:15" s="89" customFormat="1" ht="65.25" x14ac:dyDescent="0.95">
      <c r="A68" s="129"/>
      <c r="B68" s="129"/>
      <c r="C68" s="129"/>
      <c r="D68" s="129"/>
      <c r="E68" s="129"/>
      <c r="F68" s="129"/>
      <c r="G68" s="129"/>
      <c r="H68" s="129"/>
      <c r="I68" s="129"/>
      <c r="J68" s="90"/>
      <c r="K68" s="135"/>
      <c r="L68" s="136"/>
      <c r="M68" s="136"/>
      <c r="N68" s="136"/>
      <c r="O68" s="137"/>
    </row>
  </sheetData>
  <mergeCells count="98">
    <mergeCell ref="A1:O3"/>
    <mergeCell ref="A4:I4"/>
    <mergeCell ref="E5:I5"/>
    <mergeCell ref="A6:I6"/>
    <mergeCell ref="A7:B7"/>
    <mergeCell ref="I7:J7"/>
    <mergeCell ref="A15:I15"/>
    <mergeCell ref="A8:B8"/>
    <mergeCell ref="I8:J8"/>
    <mergeCell ref="A9:I9"/>
    <mergeCell ref="A10:B10"/>
    <mergeCell ref="I10:J10"/>
    <mergeCell ref="A11:B11"/>
    <mergeCell ref="I11:J11"/>
    <mergeCell ref="A12:I12"/>
    <mergeCell ref="A13:B13"/>
    <mergeCell ref="I13:J13"/>
    <mergeCell ref="A14:B14"/>
    <mergeCell ref="I14:J14"/>
    <mergeCell ref="A16:I16"/>
    <mergeCell ref="A17:A18"/>
    <mergeCell ref="B17:B18"/>
    <mergeCell ref="C17:C18"/>
    <mergeCell ref="D17:D18"/>
    <mergeCell ref="E17:E18"/>
    <mergeCell ref="F17:F18"/>
    <mergeCell ref="G17:G18"/>
    <mergeCell ref="H17:H18"/>
    <mergeCell ref="I17:I18"/>
    <mergeCell ref="J17:O17"/>
    <mergeCell ref="A19:A23"/>
    <mergeCell ref="B19:B23"/>
    <mergeCell ref="C19:C23"/>
    <mergeCell ref="A24:A25"/>
    <mergeCell ref="B24:B25"/>
    <mergeCell ref="C24:C25"/>
    <mergeCell ref="A40:G40"/>
    <mergeCell ref="H40:J40"/>
    <mergeCell ref="K40:O41"/>
    <mergeCell ref="C41:G41"/>
    <mergeCell ref="A31:A32"/>
    <mergeCell ref="B31:B32"/>
    <mergeCell ref="C31:C32"/>
    <mergeCell ref="A33:A34"/>
    <mergeCell ref="B33:B34"/>
    <mergeCell ref="C33:C34"/>
    <mergeCell ref="M42:O42"/>
    <mergeCell ref="C43:G43"/>
    <mergeCell ref="M43:O43"/>
    <mergeCell ref="C44:G44"/>
    <mergeCell ref="M44:O44"/>
    <mergeCell ref="M45:O45"/>
    <mergeCell ref="C46:G46"/>
    <mergeCell ref="M46:O46"/>
    <mergeCell ref="C47:G47"/>
    <mergeCell ref="M47:O47"/>
    <mergeCell ref="M49:O49"/>
    <mergeCell ref="C50:G50"/>
    <mergeCell ref="M50:O50"/>
    <mergeCell ref="C51:G51"/>
    <mergeCell ref="M51:O51"/>
    <mergeCell ref="M52:O52"/>
    <mergeCell ref="C53:G53"/>
    <mergeCell ref="A54:G54"/>
    <mergeCell ref="C55:G55"/>
    <mergeCell ref="C56:G56"/>
    <mergeCell ref="K60:O68"/>
    <mergeCell ref="A63:B65"/>
    <mergeCell ref="E63:E65"/>
    <mergeCell ref="F63:F65"/>
    <mergeCell ref="G63:G65"/>
    <mergeCell ref="H63:I64"/>
    <mergeCell ref="A66:B67"/>
    <mergeCell ref="C66:D67"/>
    <mergeCell ref="E66:E67"/>
    <mergeCell ref="F66:F67"/>
    <mergeCell ref="A59:B62"/>
    <mergeCell ref="C59:D62"/>
    <mergeCell ref="E59:E62"/>
    <mergeCell ref="F59:F62"/>
    <mergeCell ref="G59:G62"/>
    <mergeCell ref="H59:I62"/>
    <mergeCell ref="G66:G67"/>
    <mergeCell ref="H66:I67"/>
    <mergeCell ref="A68:I68"/>
    <mergeCell ref="C26:C30"/>
    <mergeCell ref="B26:B30"/>
    <mergeCell ref="A26:A30"/>
    <mergeCell ref="C57:G57"/>
    <mergeCell ref="A58:I58"/>
    <mergeCell ref="C52:G52"/>
    <mergeCell ref="C48:G48"/>
    <mergeCell ref="C49:G49"/>
    <mergeCell ref="C45:G45"/>
    <mergeCell ref="C42:G42"/>
    <mergeCell ref="A35:A36"/>
    <mergeCell ref="B35:B36"/>
    <mergeCell ref="C35:C36"/>
  </mergeCells>
  <pageMargins left="0.45" right="0.2" top="0.25" bottom="0.25" header="0.3" footer="0.3"/>
  <pageSetup paperSize="9" scale="1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805B-FB66-4420-8820-9AEC98C993D6}">
  <sheetPr>
    <pageSetUpPr fitToPage="1"/>
  </sheetPr>
  <dimension ref="A1:O69"/>
  <sheetViews>
    <sheetView tabSelected="1" topLeftCell="A22" zoomScale="20" zoomScaleNormal="20" workbookViewId="0">
      <selection activeCell="D26" sqref="D26"/>
    </sheetView>
  </sheetViews>
  <sheetFormatPr defaultColWidth="9.140625" defaultRowHeight="15" x14ac:dyDescent="0.25"/>
  <cols>
    <col min="1" max="1" width="14.42578125" style="1" customWidth="1"/>
    <col min="2" max="2" width="110.85546875" style="1" customWidth="1"/>
    <col min="3" max="3" width="68.7109375" style="1" bestFit="1" customWidth="1"/>
    <col min="4" max="4" width="255.7109375" style="1" bestFit="1" customWidth="1"/>
    <col min="5" max="5" width="102.28515625" style="1" bestFit="1" customWidth="1"/>
    <col min="6" max="6" width="69" style="1" customWidth="1"/>
    <col min="7" max="7" width="255.7109375" style="1" bestFit="1" customWidth="1"/>
    <col min="8" max="8" width="74.7109375" style="1" customWidth="1"/>
    <col min="9" max="9" width="70.5703125" style="1" customWidth="1"/>
    <col min="10" max="10" width="45.7109375" style="1" customWidth="1"/>
    <col min="11" max="13" width="32.7109375" style="1" customWidth="1"/>
    <col min="14" max="14" width="28.7109375" style="1" customWidth="1"/>
    <col min="15" max="15" width="31.28515625" style="1" customWidth="1"/>
    <col min="16" max="16384" width="9.140625" style="1"/>
  </cols>
  <sheetData>
    <row r="1" spans="1:15" ht="22.5" customHeight="1" x14ac:dyDescent="0.25">
      <c r="A1" s="220" t="s">
        <v>0</v>
      </c>
      <c r="B1" s="221"/>
      <c r="C1" s="221"/>
      <c r="D1" s="221"/>
      <c r="E1" s="221"/>
      <c r="F1" s="221"/>
      <c r="G1" s="221"/>
      <c r="H1" s="221"/>
      <c r="I1" s="221"/>
      <c r="J1" s="221"/>
      <c r="K1" s="221"/>
      <c r="L1" s="221"/>
      <c r="M1" s="221"/>
      <c r="N1" s="221"/>
      <c r="O1" s="222"/>
    </row>
    <row r="2" spans="1:15" ht="22.5" customHeight="1" x14ac:dyDescent="0.25">
      <c r="A2" s="223"/>
      <c r="B2" s="224"/>
      <c r="C2" s="224"/>
      <c r="D2" s="224"/>
      <c r="E2" s="224"/>
      <c r="F2" s="224"/>
      <c r="G2" s="224"/>
      <c r="H2" s="224"/>
      <c r="I2" s="224"/>
      <c r="J2" s="224"/>
      <c r="K2" s="224"/>
      <c r="L2" s="224"/>
      <c r="M2" s="224"/>
      <c r="N2" s="224"/>
      <c r="O2" s="225"/>
    </row>
    <row r="3" spans="1:15" ht="22.5" customHeight="1" x14ac:dyDescent="0.25">
      <c r="A3" s="226"/>
      <c r="B3" s="227"/>
      <c r="C3" s="227"/>
      <c r="D3" s="227"/>
      <c r="E3" s="227"/>
      <c r="F3" s="227"/>
      <c r="G3" s="227"/>
      <c r="H3" s="227"/>
      <c r="I3" s="227"/>
      <c r="J3" s="227"/>
      <c r="K3" s="227"/>
      <c r="L3" s="227"/>
      <c r="M3" s="227"/>
      <c r="N3" s="227"/>
      <c r="O3" s="228"/>
    </row>
    <row r="4" spans="1:15" s="4" customFormat="1" ht="51" x14ac:dyDescent="0.75">
      <c r="A4" s="229" t="s">
        <v>1</v>
      </c>
      <c r="B4" s="229"/>
      <c r="C4" s="229"/>
      <c r="D4" s="229"/>
      <c r="E4" s="229"/>
      <c r="F4" s="229"/>
      <c r="G4" s="229"/>
      <c r="H4" s="229"/>
      <c r="I4" s="229"/>
      <c r="J4" s="2"/>
      <c r="K4" s="3"/>
      <c r="L4" s="3"/>
      <c r="M4" s="3"/>
      <c r="N4" s="3"/>
      <c r="O4" s="3"/>
    </row>
    <row r="5" spans="1:15" s="4" customFormat="1" ht="47.25" customHeight="1" x14ac:dyDescent="0.75">
      <c r="A5" s="5" t="s">
        <v>2</v>
      </c>
      <c r="B5" s="6" t="s">
        <v>3</v>
      </c>
      <c r="C5" s="7" t="s">
        <v>4</v>
      </c>
      <c r="D5" s="8" t="s">
        <v>5</v>
      </c>
      <c r="E5" s="230"/>
      <c r="F5" s="230"/>
      <c r="G5" s="230"/>
      <c r="H5" s="230"/>
      <c r="I5" s="230"/>
      <c r="J5" s="9"/>
      <c r="K5" s="3"/>
      <c r="L5" s="3"/>
      <c r="M5" s="3"/>
      <c r="N5" s="3"/>
      <c r="O5" s="3"/>
    </row>
    <row r="6" spans="1:15" s="12" customFormat="1" ht="38.25" customHeight="1" x14ac:dyDescent="0.55000000000000004">
      <c r="A6" s="231" t="s">
        <v>6</v>
      </c>
      <c r="B6" s="231"/>
      <c r="C6" s="231"/>
      <c r="D6" s="231"/>
      <c r="E6" s="231"/>
      <c r="F6" s="231"/>
      <c r="G6" s="231"/>
      <c r="H6" s="231"/>
      <c r="I6" s="231"/>
      <c r="J6" s="10"/>
      <c r="K6" s="11"/>
      <c r="L6" s="11"/>
      <c r="M6" s="11"/>
      <c r="N6" s="11"/>
      <c r="O6" s="11"/>
    </row>
    <row r="7" spans="1:15" s="99" customFormat="1" ht="51" x14ac:dyDescent="0.75">
      <c r="A7" s="232" t="s">
        <v>7</v>
      </c>
      <c r="B7" s="233"/>
      <c r="C7" s="95" t="s">
        <v>220</v>
      </c>
      <c r="D7" s="96" t="s">
        <v>9</v>
      </c>
      <c r="E7" s="95" t="s">
        <v>221</v>
      </c>
      <c r="F7" s="96" t="s">
        <v>11</v>
      </c>
      <c r="G7" s="97" t="s">
        <v>222</v>
      </c>
      <c r="H7" s="96" t="s">
        <v>12</v>
      </c>
      <c r="I7" s="234" t="s">
        <v>219</v>
      </c>
      <c r="J7" s="235"/>
      <c r="K7" s="98"/>
      <c r="L7" s="98"/>
      <c r="M7" s="98"/>
      <c r="N7" s="98"/>
      <c r="O7" s="98"/>
    </row>
    <row r="8" spans="1:15" s="99" customFormat="1" ht="51" x14ac:dyDescent="0.75">
      <c r="A8" s="208" t="s">
        <v>14</v>
      </c>
      <c r="B8" s="209"/>
      <c r="C8" s="100">
        <v>359813</v>
      </c>
      <c r="D8" s="101" t="s">
        <v>15</v>
      </c>
      <c r="E8" s="102" t="s">
        <v>223</v>
      </c>
      <c r="F8" s="101" t="s">
        <v>16</v>
      </c>
      <c r="G8" s="103"/>
      <c r="H8" s="101" t="s">
        <v>17</v>
      </c>
      <c r="I8" s="210" t="s">
        <v>154</v>
      </c>
      <c r="J8" s="211"/>
      <c r="K8" s="98"/>
      <c r="L8" s="98"/>
      <c r="M8" s="98"/>
      <c r="N8" s="98"/>
      <c r="O8" s="98"/>
    </row>
    <row r="9" spans="1:15" s="24" customFormat="1" ht="62.25" customHeight="1" x14ac:dyDescent="0.75">
      <c r="A9" s="198" t="s">
        <v>19</v>
      </c>
      <c r="B9" s="198"/>
      <c r="C9" s="198"/>
      <c r="D9" s="198"/>
      <c r="E9" s="198"/>
      <c r="F9" s="198"/>
      <c r="G9" s="198"/>
      <c r="H9" s="198"/>
      <c r="I9" s="198"/>
      <c r="J9" s="22"/>
      <c r="K9" s="23"/>
      <c r="L9" s="23"/>
      <c r="M9" s="23"/>
      <c r="N9" s="23"/>
      <c r="O9" s="23"/>
    </row>
    <row r="10" spans="1:15" s="108" customFormat="1" ht="51" x14ac:dyDescent="0.75">
      <c r="A10" s="212" t="s">
        <v>7</v>
      </c>
      <c r="B10" s="213"/>
      <c r="C10" s="104" t="s">
        <v>8</v>
      </c>
      <c r="D10" s="105" t="s">
        <v>9</v>
      </c>
      <c r="E10" s="104" t="s">
        <v>10</v>
      </c>
      <c r="F10" s="105" t="s">
        <v>11</v>
      </c>
      <c r="G10" s="106"/>
      <c r="H10" s="105" t="s">
        <v>12</v>
      </c>
      <c r="I10" s="214" t="s">
        <v>13</v>
      </c>
      <c r="J10" s="215"/>
      <c r="K10" s="107"/>
      <c r="L10" s="107"/>
      <c r="M10" s="107"/>
      <c r="N10" s="107"/>
      <c r="O10" s="107"/>
    </row>
    <row r="11" spans="1:15" s="108" customFormat="1" ht="51.75" x14ac:dyDescent="0.75">
      <c r="A11" s="216" t="s">
        <v>14</v>
      </c>
      <c r="B11" s="217"/>
      <c r="C11" s="109">
        <v>371546</v>
      </c>
      <c r="D11" s="110" t="s">
        <v>15</v>
      </c>
      <c r="E11" s="102"/>
      <c r="F11" s="110" t="s">
        <v>16</v>
      </c>
      <c r="G11" s="111"/>
      <c r="H11" s="110" t="s">
        <v>17</v>
      </c>
      <c r="I11" s="218" t="s">
        <v>154</v>
      </c>
      <c r="J11" s="219"/>
      <c r="K11" s="107"/>
      <c r="L11" s="107"/>
      <c r="M11" s="107"/>
      <c r="N11" s="107"/>
      <c r="O11" s="107"/>
    </row>
    <row r="12" spans="1:15" s="24" customFormat="1" ht="51" x14ac:dyDescent="0.75">
      <c r="A12" s="198" t="s">
        <v>26</v>
      </c>
      <c r="B12" s="198"/>
      <c r="C12" s="198"/>
      <c r="D12" s="198"/>
      <c r="E12" s="198"/>
      <c r="F12" s="198"/>
      <c r="G12" s="198"/>
      <c r="H12" s="198"/>
      <c r="I12" s="198"/>
      <c r="J12" s="22"/>
      <c r="K12" s="23"/>
      <c r="L12" s="23"/>
      <c r="M12" s="23"/>
      <c r="N12" s="23"/>
      <c r="O12" s="23"/>
    </row>
    <row r="13" spans="1:15" s="30" customFormat="1" ht="51" x14ac:dyDescent="0.75">
      <c r="A13" s="199" t="s">
        <v>7</v>
      </c>
      <c r="B13" s="200"/>
      <c r="C13" s="25" t="s">
        <v>20</v>
      </c>
      <c r="D13" s="26" t="s">
        <v>9</v>
      </c>
      <c r="E13" s="25" t="s">
        <v>21</v>
      </c>
      <c r="F13" s="27" t="s">
        <v>11</v>
      </c>
      <c r="G13" s="28" t="s">
        <v>22</v>
      </c>
      <c r="H13" s="26" t="s">
        <v>12</v>
      </c>
      <c r="I13" s="201" t="s">
        <v>23</v>
      </c>
      <c r="J13" s="202"/>
      <c r="K13" s="29"/>
      <c r="L13" s="29"/>
      <c r="M13" s="29"/>
      <c r="N13" s="29"/>
      <c r="O13" s="29"/>
    </row>
    <row r="14" spans="1:15" s="30" customFormat="1" ht="51.75" x14ac:dyDescent="0.75">
      <c r="A14" s="203" t="s">
        <v>14</v>
      </c>
      <c r="B14" s="204"/>
      <c r="C14" s="31">
        <v>60529</v>
      </c>
      <c r="D14" s="32" t="s">
        <v>15</v>
      </c>
      <c r="E14" s="33" t="s">
        <v>24</v>
      </c>
      <c r="F14" s="34" t="s">
        <v>16</v>
      </c>
      <c r="G14" s="35"/>
      <c r="H14" s="32" t="s">
        <v>17</v>
      </c>
      <c r="I14" s="205" t="s">
        <v>25</v>
      </c>
      <c r="J14" s="206"/>
      <c r="K14" s="29"/>
      <c r="L14" s="29"/>
      <c r="M14" s="29"/>
      <c r="N14" s="29"/>
      <c r="O14" s="29"/>
    </row>
    <row r="15" spans="1:15" ht="24" x14ac:dyDescent="0.35">
      <c r="A15" s="207"/>
      <c r="B15" s="207"/>
      <c r="C15" s="207"/>
      <c r="D15" s="207"/>
      <c r="E15" s="207"/>
      <c r="F15" s="207"/>
      <c r="G15" s="207"/>
      <c r="H15" s="207"/>
      <c r="I15" s="207"/>
      <c r="J15" s="37"/>
      <c r="K15" s="38"/>
      <c r="L15" s="39"/>
      <c r="M15" s="39"/>
      <c r="N15" s="39"/>
      <c r="O15" s="39"/>
    </row>
    <row r="16" spans="1:15" ht="33" x14ac:dyDescent="0.45">
      <c r="A16" s="191" t="s">
        <v>27</v>
      </c>
      <c r="B16" s="191"/>
      <c r="C16" s="191"/>
      <c r="D16" s="191"/>
      <c r="E16" s="191"/>
      <c r="F16" s="191"/>
      <c r="G16" s="191"/>
      <c r="H16" s="191"/>
      <c r="I16" s="191"/>
      <c r="J16" s="40"/>
      <c r="K16" s="41"/>
      <c r="L16" s="42"/>
      <c r="M16" s="42"/>
      <c r="N16" s="42"/>
      <c r="O16" s="42"/>
    </row>
    <row r="17" spans="1:15" ht="57.75" customHeight="1" x14ac:dyDescent="0.25">
      <c r="A17" s="192" t="s">
        <v>28</v>
      </c>
      <c r="B17" s="193" t="s">
        <v>29</v>
      </c>
      <c r="C17" s="192" t="s">
        <v>30</v>
      </c>
      <c r="D17" s="192" t="s">
        <v>31</v>
      </c>
      <c r="E17" s="192" t="s">
        <v>30</v>
      </c>
      <c r="F17" s="194" t="s">
        <v>32</v>
      </c>
      <c r="G17" s="194" t="s">
        <v>33</v>
      </c>
      <c r="H17" s="196" t="s">
        <v>34</v>
      </c>
      <c r="I17" s="194" t="s">
        <v>35</v>
      </c>
      <c r="J17" s="188" t="s">
        <v>36</v>
      </c>
      <c r="K17" s="189"/>
      <c r="L17" s="189"/>
      <c r="M17" s="189"/>
      <c r="N17" s="189"/>
      <c r="O17" s="190"/>
    </row>
    <row r="18" spans="1:15" ht="51.75" customHeight="1" x14ac:dyDescent="0.25">
      <c r="A18" s="193"/>
      <c r="B18" s="193"/>
      <c r="C18" s="193"/>
      <c r="D18" s="193"/>
      <c r="E18" s="193"/>
      <c r="F18" s="195"/>
      <c r="G18" s="195"/>
      <c r="H18" s="197"/>
      <c r="I18" s="195"/>
      <c r="J18" s="43" t="s">
        <v>37</v>
      </c>
      <c r="K18" s="44" t="s">
        <v>38</v>
      </c>
      <c r="L18" s="44" t="s">
        <v>39</v>
      </c>
      <c r="M18" s="43" t="s">
        <v>40</v>
      </c>
      <c r="N18" s="43" t="s">
        <v>41</v>
      </c>
      <c r="O18" s="43" t="s">
        <v>42</v>
      </c>
    </row>
    <row r="19" spans="1:15" s="53" customFormat="1" ht="212.25" customHeight="1" x14ac:dyDescent="0.25">
      <c r="A19" s="114">
        <v>1</v>
      </c>
      <c r="B19" s="117" t="s">
        <v>181</v>
      </c>
      <c r="C19" s="119">
        <f>0.4 *2.99449227314047</f>
        <v>1.197796909256188</v>
      </c>
      <c r="D19" s="56" t="s">
        <v>176</v>
      </c>
      <c r="E19" s="48">
        <f>C19/5</f>
        <v>0.2395593818512376</v>
      </c>
      <c r="F19" s="48">
        <f>E19/$E$40 * 100</f>
        <v>0.59889845462809399</v>
      </c>
      <c r="G19" s="46" t="s">
        <v>182</v>
      </c>
      <c r="H19" s="49">
        <v>1</v>
      </c>
      <c r="I19" s="50" t="s">
        <v>46</v>
      </c>
      <c r="J19" s="51">
        <v>100</v>
      </c>
      <c r="K19" s="52">
        <v>95</v>
      </c>
      <c r="L19" s="52">
        <v>90</v>
      </c>
      <c r="M19" s="52">
        <v>85</v>
      </c>
      <c r="N19" s="52">
        <v>80</v>
      </c>
      <c r="O19" s="52" t="s">
        <v>47</v>
      </c>
    </row>
    <row r="20" spans="1:15" s="53" customFormat="1" ht="325.5" customHeight="1" x14ac:dyDescent="0.25">
      <c r="A20" s="115"/>
      <c r="B20" s="122"/>
      <c r="C20" s="121"/>
      <c r="D20" s="56" t="s">
        <v>177</v>
      </c>
      <c r="E20" s="48">
        <f>C19/5</f>
        <v>0.2395593818512376</v>
      </c>
      <c r="F20" s="48">
        <f t="shared" ref="F20:F39" si="0">E20/$E$40 * 100</f>
        <v>0.59889845462809399</v>
      </c>
      <c r="G20" s="46" t="s">
        <v>183</v>
      </c>
      <c r="H20" s="49">
        <v>1</v>
      </c>
      <c r="I20" s="50" t="s">
        <v>46</v>
      </c>
      <c r="J20" s="51">
        <v>100</v>
      </c>
      <c r="K20" s="52">
        <v>95</v>
      </c>
      <c r="L20" s="52">
        <v>90</v>
      </c>
      <c r="M20" s="52">
        <v>85</v>
      </c>
      <c r="N20" s="52">
        <v>80</v>
      </c>
      <c r="O20" s="52" t="s">
        <v>47</v>
      </c>
    </row>
    <row r="21" spans="1:15" s="53" customFormat="1" ht="325.5" customHeight="1" x14ac:dyDescent="0.25">
      <c r="A21" s="115"/>
      <c r="B21" s="122"/>
      <c r="C21" s="121"/>
      <c r="D21" s="56" t="s">
        <v>178</v>
      </c>
      <c r="E21" s="48">
        <f>C19/5</f>
        <v>0.2395593818512376</v>
      </c>
      <c r="F21" s="48">
        <f t="shared" si="0"/>
        <v>0.59889845462809399</v>
      </c>
      <c r="G21" s="46" t="s">
        <v>184</v>
      </c>
      <c r="H21" s="49">
        <v>1</v>
      </c>
      <c r="I21" s="50" t="s">
        <v>46</v>
      </c>
      <c r="J21" s="51">
        <v>100</v>
      </c>
      <c r="K21" s="52">
        <v>95</v>
      </c>
      <c r="L21" s="52">
        <v>90</v>
      </c>
      <c r="M21" s="52">
        <v>85</v>
      </c>
      <c r="N21" s="52">
        <v>80</v>
      </c>
      <c r="O21" s="52" t="s">
        <v>47</v>
      </c>
    </row>
    <row r="22" spans="1:15" s="53" customFormat="1" ht="325.5" customHeight="1" x14ac:dyDescent="0.25">
      <c r="A22" s="115"/>
      <c r="B22" s="122"/>
      <c r="C22" s="121"/>
      <c r="D22" s="56" t="s">
        <v>179</v>
      </c>
      <c r="E22" s="48">
        <f>C19/5</f>
        <v>0.2395593818512376</v>
      </c>
      <c r="F22" s="48">
        <f t="shared" si="0"/>
        <v>0.59889845462809399</v>
      </c>
      <c r="G22" s="46" t="s">
        <v>185</v>
      </c>
      <c r="H22" s="45">
        <v>5</v>
      </c>
      <c r="I22" s="50" t="s">
        <v>75</v>
      </c>
      <c r="J22" s="51" t="s">
        <v>76</v>
      </c>
      <c r="K22" s="52">
        <v>5</v>
      </c>
      <c r="L22" s="52">
        <v>4</v>
      </c>
      <c r="M22" s="52">
        <v>3</v>
      </c>
      <c r="N22" s="52">
        <v>2</v>
      </c>
      <c r="O22" s="52">
        <v>1</v>
      </c>
    </row>
    <row r="23" spans="1:15" s="53" customFormat="1" ht="287.25" customHeight="1" x14ac:dyDescent="0.25">
      <c r="A23" s="116"/>
      <c r="B23" s="118"/>
      <c r="C23" s="120"/>
      <c r="D23" s="56" t="s">
        <v>180</v>
      </c>
      <c r="E23" s="48">
        <f>C19/5</f>
        <v>0.2395593818512376</v>
      </c>
      <c r="F23" s="48">
        <f t="shared" si="0"/>
        <v>0.59889845462809399</v>
      </c>
      <c r="G23" s="46" t="s">
        <v>186</v>
      </c>
      <c r="H23" s="49">
        <v>1</v>
      </c>
      <c r="I23" s="50" t="s">
        <v>46</v>
      </c>
      <c r="J23" s="51">
        <v>100</v>
      </c>
      <c r="K23" s="52">
        <v>95</v>
      </c>
      <c r="L23" s="52">
        <v>90</v>
      </c>
      <c r="M23" s="52">
        <v>85</v>
      </c>
      <c r="N23" s="52">
        <v>80</v>
      </c>
      <c r="O23" s="52" t="s">
        <v>47</v>
      </c>
    </row>
    <row r="24" spans="1:15" s="53" customFormat="1" ht="231.75" customHeight="1" x14ac:dyDescent="0.25">
      <c r="A24" s="114">
        <v>2</v>
      </c>
      <c r="B24" s="117" t="s">
        <v>187</v>
      </c>
      <c r="C24" s="119">
        <f>0.4 *1.79669536388429</f>
        <v>0.71867814555371601</v>
      </c>
      <c r="D24" s="56" t="s">
        <v>188</v>
      </c>
      <c r="E24" s="48">
        <f>C24/2</f>
        <v>0.359339072776858</v>
      </c>
      <c r="F24" s="48">
        <f t="shared" si="0"/>
        <v>0.89834768194214498</v>
      </c>
      <c r="G24" s="46" t="s">
        <v>190</v>
      </c>
      <c r="H24" s="49">
        <v>0.5</v>
      </c>
      <c r="I24" s="50" t="s">
        <v>46</v>
      </c>
      <c r="J24" s="51" t="s">
        <v>52</v>
      </c>
      <c r="K24" s="52">
        <v>50</v>
      </c>
      <c r="L24" s="52">
        <v>45</v>
      </c>
      <c r="M24" s="52">
        <v>40</v>
      </c>
      <c r="N24" s="52">
        <v>25</v>
      </c>
      <c r="O24" s="52" t="s">
        <v>53</v>
      </c>
    </row>
    <row r="25" spans="1:15" s="53" customFormat="1" ht="199.5" customHeight="1" x14ac:dyDescent="0.25">
      <c r="A25" s="116"/>
      <c r="B25" s="118"/>
      <c r="C25" s="120"/>
      <c r="D25" s="56" t="s">
        <v>189</v>
      </c>
      <c r="E25" s="48">
        <f>C24/2</f>
        <v>0.359339072776858</v>
      </c>
      <c r="F25" s="48">
        <f t="shared" si="0"/>
        <v>0.89834768194214498</v>
      </c>
      <c r="G25" s="46" t="s">
        <v>191</v>
      </c>
      <c r="H25" s="49">
        <v>0.5</v>
      </c>
      <c r="I25" s="50" t="s">
        <v>46</v>
      </c>
      <c r="J25" s="51" t="s">
        <v>52</v>
      </c>
      <c r="K25" s="52">
        <v>50</v>
      </c>
      <c r="L25" s="52">
        <v>45</v>
      </c>
      <c r="M25" s="52">
        <v>40</v>
      </c>
      <c r="N25" s="52">
        <v>25</v>
      </c>
      <c r="O25" s="52" t="s">
        <v>53</v>
      </c>
    </row>
    <row r="26" spans="1:15" s="53" customFormat="1" ht="246" customHeight="1" x14ac:dyDescent="0.25">
      <c r="A26" s="114">
        <v>3</v>
      </c>
      <c r="B26" s="117" t="s">
        <v>203</v>
      </c>
      <c r="C26" s="119">
        <f>0.4 *83.4179990374846</f>
        <v>33.367199614993844</v>
      </c>
      <c r="D26" s="94" t="s">
        <v>204</v>
      </c>
      <c r="E26" s="48">
        <f>C26/6</f>
        <v>5.561199935832307</v>
      </c>
      <c r="F26" s="48">
        <f t="shared" si="0"/>
        <v>13.902999839580769</v>
      </c>
      <c r="G26" s="46" t="s">
        <v>205</v>
      </c>
      <c r="H26" s="54">
        <v>1</v>
      </c>
      <c r="I26" s="50" t="s">
        <v>46</v>
      </c>
      <c r="J26" s="51">
        <v>100</v>
      </c>
      <c r="K26" s="52">
        <v>95</v>
      </c>
      <c r="L26" s="52">
        <v>90</v>
      </c>
      <c r="M26" s="52">
        <v>85</v>
      </c>
      <c r="N26" s="52">
        <v>80</v>
      </c>
      <c r="O26" s="52" t="s">
        <v>47</v>
      </c>
    </row>
    <row r="27" spans="1:15" s="53" customFormat="1" ht="246" customHeight="1" x14ac:dyDescent="0.25">
      <c r="A27" s="115"/>
      <c r="B27" s="122"/>
      <c r="C27" s="121"/>
      <c r="D27" s="56" t="s">
        <v>206</v>
      </c>
      <c r="E27" s="48">
        <f>C26/6</f>
        <v>5.561199935832307</v>
      </c>
      <c r="F27" s="48">
        <f t="shared" si="0"/>
        <v>13.902999839580769</v>
      </c>
      <c r="G27" s="46" t="s">
        <v>207</v>
      </c>
      <c r="H27" s="54">
        <v>1</v>
      </c>
      <c r="I27" s="50" t="s">
        <v>46</v>
      </c>
      <c r="J27" s="51">
        <v>100</v>
      </c>
      <c r="K27" s="52">
        <v>95</v>
      </c>
      <c r="L27" s="52">
        <v>90</v>
      </c>
      <c r="M27" s="52">
        <v>85</v>
      </c>
      <c r="N27" s="52">
        <v>80</v>
      </c>
      <c r="O27" s="52" t="s">
        <v>47</v>
      </c>
    </row>
    <row r="28" spans="1:15" s="53" customFormat="1" ht="246" customHeight="1" x14ac:dyDescent="0.25">
      <c r="A28" s="115"/>
      <c r="B28" s="122"/>
      <c r="C28" s="121"/>
      <c r="D28" s="56" t="s">
        <v>208</v>
      </c>
      <c r="E28" s="48">
        <f>C26/6</f>
        <v>5.561199935832307</v>
      </c>
      <c r="F28" s="48">
        <f t="shared" si="0"/>
        <v>13.902999839580769</v>
      </c>
      <c r="G28" s="46" t="s">
        <v>209</v>
      </c>
      <c r="H28" s="54">
        <v>1</v>
      </c>
      <c r="I28" s="50" t="s">
        <v>46</v>
      </c>
      <c r="J28" s="51">
        <v>100</v>
      </c>
      <c r="K28" s="52">
        <v>95</v>
      </c>
      <c r="L28" s="52">
        <v>90</v>
      </c>
      <c r="M28" s="52">
        <v>85</v>
      </c>
      <c r="N28" s="52">
        <v>80</v>
      </c>
      <c r="O28" s="52" t="s">
        <v>47</v>
      </c>
    </row>
    <row r="29" spans="1:15" s="53" customFormat="1" ht="246" customHeight="1" x14ac:dyDescent="0.25">
      <c r="A29" s="115"/>
      <c r="B29" s="122"/>
      <c r="C29" s="121"/>
      <c r="D29" s="56" t="s">
        <v>210</v>
      </c>
      <c r="E29" s="48">
        <f>C26/6</f>
        <v>5.561199935832307</v>
      </c>
      <c r="F29" s="48">
        <f t="shared" si="0"/>
        <v>13.902999839580769</v>
      </c>
      <c r="G29" s="46" t="s">
        <v>211</v>
      </c>
      <c r="H29" s="54">
        <v>1</v>
      </c>
      <c r="I29" s="50" t="s">
        <v>46</v>
      </c>
      <c r="J29" s="51">
        <v>100</v>
      </c>
      <c r="K29" s="52">
        <v>95</v>
      </c>
      <c r="L29" s="52">
        <v>90</v>
      </c>
      <c r="M29" s="52">
        <v>85</v>
      </c>
      <c r="N29" s="52">
        <v>80</v>
      </c>
      <c r="O29" s="52" t="s">
        <v>47</v>
      </c>
    </row>
    <row r="30" spans="1:15" s="53" customFormat="1" ht="246" customHeight="1" x14ac:dyDescent="0.25">
      <c r="A30" s="115"/>
      <c r="B30" s="122"/>
      <c r="C30" s="121"/>
      <c r="D30" s="56" t="s">
        <v>212</v>
      </c>
      <c r="E30" s="48">
        <f>C26/6</f>
        <v>5.561199935832307</v>
      </c>
      <c r="F30" s="48">
        <f t="shared" si="0"/>
        <v>13.902999839580769</v>
      </c>
      <c r="G30" s="46" t="s">
        <v>213</v>
      </c>
      <c r="H30" s="54">
        <v>1</v>
      </c>
      <c r="I30" s="50" t="s">
        <v>46</v>
      </c>
      <c r="J30" s="51">
        <v>100</v>
      </c>
      <c r="K30" s="52">
        <v>95</v>
      </c>
      <c r="L30" s="52">
        <v>90</v>
      </c>
      <c r="M30" s="52">
        <v>85</v>
      </c>
      <c r="N30" s="52">
        <v>80</v>
      </c>
      <c r="O30" s="52" t="s">
        <v>47</v>
      </c>
    </row>
    <row r="31" spans="1:15" s="53" customFormat="1" ht="246" customHeight="1" x14ac:dyDescent="0.25">
      <c r="A31" s="116"/>
      <c r="B31" s="118"/>
      <c r="C31" s="120"/>
      <c r="D31" s="56" t="s">
        <v>214</v>
      </c>
      <c r="E31" s="48">
        <f>C26/6</f>
        <v>5.561199935832307</v>
      </c>
      <c r="F31" s="48">
        <f t="shared" si="0"/>
        <v>13.902999839580769</v>
      </c>
      <c r="G31" s="46" t="s">
        <v>215</v>
      </c>
      <c r="H31" s="54">
        <v>1</v>
      </c>
      <c r="I31" s="50" t="s">
        <v>46</v>
      </c>
      <c r="J31" s="51">
        <v>100</v>
      </c>
      <c r="K31" s="52">
        <v>95</v>
      </c>
      <c r="L31" s="52">
        <v>90</v>
      </c>
      <c r="M31" s="52">
        <v>85</v>
      </c>
      <c r="N31" s="52">
        <v>80</v>
      </c>
      <c r="O31" s="52" t="s">
        <v>47</v>
      </c>
    </row>
    <row r="32" spans="1:15" s="53" customFormat="1" ht="246" customHeight="1" x14ac:dyDescent="0.25">
      <c r="A32" s="114">
        <v>4</v>
      </c>
      <c r="B32" s="117" t="s">
        <v>175</v>
      </c>
      <c r="C32" s="112">
        <f>0.4 *2.8073365060692</f>
        <v>1.1229346024276801</v>
      </c>
      <c r="D32" s="56" t="s">
        <v>167</v>
      </c>
      <c r="E32" s="48">
        <f>C32/2</f>
        <v>0.56146730121384003</v>
      </c>
      <c r="F32" s="48">
        <f t="shared" si="0"/>
        <v>1.4036682530346001</v>
      </c>
      <c r="G32" s="46" t="s">
        <v>169</v>
      </c>
      <c r="H32" s="54">
        <v>1</v>
      </c>
      <c r="I32" s="50" t="s">
        <v>46</v>
      </c>
      <c r="J32" s="51">
        <v>100</v>
      </c>
      <c r="K32" s="52">
        <v>95</v>
      </c>
      <c r="L32" s="52">
        <v>90</v>
      </c>
      <c r="M32" s="52">
        <v>85</v>
      </c>
      <c r="N32" s="52">
        <v>80</v>
      </c>
      <c r="O32" s="52" t="s">
        <v>47</v>
      </c>
    </row>
    <row r="33" spans="1:15" s="53" customFormat="1" ht="246" customHeight="1" x14ac:dyDescent="0.25">
      <c r="A33" s="116"/>
      <c r="B33" s="118"/>
      <c r="C33" s="113"/>
      <c r="D33" s="56" t="s">
        <v>168</v>
      </c>
      <c r="E33" s="48">
        <f>C32/2</f>
        <v>0.56146730121384003</v>
      </c>
      <c r="F33" s="48">
        <f t="shared" si="0"/>
        <v>1.4036682530346001</v>
      </c>
      <c r="G33" s="46" t="s">
        <v>170</v>
      </c>
      <c r="H33" s="45">
        <v>5</v>
      </c>
      <c r="I33" s="50" t="s">
        <v>75</v>
      </c>
      <c r="J33" s="51" t="s">
        <v>76</v>
      </c>
      <c r="K33" s="52">
        <v>5</v>
      </c>
      <c r="L33" s="52">
        <v>4</v>
      </c>
      <c r="M33" s="52">
        <v>3</v>
      </c>
      <c r="N33" s="52">
        <v>2</v>
      </c>
      <c r="O33" s="52">
        <v>1</v>
      </c>
    </row>
    <row r="34" spans="1:15" s="53" customFormat="1" ht="246" customHeight="1" x14ac:dyDescent="0.25">
      <c r="A34" s="114">
        <v>5</v>
      </c>
      <c r="B34" s="117" t="s">
        <v>166</v>
      </c>
      <c r="C34" s="112">
        <f>0.4 *5.61467301213839</f>
        <v>2.2458692048553561</v>
      </c>
      <c r="D34" s="56" t="s">
        <v>171</v>
      </c>
      <c r="E34" s="48">
        <f>C34/2</f>
        <v>1.1229346024276781</v>
      </c>
      <c r="F34" s="48">
        <f t="shared" si="0"/>
        <v>2.8073365060691953</v>
      </c>
      <c r="G34" s="46" t="s">
        <v>173</v>
      </c>
      <c r="H34" s="45">
        <v>5</v>
      </c>
      <c r="I34" s="45" t="s">
        <v>75</v>
      </c>
      <c r="J34" s="51" t="s">
        <v>76</v>
      </c>
      <c r="K34" s="52">
        <v>5</v>
      </c>
      <c r="L34" s="52">
        <v>4</v>
      </c>
      <c r="M34" s="52">
        <v>3</v>
      </c>
      <c r="N34" s="52">
        <v>2</v>
      </c>
      <c r="O34" s="52">
        <v>1</v>
      </c>
    </row>
    <row r="35" spans="1:15" s="53" customFormat="1" ht="246" customHeight="1" x14ac:dyDescent="0.25">
      <c r="A35" s="116"/>
      <c r="B35" s="118"/>
      <c r="C35" s="113"/>
      <c r="D35" s="56" t="s">
        <v>172</v>
      </c>
      <c r="E35" s="48">
        <f>C34/2</f>
        <v>1.1229346024276781</v>
      </c>
      <c r="F35" s="48">
        <f t="shared" si="0"/>
        <v>2.8073365060691953</v>
      </c>
      <c r="G35" s="46" t="s">
        <v>174</v>
      </c>
      <c r="H35" s="49">
        <v>0.5</v>
      </c>
      <c r="I35" s="50" t="s">
        <v>46</v>
      </c>
      <c r="J35" s="51" t="s">
        <v>52</v>
      </c>
      <c r="K35" s="52">
        <v>50</v>
      </c>
      <c r="L35" s="52">
        <v>45</v>
      </c>
      <c r="M35" s="52">
        <v>40</v>
      </c>
      <c r="N35" s="52">
        <v>25</v>
      </c>
      <c r="O35" s="52" t="s">
        <v>53</v>
      </c>
    </row>
    <row r="36" spans="1:15" s="53" customFormat="1" ht="246" customHeight="1" x14ac:dyDescent="0.25">
      <c r="A36" s="114">
        <v>6</v>
      </c>
      <c r="B36" s="117" t="s">
        <v>161</v>
      </c>
      <c r="C36" s="112">
        <f>0.4 *1.8715576707128</f>
        <v>0.74862306828512004</v>
      </c>
      <c r="D36" s="56" t="s">
        <v>162</v>
      </c>
      <c r="E36" s="48">
        <f>C36/2</f>
        <v>0.37431153414256002</v>
      </c>
      <c r="F36" s="48">
        <f t="shared" si="0"/>
        <v>0.93577883535639994</v>
      </c>
      <c r="G36" s="46" t="s">
        <v>164</v>
      </c>
      <c r="H36" s="54">
        <v>0.8</v>
      </c>
      <c r="I36" s="45" t="s">
        <v>46</v>
      </c>
      <c r="J36" s="51" t="s">
        <v>88</v>
      </c>
      <c r="K36" s="52">
        <v>80</v>
      </c>
      <c r="L36" s="52">
        <v>75</v>
      </c>
      <c r="M36" s="52">
        <v>70</v>
      </c>
      <c r="N36" s="52">
        <v>50</v>
      </c>
      <c r="O36" s="52" t="s">
        <v>57</v>
      </c>
    </row>
    <row r="37" spans="1:15" s="53" customFormat="1" ht="246" customHeight="1" x14ac:dyDescent="0.25">
      <c r="A37" s="116"/>
      <c r="B37" s="118"/>
      <c r="C37" s="113"/>
      <c r="D37" s="56" t="s">
        <v>163</v>
      </c>
      <c r="E37" s="48">
        <f>C36/2</f>
        <v>0.37431153414256002</v>
      </c>
      <c r="F37" s="48">
        <f t="shared" si="0"/>
        <v>0.93577883535639994</v>
      </c>
      <c r="G37" s="46" t="s">
        <v>165</v>
      </c>
      <c r="H37" s="45">
        <v>5</v>
      </c>
      <c r="I37" s="45" t="s">
        <v>75</v>
      </c>
      <c r="J37" s="51" t="s">
        <v>76</v>
      </c>
      <c r="K37" s="52">
        <v>5</v>
      </c>
      <c r="L37" s="52">
        <v>4</v>
      </c>
      <c r="M37" s="52">
        <v>3</v>
      </c>
      <c r="N37" s="52">
        <v>2</v>
      </c>
      <c r="O37" s="52">
        <v>1</v>
      </c>
    </row>
    <row r="38" spans="1:15" s="53" customFormat="1" ht="246" customHeight="1" x14ac:dyDescent="0.25">
      <c r="A38" s="45">
        <v>7</v>
      </c>
      <c r="B38" s="56" t="s">
        <v>155</v>
      </c>
      <c r="C38" s="55">
        <f>0.4 *0.748623068285119</f>
        <v>0.29944922731404761</v>
      </c>
      <c r="D38" s="47" t="s">
        <v>157</v>
      </c>
      <c r="E38" s="48">
        <f>C38</f>
        <v>0.29944922731404761</v>
      </c>
      <c r="F38" s="48">
        <f t="shared" si="0"/>
        <v>0.74862306828511904</v>
      </c>
      <c r="G38" s="46" t="s">
        <v>159</v>
      </c>
      <c r="H38" s="49">
        <v>0.7</v>
      </c>
      <c r="I38" s="45" t="s">
        <v>46</v>
      </c>
      <c r="J38" s="51" t="s">
        <v>102</v>
      </c>
      <c r="K38" s="52">
        <v>70</v>
      </c>
      <c r="L38" s="52">
        <v>60</v>
      </c>
      <c r="M38" s="52">
        <v>50</v>
      </c>
      <c r="N38" s="52">
        <v>40</v>
      </c>
      <c r="O38" s="52" t="s">
        <v>103</v>
      </c>
    </row>
    <row r="39" spans="1:15" s="53" customFormat="1" ht="246" customHeight="1" x14ac:dyDescent="0.25">
      <c r="A39" s="45">
        <v>8</v>
      </c>
      <c r="B39" s="56" t="s">
        <v>156</v>
      </c>
      <c r="C39" s="55">
        <f>0.4 *0.748623068285119</f>
        <v>0.29944922731404761</v>
      </c>
      <c r="D39" s="46" t="s">
        <v>158</v>
      </c>
      <c r="E39" s="48">
        <f>C39</f>
        <v>0.29944922731404761</v>
      </c>
      <c r="F39" s="48">
        <f t="shared" si="0"/>
        <v>0.74862306828511904</v>
      </c>
      <c r="G39" s="46" t="s">
        <v>160</v>
      </c>
      <c r="H39" s="49">
        <v>0.5</v>
      </c>
      <c r="I39" s="50" t="s">
        <v>46</v>
      </c>
      <c r="J39" s="51" t="s">
        <v>52</v>
      </c>
      <c r="K39" s="52">
        <v>50</v>
      </c>
      <c r="L39" s="52">
        <v>45</v>
      </c>
      <c r="M39" s="52">
        <v>40</v>
      </c>
      <c r="N39" s="52">
        <v>25</v>
      </c>
      <c r="O39" s="52" t="s">
        <v>53</v>
      </c>
    </row>
    <row r="40" spans="1:15" ht="82.5" customHeight="1" x14ac:dyDescent="0.8">
      <c r="A40" s="58"/>
      <c r="B40" s="59" t="s">
        <v>106</v>
      </c>
      <c r="C40" s="60">
        <f>SUM(C19:C39)</f>
        <v>39.999999999999993</v>
      </c>
      <c r="D40" s="60"/>
      <c r="E40" s="60">
        <f>SUM(E19:E39)</f>
        <v>40</v>
      </c>
      <c r="F40" s="60">
        <f>SUM(F19:F39)</f>
        <v>99.999999999999986</v>
      </c>
      <c r="G40" s="61"/>
      <c r="H40" s="62"/>
      <c r="I40" s="63"/>
      <c r="J40" s="64"/>
      <c r="K40" s="65"/>
      <c r="L40" s="65"/>
      <c r="M40" s="65"/>
      <c r="N40" s="65"/>
      <c r="O40" s="65"/>
    </row>
    <row r="41" spans="1:15" s="4" customFormat="1" ht="61.5" x14ac:dyDescent="0.75">
      <c r="A41" s="149" t="s">
        <v>107</v>
      </c>
      <c r="B41" s="149"/>
      <c r="C41" s="149"/>
      <c r="D41" s="149"/>
      <c r="E41" s="149"/>
      <c r="F41" s="149"/>
      <c r="G41" s="149"/>
      <c r="H41" s="184"/>
      <c r="I41" s="184"/>
      <c r="J41" s="185"/>
      <c r="K41" s="186" t="s">
        <v>108</v>
      </c>
      <c r="L41" s="186"/>
      <c r="M41" s="186"/>
      <c r="N41" s="186"/>
      <c r="O41" s="186"/>
    </row>
    <row r="42" spans="1:15" s="4" customFormat="1" ht="63" x14ac:dyDescent="0.8">
      <c r="A42" s="66"/>
      <c r="B42" s="67"/>
      <c r="C42" s="187" t="s">
        <v>109</v>
      </c>
      <c r="D42" s="187"/>
      <c r="E42" s="187"/>
      <c r="F42" s="187"/>
      <c r="G42" s="187"/>
      <c r="H42" s="68" t="s">
        <v>110</v>
      </c>
      <c r="I42" s="68" t="s">
        <v>111</v>
      </c>
      <c r="J42" s="68" t="s">
        <v>112</v>
      </c>
      <c r="K42" s="186"/>
      <c r="L42" s="186"/>
      <c r="M42" s="186"/>
      <c r="N42" s="186"/>
      <c r="O42" s="186"/>
    </row>
    <row r="43" spans="1:15" ht="63" x14ac:dyDescent="0.8">
      <c r="A43" s="69">
        <v>1</v>
      </c>
      <c r="B43" s="70" t="s">
        <v>113</v>
      </c>
      <c r="C43" s="181"/>
      <c r="D43" s="182"/>
      <c r="E43" s="182"/>
      <c r="F43" s="182"/>
      <c r="G43" s="183"/>
      <c r="H43" s="71"/>
      <c r="I43" s="71"/>
      <c r="J43" s="72"/>
      <c r="K43" s="73"/>
      <c r="L43" s="74" t="s">
        <v>37</v>
      </c>
      <c r="M43" s="172" t="s">
        <v>114</v>
      </c>
      <c r="N43" s="172"/>
      <c r="O43" s="172"/>
    </row>
    <row r="44" spans="1:15" ht="89.25" customHeight="1" x14ac:dyDescent="0.8">
      <c r="A44" s="76" t="s">
        <v>115</v>
      </c>
      <c r="B44" s="77" t="s">
        <v>116</v>
      </c>
      <c r="C44" s="178"/>
      <c r="D44" s="179"/>
      <c r="E44" s="179"/>
      <c r="F44" s="179"/>
      <c r="G44" s="180"/>
      <c r="H44" s="65">
        <v>3</v>
      </c>
      <c r="I44" s="65">
        <v>3</v>
      </c>
      <c r="J44" s="78"/>
      <c r="K44" s="73"/>
      <c r="L44" s="74" t="s">
        <v>38</v>
      </c>
      <c r="M44" s="172" t="s">
        <v>117</v>
      </c>
      <c r="N44" s="172"/>
      <c r="O44" s="172"/>
    </row>
    <row r="45" spans="1:15" ht="86.25" customHeight="1" x14ac:dyDescent="0.8">
      <c r="A45" s="76" t="s">
        <v>118</v>
      </c>
      <c r="B45" s="77" t="s">
        <v>119</v>
      </c>
      <c r="C45" s="178"/>
      <c r="D45" s="179"/>
      <c r="E45" s="179"/>
      <c r="F45" s="179"/>
      <c r="G45" s="180"/>
      <c r="H45" s="65">
        <v>3</v>
      </c>
      <c r="I45" s="65">
        <v>3</v>
      </c>
      <c r="J45" s="78"/>
      <c r="K45" s="73"/>
      <c r="L45" s="74" t="s">
        <v>39</v>
      </c>
      <c r="M45" s="172" t="s">
        <v>120</v>
      </c>
      <c r="N45" s="172"/>
      <c r="O45" s="172"/>
    </row>
    <row r="46" spans="1:15" ht="79.5" customHeight="1" x14ac:dyDescent="0.8">
      <c r="A46" s="76" t="s">
        <v>121</v>
      </c>
      <c r="B46" s="77" t="s">
        <v>122</v>
      </c>
      <c r="C46" s="178"/>
      <c r="D46" s="179"/>
      <c r="E46" s="179"/>
      <c r="F46" s="179"/>
      <c r="G46" s="180"/>
      <c r="H46" s="65">
        <v>3</v>
      </c>
      <c r="I46" s="65">
        <v>3</v>
      </c>
      <c r="J46" s="78"/>
      <c r="K46" s="73"/>
      <c r="L46" s="74" t="s">
        <v>40</v>
      </c>
      <c r="M46" s="172" t="s">
        <v>123</v>
      </c>
      <c r="N46" s="172"/>
      <c r="O46" s="172"/>
    </row>
    <row r="47" spans="1:15" ht="79.5" customHeight="1" x14ac:dyDescent="0.8">
      <c r="A47" s="79">
        <v>2</v>
      </c>
      <c r="B47" s="80" t="s">
        <v>124</v>
      </c>
      <c r="C47" s="175"/>
      <c r="D47" s="176"/>
      <c r="E47" s="176"/>
      <c r="F47" s="176"/>
      <c r="G47" s="177"/>
      <c r="H47" s="65"/>
      <c r="I47" s="65"/>
      <c r="J47" s="78"/>
      <c r="K47" s="73"/>
      <c r="L47" s="74" t="s">
        <v>41</v>
      </c>
      <c r="M47" s="172" t="s">
        <v>125</v>
      </c>
      <c r="N47" s="172"/>
      <c r="O47" s="172"/>
    </row>
    <row r="48" spans="1:15" ht="96.75" customHeight="1" x14ac:dyDescent="0.8">
      <c r="A48" s="76" t="s">
        <v>115</v>
      </c>
      <c r="B48" s="81" t="s">
        <v>126</v>
      </c>
      <c r="C48" s="154"/>
      <c r="D48" s="155"/>
      <c r="E48" s="155"/>
      <c r="F48" s="155"/>
      <c r="G48" s="156"/>
      <c r="H48" s="65">
        <v>3</v>
      </c>
      <c r="I48" s="65">
        <v>3</v>
      </c>
      <c r="J48" s="78"/>
      <c r="K48" s="73"/>
      <c r="L48" s="74" t="s">
        <v>42</v>
      </c>
      <c r="M48" s="172" t="s">
        <v>127</v>
      </c>
      <c r="N48" s="172"/>
      <c r="O48" s="172"/>
    </row>
    <row r="49" spans="1:15" ht="84.75" customHeight="1" x14ac:dyDescent="0.8">
      <c r="A49" s="76" t="s">
        <v>118</v>
      </c>
      <c r="B49" s="81" t="s">
        <v>128</v>
      </c>
      <c r="C49" s="154"/>
      <c r="D49" s="155"/>
      <c r="E49" s="155"/>
      <c r="F49" s="155"/>
      <c r="G49" s="156"/>
      <c r="H49" s="65">
        <v>2</v>
      </c>
      <c r="I49" s="65">
        <v>2</v>
      </c>
      <c r="J49" s="78"/>
      <c r="K49" s="73"/>
      <c r="L49" s="75" t="s">
        <v>112</v>
      </c>
      <c r="M49" s="75" t="s">
        <v>129</v>
      </c>
      <c r="N49" s="82"/>
      <c r="O49" s="82"/>
    </row>
    <row r="50" spans="1:15" ht="96" customHeight="1" x14ac:dyDescent="0.8">
      <c r="A50" s="76" t="s">
        <v>121</v>
      </c>
      <c r="B50" s="83" t="s">
        <v>130</v>
      </c>
      <c r="C50" s="154"/>
      <c r="D50" s="155"/>
      <c r="E50" s="155"/>
      <c r="F50" s="155"/>
      <c r="G50" s="156"/>
      <c r="H50" s="65">
        <v>2</v>
      </c>
      <c r="I50" s="65">
        <v>2</v>
      </c>
      <c r="J50" s="78"/>
      <c r="K50" s="73"/>
      <c r="L50" s="75" t="s">
        <v>131</v>
      </c>
      <c r="M50" s="172" t="s">
        <v>132</v>
      </c>
      <c r="N50" s="172"/>
      <c r="O50" s="172"/>
    </row>
    <row r="51" spans="1:15" ht="63" x14ac:dyDescent="0.8">
      <c r="A51" s="79">
        <v>3</v>
      </c>
      <c r="B51" s="80" t="s">
        <v>133</v>
      </c>
      <c r="C51" s="175"/>
      <c r="D51" s="176"/>
      <c r="E51" s="176"/>
      <c r="F51" s="176"/>
      <c r="G51" s="177"/>
      <c r="H51" s="65"/>
      <c r="I51" s="65"/>
      <c r="J51" s="78"/>
      <c r="K51" s="73"/>
      <c r="L51" s="75" t="s">
        <v>110</v>
      </c>
      <c r="M51" s="172" t="s">
        <v>134</v>
      </c>
      <c r="N51" s="172"/>
      <c r="O51" s="172"/>
    </row>
    <row r="52" spans="1:15" ht="81.75" customHeight="1" x14ac:dyDescent="0.8">
      <c r="A52" s="76" t="s">
        <v>115</v>
      </c>
      <c r="B52" s="81" t="s">
        <v>135</v>
      </c>
      <c r="C52" s="169"/>
      <c r="D52" s="170"/>
      <c r="E52" s="170"/>
      <c r="F52" s="170"/>
      <c r="G52" s="171"/>
      <c r="H52" s="65">
        <v>2</v>
      </c>
      <c r="I52" s="65">
        <v>2</v>
      </c>
      <c r="J52" s="78"/>
      <c r="K52" s="73"/>
      <c r="L52" s="75" t="s">
        <v>111</v>
      </c>
      <c r="M52" s="172" t="s">
        <v>136</v>
      </c>
      <c r="N52" s="172"/>
      <c r="O52" s="172"/>
    </row>
    <row r="53" spans="1:15" ht="72" customHeight="1" x14ac:dyDescent="0.8">
      <c r="A53" s="76" t="s">
        <v>118</v>
      </c>
      <c r="B53" s="81" t="s">
        <v>137</v>
      </c>
      <c r="C53" s="169"/>
      <c r="D53" s="170"/>
      <c r="E53" s="170"/>
      <c r="F53" s="170"/>
      <c r="G53" s="171"/>
      <c r="H53" s="65">
        <v>1</v>
      </c>
      <c r="I53" s="65">
        <v>1</v>
      </c>
      <c r="J53" s="78"/>
      <c r="K53" s="73"/>
      <c r="L53" s="75" t="s">
        <v>138</v>
      </c>
      <c r="M53" s="172" t="s">
        <v>139</v>
      </c>
      <c r="N53" s="172"/>
      <c r="O53" s="172"/>
    </row>
    <row r="54" spans="1:15" ht="78" customHeight="1" x14ac:dyDescent="0.8">
      <c r="A54" s="76" t="s">
        <v>121</v>
      </c>
      <c r="B54" s="81" t="s">
        <v>140</v>
      </c>
      <c r="C54" s="169"/>
      <c r="D54" s="170"/>
      <c r="E54" s="170"/>
      <c r="F54" s="170"/>
      <c r="G54" s="171"/>
      <c r="H54" s="65">
        <v>1</v>
      </c>
      <c r="I54" s="65">
        <v>1</v>
      </c>
      <c r="J54" s="78"/>
      <c r="K54" s="73"/>
      <c r="L54" s="82"/>
      <c r="M54" s="82"/>
      <c r="N54" s="82"/>
      <c r="O54" s="82"/>
    </row>
    <row r="55" spans="1:15" ht="63" x14ac:dyDescent="0.8">
      <c r="A55" s="173" t="s">
        <v>141</v>
      </c>
      <c r="B55" s="174"/>
      <c r="C55" s="174"/>
      <c r="D55" s="174"/>
      <c r="E55" s="174"/>
      <c r="F55" s="174"/>
      <c r="G55" s="174"/>
      <c r="H55" s="84"/>
      <c r="I55" s="84"/>
      <c r="J55" s="84"/>
      <c r="K55" s="73"/>
      <c r="L55" s="82"/>
      <c r="M55" s="82"/>
      <c r="N55" s="82"/>
      <c r="O55" s="82"/>
    </row>
    <row r="56" spans="1:15" ht="63" x14ac:dyDescent="0.8">
      <c r="A56" s="76" t="s">
        <v>115</v>
      </c>
      <c r="B56" s="85" t="s">
        <v>142</v>
      </c>
      <c r="C56" s="154" t="s">
        <v>143</v>
      </c>
      <c r="D56" s="155"/>
      <c r="E56" s="155"/>
      <c r="F56" s="155"/>
      <c r="G56" s="156"/>
      <c r="H56" s="86">
        <v>4</v>
      </c>
      <c r="I56" s="87">
        <v>4</v>
      </c>
      <c r="J56" s="85"/>
      <c r="K56" s="73"/>
      <c r="L56" s="82"/>
      <c r="M56" s="82"/>
      <c r="N56" s="82"/>
      <c r="O56" s="82"/>
    </row>
    <row r="57" spans="1:15" ht="63" x14ac:dyDescent="0.8">
      <c r="A57" s="76" t="s">
        <v>118</v>
      </c>
      <c r="B57" s="85" t="s">
        <v>144</v>
      </c>
      <c r="C57" s="154" t="s">
        <v>145</v>
      </c>
      <c r="D57" s="155"/>
      <c r="E57" s="155"/>
      <c r="F57" s="155"/>
      <c r="G57" s="156"/>
      <c r="H57" s="86">
        <v>4</v>
      </c>
      <c r="I57" s="87">
        <v>4</v>
      </c>
      <c r="J57" s="85"/>
      <c r="K57" s="73"/>
      <c r="L57" s="82"/>
      <c r="M57" s="82"/>
      <c r="N57" s="82"/>
      <c r="O57" s="82"/>
    </row>
    <row r="58" spans="1:15" ht="63" x14ac:dyDescent="0.8">
      <c r="A58" s="76" t="s">
        <v>118</v>
      </c>
      <c r="B58" s="85" t="s">
        <v>146</v>
      </c>
      <c r="C58" s="154" t="s">
        <v>147</v>
      </c>
      <c r="D58" s="155"/>
      <c r="E58" s="155"/>
      <c r="F58" s="155"/>
      <c r="G58" s="156"/>
      <c r="H58" s="86">
        <v>2</v>
      </c>
      <c r="I58" s="87">
        <v>2</v>
      </c>
      <c r="J58" s="85"/>
      <c r="K58" s="73"/>
      <c r="L58" s="82"/>
      <c r="M58" s="82"/>
      <c r="N58" s="82"/>
      <c r="O58" s="82"/>
    </row>
    <row r="59" spans="1:15" s="89" customFormat="1" ht="65.25" x14ac:dyDescent="0.95">
      <c r="A59" s="157" t="s">
        <v>148</v>
      </c>
      <c r="B59" s="157"/>
      <c r="C59" s="157"/>
      <c r="D59" s="157"/>
      <c r="E59" s="157"/>
      <c r="F59" s="157"/>
      <c r="G59" s="157"/>
      <c r="H59" s="157"/>
      <c r="I59" s="157"/>
      <c r="J59" s="88"/>
      <c r="K59" s="82"/>
      <c r="L59" s="82"/>
      <c r="M59" s="82"/>
      <c r="N59" s="82"/>
      <c r="O59" s="82"/>
    </row>
    <row r="60" spans="1:15" s="89" customFormat="1" ht="15" customHeight="1" x14ac:dyDescent="0.95">
      <c r="A60" s="158" t="s">
        <v>149</v>
      </c>
      <c r="B60" s="158"/>
      <c r="C60" s="159"/>
      <c r="D60" s="160"/>
      <c r="E60" s="161" t="s">
        <v>150</v>
      </c>
      <c r="F60" s="143"/>
      <c r="G60" s="164" t="s">
        <v>151</v>
      </c>
      <c r="H60" s="125"/>
      <c r="I60" s="166"/>
      <c r="J60" s="90"/>
      <c r="K60" s="73"/>
      <c r="L60" s="73"/>
      <c r="M60" s="73"/>
      <c r="N60" s="73"/>
      <c r="O60" s="73"/>
    </row>
    <row r="61" spans="1:15" s="89" customFormat="1" ht="33" customHeight="1" x14ac:dyDescent="0.95">
      <c r="A61" s="158"/>
      <c r="B61" s="158"/>
      <c r="C61" s="159"/>
      <c r="D61" s="160"/>
      <c r="E61" s="162"/>
      <c r="F61" s="144"/>
      <c r="G61" s="150"/>
      <c r="H61" s="159"/>
      <c r="I61" s="167"/>
      <c r="J61" s="90"/>
      <c r="K61" s="130"/>
      <c r="L61" s="131"/>
      <c r="M61" s="131"/>
      <c r="N61" s="131"/>
      <c r="O61" s="132"/>
    </row>
    <row r="62" spans="1:15" s="89" customFormat="1" ht="33" customHeight="1" x14ac:dyDescent="0.95">
      <c r="A62" s="158"/>
      <c r="B62" s="158"/>
      <c r="C62" s="159"/>
      <c r="D62" s="160"/>
      <c r="E62" s="162"/>
      <c r="F62" s="144"/>
      <c r="G62" s="150"/>
      <c r="H62" s="159"/>
      <c r="I62" s="167"/>
      <c r="J62" s="90"/>
      <c r="K62" s="133"/>
      <c r="L62" s="129"/>
      <c r="M62" s="129"/>
      <c r="N62" s="129"/>
      <c r="O62" s="134"/>
    </row>
    <row r="63" spans="1:15" s="89" customFormat="1" ht="27.75" customHeight="1" x14ac:dyDescent="0.95">
      <c r="A63" s="158"/>
      <c r="B63" s="158"/>
      <c r="C63" s="127"/>
      <c r="D63" s="128"/>
      <c r="E63" s="163"/>
      <c r="F63" s="145"/>
      <c r="G63" s="165"/>
      <c r="H63" s="127"/>
      <c r="I63" s="168"/>
      <c r="J63" s="90"/>
      <c r="K63" s="133"/>
      <c r="L63" s="129"/>
      <c r="M63" s="129"/>
      <c r="N63" s="129"/>
      <c r="O63" s="134"/>
    </row>
    <row r="64" spans="1:15" s="89" customFormat="1" ht="33" customHeight="1" x14ac:dyDescent="0.95">
      <c r="A64" s="138" t="s">
        <v>152</v>
      </c>
      <c r="B64" s="139"/>
      <c r="C64" s="91"/>
      <c r="D64" s="92"/>
      <c r="E64" s="140" t="s">
        <v>152</v>
      </c>
      <c r="F64" s="143"/>
      <c r="G64" s="146" t="s">
        <v>152</v>
      </c>
      <c r="H64" s="125"/>
      <c r="I64" s="126"/>
      <c r="J64" s="90"/>
      <c r="K64" s="133"/>
      <c r="L64" s="129"/>
      <c r="M64" s="129"/>
      <c r="N64" s="129"/>
      <c r="O64" s="134"/>
    </row>
    <row r="65" spans="1:15" s="89" customFormat="1" ht="30.75" customHeight="1" x14ac:dyDescent="0.95">
      <c r="A65" s="138"/>
      <c r="B65" s="139"/>
      <c r="C65" s="91"/>
      <c r="D65" s="92"/>
      <c r="E65" s="141"/>
      <c r="F65" s="144"/>
      <c r="G65" s="147"/>
      <c r="H65" s="127"/>
      <c r="I65" s="128"/>
      <c r="J65" s="90"/>
      <c r="K65" s="133"/>
      <c r="L65" s="129"/>
      <c r="M65" s="129"/>
      <c r="N65" s="129"/>
      <c r="O65" s="134"/>
    </row>
    <row r="66" spans="1:15" s="89" customFormat="1" ht="17.25" hidden="1" customHeight="1" x14ac:dyDescent="0.95">
      <c r="A66" s="138"/>
      <c r="B66" s="139"/>
      <c r="C66" s="91"/>
      <c r="D66" s="92"/>
      <c r="E66" s="142"/>
      <c r="F66" s="145"/>
      <c r="G66" s="148"/>
      <c r="H66" s="93"/>
      <c r="I66" s="93"/>
      <c r="J66" s="90"/>
      <c r="K66" s="133"/>
      <c r="L66" s="129"/>
      <c r="M66" s="129"/>
      <c r="N66" s="129"/>
      <c r="O66" s="134"/>
    </row>
    <row r="67" spans="1:15" s="89" customFormat="1" ht="33" customHeight="1" x14ac:dyDescent="0.95">
      <c r="A67" s="149" t="s">
        <v>153</v>
      </c>
      <c r="B67" s="150"/>
      <c r="C67" s="151"/>
      <c r="D67" s="151"/>
      <c r="E67" s="152" t="s">
        <v>153</v>
      </c>
      <c r="F67" s="143"/>
      <c r="G67" s="123" t="s">
        <v>153</v>
      </c>
      <c r="H67" s="125"/>
      <c r="I67" s="126"/>
      <c r="J67" s="90"/>
      <c r="K67" s="133"/>
      <c r="L67" s="129"/>
      <c r="M67" s="129"/>
      <c r="N67" s="129"/>
      <c r="O67" s="134"/>
    </row>
    <row r="68" spans="1:15" s="89" customFormat="1" ht="33" customHeight="1" x14ac:dyDescent="0.95">
      <c r="A68" s="149"/>
      <c r="B68" s="150"/>
      <c r="C68" s="151"/>
      <c r="D68" s="151"/>
      <c r="E68" s="153"/>
      <c r="F68" s="145"/>
      <c r="G68" s="124"/>
      <c r="H68" s="127"/>
      <c r="I68" s="128"/>
      <c r="J68" s="90"/>
      <c r="K68" s="133"/>
      <c r="L68" s="129"/>
      <c r="M68" s="129"/>
      <c r="N68" s="129"/>
      <c r="O68" s="134"/>
    </row>
    <row r="69" spans="1:15" s="89" customFormat="1" ht="65.25" x14ac:dyDescent="0.95">
      <c r="A69" s="129"/>
      <c r="B69" s="129"/>
      <c r="C69" s="129"/>
      <c r="D69" s="129"/>
      <c r="E69" s="129"/>
      <c r="F69" s="129"/>
      <c r="G69" s="129"/>
      <c r="H69" s="129"/>
      <c r="I69" s="129"/>
      <c r="J69" s="90"/>
      <c r="K69" s="135"/>
      <c r="L69" s="136"/>
      <c r="M69" s="136"/>
      <c r="N69" s="136"/>
      <c r="O69" s="137"/>
    </row>
  </sheetData>
  <mergeCells count="98">
    <mergeCell ref="A1:O3"/>
    <mergeCell ref="A4:I4"/>
    <mergeCell ref="E5:I5"/>
    <mergeCell ref="A6:I6"/>
    <mergeCell ref="A7:B7"/>
    <mergeCell ref="I7:J7"/>
    <mergeCell ref="A15:I15"/>
    <mergeCell ref="A8:B8"/>
    <mergeCell ref="I8:J8"/>
    <mergeCell ref="A9:I9"/>
    <mergeCell ref="A10:B10"/>
    <mergeCell ref="I10:J10"/>
    <mergeCell ref="A11:B11"/>
    <mergeCell ref="I11:J11"/>
    <mergeCell ref="A12:I12"/>
    <mergeCell ref="A13:B13"/>
    <mergeCell ref="I13:J13"/>
    <mergeCell ref="A14:B14"/>
    <mergeCell ref="I14:J14"/>
    <mergeCell ref="J17:O17"/>
    <mergeCell ref="A16:I16"/>
    <mergeCell ref="A17:A18"/>
    <mergeCell ref="B17:B18"/>
    <mergeCell ref="C17:C18"/>
    <mergeCell ref="D17:D18"/>
    <mergeCell ref="E17:E18"/>
    <mergeCell ref="F17:F18"/>
    <mergeCell ref="G17:G18"/>
    <mergeCell ref="H17:H18"/>
    <mergeCell ref="I17:I18"/>
    <mergeCell ref="A41:G41"/>
    <mergeCell ref="H41:J41"/>
    <mergeCell ref="K41:O42"/>
    <mergeCell ref="C42:G42"/>
    <mergeCell ref="C34:C35"/>
    <mergeCell ref="C43:G43"/>
    <mergeCell ref="M43:O43"/>
    <mergeCell ref="C44:G44"/>
    <mergeCell ref="M44:O44"/>
    <mergeCell ref="C45:G45"/>
    <mergeCell ref="M45:O45"/>
    <mergeCell ref="M46:O46"/>
    <mergeCell ref="C47:G47"/>
    <mergeCell ref="M47:O47"/>
    <mergeCell ref="C48:G48"/>
    <mergeCell ref="M48:O48"/>
    <mergeCell ref="M50:O50"/>
    <mergeCell ref="C51:G51"/>
    <mergeCell ref="M51:O51"/>
    <mergeCell ref="C52:G52"/>
    <mergeCell ref="M52:O52"/>
    <mergeCell ref="M53:O53"/>
    <mergeCell ref="C54:G54"/>
    <mergeCell ref="A55:G55"/>
    <mergeCell ref="C56:G56"/>
    <mergeCell ref="C57:G57"/>
    <mergeCell ref="K61:O69"/>
    <mergeCell ref="A64:B66"/>
    <mergeCell ref="E64:E66"/>
    <mergeCell ref="F64:F66"/>
    <mergeCell ref="G64:G66"/>
    <mergeCell ref="H64:I65"/>
    <mergeCell ref="A67:B68"/>
    <mergeCell ref="C67:D68"/>
    <mergeCell ref="E67:E68"/>
    <mergeCell ref="F67:F68"/>
    <mergeCell ref="A60:B63"/>
    <mergeCell ref="C60:D63"/>
    <mergeCell ref="E60:E63"/>
    <mergeCell ref="F60:F63"/>
    <mergeCell ref="G60:G63"/>
    <mergeCell ref="H60:I63"/>
    <mergeCell ref="G67:G68"/>
    <mergeCell ref="H67:I68"/>
    <mergeCell ref="A69:I69"/>
    <mergeCell ref="C19:C23"/>
    <mergeCell ref="B19:B23"/>
    <mergeCell ref="B36:B37"/>
    <mergeCell ref="A36:A37"/>
    <mergeCell ref="C36:C37"/>
    <mergeCell ref="B34:B35"/>
    <mergeCell ref="A34:A35"/>
    <mergeCell ref="C58:G58"/>
    <mergeCell ref="A59:I59"/>
    <mergeCell ref="C53:G53"/>
    <mergeCell ref="C49:G49"/>
    <mergeCell ref="C50:G50"/>
    <mergeCell ref="C46:G46"/>
    <mergeCell ref="C32:C33"/>
    <mergeCell ref="A19:A23"/>
    <mergeCell ref="B24:B25"/>
    <mergeCell ref="C24:C25"/>
    <mergeCell ref="A24:A25"/>
    <mergeCell ref="C26:C31"/>
    <mergeCell ref="B26:B31"/>
    <mergeCell ref="A26:A31"/>
    <mergeCell ref="A32:A33"/>
    <mergeCell ref="B32:B33"/>
  </mergeCells>
  <hyperlinks>
    <hyperlink ref="E8" r:id="rId1" xr:uid="{9E077392-CAF3-4F1C-8A29-968F73325C09}"/>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FINANCE_&amp;_ACCOUNT </vt:lpstr>
      <vt:lpstr>OMEGO_HILARY</vt:lpstr>
      <vt:lpstr>OLADIMEJI_FUNMILAYO</vt:lpstr>
      <vt:lpstr>'FINANCE_&amp;_ACCOUNT '!Print_Area</vt:lpstr>
      <vt:lpstr>OLADIMEJI_FUNMILAYO!Print_Area</vt:lpstr>
      <vt:lpstr>OMEGO_HILARY!Print_Area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2026-04-08T15:04:58Z</dcterms:created>
  <dcterms:modified xsi:type="dcterms:W3CDTF">2026-04-09T13:47:10Z</dcterms:modified>
</cp:coreProperties>
</file>