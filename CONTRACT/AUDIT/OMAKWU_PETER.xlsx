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AUDIT\"/>
    </mc:Choice>
  </mc:AlternateContent>
  <xr:revisionPtr revIDLastSave="0" documentId="13_ncr:1_{84CCBB85-C510-4FB8-9BBC-D1553F5931C4}" xr6:coauthVersionLast="47" xr6:coauthVersionMax="47" xr10:uidLastSave="{00000000-0000-0000-0000-000000000000}"/>
  <bookViews>
    <workbookView xWindow="-120" yWindow="-120" windowWidth="20730" windowHeight="11040" xr2:uid="{26AA3F63-74C5-4AB1-9F5A-E137370FB1D9}"/>
  </bookViews>
  <sheets>
    <sheet name="OMAKWU_PETER" sheetId="1" r:id="rId1"/>
  </sheets>
  <definedNames>
    <definedName name="_xlnm.Print_Area" localSheetId="0">OMAKWU_PETER!$A$1:$O$69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41" i="1" s="1"/>
  <c r="F37" i="1" l="1"/>
  <c r="F35" i="1"/>
  <c r="F31" i="1"/>
  <c r="F27" i="1"/>
  <c r="F23" i="1"/>
  <c r="F21" i="1"/>
  <c r="F38" i="1"/>
  <c r="F36" i="1"/>
  <c r="F32" i="1"/>
  <c r="F30" i="1"/>
  <c r="F26" i="1"/>
  <c r="F24" i="1"/>
  <c r="F22" i="1"/>
  <c r="F39" i="1"/>
  <c r="F33" i="1"/>
  <c r="F29" i="1"/>
  <c r="F25" i="1"/>
  <c r="F19" i="1"/>
  <c r="F34" i="1"/>
  <c r="F28" i="1"/>
  <c r="F20" i="1"/>
  <c r="F40" i="1"/>
  <c r="F41" i="1" l="1"/>
</calcChain>
</file>

<file path=xl/sharedStrings.xml><?xml version="1.0" encoding="utf-8"?>
<sst xmlns="http://schemas.openxmlformats.org/spreadsheetml/2006/main" count="239" uniqueCount="159">
  <si>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</si>
  <si>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</si>
  <si>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</si>
  <si>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</si>
  <si>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</si>
  <si>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</si>
  <si>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</si>
  <si>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</si>
  <si>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OMAKWU</t>
  </si>
  <si>
    <t>Firstname</t>
  </si>
  <si>
    <t>PETER</t>
  </si>
  <si>
    <t>Othername</t>
  </si>
  <si>
    <t>JONAH</t>
  </si>
  <si>
    <t>Designation</t>
  </si>
  <si>
    <t>SEO</t>
  </si>
  <si>
    <t>IPPIS No.</t>
  </si>
  <si>
    <t>Email</t>
  </si>
  <si>
    <t>Phone No.</t>
  </si>
  <si>
    <t>Department</t>
  </si>
  <si>
    <t>AUDIT</t>
  </si>
  <si>
    <t>SECTION 2: SUPERVISOR INFORMATION</t>
  </si>
  <si>
    <t>OLADIPO</t>
  </si>
  <si>
    <t>KOREDE</t>
  </si>
  <si>
    <t>FAITH</t>
  </si>
  <si>
    <t>PEO</t>
  </si>
  <si>
    <t>ifyarukwe@yahoo.com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</si>
  <si>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</si>
  <si>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</si>
  <si>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</si>
  <si>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</si>
  <si>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</si>
  <si>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</si>
  <si>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</si>
  <si>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</si>
  <si>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</si>
  <si>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</si>
  <si>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</si>
  <si>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</si>
  <si>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</si>
  <si>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</si>
  <si>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</si>
  <si>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</si>
  <si>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</si>
  <si>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</si>
  <si>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</si>
  <si>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</si>
  <si>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</si>
  <si>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</si>
  <si>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</si>
  <si>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</si>
  <si>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</si>
  <si>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</si>
  <si>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</si>
  <si>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</si>
  <si>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</si>
  <si>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</si>
  <si>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</si>
  <si>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</si>
  <si>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</si>
  <si>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</si>
  <si>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</si>
  <si>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</si>
  <si>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</si>
  <si>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</si>
  <si>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</si>
  <si>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</si>
  <si>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</si>
  <si>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</si>
  <si>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</si>
  <si>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</si>
  <si>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</si>
  <si>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Financial Audit and Compliance</t>
  </si>
  <si>
    <t>Conduct timely audits of SERVICOM financial statements</t>
  </si>
  <si>
    <t>Percentage of financial audits completed within scheduled deadlines</t>
  </si>
  <si>
    <t>Certify financial statements after verification</t>
  </si>
  <si>
    <t>Percentage of financial statements accurately certified and submitted on time</t>
  </si>
  <si>
    <t>Strengthen pre-payment and post-payment audit controls</t>
  </si>
  <si>
    <t>Percentage of pre-payment and post-payment transactions audited and compliant with controls</t>
  </si>
  <si>
    <t>Conduct routine and periodic audits of financial records and transactions</t>
  </si>
  <si>
    <t>Percentage of audits completed versus planned audits</t>
  </si>
  <si>
    <t>Safeguard government assets through audit</t>
  </si>
  <si>
    <t>Percentage of assets audited and discrepancies reported</t>
  </si>
  <si>
    <t>Ensure proper auditing of revenue collection and remittance</t>
  </si>
  <si>
    <t>Percentage of revenue streams audited and reconciled successfully</t>
  </si>
  <si>
    <t>Prepare audit reports and recommendations</t>
  </si>
  <si>
    <t>Percentage of audit reports submitted within stipulated timelines</t>
  </si>
  <si>
    <t>Innovation &amp; Service Improvement Initiatives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</si>
  <si>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</si>
  <si>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</si>
  <si>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</si>
  <si>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</si>
  <si>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Process Automation &amp; Digital Communication Compliance</t>
  </si>
  <si>
    <t>Identify and prioritize routine processes for automation</t>
  </si>
  <si>
    <t>Number of processes identified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</si>
  <si>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</si>
  <si>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</si>
  <si>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</si>
  <si>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</si>
  <si>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</si>
  <si>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&gt;80</t>
  </si>
  <si>
    <t>&lt;50</t>
  </si>
  <si>
    <t>Continuously update personal knowledge on best practices, policies, and service standards</t>
  </si>
  <si>
    <t>Number of new auditing tools, techniques, or standards learned and applied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</si>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</sst>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color theme="10"/>
      <name val="Calibri"/>
      <family val="2"/>
      <charset val="1"/>
      <scheme val="minor"/>
    </font>
    <font>
      <sz val="24"/>
      <color theme="1"/>
      <name val="Calibri"/>
      <family val="2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u/>
      <sz val="40"/>
      <color theme="1"/>
      <name val="Calibri"/>
      <family val="2"/>
      <scheme val="minor"/>
    </font>
    <font>
      <sz val="40"/>
      <color theme="1"/>
      <name val="Century Gothic"/>
      <family val="2"/>
    </font>
    <font>
      <sz val="50"/>
      <name val="Calibri"/>
      <family val="2"/>
      <scheme val="minor"/>
    </font>
    <font>
      <sz val="50"/>
      <name val="Century Gothic"/>
      <family val="2"/>
    </font>
    <font>
      <b/>
      <sz val="50"/>
      <name val="Century Gothic"/>
      <family val="2"/>
    </font>
    <font>
      <sz val="50"/>
      <color theme="1"/>
      <name val="Century Gothic"/>
      <family val="2"/>
    </font>
    <font>
      <b/>
      <sz val="50"/>
      <color theme="1" tint="4.9989318521683403E-2"/>
      <name val="Century Gothic"/>
      <family val="2"/>
    </font>
    <font>
      <b/>
      <sz val="50"/>
      <color theme="1"/>
      <name val="Century Gothic"/>
      <family val="2"/>
    </font>
    <font>
      <sz val="50"/>
      <color theme="1" tint="4.9989318521683403E-2"/>
      <name val="Century Gothic"/>
      <family val="2"/>
    </font>
    <font>
      <b/>
      <sz val="50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19">
    <xf numFmtId="0" fontId="0" fillId="0" borderId="0" xfId="0"/>
    <xf numFmtId="0" fontId="1" fillId="0" borderId="0" xfId="2"/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0" borderId="8" xfId="3" applyFont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9" fillId="2" borderId="0" xfId="3" applyFont="1" applyFill="1" applyAlignment="1">
      <alignment horizontal="left"/>
    </xf>
    <xf numFmtId="0" fontId="9" fillId="0" borderId="0" xfId="3" applyFont="1" applyAlignment="1">
      <alignment horizontal="left"/>
    </xf>
    <xf numFmtId="0" fontId="4" fillId="0" borderId="12" xfId="4" applyFont="1" applyBorder="1" applyAlignment="1">
      <alignment horizontal="left"/>
    </xf>
    <xf numFmtId="0" fontId="4" fillId="3" borderId="13" xfId="4" applyFont="1" applyFill="1" applyBorder="1" applyAlignment="1">
      <alignment horizontal="left"/>
    </xf>
    <xf numFmtId="0" fontId="11" fillId="0" borderId="12" xfId="5" applyFont="1" applyBorder="1" applyAlignment="1">
      <alignment horizontal="left"/>
    </xf>
    <xf numFmtId="0" fontId="6" fillId="0" borderId="9" xfId="4" applyFont="1" applyBorder="1" applyAlignment="1">
      <alignment horizontal="left"/>
    </xf>
    <xf numFmtId="0" fontId="12" fillId="2" borderId="0" xfId="4" applyFont="1" applyFill="1"/>
    <xf numFmtId="0" fontId="12" fillId="0" borderId="0" xfId="4" applyFont="1"/>
    <xf numFmtId="0" fontId="13" fillId="2" borderId="0" xfId="2" applyFont="1" applyFill="1" applyAlignment="1">
      <alignment horizontal="left"/>
    </xf>
    <xf numFmtId="0" fontId="14" fillId="2" borderId="0" xfId="2" applyFont="1" applyFill="1" applyAlignment="1">
      <alignment horizontal="left"/>
    </xf>
    <xf numFmtId="0" fontId="14" fillId="0" borderId="0" xfId="2" applyFont="1" applyAlignment="1">
      <alignment horizontal="left"/>
    </xf>
    <xf numFmtId="0" fontId="4" fillId="0" borderId="8" xfId="4" applyFont="1" applyBorder="1" applyAlignment="1">
      <alignment horizontal="left"/>
    </xf>
    <xf numFmtId="0" fontId="4" fillId="3" borderId="10" xfId="4" applyFont="1" applyFill="1" applyBorder="1" applyAlignment="1">
      <alignment horizontal="left"/>
    </xf>
    <xf numFmtId="0" fontId="4" fillId="0" borderId="6" xfId="4" applyFont="1" applyBorder="1" applyAlignment="1">
      <alignment horizontal="left"/>
    </xf>
    <xf numFmtId="0" fontId="15" fillId="2" borderId="0" xfId="4" applyFont="1" applyFill="1"/>
    <xf numFmtId="0" fontId="15" fillId="0" borderId="0" xfId="4" applyFont="1"/>
    <xf numFmtId="0" fontId="13" fillId="0" borderId="8" xfId="4" applyFont="1" applyBorder="1" applyAlignment="1">
      <alignment horizontal="left"/>
    </xf>
    <xf numFmtId="0" fontId="13" fillId="3" borderId="10" xfId="4" applyFont="1" applyFill="1" applyBorder="1" applyAlignment="1">
      <alignment horizontal="left"/>
    </xf>
    <xf numFmtId="0" fontId="13" fillId="3" borderId="6" xfId="4" applyFont="1" applyFill="1" applyBorder="1" applyAlignment="1">
      <alignment horizontal="left"/>
    </xf>
    <xf numFmtId="0" fontId="13" fillId="0" borderId="6" xfId="4" applyFont="1" applyBorder="1" applyAlignment="1">
      <alignment horizontal="left"/>
    </xf>
    <xf numFmtId="0" fontId="5" fillId="2" borderId="0" xfId="4" applyFont="1" applyFill="1"/>
    <xf numFmtId="0" fontId="5" fillId="0" borderId="0" xfId="4" applyFont="1"/>
    <xf numFmtId="0" fontId="13" fillId="0" borderId="12" xfId="4" applyFont="1" applyBorder="1" applyAlignment="1">
      <alignment horizontal="left"/>
    </xf>
    <xf numFmtId="0" fontId="13" fillId="3" borderId="13" xfId="4" applyFont="1" applyFill="1" applyBorder="1" applyAlignment="1">
      <alignment horizontal="left"/>
    </xf>
    <xf numFmtId="0" fontId="16" fillId="0" borderId="12" xfId="1" quotePrefix="1" applyFont="1" applyBorder="1" applyAlignment="1">
      <alignment horizontal="left"/>
    </xf>
    <xf numFmtId="0" fontId="13" fillId="3" borderId="9" xfId="4" applyFont="1" applyFill="1" applyBorder="1" applyAlignment="1">
      <alignment horizontal="left"/>
    </xf>
    <xf numFmtId="0" fontId="17" fillId="0" borderId="9" xfId="4" applyFont="1" applyBorder="1" applyAlignment="1">
      <alignment horizontal="left"/>
    </xf>
    <xf numFmtId="0" fontId="18" fillId="2" borderId="0" xfId="2" applyFont="1" applyFill="1"/>
    <xf numFmtId="0" fontId="19" fillId="2" borderId="0" xfId="2" applyFont="1" applyFill="1" applyAlignment="1">
      <alignment horizontal="center"/>
    </xf>
    <xf numFmtId="0" fontId="15" fillId="2" borderId="0" xfId="2" applyFont="1" applyFill="1"/>
    <xf numFmtId="0" fontId="15" fillId="0" borderId="0" xfId="2" applyFont="1"/>
    <xf numFmtId="0" fontId="20" fillId="3" borderId="0" xfId="2" applyFont="1" applyFill="1" applyAlignment="1">
      <alignment horizontal="left"/>
    </xf>
    <xf numFmtId="0" fontId="19" fillId="3" borderId="0" xfId="2" applyFont="1" applyFill="1"/>
    <xf numFmtId="0" fontId="21" fillId="3" borderId="0" xfId="2" applyFont="1" applyFill="1"/>
    <xf numFmtId="0" fontId="20" fillId="2" borderId="15" xfId="2" applyFont="1" applyFill="1" applyBorder="1" applyAlignment="1">
      <alignment horizontal="center" vertical="center"/>
    </xf>
    <xf numFmtId="0" fontId="20" fillId="2" borderId="15" xfId="2" applyFont="1" applyFill="1" applyBorder="1" applyAlignment="1">
      <alignment horizontal="center" vertical="center" wrapText="1"/>
    </xf>
    <xf numFmtId="0" fontId="21" fillId="0" borderId="15" xfId="2" applyFont="1" applyBorder="1" applyAlignment="1">
      <alignment horizontal="left" vertical="center" wrapText="1"/>
    </xf>
    <xf numFmtId="0" fontId="21" fillId="0" borderId="13" xfId="2" applyFont="1" applyBorder="1" applyAlignment="1">
      <alignment vertical="center" wrapText="1"/>
    </xf>
    <xf numFmtId="2" fontId="21" fillId="0" borderId="13" xfId="0" applyNumberFormat="1" applyFont="1" applyBorder="1" applyAlignment="1">
      <alignment horizontal="center" vertical="center"/>
    </xf>
    <xf numFmtId="0" fontId="21" fillId="0" borderId="13" xfId="2" applyFont="1" applyBorder="1" applyAlignment="1">
      <alignment horizontal="left" vertical="center" wrapText="1"/>
    </xf>
    <xf numFmtId="9" fontId="21" fillId="0" borderId="13" xfId="2" applyNumberFormat="1" applyFont="1" applyBorder="1" applyAlignment="1">
      <alignment horizontal="center" vertical="center" wrapText="1"/>
    </xf>
    <xf numFmtId="0" fontId="21" fillId="0" borderId="13" xfId="7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15" fillId="0" borderId="13" xfId="8" applyFont="1" applyBorder="1" applyAlignment="1">
      <alignment horizontal="center" vertical="center"/>
    </xf>
    <xf numFmtId="0" fontId="22" fillId="0" borderId="0" xfId="2" applyFont="1" applyAlignment="1">
      <alignment vertical="center"/>
    </xf>
    <xf numFmtId="0" fontId="21" fillId="0" borderId="13" xfId="2" applyFont="1" applyBorder="1" applyAlignment="1">
      <alignment horizontal="center" vertical="center"/>
    </xf>
    <xf numFmtId="9" fontId="21" fillId="0" borderId="13" xfId="2" applyNumberFormat="1" applyFont="1" applyBorder="1" applyAlignment="1">
      <alignment horizontal="center" vertical="center"/>
    </xf>
    <xf numFmtId="2" fontId="21" fillId="0" borderId="13" xfId="2" applyNumberFormat="1" applyFont="1" applyBorder="1" applyAlignment="1">
      <alignment vertical="center" wrapText="1"/>
    </xf>
    <xf numFmtId="2" fontId="21" fillId="0" borderId="13" xfId="2" applyNumberFormat="1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 vertical="center"/>
    </xf>
    <xf numFmtId="0" fontId="23" fillId="0" borderId="10" xfId="2" applyFont="1" applyBorder="1" applyAlignment="1">
      <alignment vertical="center" wrapText="1"/>
    </xf>
    <xf numFmtId="2" fontId="23" fillId="0" borderId="10" xfId="2" applyNumberFormat="1" applyFont="1" applyBorder="1" applyAlignment="1">
      <alignment horizontal="center" vertical="center"/>
    </xf>
    <xf numFmtId="9" fontId="24" fillId="0" borderId="10" xfId="2" applyNumberFormat="1" applyFont="1" applyBorder="1" applyAlignment="1">
      <alignment horizontal="center" vertical="center"/>
    </xf>
    <xf numFmtId="164" fontId="21" fillId="0" borderId="10" xfId="2" applyNumberFormat="1" applyFont="1" applyBorder="1" applyAlignment="1">
      <alignment vertical="center" wrapText="1"/>
    </xf>
    <xf numFmtId="164" fontId="21" fillId="0" borderId="10" xfId="2" applyNumberFormat="1" applyFont="1" applyBorder="1" applyAlignment="1">
      <alignment horizontal="center" vertical="center" wrapText="1"/>
    </xf>
    <xf numFmtId="0" fontId="24" fillId="0" borderId="6" xfId="2" applyFont="1" applyBorder="1" applyAlignment="1">
      <alignment horizontal="center"/>
    </xf>
    <xf numFmtId="0" fontId="21" fillId="0" borderId="13" xfId="2" applyFont="1" applyBorder="1"/>
    <xf numFmtId="0" fontId="21" fillId="2" borderId="0" xfId="2" applyFont="1" applyFill="1"/>
    <xf numFmtId="0" fontId="20" fillId="2" borderId="0" xfId="2" applyFont="1" applyFill="1" applyAlignment="1">
      <alignment horizontal="center" vertical="center" wrapText="1"/>
    </xf>
    <xf numFmtId="0" fontId="20" fillId="0" borderId="10" xfId="2" applyFont="1" applyBorder="1" applyAlignment="1">
      <alignment horizontal="center"/>
    </xf>
    <xf numFmtId="0" fontId="20" fillId="0" borderId="13" xfId="2" applyFont="1" applyBorder="1" applyAlignment="1">
      <alignment horizontal="left"/>
    </xf>
    <xf numFmtId="0" fontId="21" fillId="0" borderId="10" xfId="2" applyFont="1" applyBorder="1" applyAlignment="1">
      <alignment horizontal="center"/>
    </xf>
    <xf numFmtId="0" fontId="21" fillId="0" borderId="6" xfId="2" applyFont="1" applyBorder="1" applyAlignment="1">
      <alignment horizontal="center"/>
    </xf>
    <xf numFmtId="0" fontId="21" fillId="3" borderId="13" xfId="2" applyFont="1" applyFill="1" applyBorder="1"/>
    <xf numFmtId="0" fontId="20" fillId="2" borderId="13" xfId="2" applyFont="1" applyFill="1" applyBorder="1" applyAlignment="1">
      <alignment horizontal="left"/>
    </xf>
    <xf numFmtId="0" fontId="23" fillId="2" borderId="13" xfId="2" applyFont="1" applyFill="1" applyBorder="1"/>
    <xf numFmtId="0" fontId="19" fillId="0" borderId="13" xfId="2" applyFont="1" applyBorder="1" applyAlignment="1">
      <alignment horizontal="center" vertical="center"/>
    </xf>
    <xf numFmtId="0" fontId="19" fillId="0" borderId="13" xfId="2" applyFont="1" applyBorder="1" applyAlignment="1">
      <alignment vertical="center" wrapText="1"/>
    </xf>
    <xf numFmtId="0" fontId="21" fillId="0" borderId="9" xfId="2" applyFont="1" applyBorder="1"/>
    <xf numFmtId="0" fontId="20" fillId="0" borderId="13" xfId="2" applyFont="1" applyBorder="1" applyAlignment="1">
      <alignment horizontal="center" vertical="center"/>
    </xf>
    <xf numFmtId="0" fontId="20" fillId="0" borderId="13" xfId="2" applyFont="1" applyBorder="1" applyAlignment="1">
      <alignment horizontal="left" vertical="center"/>
    </xf>
    <xf numFmtId="0" fontId="19" fillId="0" borderId="13" xfId="2" applyFont="1" applyBorder="1" applyAlignment="1">
      <alignment horizontal="left" vertical="center"/>
    </xf>
    <xf numFmtId="0" fontId="21" fillId="2" borderId="13" xfId="2" applyFont="1" applyFill="1" applyBorder="1"/>
    <xf numFmtId="0" fontId="19" fillId="0" borderId="13" xfId="2" applyFont="1" applyBorder="1" applyAlignment="1">
      <alignment horizontal="left" vertical="center" wrapText="1"/>
    </xf>
    <xf numFmtId="0" fontId="20" fillId="2" borderId="14" xfId="2" applyFont="1" applyFill="1" applyBorder="1" applyAlignment="1">
      <alignment horizontal="center"/>
    </xf>
    <xf numFmtId="0" fontId="20" fillId="0" borderId="9" xfId="2" applyFont="1" applyBorder="1"/>
    <xf numFmtId="0" fontId="20" fillId="0" borderId="13" xfId="2" applyFont="1" applyBorder="1"/>
    <xf numFmtId="0" fontId="19" fillId="0" borderId="13" xfId="2" applyFont="1" applyBorder="1" applyAlignment="1">
      <alignment horizontal="right" vertical="center"/>
    </xf>
    <xf numFmtId="0" fontId="25" fillId="2" borderId="0" xfId="2" applyFont="1" applyFill="1" applyAlignment="1">
      <alignment horizontal="left"/>
    </xf>
    <xf numFmtId="0" fontId="21" fillId="3" borderId="0" xfId="2" applyFont="1" applyFill="1" applyAlignment="1">
      <alignment horizontal="center"/>
    </xf>
    <xf numFmtId="0" fontId="19" fillId="0" borderId="4" xfId="2" applyFont="1" applyBorder="1"/>
    <xf numFmtId="0" fontId="19" fillId="0" borderId="5" xfId="2" applyFont="1" applyBorder="1"/>
    <xf numFmtId="0" fontId="19" fillId="0" borderId="13" xfId="2" applyFont="1" applyBorder="1"/>
    <xf numFmtId="0" fontId="20" fillId="2" borderId="3" xfId="2" applyFont="1" applyFill="1" applyBorder="1" applyAlignment="1">
      <alignment horizontal="left" vertical="center"/>
    </xf>
    <xf numFmtId="0" fontId="20" fillId="2" borderId="8" xfId="2" applyFont="1" applyFill="1" applyBorder="1" applyAlignment="1">
      <alignment horizontal="left" vertical="center"/>
    </xf>
    <xf numFmtId="0" fontId="19" fillId="0" borderId="1" xfId="2" applyFont="1" applyBorder="1" applyAlignment="1">
      <alignment horizontal="center"/>
    </xf>
    <xf numFmtId="0" fontId="19" fillId="0" borderId="3" xfId="2" applyFont="1" applyBorder="1" applyAlignment="1">
      <alignment horizontal="center"/>
    </xf>
    <xf numFmtId="0" fontId="19" fillId="0" borderId="6" xfId="2" applyFont="1" applyBorder="1" applyAlignment="1">
      <alignment horizontal="center"/>
    </xf>
    <xf numFmtId="0" fontId="19" fillId="0" borderId="8" xfId="2" applyFont="1" applyBorder="1" applyAlignment="1">
      <alignment horizontal="center"/>
    </xf>
    <xf numFmtId="0" fontId="21" fillId="3" borderId="0" xfId="2" applyFont="1" applyFill="1" applyAlignment="1">
      <alignment horizontal="center"/>
    </xf>
    <xf numFmtId="0" fontId="21" fillId="3" borderId="1" xfId="2" applyFont="1" applyFill="1" applyBorder="1" applyAlignment="1">
      <alignment horizontal="center"/>
    </xf>
    <xf numFmtId="0" fontId="21" fillId="3" borderId="2" xfId="2" applyFont="1" applyFill="1" applyBorder="1" applyAlignment="1">
      <alignment horizontal="center"/>
    </xf>
    <xf numFmtId="0" fontId="21" fillId="3" borderId="3" xfId="2" applyFont="1" applyFill="1" applyBorder="1" applyAlignment="1">
      <alignment horizontal="center"/>
    </xf>
    <xf numFmtId="0" fontId="21" fillId="3" borderId="4" xfId="2" applyFont="1" applyFill="1" applyBorder="1" applyAlignment="1">
      <alignment horizontal="center"/>
    </xf>
    <xf numFmtId="0" fontId="21" fillId="3" borderId="5" xfId="2" applyFont="1" applyFill="1" applyBorder="1" applyAlignment="1">
      <alignment horizontal="center"/>
    </xf>
    <xf numFmtId="0" fontId="21" fillId="3" borderId="6" xfId="2" applyFont="1" applyFill="1" applyBorder="1" applyAlignment="1">
      <alignment horizontal="center"/>
    </xf>
    <xf numFmtId="0" fontId="21" fillId="3" borderId="7" xfId="2" applyFont="1" applyFill="1" applyBorder="1" applyAlignment="1">
      <alignment horizontal="center"/>
    </xf>
    <xf numFmtId="0" fontId="21" fillId="3" borderId="8" xfId="2" applyFont="1" applyFill="1" applyBorder="1" applyAlignment="1">
      <alignment horizontal="center"/>
    </xf>
    <xf numFmtId="0" fontId="20" fillId="3" borderId="0" xfId="2" applyFont="1" applyFill="1" applyAlignment="1">
      <alignment horizontal="left" vertical="center" wrapText="1"/>
    </xf>
    <xf numFmtId="0" fontId="20" fillId="3" borderId="5" xfId="2" applyFont="1" applyFill="1" applyBorder="1" applyAlignment="1">
      <alignment horizontal="left" vertical="center" wrapText="1"/>
    </xf>
    <xf numFmtId="0" fontId="20" fillId="3" borderId="1" xfId="2" applyFont="1" applyFill="1" applyBorder="1" applyAlignment="1">
      <alignment horizontal="left" vertical="center"/>
    </xf>
    <xf numFmtId="0" fontId="20" fillId="3" borderId="4" xfId="2" applyFont="1" applyFill="1" applyBorder="1" applyAlignment="1">
      <alignment horizontal="left" vertical="center"/>
    </xf>
    <xf numFmtId="0" fontId="20" fillId="3" borderId="6" xfId="2" applyFont="1" applyFill="1" applyBorder="1" applyAlignment="1">
      <alignment horizontal="left" vertical="center"/>
    </xf>
    <xf numFmtId="0" fontId="19" fillId="0" borderId="2" xfId="2" applyFont="1" applyBorder="1" applyAlignment="1">
      <alignment horizontal="left"/>
    </xf>
    <xf numFmtId="0" fontId="19" fillId="0" borderId="0" xfId="2" applyFont="1" applyAlignment="1">
      <alignment horizontal="left"/>
    </xf>
    <xf numFmtId="0" fontId="19" fillId="0" borderId="7" xfId="2" applyFont="1" applyBorder="1" applyAlignment="1">
      <alignment horizontal="left"/>
    </xf>
    <xf numFmtId="0" fontId="20" fillId="3" borderId="3" xfId="2" applyFont="1" applyFill="1" applyBorder="1" applyAlignment="1">
      <alignment horizontal="left" vertical="center"/>
    </xf>
    <xf numFmtId="0" fontId="20" fillId="3" borderId="5" xfId="2" applyFont="1" applyFill="1" applyBorder="1" applyAlignment="1">
      <alignment horizontal="left" vertical="center"/>
    </xf>
    <xf numFmtId="0" fontId="20" fillId="3" borderId="8" xfId="2" applyFont="1" applyFill="1" applyBorder="1" applyAlignment="1">
      <alignment horizontal="left" vertical="center"/>
    </xf>
    <xf numFmtId="0" fontId="20" fillId="2" borderId="0" xfId="2" applyFont="1" applyFill="1" applyAlignment="1">
      <alignment horizontal="left" vertical="center" wrapText="1"/>
    </xf>
    <xf numFmtId="0" fontId="20" fillId="2" borderId="5" xfId="2" applyFont="1" applyFill="1" applyBorder="1" applyAlignment="1">
      <alignment horizontal="left" vertical="center" wrapText="1"/>
    </xf>
    <xf numFmtId="0" fontId="19" fillId="0" borderId="13" xfId="2" applyFont="1" applyBorder="1" applyAlignment="1">
      <alignment horizontal="center"/>
    </xf>
    <xf numFmtId="0" fontId="20" fillId="2" borderId="1" xfId="2" applyFont="1" applyFill="1" applyBorder="1" applyAlignment="1">
      <alignment horizontal="left" vertical="center"/>
    </xf>
    <xf numFmtId="0" fontId="20" fillId="2" borderId="6" xfId="2" applyFont="1" applyFill="1" applyBorder="1" applyAlignment="1">
      <alignment horizontal="left" vertical="center"/>
    </xf>
    <xf numFmtId="0" fontId="20" fillId="2" borderId="13" xfId="2" applyFont="1" applyFill="1" applyBorder="1" applyAlignment="1">
      <alignment horizontal="left" vertical="center" wrapText="1"/>
    </xf>
    <xf numFmtId="0" fontId="19" fillId="0" borderId="4" xfId="2" applyFont="1" applyBorder="1" applyAlignment="1">
      <alignment horizontal="center"/>
    </xf>
    <xf numFmtId="0" fontId="19" fillId="0" borderId="5" xfId="2" applyFont="1" applyBorder="1" applyAlignment="1">
      <alignment horizontal="center"/>
    </xf>
    <xf numFmtId="0" fontId="20" fillId="2" borderId="1" xfId="2" applyFont="1" applyFill="1" applyBorder="1" applyAlignment="1">
      <alignment horizontal="left" vertical="center" wrapText="1"/>
    </xf>
    <xf numFmtId="0" fontId="20" fillId="2" borderId="4" xfId="2" applyFont="1" applyFill="1" applyBorder="1" applyAlignment="1">
      <alignment horizontal="left" vertical="center" wrapText="1"/>
    </xf>
    <xf numFmtId="0" fontId="20" fillId="2" borderId="6" xfId="2" applyFont="1" applyFill="1" applyBorder="1" applyAlignment="1">
      <alignment horizontal="left" vertical="center" wrapText="1"/>
    </xf>
    <xf numFmtId="0" fontId="20" fillId="2" borderId="3" xfId="2" applyFont="1" applyFill="1" applyBorder="1" applyAlignment="1">
      <alignment horizontal="left" vertical="center" wrapText="1"/>
    </xf>
    <xf numFmtId="0" fontId="20" fillId="2" borderId="8" xfId="2" applyFont="1" applyFill="1" applyBorder="1" applyAlignment="1">
      <alignment horizontal="left" vertical="center" wrapText="1"/>
    </xf>
    <xf numFmtId="0" fontId="19" fillId="0" borderId="2" xfId="2" applyFont="1" applyBorder="1" applyAlignment="1">
      <alignment horizontal="center"/>
    </xf>
    <xf numFmtId="0" fontId="19" fillId="0" borderId="0" xfId="2" applyFont="1" applyAlignment="1">
      <alignment horizontal="center"/>
    </xf>
    <xf numFmtId="0" fontId="19" fillId="0" borderId="7" xfId="2" applyFont="1" applyBorder="1" applyAlignment="1">
      <alignment horizontal="center"/>
    </xf>
    <xf numFmtId="0" fontId="19" fillId="0" borderId="9" xfId="2" applyFont="1" applyBorder="1" applyAlignment="1">
      <alignment horizontal="left" vertical="center" wrapText="1"/>
    </xf>
    <xf numFmtId="0" fontId="19" fillId="0" borderId="14" xfId="2" applyFont="1" applyBorder="1" applyAlignment="1">
      <alignment horizontal="left" vertical="center" wrapText="1"/>
    </xf>
    <xf numFmtId="0" fontId="19" fillId="0" borderId="12" xfId="2" applyFont="1" applyBorder="1" applyAlignment="1">
      <alignment horizontal="left" vertical="center" wrapText="1"/>
    </xf>
    <xf numFmtId="0" fontId="20" fillId="2" borderId="9" xfId="2" applyFont="1" applyFill="1" applyBorder="1" applyAlignment="1">
      <alignment horizontal="left"/>
    </xf>
    <xf numFmtId="0" fontId="20" fillId="2" borderId="14" xfId="2" applyFont="1" applyFill="1" applyBorder="1" applyAlignment="1">
      <alignment horizontal="left"/>
    </xf>
    <xf numFmtId="0" fontId="19" fillId="0" borderId="9" xfId="2" applyFont="1" applyBorder="1" applyAlignment="1">
      <alignment vertical="top" wrapText="1"/>
    </xf>
    <xf numFmtId="0" fontId="19" fillId="0" borderId="14" xfId="2" applyFont="1" applyBorder="1" applyAlignment="1">
      <alignment vertical="top" wrapText="1"/>
    </xf>
    <xf numFmtId="0" fontId="19" fillId="0" borderId="12" xfId="2" applyFont="1" applyBorder="1" applyAlignment="1">
      <alignment vertical="top" wrapText="1"/>
    </xf>
    <xf numFmtId="0" fontId="20" fillId="2" borderId="0" xfId="2" applyFont="1" applyFill="1" applyAlignment="1">
      <alignment horizontal="left"/>
    </xf>
    <xf numFmtId="0" fontId="19" fillId="0" borderId="9" xfId="2" applyFont="1" applyBorder="1"/>
    <xf numFmtId="0" fontId="19" fillId="0" borderId="14" xfId="2" applyFont="1" applyBorder="1"/>
    <xf numFmtId="0" fontId="19" fillId="0" borderId="12" xfId="2" applyFont="1" applyBorder="1"/>
    <xf numFmtId="0" fontId="23" fillId="2" borderId="13" xfId="2" applyFont="1" applyFill="1" applyBorder="1"/>
    <xf numFmtId="0" fontId="19" fillId="0" borderId="9" xfId="2" applyFont="1" applyBorder="1" applyAlignment="1">
      <alignment horizontal="left" vertical="top" wrapText="1"/>
    </xf>
    <xf numFmtId="0" fontId="19" fillId="0" borderId="14" xfId="2" applyFont="1" applyBorder="1" applyAlignment="1">
      <alignment horizontal="left" vertical="top" wrapText="1"/>
    </xf>
    <xf numFmtId="0" fontId="19" fillId="0" borderId="12" xfId="2" applyFont="1" applyBorder="1" applyAlignment="1">
      <alignment horizontal="left" vertical="top" wrapText="1"/>
    </xf>
    <xf numFmtId="0" fontId="20" fillId="2" borderId="10" xfId="2" applyFont="1" applyFill="1" applyBorder="1" applyAlignment="1">
      <alignment horizontal="center" vertical="center" wrapText="1"/>
    </xf>
    <xf numFmtId="0" fontId="20" fillId="2" borderId="6" xfId="2" applyFont="1" applyFill="1" applyBorder="1" applyAlignment="1">
      <alignment horizontal="center" vertical="center" wrapText="1"/>
    </xf>
    <xf numFmtId="0" fontId="20" fillId="2" borderId="13" xfId="2" applyFont="1" applyFill="1" applyBorder="1" applyAlignment="1">
      <alignment horizontal="center" vertical="center"/>
    </xf>
    <xf numFmtId="0" fontId="20" fillId="3" borderId="0" xfId="2" applyFont="1" applyFill="1" applyAlignment="1">
      <alignment horizontal="center" vertical="center"/>
    </xf>
    <xf numFmtId="0" fontId="19" fillId="0" borderId="6" xfId="2" applyFont="1" applyBorder="1"/>
    <xf numFmtId="0" fontId="19" fillId="0" borderId="7" xfId="2" applyFont="1" applyBorder="1"/>
    <xf numFmtId="0" fontId="19" fillId="0" borderId="8" xfId="2" applyFont="1" applyBorder="1"/>
    <xf numFmtId="0" fontId="21" fillId="0" borderId="15" xfId="2" applyFont="1" applyBorder="1" applyAlignment="1">
      <alignment horizontal="center" vertical="center"/>
    </xf>
    <xf numFmtId="0" fontId="21" fillId="0" borderId="10" xfId="2" applyFont="1" applyBorder="1" applyAlignment="1">
      <alignment horizontal="center" vertical="center"/>
    </xf>
    <xf numFmtId="0" fontId="21" fillId="0" borderId="15" xfId="2" applyFont="1" applyBorder="1" applyAlignment="1">
      <alignment horizontal="left" vertical="center" wrapText="1"/>
    </xf>
    <xf numFmtId="0" fontId="21" fillId="0" borderId="10" xfId="2" applyFont="1" applyBorder="1" applyAlignment="1">
      <alignment horizontal="left" vertical="center" wrapText="1"/>
    </xf>
    <xf numFmtId="2" fontId="21" fillId="0" borderId="15" xfId="2" applyNumberFormat="1" applyFont="1" applyBorder="1" applyAlignment="1">
      <alignment horizontal="center" vertical="center" wrapText="1"/>
    </xf>
    <xf numFmtId="2" fontId="21" fillId="0" borderId="10" xfId="2" applyNumberFormat="1" applyFont="1" applyBorder="1" applyAlignment="1">
      <alignment horizontal="center" vertical="center" wrapText="1"/>
    </xf>
    <xf numFmtId="0" fontId="21" fillId="0" borderId="16" xfId="2" applyFont="1" applyBorder="1" applyAlignment="1">
      <alignment horizontal="center" vertical="center"/>
    </xf>
    <xf numFmtId="0" fontId="21" fillId="0" borderId="16" xfId="2" applyFont="1" applyBorder="1" applyAlignment="1">
      <alignment horizontal="left" vertical="center" wrapText="1"/>
    </xf>
    <xf numFmtId="2" fontId="21" fillId="0" borderId="15" xfId="2" applyNumberFormat="1" applyFont="1" applyBorder="1" applyAlignment="1">
      <alignment horizontal="center" vertical="center"/>
    </xf>
    <xf numFmtId="2" fontId="21" fillId="0" borderId="16" xfId="2" applyNumberFormat="1" applyFont="1" applyBorder="1" applyAlignment="1">
      <alignment horizontal="center" vertical="center"/>
    </xf>
    <xf numFmtId="2" fontId="21" fillId="0" borderId="10" xfId="2" applyNumberFormat="1" applyFont="1" applyBorder="1" applyAlignment="1">
      <alignment horizontal="center" vertical="center"/>
    </xf>
    <xf numFmtId="0" fontId="20" fillId="2" borderId="9" xfId="2" applyFont="1" applyFill="1" applyBorder="1" applyAlignment="1">
      <alignment horizontal="center" vertical="center" wrapText="1"/>
    </xf>
    <xf numFmtId="0" fontId="20" fillId="2" borderId="14" xfId="2" applyFont="1" applyFill="1" applyBorder="1" applyAlignment="1">
      <alignment horizontal="center" vertical="center" wrapText="1"/>
    </xf>
    <xf numFmtId="0" fontId="20" fillId="2" borderId="12" xfId="2" applyFont="1" applyFill="1" applyBorder="1" applyAlignment="1">
      <alignment horizontal="center" vertical="center" wrapText="1"/>
    </xf>
    <xf numFmtId="0" fontId="20" fillId="3" borderId="0" xfId="2" applyFont="1" applyFill="1" applyAlignment="1">
      <alignment horizontal="left"/>
    </xf>
    <xf numFmtId="0" fontId="20" fillId="2" borderId="15" xfId="2" applyFont="1" applyFill="1" applyBorder="1" applyAlignment="1">
      <alignment horizontal="center" vertical="center"/>
    </xf>
    <xf numFmtId="0" fontId="20" fillId="2" borderId="16" xfId="2" applyFont="1" applyFill="1" applyBorder="1" applyAlignment="1">
      <alignment horizontal="center" vertical="center"/>
    </xf>
    <xf numFmtId="0" fontId="20" fillId="2" borderId="15" xfId="2" applyFont="1" applyFill="1" applyBorder="1" applyAlignment="1">
      <alignment horizontal="center" vertical="center" wrapText="1"/>
    </xf>
    <xf numFmtId="0" fontId="20" fillId="2" borderId="16" xfId="2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 wrapText="1"/>
    </xf>
    <xf numFmtId="0" fontId="20" fillId="2" borderId="4" xfId="2" applyFont="1" applyFill="1" applyBorder="1" applyAlignment="1">
      <alignment horizontal="center" vertical="center"/>
    </xf>
    <xf numFmtId="0" fontId="13" fillId="2" borderId="0" xfId="2" applyFont="1" applyFill="1" applyAlignment="1">
      <alignment horizontal="left"/>
    </xf>
    <xf numFmtId="0" fontId="13" fillId="3" borderId="0" xfId="4" applyFont="1" applyFill="1" applyAlignment="1">
      <alignment horizontal="left" vertical="center"/>
    </xf>
    <xf numFmtId="0" fontId="13" fillId="3" borderId="5" xfId="4" applyFont="1" applyFill="1" applyBorder="1" applyAlignment="1">
      <alignment horizontal="left" vertical="center"/>
    </xf>
    <xf numFmtId="0" fontId="13" fillId="0" borderId="7" xfId="6" applyFont="1" applyBorder="1" applyAlignment="1">
      <alignment horizontal="left"/>
    </xf>
    <xf numFmtId="0" fontId="13" fillId="0" borderId="8" xfId="6" applyFont="1" applyBorder="1" applyAlignment="1">
      <alignment horizontal="left"/>
    </xf>
    <xf numFmtId="0" fontId="13" fillId="3" borderId="0" xfId="4" applyFont="1" applyFill="1" applyAlignment="1">
      <alignment horizontal="left"/>
    </xf>
    <xf numFmtId="0" fontId="13" fillId="3" borderId="5" xfId="4" applyFont="1" applyFill="1" applyBorder="1" applyAlignment="1">
      <alignment horizontal="left"/>
    </xf>
    <xf numFmtId="0" fontId="13" fillId="0" borderId="9" xfId="6" applyFont="1" applyBorder="1" applyAlignment="1">
      <alignment horizontal="left"/>
    </xf>
    <xf numFmtId="0" fontId="13" fillId="0" borderId="12" xfId="6" applyFont="1" applyBorder="1" applyAlignment="1">
      <alignment horizontal="left"/>
    </xf>
    <xf numFmtId="0" fontId="18" fillId="2" borderId="0" xfId="2" applyFont="1" applyFill="1"/>
    <xf numFmtId="0" fontId="4" fillId="3" borderId="11" xfId="4" applyFont="1" applyFill="1" applyBorder="1" applyAlignment="1">
      <alignment horizontal="left"/>
    </xf>
    <xf numFmtId="0" fontId="4" fillId="3" borderId="5" xfId="4" applyFont="1" applyFill="1" applyBorder="1" applyAlignment="1">
      <alignment horizontal="left"/>
    </xf>
    <xf numFmtId="0" fontId="6" fillId="0" borderId="14" xfId="4" applyFont="1" applyBorder="1" applyAlignment="1">
      <alignment horizontal="left"/>
    </xf>
    <xf numFmtId="0" fontId="6" fillId="0" borderId="12" xfId="4" applyFont="1" applyBorder="1" applyAlignment="1">
      <alignment horizontal="left"/>
    </xf>
    <xf numFmtId="0" fontId="4" fillId="3" borderId="11" xfId="4" applyFont="1" applyFill="1" applyBorder="1" applyAlignment="1">
      <alignment horizontal="left" vertical="center"/>
    </xf>
    <xf numFmtId="0" fontId="4" fillId="3" borderId="5" xfId="4" applyFont="1" applyFill="1" applyBorder="1" applyAlignment="1">
      <alignment horizontal="left" vertical="center"/>
    </xf>
    <xf numFmtId="0" fontId="4" fillId="0" borderId="7" xfId="4" applyFont="1" applyBorder="1" applyAlignment="1">
      <alignment horizontal="left"/>
    </xf>
    <xf numFmtId="0" fontId="4" fillId="0" borderId="8" xfId="4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</cellXfs>
  <cellStyles count="9">
    <cellStyle name="Hyperlink" xfId="1" builtinId="8"/>
    <cellStyle name="Hyperlink 2" xfId="5" xr:uid="{EB17BA29-A7DA-4723-B7FD-CBAB581E172C}"/>
    <cellStyle name="Normal" xfId="0" builtinId="0"/>
    <cellStyle name="Normal 2 3" xfId="2" xr:uid="{72D6E129-1AF2-463C-BCC3-7E4E0CB06950}"/>
    <cellStyle name="Normal 2 3 2" xfId="6" xr:uid="{A3E95F31-281A-46FA-83D8-FC7EAB863C8A}"/>
    <cellStyle name="Normal 2 4 2" xfId="4" xr:uid="{EAD1A474-6509-4007-BD18-6A1DF0784CA3}"/>
    <cellStyle name="Normal 2 5" xfId="3" xr:uid="{3EE8E2B1-650E-4726-B02E-1485655B6CCD}"/>
    <cellStyle name="Normal 4 2 2 2 2" xfId="8" xr:uid="{ECE3683B-53C4-43EA-9649-F94A549C5560}"/>
    <cellStyle name="Normal 5 2 2" xfId="7" xr:uid="{509EB921-3792-4ACA-BAF0-4C3D8016DA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068061C4-DF57-495A-BF81-D22520B3D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fyarukw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F654-AC53-4E5D-A44E-619CF0FF920C}">
  <sheetPr>
    <pageSetUpPr fitToPage="1"/>
  </sheetPr>
  <dimension ref="A1:O70"/>
  <sheetViews>
    <sheetView tabSelected="1" topLeftCell="E31" zoomScale="20" zoomScaleNormal="20" workbookViewId="0">
      <selection activeCell="G36" sqref="G36:O36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55.7109375" style="1" bestFit="1" customWidth="1"/>
    <col min="5" max="5" width="102.2851562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5" ht="22.5" customHeight="1" x14ac:dyDescent="0.2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22.5" customHeight="1" x14ac:dyDescent="0.25">
      <c r="A2" s="206"/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8"/>
    </row>
    <row r="3" spans="1:15" ht="22.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s="4" customFormat="1" ht="51" x14ac:dyDescent="0.75">
      <c r="A4" s="212" t="s">
        <v>1</v>
      </c>
      <c r="B4" s="212"/>
      <c r="C4" s="212"/>
      <c r="D4" s="212"/>
      <c r="E4" s="212"/>
      <c r="F4" s="212"/>
      <c r="G4" s="212"/>
      <c r="H4" s="212"/>
      <c r="I4" s="212"/>
      <c r="J4" s="2"/>
      <c r="K4" s="3"/>
      <c r="L4" s="3"/>
      <c r="M4" s="3"/>
      <c r="N4" s="3"/>
      <c r="O4" s="3"/>
    </row>
    <row r="5" spans="1:15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213"/>
      <c r="F5" s="213"/>
      <c r="G5" s="213"/>
      <c r="H5" s="213"/>
      <c r="I5" s="213"/>
      <c r="J5" s="9"/>
      <c r="K5" s="3"/>
      <c r="L5" s="3"/>
      <c r="M5" s="3"/>
      <c r="N5" s="3"/>
      <c r="O5" s="3"/>
    </row>
    <row r="6" spans="1:15" s="12" customFormat="1" ht="38.25" customHeight="1" x14ac:dyDescent="0.55000000000000004">
      <c r="A6" s="214" t="s">
        <v>6</v>
      </c>
      <c r="B6" s="214"/>
      <c r="C6" s="214"/>
      <c r="D6" s="214"/>
      <c r="E6" s="214"/>
      <c r="F6" s="214"/>
      <c r="G6" s="214"/>
      <c r="H6" s="214"/>
      <c r="I6" s="214"/>
      <c r="J6" s="10"/>
      <c r="K6" s="11"/>
      <c r="L6" s="11"/>
      <c r="M6" s="11"/>
      <c r="N6" s="11"/>
      <c r="O6" s="11"/>
    </row>
    <row r="7" spans="1:15" s="17" customFormat="1" ht="48.75" x14ac:dyDescent="0.6">
      <c r="A7" s="215" t="s">
        <v>7</v>
      </c>
      <c r="B7" s="216"/>
      <c r="C7" s="13" t="s">
        <v>8</v>
      </c>
      <c r="D7" s="14" t="s">
        <v>9</v>
      </c>
      <c r="E7" s="13" t="s">
        <v>10</v>
      </c>
      <c r="F7" s="14" t="s">
        <v>11</v>
      </c>
      <c r="G7" s="15" t="s">
        <v>12</v>
      </c>
      <c r="H7" s="14" t="s">
        <v>13</v>
      </c>
      <c r="I7" s="217" t="s">
        <v>14</v>
      </c>
      <c r="J7" s="218"/>
      <c r="K7" s="16"/>
      <c r="L7" s="16"/>
      <c r="M7" s="16"/>
      <c r="N7" s="16"/>
      <c r="O7" s="16"/>
    </row>
    <row r="8" spans="1:15" s="23" customFormat="1" ht="51.75" x14ac:dyDescent="0.75">
      <c r="A8" s="195" t="s">
        <v>15</v>
      </c>
      <c r="B8" s="196"/>
      <c r="C8" s="18">
        <v>88645</v>
      </c>
      <c r="D8" s="19" t="s">
        <v>16</v>
      </c>
      <c r="E8" s="20"/>
      <c r="F8" s="19" t="s">
        <v>17</v>
      </c>
      <c r="G8" s="21"/>
      <c r="H8" s="19" t="s">
        <v>18</v>
      </c>
      <c r="I8" s="197" t="s">
        <v>19</v>
      </c>
      <c r="J8" s="198"/>
      <c r="K8" s="22"/>
      <c r="L8" s="22"/>
      <c r="M8" s="22"/>
      <c r="N8" s="22"/>
      <c r="O8" s="22"/>
    </row>
    <row r="9" spans="1:15" s="26" customFormat="1" ht="62.25" customHeight="1" x14ac:dyDescent="0.75">
      <c r="A9" s="185" t="s">
        <v>20</v>
      </c>
      <c r="B9" s="185"/>
      <c r="C9" s="185"/>
      <c r="D9" s="185"/>
      <c r="E9" s="185"/>
      <c r="F9" s="185"/>
      <c r="G9" s="185"/>
      <c r="H9" s="185"/>
      <c r="I9" s="185"/>
      <c r="J9" s="24"/>
      <c r="K9" s="25"/>
      <c r="L9" s="25"/>
      <c r="M9" s="25"/>
      <c r="N9" s="25"/>
      <c r="O9" s="25"/>
    </row>
    <row r="10" spans="1:15" s="31" customFormat="1" ht="64.5" x14ac:dyDescent="0.95">
      <c r="A10" s="199" t="s">
        <v>7</v>
      </c>
      <c r="B10" s="200"/>
      <c r="C10" s="27" t="s">
        <v>21</v>
      </c>
      <c r="D10" s="28" t="s">
        <v>9</v>
      </c>
      <c r="E10" s="27" t="s">
        <v>22</v>
      </c>
      <c r="F10" s="28" t="s">
        <v>11</v>
      </c>
      <c r="G10" s="29" t="s">
        <v>23</v>
      </c>
      <c r="H10" s="28" t="s">
        <v>13</v>
      </c>
      <c r="I10" s="201" t="s">
        <v>24</v>
      </c>
      <c r="J10" s="202"/>
      <c r="K10" s="30"/>
      <c r="L10" s="30"/>
      <c r="M10" s="30"/>
      <c r="N10" s="30"/>
      <c r="O10" s="30"/>
    </row>
    <row r="11" spans="1:15" s="31" customFormat="1" ht="64.5" x14ac:dyDescent="0.95">
      <c r="A11" s="195" t="s">
        <v>15</v>
      </c>
      <c r="B11" s="196"/>
      <c r="C11" s="18">
        <v>60730</v>
      </c>
      <c r="D11" s="19" t="s">
        <v>16</v>
      </c>
      <c r="E11" s="20" t="s">
        <v>25</v>
      </c>
      <c r="F11" s="19" t="s">
        <v>17</v>
      </c>
      <c r="G11" s="21"/>
      <c r="H11" s="19" t="s">
        <v>18</v>
      </c>
      <c r="I11" s="197" t="s">
        <v>19</v>
      </c>
      <c r="J11" s="198"/>
      <c r="K11" s="30"/>
      <c r="L11" s="30"/>
      <c r="M11" s="30"/>
      <c r="N11" s="30"/>
      <c r="O11" s="30"/>
    </row>
    <row r="12" spans="1:15" s="26" customFormat="1" ht="51" x14ac:dyDescent="0.75">
      <c r="A12" s="185" t="s">
        <v>26</v>
      </c>
      <c r="B12" s="185"/>
      <c r="C12" s="185"/>
      <c r="D12" s="185"/>
      <c r="E12" s="185"/>
      <c r="F12" s="185"/>
      <c r="G12" s="185"/>
      <c r="H12" s="185"/>
      <c r="I12" s="185"/>
      <c r="J12" s="24"/>
      <c r="K12" s="25"/>
      <c r="L12" s="25"/>
      <c r="M12" s="25"/>
      <c r="N12" s="25"/>
      <c r="O12" s="25"/>
    </row>
    <row r="13" spans="1:15" s="37" customFormat="1" ht="51" x14ac:dyDescent="0.75">
      <c r="A13" s="186" t="s">
        <v>7</v>
      </c>
      <c r="B13" s="187"/>
      <c r="C13" s="32" t="s">
        <v>27</v>
      </c>
      <c r="D13" s="33" t="s">
        <v>9</v>
      </c>
      <c r="E13" s="32" t="s">
        <v>28</v>
      </c>
      <c r="F13" s="34" t="s">
        <v>11</v>
      </c>
      <c r="G13" s="35" t="s">
        <v>29</v>
      </c>
      <c r="H13" s="33" t="s">
        <v>13</v>
      </c>
      <c r="I13" s="188" t="s">
        <v>30</v>
      </c>
      <c r="J13" s="189"/>
      <c r="K13" s="36"/>
      <c r="L13" s="36"/>
      <c r="M13" s="36"/>
      <c r="N13" s="36"/>
      <c r="O13" s="36"/>
    </row>
    <row r="14" spans="1:15" s="37" customFormat="1" ht="51.75" x14ac:dyDescent="0.75">
      <c r="A14" s="190" t="s">
        <v>15</v>
      </c>
      <c r="B14" s="191"/>
      <c r="C14" s="38">
        <v>60529</v>
      </c>
      <c r="D14" s="39" t="s">
        <v>16</v>
      </c>
      <c r="E14" s="40" t="s">
        <v>31</v>
      </c>
      <c r="F14" s="41" t="s">
        <v>17</v>
      </c>
      <c r="G14" s="42"/>
      <c r="H14" s="39" t="s">
        <v>18</v>
      </c>
      <c r="I14" s="192" t="s">
        <v>32</v>
      </c>
      <c r="J14" s="193"/>
      <c r="K14" s="36"/>
      <c r="L14" s="36"/>
      <c r="M14" s="36"/>
      <c r="N14" s="36"/>
      <c r="O14" s="36"/>
    </row>
    <row r="15" spans="1:15" s="46" customFormat="1" ht="65.25" x14ac:dyDescent="0.95">
      <c r="A15" s="194"/>
      <c r="B15" s="194"/>
      <c r="C15" s="194"/>
      <c r="D15" s="194"/>
      <c r="E15" s="194"/>
      <c r="F15" s="194"/>
      <c r="G15" s="194"/>
      <c r="H15" s="194"/>
      <c r="I15" s="194"/>
      <c r="J15" s="44"/>
      <c r="K15" s="43"/>
      <c r="L15" s="45"/>
      <c r="M15" s="45"/>
      <c r="N15" s="45"/>
      <c r="O15" s="45"/>
    </row>
    <row r="16" spans="1:15" s="46" customFormat="1" ht="65.25" x14ac:dyDescent="0.95">
      <c r="A16" s="178" t="s">
        <v>33</v>
      </c>
      <c r="B16" s="178"/>
      <c r="C16" s="178"/>
      <c r="D16" s="178"/>
      <c r="E16" s="178"/>
      <c r="F16" s="178"/>
      <c r="G16" s="178"/>
      <c r="H16" s="178"/>
      <c r="I16" s="178"/>
      <c r="J16" s="47"/>
      <c r="K16" s="48"/>
      <c r="L16" s="49"/>
      <c r="M16" s="49"/>
      <c r="N16" s="49"/>
      <c r="O16" s="49"/>
    </row>
    <row r="17" spans="1:15" s="46" customFormat="1" ht="57.75" customHeight="1" x14ac:dyDescent="0.95">
      <c r="A17" s="179" t="s">
        <v>34</v>
      </c>
      <c r="B17" s="180" t="s">
        <v>35</v>
      </c>
      <c r="C17" s="179" t="s">
        <v>36</v>
      </c>
      <c r="D17" s="179" t="s">
        <v>37</v>
      </c>
      <c r="E17" s="179" t="s">
        <v>36</v>
      </c>
      <c r="F17" s="181" t="s">
        <v>38</v>
      </c>
      <c r="G17" s="181" t="s">
        <v>39</v>
      </c>
      <c r="H17" s="183" t="s">
        <v>40</v>
      </c>
      <c r="I17" s="181" t="s">
        <v>41</v>
      </c>
      <c r="J17" s="175" t="s">
        <v>42</v>
      </c>
      <c r="K17" s="176"/>
      <c r="L17" s="176"/>
      <c r="M17" s="176"/>
      <c r="N17" s="176"/>
      <c r="O17" s="177"/>
    </row>
    <row r="18" spans="1:15" s="46" customFormat="1" ht="51.75" customHeight="1" x14ac:dyDescent="0.95">
      <c r="A18" s="180"/>
      <c r="B18" s="180"/>
      <c r="C18" s="180"/>
      <c r="D18" s="180"/>
      <c r="E18" s="180"/>
      <c r="F18" s="182"/>
      <c r="G18" s="182"/>
      <c r="H18" s="184"/>
      <c r="I18" s="182"/>
      <c r="J18" s="50" t="s">
        <v>43</v>
      </c>
      <c r="K18" s="51" t="s">
        <v>44</v>
      </c>
      <c r="L18" s="51" t="s">
        <v>45</v>
      </c>
      <c r="M18" s="50" t="s">
        <v>46</v>
      </c>
      <c r="N18" s="50" t="s">
        <v>47</v>
      </c>
      <c r="O18" s="50" t="s">
        <v>48</v>
      </c>
    </row>
    <row r="19" spans="1:15" s="60" customFormat="1" ht="231" customHeight="1" x14ac:dyDescent="0.25">
      <c r="A19" s="164">
        <v>1</v>
      </c>
      <c r="B19" s="166" t="s">
        <v>49</v>
      </c>
      <c r="C19" s="172">
        <v>3.8618026343010827</v>
      </c>
      <c r="D19" s="53" t="s">
        <v>50</v>
      </c>
      <c r="E19" s="54">
        <f>C19/5</f>
        <v>0.7723605268602165</v>
      </c>
      <c r="F19" s="54">
        <f t="shared" ref="F19:F40" si="0">E19/$E$41* 100</f>
        <v>0.77236052686021606</v>
      </c>
      <c r="G19" s="55" t="s">
        <v>51</v>
      </c>
      <c r="H19" s="56">
        <v>1</v>
      </c>
      <c r="I19" s="57" t="s">
        <v>52</v>
      </c>
      <c r="J19" s="58">
        <v>100</v>
      </c>
      <c r="K19" s="59">
        <v>95</v>
      </c>
      <c r="L19" s="59">
        <v>90</v>
      </c>
      <c r="M19" s="59">
        <v>85</v>
      </c>
      <c r="N19" s="59">
        <v>80</v>
      </c>
      <c r="O19" s="59" t="s">
        <v>53</v>
      </c>
    </row>
    <row r="20" spans="1:15" s="60" customFormat="1" ht="231" customHeight="1" x14ac:dyDescent="0.25">
      <c r="A20" s="170"/>
      <c r="B20" s="171"/>
      <c r="C20" s="173"/>
      <c r="D20" s="53" t="s">
        <v>54</v>
      </c>
      <c r="E20" s="54">
        <f>C19/5</f>
        <v>0.7723605268602165</v>
      </c>
      <c r="F20" s="54">
        <f t="shared" si="0"/>
        <v>0.77236052686021606</v>
      </c>
      <c r="G20" s="55" t="s">
        <v>55</v>
      </c>
      <c r="H20" s="56">
        <v>1</v>
      </c>
      <c r="I20" s="57" t="s">
        <v>52</v>
      </c>
      <c r="J20" s="58">
        <v>100</v>
      </c>
      <c r="K20" s="59">
        <v>95</v>
      </c>
      <c r="L20" s="59">
        <v>90</v>
      </c>
      <c r="M20" s="59">
        <v>85</v>
      </c>
      <c r="N20" s="59">
        <v>80</v>
      </c>
      <c r="O20" s="59" t="s">
        <v>53</v>
      </c>
    </row>
    <row r="21" spans="1:15" s="60" customFormat="1" ht="231" customHeight="1" x14ac:dyDescent="0.25">
      <c r="A21" s="170"/>
      <c r="B21" s="171"/>
      <c r="C21" s="173"/>
      <c r="D21" s="53" t="s">
        <v>56</v>
      </c>
      <c r="E21" s="54">
        <f>C19/5</f>
        <v>0.7723605268602165</v>
      </c>
      <c r="F21" s="54">
        <f t="shared" si="0"/>
        <v>0.77236052686021606</v>
      </c>
      <c r="G21" s="55" t="s">
        <v>57</v>
      </c>
      <c r="H21" s="56">
        <v>1</v>
      </c>
      <c r="I21" s="57" t="s">
        <v>52</v>
      </c>
      <c r="J21" s="58">
        <v>100</v>
      </c>
      <c r="K21" s="59">
        <v>95</v>
      </c>
      <c r="L21" s="59">
        <v>90</v>
      </c>
      <c r="M21" s="59">
        <v>85</v>
      </c>
      <c r="N21" s="59">
        <v>80</v>
      </c>
      <c r="O21" s="59" t="s">
        <v>53</v>
      </c>
    </row>
    <row r="22" spans="1:15" s="60" customFormat="1" ht="250.5" customHeight="1" x14ac:dyDescent="0.25">
      <c r="A22" s="170"/>
      <c r="B22" s="171"/>
      <c r="C22" s="173"/>
      <c r="D22" s="53" t="s">
        <v>58</v>
      </c>
      <c r="E22" s="54">
        <f>C19/5</f>
        <v>0.7723605268602165</v>
      </c>
      <c r="F22" s="54">
        <f t="shared" si="0"/>
        <v>0.77236052686021606</v>
      </c>
      <c r="G22" s="55" t="s">
        <v>59</v>
      </c>
      <c r="H22" s="61">
        <v>5</v>
      </c>
      <c r="I22" s="57" t="s">
        <v>60</v>
      </c>
      <c r="J22" s="58" t="s">
        <v>61</v>
      </c>
      <c r="K22" s="59">
        <v>5</v>
      </c>
      <c r="L22" s="59">
        <v>4</v>
      </c>
      <c r="M22" s="59">
        <v>3</v>
      </c>
      <c r="N22" s="59">
        <v>2</v>
      </c>
      <c r="O22" s="59">
        <v>1</v>
      </c>
    </row>
    <row r="23" spans="1:15" s="60" customFormat="1" ht="223.5" customHeight="1" x14ac:dyDescent="0.25">
      <c r="A23" s="165"/>
      <c r="B23" s="167"/>
      <c r="C23" s="174"/>
      <c r="D23" s="53" t="s">
        <v>62</v>
      </c>
      <c r="E23" s="54">
        <f>C19/5</f>
        <v>0.7723605268602165</v>
      </c>
      <c r="F23" s="54">
        <f t="shared" si="0"/>
        <v>0.77236052686021606</v>
      </c>
      <c r="G23" s="55" t="s">
        <v>63</v>
      </c>
      <c r="H23" s="56">
        <v>1</v>
      </c>
      <c r="I23" s="57" t="s">
        <v>52</v>
      </c>
      <c r="J23" s="58">
        <v>100</v>
      </c>
      <c r="K23" s="59">
        <v>95</v>
      </c>
      <c r="L23" s="59">
        <v>90</v>
      </c>
      <c r="M23" s="59">
        <v>85</v>
      </c>
      <c r="N23" s="59">
        <v>80</v>
      </c>
      <c r="O23" s="59" t="s">
        <v>53</v>
      </c>
    </row>
    <row r="24" spans="1:15" s="60" customFormat="1" ht="231.75" customHeight="1" x14ac:dyDescent="0.25">
      <c r="A24" s="164">
        <v>2</v>
      </c>
      <c r="B24" s="166" t="s">
        <v>64</v>
      </c>
      <c r="C24" s="172">
        <v>2.3170815805806497</v>
      </c>
      <c r="D24" s="53" t="s">
        <v>65</v>
      </c>
      <c r="E24" s="54">
        <f>C24/2</f>
        <v>1.1585407902903249</v>
      </c>
      <c r="F24" s="54">
        <f t="shared" si="0"/>
        <v>1.1585407902903242</v>
      </c>
      <c r="G24" s="55" t="s">
        <v>66</v>
      </c>
      <c r="H24" s="56">
        <v>0.5</v>
      </c>
      <c r="I24" s="57" t="s">
        <v>52</v>
      </c>
      <c r="J24" s="58" t="s">
        <v>67</v>
      </c>
      <c r="K24" s="59">
        <v>50</v>
      </c>
      <c r="L24" s="59">
        <v>45</v>
      </c>
      <c r="M24" s="59">
        <v>40</v>
      </c>
      <c r="N24" s="59">
        <v>25</v>
      </c>
      <c r="O24" s="59" t="s">
        <v>68</v>
      </c>
    </row>
    <row r="25" spans="1:15" s="60" customFormat="1" ht="199.5" customHeight="1" x14ac:dyDescent="0.25">
      <c r="A25" s="165"/>
      <c r="B25" s="167"/>
      <c r="C25" s="174"/>
      <c r="D25" s="53" t="s">
        <v>69</v>
      </c>
      <c r="E25" s="54">
        <f>C24/2</f>
        <v>1.1585407902903249</v>
      </c>
      <c r="F25" s="54">
        <f t="shared" si="0"/>
        <v>1.1585407902903242</v>
      </c>
      <c r="G25" s="55" t="s">
        <v>70</v>
      </c>
      <c r="H25" s="56">
        <v>0.5</v>
      </c>
      <c r="I25" s="57" t="s">
        <v>52</v>
      </c>
      <c r="J25" s="58" t="s">
        <v>67</v>
      </c>
      <c r="K25" s="59">
        <v>50</v>
      </c>
      <c r="L25" s="59">
        <v>45</v>
      </c>
      <c r="M25" s="59">
        <v>40</v>
      </c>
      <c r="N25" s="59">
        <v>25</v>
      </c>
      <c r="O25" s="59" t="s">
        <v>68</v>
      </c>
    </row>
    <row r="26" spans="1:15" s="60" customFormat="1" ht="246" customHeight="1" x14ac:dyDescent="0.25">
      <c r="A26" s="164">
        <v>3</v>
      </c>
      <c r="B26" s="166" t="s">
        <v>71</v>
      </c>
      <c r="C26" s="172">
        <v>78.615267912557798</v>
      </c>
      <c r="D26" s="53" t="s">
        <v>72</v>
      </c>
      <c r="E26" s="54">
        <f>C26/7</f>
        <v>11.230752558936828</v>
      </c>
      <c r="F26" s="54">
        <f t="shared" si="0"/>
        <v>11.230752558936821</v>
      </c>
      <c r="G26" s="55" t="s">
        <v>73</v>
      </c>
      <c r="H26" s="62">
        <v>1</v>
      </c>
      <c r="I26" s="57" t="s">
        <v>52</v>
      </c>
      <c r="J26" s="58">
        <v>100</v>
      </c>
      <c r="K26" s="59">
        <v>95</v>
      </c>
      <c r="L26" s="59">
        <v>90</v>
      </c>
      <c r="M26" s="59">
        <v>85</v>
      </c>
      <c r="N26" s="59">
        <v>80</v>
      </c>
      <c r="O26" s="59" t="s">
        <v>53</v>
      </c>
    </row>
    <row r="27" spans="1:15" s="60" customFormat="1" ht="246" customHeight="1" x14ac:dyDescent="0.25">
      <c r="A27" s="170"/>
      <c r="B27" s="171"/>
      <c r="C27" s="173"/>
      <c r="D27" s="53" t="s">
        <v>74</v>
      </c>
      <c r="E27" s="54">
        <f>C26/7</f>
        <v>11.230752558936828</v>
      </c>
      <c r="F27" s="54">
        <f t="shared" si="0"/>
        <v>11.230752558936821</v>
      </c>
      <c r="G27" s="55" t="s">
        <v>75</v>
      </c>
      <c r="H27" s="62">
        <v>1</v>
      </c>
      <c r="I27" s="57" t="s">
        <v>52</v>
      </c>
      <c r="J27" s="58">
        <v>100</v>
      </c>
      <c r="K27" s="59">
        <v>95</v>
      </c>
      <c r="L27" s="59">
        <v>90</v>
      </c>
      <c r="M27" s="59">
        <v>85</v>
      </c>
      <c r="N27" s="59">
        <v>80</v>
      </c>
      <c r="O27" s="59" t="s">
        <v>53</v>
      </c>
    </row>
    <row r="28" spans="1:15" s="60" customFormat="1" ht="246" customHeight="1" x14ac:dyDescent="0.25">
      <c r="A28" s="170"/>
      <c r="B28" s="171"/>
      <c r="C28" s="173"/>
      <c r="D28" s="53" t="s">
        <v>76</v>
      </c>
      <c r="E28" s="54">
        <f>C26/7</f>
        <v>11.230752558936828</v>
      </c>
      <c r="F28" s="54">
        <f t="shared" si="0"/>
        <v>11.230752558936821</v>
      </c>
      <c r="G28" s="55" t="s">
        <v>77</v>
      </c>
      <c r="H28" s="62">
        <v>1</v>
      </c>
      <c r="I28" s="57" t="s">
        <v>52</v>
      </c>
      <c r="J28" s="58">
        <v>100</v>
      </c>
      <c r="K28" s="59">
        <v>95</v>
      </c>
      <c r="L28" s="59">
        <v>90</v>
      </c>
      <c r="M28" s="59">
        <v>85</v>
      </c>
      <c r="N28" s="59">
        <v>80</v>
      </c>
      <c r="O28" s="59" t="s">
        <v>53</v>
      </c>
    </row>
    <row r="29" spans="1:15" s="60" customFormat="1" ht="246" customHeight="1" x14ac:dyDescent="0.25">
      <c r="A29" s="170"/>
      <c r="B29" s="171"/>
      <c r="C29" s="173"/>
      <c r="D29" s="63" t="s">
        <v>78</v>
      </c>
      <c r="E29" s="54">
        <f>C26/7</f>
        <v>11.230752558936828</v>
      </c>
      <c r="F29" s="54">
        <f t="shared" si="0"/>
        <v>11.230752558936821</v>
      </c>
      <c r="G29" s="55" t="s">
        <v>79</v>
      </c>
      <c r="H29" s="62">
        <v>1</v>
      </c>
      <c r="I29" s="57" t="s">
        <v>52</v>
      </c>
      <c r="J29" s="58">
        <v>100</v>
      </c>
      <c r="K29" s="59">
        <v>95</v>
      </c>
      <c r="L29" s="59">
        <v>90</v>
      </c>
      <c r="M29" s="59">
        <v>85</v>
      </c>
      <c r="N29" s="59">
        <v>80</v>
      </c>
      <c r="O29" s="59" t="s">
        <v>53</v>
      </c>
    </row>
    <row r="30" spans="1:15" s="60" customFormat="1" ht="246" customHeight="1" x14ac:dyDescent="0.25">
      <c r="A30" s="170"/>
      <c r="B30" s="171"/>
      <c r="C30" s="173"/>
      <c r="D30" s="53" t="s">
        <v>80</v>
      </c>
      <c r="E30" s="54">
        <f>C26/7</f>
        <v>11.230752558936828</v>
      </c>
      <c r="F30" s="54">
        <f t="shared" si="0"/>
        <v>11.230752558936821</v>
      </c>
      <c r="G30" s="55" t="s">
        <v>81</v>
      </c>
      <c r="H30" s="62">
        <v>1</v>
      </c>
      <c r="I30" s="57" t="s">
        <v>52</v>
      </c>
      <c r="J30" s="58">
        <v>100</v>
      </c>
      <c r="K30" s="59">
        <v>95</v>
      </c>
      <c r="L30" s="59">
        <v>90</v>
      </c>
      <c r="M30" s="59">
        <v>85</v>
      </c>
      <c r="N30" s="59">
        <v>80</v>
      </c>
      <c r="O30" s="59" t="s">
        <v>53</v>
      </c>
    </row>
    <row r="31" spans="1:15" s="60" customFormat="1" ht="246" customHeight="1" x14ac:dyDescent="0.25">
      <c r="A31" s="170"/>
      <c r="B31" s="171"/>
      <c r="C31" s="173"/>
      <c r="D31" s="53" t="s">
        <v>82</v>
      </c>
      <c r="E31" s="54">
        <f>C26/7</f>
        <v>11.230752558936828</v>
      </c>
      <c r="F31" s="54">
        <f t="shared" si="0"/>
        <v>11.230752558936821</v>
      </c>
      <c r="G31" s="55" t="s">
        <v>83</v>
      </c>
      <c r="H31" s="62">
        <v>1</v>
      </c>
      <c r="I31" s="57" t="s">
        <v>52</v>
      </c>
      <c r="J31" s="58">
        <v>100</v>
      </c>
      <c r="K31" s="59">
        <v>95</v>
      </c>
      <c r="L31" s="59">
        <v>90</v>
      </c>
      <c r="M31" s="59">
        <v>85</v>
      </c>
      <c r="N31" s="59">
        <v>80</v>
      </c>
      <c r="O31" s="59" t="s">
        <v>53</v>
      </c>
    </row>
    <row r="32" spans="1:15" s="60" customFormat="1" ht="246" customHeight="1" x14ac:dyDescent="0.25">
      <c r="A32" s="165"/>
      <c r="B32" s="167"/>
      <c r="C32" s="174"/>
      <c r="D32" s="53" t="s">
        <v>84</v>
      </c>
      <c r="E32" s="54">
        <f>C26/7</f>
        <v>11.230752558936828</v>
      </c>
      <c r="F32" s="54">
        <f t="shared" si="0"/>
        <v>11.230752558936821</v>
      </c>
      <c r="G32" s="55" t="s">
        <v>85</v>
      </c>
      <c r="H32" s="62">
        <v>1</v>
      </c>
      <c r="I32" s="57" t="s">
        <v>52</v>
      </c>
      <c r="J32" s="58">
        <v>100</v>
      </c>
      <c r="K32" s="59">
        <v>95</v>
      </c>
      <c r="L32" s="59">
        <v>90</v>
      </c>
      <c r="M32" s="59">
        <v>85</v>
      </c>
      <c r="N32" s="59">
        <v>80</v>
      </c>
      <c r="O32" s="59" t="s">
        <v>53</v>
      </c>
    </row>
    <row r="33" spans="1:15" s="60" customFormat="1" ht="246" customHeight="1" x14ac:dyDescent="0.25">
      <c r="A33" s="164">
        <v>4</v>
      </c>
      <c r="B33" s="166" t="s">
        <v>86</v>
      </c>
      <c r="C33" s="168">
        <v>3.6204399696572653</v>
      </c>
      <c r="D33" s="53" t="s">
        <v>87</v>
      </c>
      <c r="E33" s="54">
        <f>C33/2</f>
        <v>1.8102199848286327</v>
      </c>
      <c r="F33" s="54">
        <f t="shared" si="0"/>
        <v>1.8102199848286316</v>
      </c>
      <c r="G33" s="55" t="s">
        <v>88</v>
      </c>
      <c r="H33" s="62">
        <v>1</v>
      </c>
      <c r="I33" s="57" t="s">
        <v>52</v>
      </c>
      <c r="J33" s="58">
        <v>100</v>
      </c>
      <c r="K33" s="59">
        <v>95</v>
      </c>
      <c r="L33" s="59">
        <v>90</v>
      </c>
      <c r="M33" s="59">
        <v>85</v>
      </c>
      <c r="N33" s="59">
        <v>80</v>
      </c>
      <c r="O33" s="59" t="s">
        <v>53</v>
      </c>
    </row>
    <row r="34" spans="1:15" s="60" customFormat="1" ht="246" customHeight="1" x14ac:dyDescent="0.25">
      <c r="A34" s="165"/>
      <c r="B34" s="167"/>
      <c r="C34" s="169"/>
      <c r="D34" s="53" t="s">
        <v>89</v>
      </c>
      <c r="E34" s="54">
        <f>C33/2</f>
        <v>1.8102199848286327</v>
      </c>
      <c r="F34" s="54">
        <f t="shared" si="0"/>
        <v>1.8102199848286316</v>
      </c>
      <c r="G34" s="55" t="s">
        <v>90</v>
      </c>
      <c r="H34" s="61">
        <v>5</v>
      </c>
      <c r="I34" s="57" t="s">
        <v>60</v>
      </c>
      <c r="J34" s="58" t="s">
        <v>61</v>
      </c>
      <c r="K34" s="59">
        <v>5</v>
      </c>
      <c r="L34" s="59">
        <v>4</v>
      </c>
      <c r="M34" s="59">
        <v>3</v>
      </c>
      <c r="N34" s="59">
        <v>2</v>
      </c>
      <c r="O34" s="59">
        <v>1</v>
      </c>
    </row>
    <row r="35" spans="1:15" s="60" customFormat="1" ht="246" customHeight="1" x14ac:dyDescent="0.25">
      <c r="A35" s="164">
        <v>5</v>
      </c>
      <c r="B35" s="166" t="s">
        <v>91</v>
      </c>
      <c r="C35" s="168">
        <v>7.2408799393145307</v>
      </c>
      <c r="D35" s="53" t="s">
        <v>92</v>
      </c>
      <c r="E35" s="54">
        <f>C35/2</f>
        <v>3.6204399696572653</v>
      </c>
      <c r="F35" s="54">
        <f t="shared" si="0"/>
        <v>3.6204399696572631</v>
      </c>
      <c r="G35" s="55" t="s">
        <v>93</v>
      </c>
      <c r="H35" s="61">
        <v>5</v>
      </c>
      <c r="I35" s="61" t="s">
        <v>60</v>
      </c>
      <c r="J35" s="58" t="s">
        <v>61</v>
      </c>
      <c r="K35" s="59">
        <v>5</v>
      </c>
      <c r="L35" s="59">
        <v>4</v>
      </c>
      <c r="M35" s="59">
        <v>3</v>
      </c>
      <c r="N35" s="59">
        <v>2</v>
      </c>
      <c r="O35" s="59">
        <v>1</v>
      </c>
    </row>
    <row r="36" spans="1:15" s="60" customFormat="1" ht="246" customHeight="1" x14ac:dyDescent="0.25">
      <c r="A36" s="165"/>
      <c r="B36" s="167"/>
      <c r="C36" s="169"/>
      <c r="D36" s="53" t="s">
        <v>94</v>
      </c>
      <c r="E36" s="54">
        <f>C35/2</f>
        <v>3.6204399696572653</v>
      </c>
      <c r="F36" s="54">
        <f t="shared" si="0"/>
        <v>3.6204399696572631</v>
      </c>
      <c r="G36" s="55" t="s">
        <v>95</v>
      </c>
      <c r="H36" s="56">
        <v>0.5</v>
      </c>
      <c r="I36" s="57" t="s">
        <v>52</v>
      </c>
      <c r="J36" s="58" t="s">
        <v>67</v>
      </c>
      <c r="K36" s="59">
        <v>50</v>
      </c>
      <c r="L36" s="59">
        <v>45</v>
      </c>
      <c r="M36" s="59">
        <v>40</v>
      </c>
      <c r="N36" s="59">
        <v>25</v>
      </c>
      <c r="O36" s="59" t="s">
        <v>68</v>
      </c>
    </row>
    <row r="37" spans="1:15" s="60" customFormat="1" ht="246" customHeight="1" x14ac:dyDescent="0.25">
      <c r="A37" s="164">
        <v>6</v>
      </c>
      <c r="B37" s="166" t="s">
        <v>96</v>
      </c>
      <c r="C37" s="168">
        <v>2.413626646438177</v>
      </c>
      <c r="D37" s="53" t="s">
        <v>97</v>
      </c>
      <c r="E37" s="54">
        <f>C37/2</f>
        <v>1.2068133232190885</v>
      </c>
      <c r="F37" s="54">
        <f t="shared" si="0"/>
        <v>1.2068133232190879</v>
      </c>
      <c r="G37" s="55" t="s">
        <v>98</v>
      </c>
      <c r="H37" s="62">
        <v>0.8</v>
      </c>
      <c r="I37" s="61" t="s">
        <v>52</v>
      </c>
      <c r="J37" s="58" t="s">
        <v>99</v>
      </c>
      <c r="K37" s="59">
        <v>80</v>
      </c>
      <c r="L37" s="59">
        <v>75</v>
      </c>
      <c r="M37" s="59">
        <v>70</v>
      </c>
      <c r="N37" s="59">
        <v>50</v>
      </c>
      <c r="O37" s="59" t="s">
        <v>100</v>
      </c>
    </row>
    <row r="38" spans="1:15" s="60" customFormat="1" ht="246" customHeight="1" x14ac:dyDescent="0.25">
      <c r="A38" s="165"/>
      <c r="B38" s="167"/>
      <c r="C38" s="169"/>
      <c r="D38" s="53" t="s">
        <v>101</v>
      </c>
      <c r="E38" s="54">
        <f>C37/2</f>
        <v>1.2068133232190885</v>
      </c>
      <c r="F38" s="54">
        <f t="shared" si="0"/>
        <v>1.2068133232190879</v>
      </c>
      <c r="G38" s="55" t="s">
        <v>102</v>
      </c>
      <c r="H38" s="61">
        <v>5</v>
      </c>
      <c r="I38" s="61" t="s">
        <v>60</v>
      </c>
      <c r="J38" s="58" t="s">
        <v>61</v>
      </c>
      <c r="K38" s="59">
        <v>5</v>
      </c>
      <c r="L38" s="59">
        <v>4</v>
      </c>
      <c r="M38" s="59">
        <v>3</v>
      </c>
      <c r="N38" s="59">
        <v>2</v>
      </c>
      <c r="O38" s="59">
        <v>1</v>
      </c>
    </row>
    <row r="39" spans="1:15" s="60" customFormat="1" ht="246" customHeight="1" x14ac:dyDescent="0.25">
      <c r="A39" s="61">
        <v>7</v>
      </c>
      <c r="B39" s="53" t="s">
        <v>103</v>
      </c>
      <c r="C39" s="64">
        <v>0.96545065857527068</v>
      </c>
      <c r="D39" s="52" t="s">
        <v>104</v>
      </c>
      <c r="E39" s="54">
        <f>C39</f>
        <v>0.96545065857527068</v>
      </c>
      <c r="F39" s="54">
        <f t="shared" si="0"/>
        <v>0.96545065857527013</v>
      </c>
      <c r="G39" s="55" t="s">
        <v>105</v>
      </c>
      <c r="H39" s="56">
        <v>0.7</v>
      </c>
      <c r="I39" s="61" t="s">
        <v>52</v>
      </c>
      <c r="J39" s="58" t="s">
        <v>106</v>
      </c>
      <c r="K39" s="59">
        <v>70</v>
      </c>
      <c r="L39" s="59">
        <v>60</v>
      </c>
      <c r="M39" s="59">
        <v>50</v>
      </c>
      <c r="N39" s="59">
        <v>40</v>
      </c>
      <c r="O39" s="59" t="s">
        <v>107</v>
      </c>
    </row>
    <row r="40" spans="1:15" s="60" customFormat="1" ht="246" customHeight="1" x14ac:dyDescent="0.25">
      <c r="A40" s="61">
        <v>8</v>
      </c>
      <c r="B40" s="53" t="s">
        <v>108</v>
      </c>
      <c r="C40" s="64">
        <v>0.96545065857527068</v>
      </c>
      <c r="D40" s="55" t="s">
        <v>109</v>
      </c>
      <c r="E40" s="54">
        <f>C40</f>
        <v>0.96545065857527068</v>
      </c>
      <c r="F40" s="54">
        <f t="shared" si="0"/>
        <v>0.96545065857527013</v>
      </c>
      <c r="G40" s="55" t="s">
        <v>110</v>
      </c>
      <c r="H40" s="56">
        <v>0.5</v>
      </c>
      <c r="I40" s="57" t="s">
        <v>52</v>
      </c>
      <c r="J40" s="58" t="s">
        <v>67</v>
      </c>
      <c r="K40" s="59">
        <v>50</v>
      </c>
      <c r="L40" s="59">
        <v>45</v>
      </c>
      <c r="M40" s="59">
        <v>40</v>
      </c>
      <c r="N40" s="59">
        <v>25</v>
      </c>
      <c r="O40" s="59" t="s">
        <v>68</v>
      </c>
    </row>
    <row r="41" spans="1:15" s="46" customFormat="1" ht="82.5" customHeight="1" x14ac:dyDescent="0.95">
      <c r="A41" s="65"/>
      <c r="B41" s="66" t="s">
        <v>111</v>
      </c>
      <c r="C41" s="67">
        <f>SUM(C19:C40)</f>
        <v>100.00000000000003</v>
      </c>
      <c r="D41" s="67"/>
      <c r="E41" s="67">
        <f>SUM(E19:E40)</f>
        <v>100.00000000000006</v>
      </c>
      <c r="F41" s="67">
        <f>SUM(F19:F40)</f>
        <v>100</v>
      </c>
      <c r="G41" s="68"/>
      <c r="H41" s="69"/>
      <c r="I41" s="70"/>
      <c r="J41" s="71"/>
      <c r="K41" s="72"/>
      <c r="L41" s="72"/>
      <c r="M41" s="72"/>
      <c r="N41" s="72"/>
      <c r="O41" s="72"/>
    </row>
    <row r="42" spans="1:15" s="46" customFormat="1" ht="64.5" x14ac:dyDescent="0.95">
      <c r="A42" s="125" t="s">
        <v>112</v>
      </c>
      <c r="B42" s="125"/>
      <c r="C42" s="125"/>
      <c r="D42" s="125"/>
      <c r="E42" s="125"/>
      <c r="F42" s="125"/>
      <c r="G42" s="125"/>
      <c r="H42" s="157"/>
      <c r="I42" s="157"/>
      <c r="J42" s="158"/>
      <c r="K42" s="159" t="s">
        <v>113</v>
      </c>
      <c r="L42" s="159"/>
      <c r="M42" s="159"/>
      <c r="N42" s="159"/>
      <c r="O42" s="159"/>
    </row>
    <row r="43" spans="1:15" s="46" customFormat="1" ht="65.25" x14ac:dyDescent="0.95">
      <c r="A43" s="73"/>
      <c r="B43" s="44"/>
      <c r="C43" s="160" t="s">
        <v>114</v>
      </c>
      <c r="D43" s="160"/>
      <c r="E43" s="160"/>
      <c r="F43" s="160"/>
      <c r="G43" s="160"/>
      <c r="H43" s="74" t="s">
        <v>115</v>
      </c>
      <c r="I43" s="74" t="s">
        <v>116</v>
      </c>
      <c r="J43" s="74" t="s">
        <v>117</v>
      </c>
      <c r="K43" s="159"/>
      <c r="L43" s="159"/>
      <c r="M43" s="159"/>
      <c r="N43" s="159"/>
      <c r="O43" s="159"/>
    </row>
    <row r="44" spans="1:15" s="46" customFormat="1" ht="65.25" x14ac:dyDescent="0.95">
      <c r="A44" s="75">
        <v>1</v>
      </c>
      <c r="B44" s="76" t="s">
        <v>118</v>
      </c>
      <c r="C44" s="161"/>
      <c r="D44" s="162"/>
      <c r="E44" s="162"/>
      <c r="F44" s="162"/>
      <c r="G44" s="163"/>
      <c r="H44" s="77"/>
      <c r="I44" s="77"/>
      <c r="J44" s="78"/>
      <c r="K44" s="79"/>
      <c r="L44" s="80" t="s">
        <v>43</v>
      </c>
      <c r="M44" s="153" t="s">
        <v>119</v>
      </c>
      <c r="N44" s="153"/>
      <c r="O44" s="153"/>
    </row>
    <row r="45" spans="1:15" s="46" customFormat="1" ht="89.25" customHeight="1" x14ac:dyDescent="0.95">
      <c r="A45" s="82" t="s">
        <v>120</v>
      </c>
      <c r="B45" s="83" t="s">
        <v>121</v>
      </c>
      <c r="C45" s="154"/>
      <c r="D45" s="155"/>
      <c r="E45" s="155"/>
      <c r="F45" s="155"/>
      <c r="G45" s="156"/>
      <c r="H45" s="72">
        <v>3</v>
      </c>
      <c r="I45" s="72">
        <v>3</v>
      </c>
      <c r="J45" s="84"/>
      <c r="K45" s="79"/>
      <c r="L45" s="80" t="s">
        <v>44</v>
      </c>
      <c r="M45" s="153" t="s">
        <v>122</v>
      </c>
      <c r="N45" s="153"/>
      <c r="O45" s="153"/>
    </row>
    <row r="46" spans="1:15" s="46" customFormat="1" ht="86.25" customHeight="1" x14ac:dyDescent="0.95">
      <c r="A46" s="82" t="s">
        <v>123</v>
      </c>
      <c r="B46" s="83" t="s">
        <v>124</v>
      </c>
      <c r="C46" s="154"/>
      <c r="D46" s="155"/>
      <c r="E46" s="155"/>
      <c r="F46" s="155"/>
      <c r="G46" s="156"/>
      <c r="H46" s="72">
        <v>3</v>
      </c>
      <c r="I46" s="72">
        <v>3</v>
      </c>
      <c r="J46" s="84"/>
      <c r="K46" s="79"/>
      <c r="L46" s="80" t="s">
        <v>45</v>
      </c>
      <c r="M46" s="153" t="s">
        <v>125</v>
      </c>
      <c r="N46" s="153"/>
      <c r="O46" s="153"/>
    </row>
    <row r="47" spans="1:15" s="46" customFormat="1" ht="79.5" customHeight="1" x14ac:dyDescent="0.95">
      <c r="A47" s="82" t="s">
        <v>126</v>
      </c>
      <c r="B47" s="83" t="s">
        <v>127</v>
      </c>
      <c r="C47" s="154"/>
      <c r="D47" s="155"/>
      <c r="E47" s="155"/>
      <c r="F47" s="155"/>
      <c r="G47" s="156"/>
      <c r="H47" s="72">
        <v>3</v>
      </c>
      <c r="I47" s="72">
        <v>3</v>
      </c>
      <c r="J47" s="84"/>
      <c r="K47" s="79"/>
      <c r="L47" s="80" t="s">
        <v>46</v>
      </c>
      <c r="M47" s="153" t="s">
        <v>128</v>
      </c>
      <c r="N47" s="153"/>
      <c r="O47" s="153"/>
    </row>
    <row r="48" spans="1:15" s="46" customFormat="1" ht="79.5" customHeight="1" x14ac:dyDescent="0.95">
      <c r="A48" s="85">
        <v>2</v>
      </c>
      <c r="B48" s="86" t="s">
        <v>129</v>
      </c>
      <c r="C48" s="150"/>
      <c r="D48" s="151"/>
      <c r="E48" s="151"/>
      <c r="F48" s="151"/>
      <c r="G48" s="152"/>
      <c r="H48" s="72"/>
      <c r="I48" s="72"/>
      <c r="J48" s="84"/>
      <c r="K48" s="79"/>
      <c r="L48" s="80" t="s">
        <v>47</v>
      </c>
      <c r="M48" s="153" t="s">
        <v>130</v>
      </c>
      <c r="N48" s="153"/>
      <c r="O48" s="153"/>
    </row>
    <row r="49" spans="1:15" s="46" customFormat="1" ht="96.75" customHeight="1" x14ac:dyDescent="0.95">
      <c r="A49" s="82" t="s">
        <v>120</v>
      </c>
      <c r="B49" s="87" t="s">
        <v>131</v>
      </c>
      <c r="C49" s="146"/>
      <c r="D49" s="147"/>
      <c r="E49" s="147"/>
      <c r="F49" s="147"/>
      <c r="G49" s="148"/>
      <c r="H49" s="72">
        <v>3</v>
      </c>
      <c r="I49" s="72">
        <v>3</v>
      </c>
      <c r="J49" s="84"/>
      <c r="K49" s="79"/>
      <c r="L49" s="80" t="s">
        <v>48</v>
      </c>
      <c r="M49" s="153" t="s">
        <v>132</v>
      </c>
      <c r="N49" s="153"/>
      <c r="O49" s="153"/>
    </row>
    <row r="50" spans="1:15" s="46" customFormat="1" ht="84.75" customHeight="1" x14ac:dyDescent="0.95">
      <c r="A50" s="82" t="s">
        <v>123</v>
      </c>
      <c r="B50" s="87" t="s">
        <v>133</v>
      </c>
      <c r="C50" s="146"/>
      <c r="D50" s="147"/>
      <c r="E50" s="147"/>
      <c r="F50" s="147"/>
      <c r="G50" s="148"/>
      <c r="H50" s="72">
        <v>2</v>
      </c>
      <c r="I50" s="72">
        <v>2</v>
      </c>
      <c r="J50" s="84"/>
      <c r="K50" s="79"/>
      <c r="L50" s="81" t="s">
        <v>117</v>
      </c>
      <c r="M50" s="81" t="s">
        <v>134</v>
      </c>
      <c r="N50" s="88"/>
      <c r="O50" s="88"/>
    </row>
    <row r="51" spans="1:15" s="46" customFormat="1" ht="96" customHeight="1" x14ac:dyDescent="0.95">
      <c r="A51" s="82" t="s">
        <v>126</v>
      </c>
      <c r="B51" s="89" t="s">
        <v>135</v>
      </c>
      <c r="C51" s="146"/>
      <c r="D51" s="147"/>
      <c r="E51" s="147"/>
      <c r="F51" s="147"/>
      <c r="G51" s="148"/>
      <c r="H51" s="72">
        <v>2</v>
      </c>
      <c r="I51" s="72">
        <v>2</v>
      </c>
      <c r="J51" s="84"/>
      <c r="K51" s="79"/>
      <c r="L51" s="81" t="s">
        <v>136</v>
      </c>
      <c r="M51" s="153" t="s">
        <v>137</v>
      </c>
      <c r="N51" s="153"/>
      <c r="O51" s="153"/>
    </row>
    <row r="52" spans="1:15" s="46" customFormat="1" ht="65.25" x14ac:dyDescent="0.95">
      <c r="A52" s="85">
        <v>3</v>
      </c>
      <c r="B52" s="86" t="s">
        <v>138</v>
      </c>
      <c r="C52" s="150"/>
      <c r="D52" s="151"/>
      <c r="E52" s="151"/>
      <c r="F52" s="151"/>
      <c r="G52" s="152"/>
      <c r="H52" s="72"/>
      <c r="I52" s="72"/>
      <c r="J52" s="84"/>
      <c r="K52" s="79"/>
      <c r="L52" s="81" t="s">
        <v>115</v>
      </c>
      <c r="M52" s="153" t="s">
        <v>139</v>
      </c>
      <c r="N52" s="153"/>
      <c r="O52" s="153"/>
    </row>
    <row r="53" spans="1:15" s="46" customFormat="1" ht="81.75" customHeight="1" x14ac:dyDescent="0.95">
      <c r="A53" s="82" t="s">
        <v>120</v>
      </c>
      <c r="B53" s="87" t="s">
        <v>140</v>
      </c>
      <c r="C53" s="141"/>
      <c r="D53" s="142"/>
      <c r="E53" s="142"/>
      <c r="F53" s="142"/>
      <c r="G53" s="143"/>
      <c r="H53" s="72">
        <v>2</v>
      </c>
      <c r="I53" s="72">
        <v>2</v>
      </c>
      <c r="J53" s="84"/>
      <c r="K53" s="79"/>
      <c r="L53" s="81" t="s">
        <v>116</v>
      </c>
      <c r="M53" s="153" t="s">
        <v>141</v>
      </c>
      <c r="N53" s="153"/>
      <c r="O53" s="153"/>
    </row>
    <row r="54" spans="1:15" s="46" customFormat="1" ht="72" customHeight="1" x14ac:dyDescent="0.95">
      <c r="A54" s="82" t="s">
        <v>123</v>
      </c>
      <c r="B54" s="87" t="s">
        <v>142</v>
      </c>
      <c r="C54" s="141"/>
      <c r="D54" s="142"/>
      <c r="E54" s="142"/>
      <c r="F54" s="142"/>
      <c r="G54" s="143"/>
      <c r="H54" s="72">
        <v>1</v>
      </c>
      <c r="I54" s="72">
        <v>1</v>
      </c>
      <c r="J54" s="84"/>
      <c r="K54" s="79"/>
      <c r="L54" s="81" t="s">
        <v>143</v>
      </c>
      <c r="M54" s="153" t="s">
        <v>144</v>
      </c>
      <c r="N54" s="153"/>
      <c r="O54" s="153"/>
    </row>
    <row r="55" spans="1:15" s="46" customFormat="1" ht="78" customHeight="1" x14ac:dyDescent="0.95">
      <c r="A55" s="82" t="s">
        <v>126</v>
      </c>
      <c r="B55" s="87" t="s">
        <v>145</v>
      </c>
      <c r="C55" s="141"/>
      <c r="D55" s="142"/>
      <c r="E55" s="142"/>
      <c r="F55" s="142"/>
      <c r="G55" s="143"/>
      <c r="H55" s="72">
        <v>1</v>
      </c>
      <c r="I55" s="72">
        <v>1</v>
      </c>
      <c r="J55" s="84"/>
      <c r="K55" s="79"/>
      <c r="L55" s="88"/>
      <c r="M55" s="88"/>
      <c r="N55" s="88"/>
      <c r="O55" s="88"/>
    </row>
    <row r="56" spans="1:15" s="46" customFormat="1" ht="65.25" x14ac:dyDescent="0.95">
      <c r="A56" s="144" t="s">
        <v>146</v>
      </c>
      <c r="B56" s="145"/>
      <c r="C56" s="145"/>
      <c r="D56" s="145"/>
      <c r="E56" s="145"/>
      <c r="F56" s="145"/>
      <c r="G56" s="145"/>
      <c r="H56" s="90"/>
      <c r="I56" s="90"/>
      <c r="J56" s="90"/>
      <c r="K56" s="79"/>
      <c r="L56" s="88"/>
      <c r="M56" s="88"/>
      <c r="N56" s="88"/>
      <c r="O56" s="88"/>
    </row>
    <row r="57" spans="1:15" s="46" customFormat="1" ht="65.25" x14ac:dyDescent="0.95">
      <c r="A57" s="82" t="s">
        <v>120</v>
      </c>
      <c r="B57" s="91" t="s">
        <v>147</v>
      </c>
      <c r="C57" s="146" t="s">
        <v>148</v>
      </c>
      <c r="D57" s="147"/>
      <c r="E57" s="147"/>
      <c r="F57" s="147"/>
      <c r="G57" s="148"/>
      <c r="H57" s="92">
        <v>4</v>
      </c>
      <c r="I57" s="93">
        <v>4</v>
      </c>
      <c r="J57" s="91"/>
      <c r="K57" s="79"/>
      <c r="L57" s="88"/>
      <c r="M57" s="88"/>
      <c r="N57" s="88"/>
      <c r="O57" s="88"/>
    </row>
    <row r="58" spans="1:15" s="46" customFormat="1" ht="65.25" x14ac:dyDescent="0.95">
      <c r="A58" s="82" t="s">
        <v>123</v>
      </c>
      <c r="B58" s="91" t="s">
        <v>149</v>
      </c>
      <c r="C58" s="146" t="s">
        <v>150</v>
      </c>
      <c r="D58" s="147"/>
      <c r="E58" s="147"/>
      <c r="F58" s="147"/>
      <c r="G58" s="148"/>
      <c r="H58" s="92">
        <v>4</v>
      </c>
      <c r="I58" s="93">
        <v>4</v>
      </c>
      <c r="J58" s="91"/>
      <c r="K58" s="79"/>
      <c r="L58" s="88"/>
      <c r="M58" s="88"/>
      <c r="N58" s="88"/>
      <c r="O58" s="88"/>
    </row>
    <row r="59" spans="1:15" s="46" customFormat="1" ht="65.25" x14ac:dyDescent="0.95">
      <c r="A59" s="82" t="s">
        <v>123</v>
      </c>
      <c r="B59" s="91" t="s">
        <v>151</v>
      </c>
      <c r="C59" s="146" t="s">
        <v>152</v>
      </c>
      <c r="D59" s="147"/>
      <c r="E59" s="147"/>
      <c r="F59" s="147"/>
      <c r="G59" s="148"/>
      <c r="H59" s="92">
        <v>2</v>
      </c>
      <c r="I59" s="93">
        <v>2</v>
      </c>
      <c r="J59" s="91"/>
      <c r="K59" s="79"/>
      <c r="L59" s="88"/>
      <c r="M59" s="88"/>
      <c r="N59" s="88"/>
      <c r="O59" s="88"/>
    </row>
    <row r="60" spans="1:15" s="46" customFormat="1" ht="65.25" x14ac:dyDescent="0.95">
      <c r="A60" s="149" t="s">
        <v>153</v>
      </c>
      <c r="B60" s="149"/>
      <c r="C60" s="149"/>
      <c r="D60" s="149"/>
      <c r="E60" s="149"/>
      <c r="F60" s="149"/>
      <c r="G60" s="149"/>
      <c r="H60" s="149"/>
      <c r="I60" s="149"/>
      <c r="J60" s="94"/>
      <c r="K60" s="88"/>
      <c r="L60" s="88"/>
      <c r="M60" s="88"/>
      <c r="N60" s="88"/>
      <c r="O60" s="88"/>
    </row>
    <row r="61" spans="1:15" s="46" customFormat="1" ht="15" customHeight="1" x14ac:dyDescent="0.95">
      <c r="A61" s="130" t="s">
        <v>154</v>
      </c>
      <c r="B61" s="130"/>
      <c r="C61" s="131"/>
      <c r="D61" s="132"/>
      <c r="E61" s="133" t="s">
        <v>155</v>
      </c>
      <c r="F61" s="119"/>
      <c r="G61" s="136" t="s">
        <v>156</v>
      </c>
      <c r="H61" s="101"/>
      <c r="I61" s="138"/>
      <c r="J61" s="95"/>
      <c r="K61" s="79"/>
      <c r="L61" s="79"/>
      <c r="M61" s="79"/>
      <c r="N61" s="79"/>
      <c r="O61" s="79"/>
    </row>
    <row r="62" spans="1:15" s="46" customFormat="1" ht="33" customHeight="1" x14ac:dyDescent="0.95">
      <c r="A62" s="130"/>
      <c r="B62" s="130"/>
      <c r="C62" s="131"/>
      <c r="D62" s="132"/>
      <c r="E62" s="134"/>
      <c r="F62" s="120"/>
      <c r="G62" s="126"/>
      <c r="H62" s="131"/>
      <c r="I62" s="139"/>
      <c r="J62" s="95"/>
      <c r="K62" s="106"/>
      <c r="L62" s="107"/>
      <c r="M62" s="107"/>
      <c r="N62" s="107"/>
      <c r="O62" s="108"/>
    </row>
    <row r="63" spans="1:15" s="46" customFormat="1" ht="33" customHeight="1" x14ac:dyDescent="0.95">
      <c r="A63" s="130"/>
      <c r="B63" s="130"/>
      <c r="C63" s="131"/>
      <c r="D63" s="132"/>
      <c r="E63" s="134"/>
      <c r="F63" s="120"/>
      <c r="G63" s="126"/>
      <c r="H63" s="131"/>
      <c r="I63" s="139"/>
      <c r="J63" s="95"/>
      <c r="K63" s="109"/>
      <c r="L63" s="105"/>
      <c r="M63" s="105"/>
      <c r="N63" s="105"/>
      <c r="O63" s="110"/>
    </row>
    <row r="64" spans="1:15" s="46" customFormat="1" ht="27.75" customHeight="1" x14ac:dyDescent="0.95">
      <c r="A64" s="130"/>
      <c r="B64" s="130"/>
      <c r="C64" s="103"/>
      <c r="D64" s="104"/>
      <c r="E64" s="135"/>
      <c r="F64" s="121"/>
      <c r="G64" s="137"/>
      <c r="H64" s="103"/>
      <c r="I64" s="140"/>
      <c r="J64" s="95"/>
      <c r="K64" s="109"/>
      <c r="L64" s="105"/>
      <c r="M64" s="105"/>
      <c r="N64" s="105"/>
      <c r="O64" s="110"/>
    </row>
    <row r="65" spans="1:15" s="46" customFormat="1" ht="33" customHeight="1" x14ac:dyDescent="0.95">
      <c r="A65" s="114" t="s">
        <v>157</v>
      </c>
      <c r="B65" s="115"/>
      <c r="C65" s="96"/>
      <c r="D65" s="97"/>
      <c r="E65" s="116" t="s">
        <v>157</v>
      </c>
      <c r="F65" s="119"/>
      <c r="G65" s="122" t="s">
        <v>157</v>
      </c>
      <c r="H65" s="101"/>
      <c r="I65" s="102"/>
      <c r="J65" s="95"/>
      <c r="K65" s="109"/>
      <c r="L65" s="105"/>
      <c r="M65" s="105"/>
      <c r="N65" s="105"/>
      <c r="O65" s="110"/>
    </row>
    <row r="66" spans="1:15" s="46" customFormat="1" ht="30.75" customHeight="1" x14ac:dyDescent="0.95">
      <c r="A66" s="114"/>
      <c r="B66" s="115"/>
      <c r="C66" s="96"/>
      <c r="D66" s="97"/>
      <c r="E66" s="117"/>
      <c r="F66" s="120"/>
      <c r="G66" s="123"/>
      <c r="H66" s="103"/>
      <c r="I66" s="104"/>
      <c r="J66" s="95"/>
      <c r="K66" s="109"/>
      <c r="L66" s="105"/>
      <c r="M66" s="105"/>
      <c r="N66" s="105"/>
      <c r="O66" s="110"/>
    </row>
    <row r="67" spans="1:15" s="46" customFormat="1" ht="17.25" hidden="1" customHeight="1" x14ac:dyDescent="0.95">
      <c r="A67" s="114"/>
      <c r="B67" s="115"/>
      <c r="C67" s="96"/>
      <c r="D67" s="97"/>
      <c r="E67" s="118"/>
      <c r="F67" s="121"/>
      <c r="G67" s="124"/>
      <c r="H67" s="98"/>
      <c r="I67" s="98"/>
      <c r="J67" s="95"/>
      <c r="K67" s="109"/>
      <c r="L67" s="105"/>
      <c r="M67" s="105"/>
      <c r="N67" s="105"/>
      <c r="O67" s="110"/>
    </row>
    <row r="68" spans="1:15" s="46" customFormat="1" ht="33" customHeight="1" x14ac:dyDescent="0.95">
      <c r="A68" s="125" t="s">
        <v>158</v>
      </c>
      <c r="B68" s="126"/>
      <c r="C68" s="127"/>
      <c r="D68" s="127"/>
      <c r="E68" s="128" t="s">
        <v>158</v>
      </c>
      <c r="F68" s="119"/>
      <c r="G68" s="99" t="s">
        <v>158</v>
      </c>
      <c r="H68" s="101"/>
      <c r="I68" s="102"/>
      <c r="J68" s="95"/>
      <c r="K68" s="109"/>
      <c r="L68" s="105"/>
      <c r="M68" s="105"/>
      <c r="N68" s="105"/>
      <c r="O68" s="110"/>
    </row>
    <row r="69" spans="1:15" s="46" customFormat="1" ht="33" customHeight="1" x14ac:dyDescent="0.95">
      <c r="A69" s="125"/>
      <c r="B69" s="126"/>
      <c r="C69" s="127"/>
      <c r="D69" s="127"/>
      <c r="E69" s="129"/>
      <c r="F69" s="121"/>
      <c r="G69" s="100"/>
      <c r="H69" s="103"/>
      <c r="I69" s="104"/>
      <c r="J69" s="95"/>
      <c r="K69" s="109"/>
      <c r="L69" s="105"/>
      <c r="M69" s="105"/>
      <c r="N69" s="105"/>
      <c r="O69" s="110"/>
    </row>
    <row r="70" spans="1:15" s="46" customFormat="1" ht="65.25" x14ac:dyDescent="0.95">
      <c r="A70" s="105"/>
      <c r="B70" s="105"/>
      <c r="C70" s="105"/>
      <c r="D70" s="105"/>
      <c r="E70" s="105"/>
      <c r="F70" s="105"/>
      <c r="G70" s="105"/>
      <c r="H70" s="105"/>
      <c r="I70" s="105"/>
      <c r="J70" s="95"/>
      <c r="K70" s="111"/>
      <c r="L70" s="112"/>
      <c r="M70" s="112"/>
      <c r="N70" s="112"/>
      <c r="O70" s="113"/>
    </row>
  </sheetData>
  <mergeCells count="98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4:A25"/>
    <mergeCell ref="B24:B25"/>
    <mergeCell ref="C24:C25"/>
    <mergeCell ref="A26:A32"/>
    <mergeCell ref="B26:B32"/>
    <mergeCell ref="C26:C32"/>
    <mergeCell ref="A33:A34"/>
    <mergeCell ref="B33:B34"/>
    <mergeCell ref="C33:C34"/>
    <mergeCell ref="A35:A36"/>
    <mergeCell ref="B35:B36"/>
    <mergeCell ref="C35:C36"/>
    <mergeCell ref="A37:A38"/>
    <mergeCell ref="B37:B38"/>
    <mergeCell ref="C37:C38"/>
    <mergeCell ref="A42:G42"/>
    <mergeCell ref="H42:J42"/>
    <mergeCell ref="K42:O43"/>
    <mergeCell ref="C43:G43"/>
    <mergeCell ref="C44:G44"/>
    <mergeCell ref="M44:O44"/>
    <mergeCell ref="C51:G51"/>
    <mergeCell ref="M51:O51"/>
    <mergeCell ref="C45:G45"/>
    <mergeCell ref="M45:O45"/>
    <mergeCell ref="C46:G46"/>
    <mergeCell ref="M46:O46"/>
    <mergeCell ref="C47:G47"/>
    <mergeCell ref="M47:O47"/>
    <mergeCell ref="C48:G48"/>
    <mergeCell ref="M48:O48"/>
    <mergeCell ref="C49:G49"/>
    <mergeCell ref="M49:O49"/>
    <mergeCell ref="C50:G50"/>
    <mergeCell ref="C52:G52"/>
    <mergeCell ref="M52:O52"/>
    <mergeCell ref="C53:G53"/>
    <mergeCell ref="M53:O53"/>
    <mergeCell ref="C54:G54"/>
    <mergeCell ref="M54:O54"/>
    <mergeCell ref="F61:F64"/>
    <mergeCell ref="G61:G64"/>
    <mergeCell ref="H61:I64"/>
    <mergeCell ref="C55:G55"/>
    <mergeCell ref="A56:G56"/>
    <mergeCell ref="C57:G57"/>
    <mergeCell ref="C58:G58"/>
    <mergeCell ref="C59:G59"/>
    <mergeCell ref="A60:I60"/>
    <mergeCell ref="G68:G69"/>
    <mergeCell ref="H68:I69"/>
    <mergeCell ref="A70:I70"/>
    <mergeCell ref="K62:O70"/>
    <mergeCell ref="A65:B67"/>
    <mergeCell ref="E65:E67"/>
    <mergeCell ref="F65:F67"/>
    <mergeCell ref="G65:G67"/>
    <mergeCell ref="H65:I66"/>
    <mergeCell ref="A68:B69"/>
    <mergeCell ref="C68:D69"/>
    <mergeCell ref="E68:E69"/>
    <mergeCell ref="F68:F69"/>
    <mergeCell ref="A61:B64"/>
    <mergeCell ref="C61:D64"/>
    <mergeCell ref="E61:E64"/>
  </mergeCells>
  <hyperlinks>
    <hyperlink ref="E11" r:id="rId1" xr:uid="{20062348-B621-41FC-96EA-9ABAC3A3345A}"/>
  </hyperlinks>
  <pageMargins left="0.45" right="0.2" top="0.25" bottom="0.25" header="0.3" footer="0.3"/>
  <pageSetup paperSize="9" scale="11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OMAKWU_PETER</vt:lpstr>
      <vt:lpstr>OMAKWU_PETER!Print_Area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2026-04-08T15:02:12Z</dcterms:created>
  <dcterms:modified xsi:type="dcterms:W3CDTF">2026-04-09T13:38:16Z</dcterms:modified>
</cp:coreProperties>
</file>