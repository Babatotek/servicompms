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xampp\htdocs\s\soft\dashboard\2026\PA\"/>
    </mc:Choice>
  </mc:AlternateContent>
  <xr:revisionPtr revIDLastSave="0" documentId="8_{8A3AF55E-834C-441F-B158-DE3852ED99FB}" xr6:coauthVersionLast="47" xr6:coauthVersionMax="47" xr10:uidLastSave="{00000000-0000-0000-0000-000000000000}"/>
  <bookViews>
    <workbookView xWindow="-120" yWindow="-120" windowWidth="20730" windowHeight="11040" xr2:uid="{BA0F8872-6EC5-4B12-9F5E-E7970F2B2555}"/>
  </bookViews>
  <sheets>
    <sheet name="UTUTAH_EMMANUEL" sheetId="1" r:id="rId1"/>
  </sheets>
  <definedNames>
    <definedName name="_xlnm.Print_Area" localSheetId="0">UTUTAH_EMMANUEL!$A$1:$O$70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1" l="1"/>
  <c r="C40" i="1"/>
  <c r="C42" i="1" s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3" i="1"/>
  <c r="E22" i="1"/>
  <c r="E21" i="1"/>
  <c r="E20" i="1"/>
  <c r="E19" i="1"/>
  <c r="E40" i="1" l="1"/>
  <c r="F40" i="1" l="1"/>
  <c r="E42" i="1"/>
  <c r="F24" i="1" l="1"/>
  <c r="F25" i="1"/>
  <c r="F20" i="1"/>
  <c r="F23" i="1"/>
  <c r="F21" i="1"/>
  <c r="F19" i="1"/>
  <c r="F22" i="1"/>
  <c r="F26" i="1"/>
  <c r="F41" i="1"/>
  <c r="F27" i="1"/>
  <c r="F28" i="1"/>
  <c r="F33" i="1"/>
  <c r="F30" i="1"/>
  <c r="F31" i="1"/>
  <c r="F32" i="1"/>
  <c r="F37" i="1"/>
  <c r="F34" i="1"/>
  <c r="F35" i="1"/>
  <c r="F36" i="1"/>
  <c r="F38" i="1"/>
  <c r="F39" i="1"/>
  <c r="F29" i="1"/>
  <c r="F42" i="1" l="1"/>
</calcChain>
</file>

<file path=xl/sharedStrings.xml><?xml version="1.0" encoding="utf-8"?>
<sst xmlns="http://schemas.openxmlformats.org/spreadsheetml/2006/main" count="249" uniqueCount="166">
  <si>
    <t>PERFORMANCE CONTRACT</t>
  </si>
  <si>
    <t>PERFORMANCE APPRAISAL PERIOD:</t>
  </si>
  <si>
    <t>FROM</t>
  </si>
  <si>
    <t>JANUARY 2026</t>
  </si>
  <si>
    <t>To</t>
  </si>
  <si>
    <t>DECEMBER 2026</t>
  </si>
  <si>
    <t>SECTION 1: EMPLOYEE INFORMATION</t>
  </si>
  <si>
    <t>Surname:</t>
  </si>
  <si>
    <t>UTUTAH</t>
  </si>
  <si>
    <t>Firstname</t>
  </si>
  <si>
    <t>EMMANUEL</t>
  </si>
  <si>
    <t>Othername</t>
  </si>
  <si>
    <t>Designation</t>
  </si>
  <si>
    <t>CCO</t>
  </si>
  <si>
    <t>IPPIS No.</t>
  </si>
  <si>
    <t>Email</t>
  </si>
  <si>
    <t>ututahe@gmail.com</t>
  </si>
  <si>
    <t>Phone No.</t>
  </si>
  <si>
    <t>08057924506</t>
  </si>
  <si>
    <t>Department</t>
  </si>
  <si>
    <t>PUBLIC AWARENESS</t>
  </si>
  <si>
    <t>SECTION 2: SUPERVISOR INFORMATION</t>
  </si>
  <si>
    <t xml:space="preserve">OKOKON </t>
  </si>
  <si>
    <t>HENRIETTA</t>
  </si>
  <si>
    <t>ASSISTANT DIRECTOR</t>
  </si>
  <si>
    <t>henrubabe@gmail.com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</si>
  <si>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</si>
  <si>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</si>
  <si>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</si>
  <si>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</si>
  <si>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</si>
  <si>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</si>
  <si>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</si>
  <si>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</si>
  <si>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</si>
  <si>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</si>
  <si>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</si>
  <si>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</si>
  <si>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</si>
  <si>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</si>
  <si>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</si>
  <si>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</si>
  <si>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</si>
  <si>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</si>
  <si>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</si>
  <si>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</si>
  <si>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</si>
  <si>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</si>
  <si>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</si>
  <si>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</si>
  <si>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</si>
  <si>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</si>
  <si>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</si>
  <si>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</si>
  <si>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</si>
  <si>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</si>
  <si>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</si>
  <si>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</si>
  <si>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</si>
  <si>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</si>
  <si>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Maintain accurate personal performance records and supporting evidence for appraisal</t>
  </si>
  <si>
    <t>Completeness of appraisal documentation (no gaps/errors)</t>
  </si>
  <si>
    <t xml:space="preserve">Digital Records &amp; Content Management Compliance </t>
  </si>
  <si>
    <t>Convert any relevant legacy/physical media into digital formats for inclusion in digital archives</t>
  </si>
  <si>
    <t>Percentage of media files uploaded</t>
  </si>
  <si>
    <t>&gt;50</t>
  </si>
  <si>
    <t>&lt;25</t>
  </si>
  <si>
    <t>Organize and classify digital media files for easy retrieval and workflow efficiency</t>
  </si>
  <si>
    <t>Percentage Retrieval success rate / ease of access to stored files</t>
  </si>
  <si>
    <t>Backup all digital media files in approved storage systems to ensure data security and continuity</t>
  </si>
  <si>
    <t>Percentage of files backed up in approved systems</t>
  </si>
  <si>
    <t>&gt;75</t>
  </si>
  <si>
    <t>&lt;50</t>
  </si>
  <si>
    <t>Media Documentation &amp; Coverage</t>
  </si>
  <si>
    <t>Capture high-quality photos and videos of SERVICOM events, activities, and initiatives.</t>
  </si>
  <si>
    <t>Percentage of events covererd and documented per month/quarter.</t>
  </si>
  <si>
    <t>NUMBER</t>
  </si>
  <si>
    <t>&gt;20</t>
  </si>
  <si>
    <t>&lt;5</t>
  </si>
  <si>
    <t>Produce timely media coverage for internal and external dissemination</t>
  </si>
  <si>
    <t>Percentage of media content delivered within agreed timelines</t>
  </si>
  <si>
    <t>&gt;5</t>
  </si>
  <si>
    <t>Edit and format visual content for reports, newsletters, websites, and social media</t>
  </si>
  <si>
    <t>Percentage of visual content accurately edited and formatted on schedule</t>
  </si>
  <si>
    <t>Maintain an organized media archive for all photo/video materials</t>
  </si>
  <si>
    <t>Percentage of media properly archived and tagged for easy retrieval</t>
  </si>
  <si>
    <t>Ensure proper use of SERVICOM branding in all media content</t>
  </si>
  <si>
    <t>Compliance rate with branding guidelines</t>
  </si>
  <si>
    <t>Support campaigns by providing multimedia content aligned with communication strategies</t>
  </si>
  <si>
    <t>Percentage of campaign multimedia content delivered on time and aligned with communication strategies</t>
  </si>
  <si>
    <t>Innovation &amp; Service Improvement Initiatives</t>
  </si>
  <si>
    <t>Identify and propose innovative ideas to improve service delivery, public awareness, and communication processes within SERVICOM</t>
  </si>
  <si>
    <t>Number of innovative ideas submitted</t>
  </si>
  <si>
    <t>Apply creative approaches in media coverage and content production to enhance public engagement and service visibility</t>
  </si>
  <si>
    <t>Percentage Improvement in engagement metrics (views, reach, feedback)</t>
  </si>
  <si>
    <t>&gt;10</t>
  </si>
  <si>
    <t>Leverage technology tools (e.g., digital platforms, editing tools, social media innovations) to improve work output and efficiency</t>
  </si>
  <si>
    <t>Number of new tools/technologies adopted in work processes</t>
  </si>
  <si>
    <t>&gt;2</t>
  </si>
  <si>
    <t>Process Automation &amp; Digital Communication Compliance</t>
  </si>
  <si>
    <t>Identify routine tasks in media coverage, content handling, and reporting that can be automated or digitized</t>
  </si>
  <si>
    <t>Number of routine tasks identified for automation</t>
  </si>
  <si>
    <t>Use official email for all formal communication, submission of media content, and correspondence</t>
  </si>
  <si>
    <t>Percentage compliance with official email usage</t>
  </si>
  <si>
    <t>Capacity Development &amp; Professional Growth</t>
  </si>
  <si>
    <t>Participate in relevant trainings, workshops, and capacity-building programmes to enhance professional skills</t>
  </si>
  <si>
    <t>Number of trainings attended</t>
  </si>
  <si>
    <t>&gt;80</t>
  </si>
  <si>
    <t>Continuously update personal knowledge on emerging trends in media, communication, and digital tools</t>
  </si>
  <si>
    <t>Number of new skills/tools learned and applied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</si>
  <si>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</si>
  <si>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</si>
  <si>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</si>
  <si>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</si>
  <si>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</si>
  <si>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</si>
  <si>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</si>
  <si>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</si>
  <si>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</si>
  <si>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</si>
  <si>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</si>
  <si>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</si>
  <si>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</si>
  <si>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</si>
  <si>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</si>
  <si>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</si>
  <si>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</si>
  <si>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</si>
  <si>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Leadership Skill</t>
  </si>
  <si>
    <t>Excellent</t>
  </si>
  <si>
    <t>ii</t>
  </si>
  <si>
    <t>Managing &amp; Developing People</t>
  </si>
  <si>
    <t>Very Good</t>
  </si>
  <si>
    <t>iii</t>
  </si>
  <si>
    <t>Effective Communication</t>
  </si>
  <si>
    <t>Good</t>
  </si>
  <si>
    <t>Functional Competencies</t>
  </si>
  <si>
    <t>Fair</t>
  </si>
  <si>
    <t>Strategic thinking</t>
  </si>
  <si>
    <t>Poor</t>
  </si>
  <si>
    <t>Drive for results</t>
  </si>
  <si>
    <t>Aggregrate</t>
  </si>
  <si>
    <t>Transparency and Accountability</t>
  </si>
  <si>
    <t>Q1</t>
  </si>
  <si>
    <t>First Quarter</t>
  </si>
  <si>
    <t>Ethic and value</t>
  </si>
  <si>
    <t>Second Quarter</t>
  </si>
  <si>
    <t>Integrity</t>
  </si>
  <si>
    <t>Third Quarter</t>
  </si>
  <si>
    <t>Citizen focus</t>
  </si>
  <si>
    <t>Q4</t>
  </si>
  <si>
    <t>Fourth Quarter</t>
  </si>
  <si>
    <t>Courage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</si>
  <si>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</si>
  <si>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</si>
  <si>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</si>
  <si>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</si>
  <si>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</si>
  <si>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</si>
  <si>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</si>
  <si>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</si>
  <si>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Appraisee's  Comments:</t>
  </si>
  <si>
    <t>Supervisor's Comments:</t>
  </si>
  <si>
    <t>Countersigning Officer's Comments: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</si>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</sst>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50"/>
      <color theme="1"/>
      <name val="Century Gothic"/>
      <family val="2"/>
    </font>
    <font>
      <sz val="50"/>
      <color theme="1"/>
      <name val="Calibri"/>
      <family val="2"/>
      <scheme val="minor"/>
    </font>
    <font>
      <b/>
      <sz val="50"/>
      <name val="Century Gothic"/>
      <family val="2"/>
    </font>
    <font>
      <sz val="50"/>
      <name val="Century Gothic"/>
      <family val="2"/>
    </font>
    <font>
      <sz val="24"/>
      <color theme="1"/>
      <name val="Calibri"/>
      <family val="2"/>
      <scheme val="minor"/>
    </font>
    <font>
      <b/>
      <u/>
      <sz val="50"/>
      <color theme="10"/>
      <name val="Calibri"/>
      <family val="2"/>
      <charset val="1"/>
      <scheme val="minor"/>
    </font>
    <font>
      <b/>
      <sz val="50"/>
      <color theme="1"/>
      <name val="Calibri"/>
      <family val="2"/>
      <scheme val="minor"/>
    </font>
    <font>
      <b/>
      <u/>
      <sz val="50"/>
      <color theme="1"/>
      <name val="Calibri"/>
      <family val="2"/>
      <charset val="1"/>
      <scheme val="minor"/>
    </font>
    <font>
      <b/>
      <u/>
      <sz val="50"/>
      <color theme="1"/>
      <name val="Calibri"/>
      <family val="2"/>
      <scheme val="minor"/>
    </font>
    <font>
      <sz val="50"/>
      <name val="Calibri"/>
      <family val="2"/>
      <scheme val="minor"/>
    </font>
    <font>
      <sz val="50"/>
      <color theme="1"/>
      <name val="Century Gothic"/>
      <family val="2"/>
    </font>
    <font>
      <b/>
      <sz val="50"/>
      <color theme="1" tint="4.9989318521683403E-2"/>
      <name val="Century Gothic"/>
      <family val="2"/>
    </font>
    <font>
      <sz val="50"/>
      <color theme="1" tint="4.9989318521683403E-2"/>
      <name val="Century Gothic"/>
      <family val="2"/>
    </font>
    <font>
      <b/>
      <sz val="50"/>
      <color theme="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7">
    <xf numFmtId="0" fontId="0" fillId="0" borderId="0" xfId="0"/>
    <xf numFmtId="0" fontId="4" fillId="0" borderId="0" xfId="2" applyFont="1"/>
    <xf numFmtId="0" fontId="5" fillId="2" borderId="0" xfId="2" applyFont="1" applyFill="1" applyAlignment="1">
      <alignment horizontal="left" vertical="center" wrapText="1"/>
    </xf>
    <xf numFmtId="0" fontId="4" fillId="2" borderId="0" xfId="2" applyFont="1" applyFill="1"/>
    <xf numFmtId="0" fontId="5" fillId="3" borderId="0" xfId="2" applyFont="1" applyFill="1" applyAlignment="1">
      <alignment vertical="center"/>
    </xf>
    <xf numFmtId="49" fontId="5" fillId="4" borderId="0" xfId="2" applyNumberFormat="1" applyFont="1" applyFill="1" applyAlignment="1">
      <alignment vertical="center"/>
    </xf>
    <xf numFmtId="0" fontId="5" fillId="3" borderId="0" xfId="2" applyFont="1" applyFill="1" applyAlignment="1">
      <alignment horizontal="center" vertical="center"/>
    </xf>
    <xf numFmtId="49" fontId="5" fillId="0" borderId="9" xfId="2" applyNumberFormat="1" applyFont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3" fillId="2" borderId="0" xfId="2" applyFont="1" applyFill="1" applyAlignment="1">
      <alignment horizontal="left"/>
    </xf>
    <xf numFmtId="0" fontId="5" fillId="0" borderId="8" xfId="3" applyFont="1" applyBorder="1" applyAlignment="1">
      <alignment horizontal="left"/>
    </xf>
    <xf numFmtId="0" fontId="5" fillId="3" borderId="10" xfId="3" applyFont="1" applyFill="1" applyBorder="1" applyAlignment="1">
      <alignment horizontal="left"/>
    </xf>
    <xf numFmtId="0" fontId="5" fillId="0" borderId="6" xfId="3" applyFont="1" applyBorder="1" applyAlignment="1">
      <alignment horizontal="left"/>
    </xf>
    <xf numFmtId="0" fontId="7" fillId="2" borderId="0" xfId="3" applyFont="1" applyFill="1" applyAlignment="1">
      <alignment horizontal="left"/>
    </xf>
    <xf numFmtId="0" fontId="7" fillId="0" borderId="0" xfId="3" applyFont="1" applyAlignment="1">
      <alignment horizontal="left"/>
    </xf>
    <xf numFmtId="0" fontId="5" fillId="0" borderId="11" xfId="3" applyFont="1" applyBorder="1" applyAlignment="1">
      <alignment horizontal="left"/>
    </xf>
    <xf numFmtId="0" fontId="5" fillId="3" borderId="12" xfId="3" applyFont="1" applyFill="1" applyBorder="1" applyAlignment="1">
      <alignment horizontal="left"/>
    </xf>
    <xf numFmtId="0" fontId="8" fillId="0" borderId="11" xfId="1" quotePrefix="1" applyFont="1" applyBorder="1" applyAlignment="1">
      <alignment horizontal="left"/>
    </xf>
    <xf numFmtId="0" fontId="5" fillId="0" borderId="9" xfId="3" quotePrefix="1" applyFont="1" applyBorder="1" applyAlignment="1">
      <alignment horizontal="left"/>
    </xf>
    <xf numFmtId="0" fontId="9" fillId="2" borderId="0" xfId="2" applyFont="1" applyFill="1" applyAlignment="1">
      <alignment horizontal="left"/>
    </xf>
    <xf numFmtId="0" fontId="9" fillId="0" borderId="0" xfId="2" applyFont="1" applyAlignment="1">
      <alignment horizontal="left"/>
    </xf>
    <xf numFmtId="0" fontId="5" fillId="0" borderId="8" xfId="4" applyFont="1" applyBorder="1" applyAlignment="1">
      <alignment horizontal="left"/>
    </xf>
    <xf numFmtId="0" fontId="5" fillId="3" borderId="10" xfId="4" applyFont="1" applyFill="1" applyBorder="1" applyAlignment="1">
      <alignment horizontal="left"/>
    </xf>
    <xf numFmtId="0" fontId="5" fillId="0" borderId="6" xfId="4" applyFont="1" applyBorder="1" applyAlignment="1">
      <alignment horizontal="left"/>
    </xf>
    <xf numFmtId="0" fontId="4" fillId="2" borderId="0" xfId="4" applyFont="1" applyFill="1" applyAlignment="1">
      <alignment horizontal="left"/>
    </xf>
    <xf numFmtId="0" fontId="4" fillId="0" borderId="0" xfId="4" applyFont="1" applyAlignment="1">
      <alignment horizontal="left"/>
    </xf>
    <xf numFmtId="0" fontId="5" fillId="0" borderId="11" xfId="4" applyFont="1" applyBorder="1" applyAlignment="1">
      <alignment horizontal="left"/>
    </xf>
    <xf numFmtId="0" fontId="5" fillId="3" borderId="12" xfId="4" applyFont="1" applyFill="1" applyBorder="1" applyAlignment="1">
      <alignment horizontal="left"/>
    </xf>
    <xf numFmtId="0" fontId="10" fillId="0" borderId="11" xfId="1" applyFont="1" applyBorder="1" applyAlignment="1">
      <alignment horizontal="left"/>
    </xf>
    <xf numFmtId="0" fontId="5" fillId="0" borderId="9" xfId="4" applyFont="1" applyBorder="1" applyAlignment="1">
      <alignment horizontal="left"/>
    </xf>
    <xf numFmtId="0" fontId="3" fillId="0" borderId="8" xfId="5" applyFont="1" applyBorder="1" applyAlignment="1">
      <alignment horizontal="left"/>
    </xf>
    <xf numFmtId="0" fontId="3" fillId="3" borderId="10" xfId="5" applyFont="1" applyFill="1" applyBorder="1" applyAlignment="1">
      <alignment horizontal="left"/>
    </xf>
    <xf numFmtId="0" fontId="3" fillId="3" borderId="6" xfId="5" applyFont="1" applyFill="1" applyBorder="1" applyAlignment="1">
      <alignment horizontal="left"/>
    </xf>
    <xf numFmtId="0" fontId="3" fillId="0" borderId="6" xfId="5" applyFont="1" applyBorder="1" applyAlignment="1">
      <alignment horizontal="left"/>
    </xf>
    <xf numFmtId="0" fontId="4" fillId="2" borderId="0" xfId="5" applyFont="1" applyFill="1"/>
    <xf numFmtId="0" fontId="4" fillId="0" borderId="0" xfId="5" applyFont="1"/>
    <xf numFmtId="0" fontId="3" fillId="0" borderId="11" xfId="5" applyFont="1" applyBorder="1" applyAlignment="1">
      <alignment horizontal="left"/>
    </xf>
    <xf numFmtId="0" fontId="3" fillId="3" borderId="12" xfId="5" applyFont="1" applyFill="1" applyBorder="1" applyAlignment="1">
      <alignment horizontal="left"/>
    </xf>
    <xf numFmtId="0" fontId="11" fillId="0" borderId="11" xfId="1" quotePrefix="1" applyFont="1" applyBorder="1" applyAlignment="1">
      <alignment horizontal="left"/>
    </xf>
    <xf numFmtId="0" fontId="3" fillId="3" borderId="9" xfId="5" applyFont="1" applyFill="1" applyBorder="1" applyAlignment="1">
      <alignment horizontal="left"/>
    </xf>
    <xf numFmtId="0" fontId="3" fillId="0" borderId="9" xfId="5" applyFont="1" applyBorder="1" applyAlignment="1">
      <alignment horizontal="left"/>
    </xf>
    <xf numFmtId="0" fontId="12" fillId="2" borderId="0" xfId="2" applyFont="1" applyFill="1"/>
    <xf numFmtId="0" fontId="5" fillId="3" borderId="0" xfId="2" applyFont="1" applyFill="1" applyAlignment="1">
      <alignment horizontal="left"/>
    </xf>
    <xf numFmtId="0" fontId="6" fillId="3" borderId="0" xfId="2" applyFont="1" applyFill="1"/>
    <xf numFmtId="0" fontId="13" fillId="3" borderId="0" xfId="2" applyFont="1" applyFill="1"/>
    <xf numFmtId="0" fontId="5" fillId="2" borderId="14" xfId="2" applyFont="1" applyFill="1" applyBorder="1" applyAlignment="1">
      <alignment horizontal="center" vertical="center"/>
    </xf>
    <xf numFmtId="0" fontId="5" fillId="2" borderId="14" xfId="2" applyFont="1" applyFill="1" applyBorder="1" applyAlignment="1">
      <alignment horizontal="center" vertical="center" wrapText="1"/>
    </xf>
    <xf numFmtId="0" fontId="13" fillId="0" borderId="14" xfId="2" applyFont="1" applyBorder="1" applyAlignment="1">
      <alignment horizontal="left" vertical="center" wrapText="1"/>
    </xf>
    <xf numFmtId="0" fontId="13" fillId="0" borderId="12" xfId="2" applyFont="1" applyBorder="1" applyAlignment="1">
      <alignment vertical="center" wrapText="1"/>
    </xf>
    <xf numFmtId="2" fontId="13" fillId="0" borderId="12" xfId="0" applyNumberFormat="1" applyFont="1" applyBorder="1" applyAlignment="1">
      <alignment horizontal="center" vertical="center"/>
    </xf>
    <xf numFmtId="0" fontId="13" fillId="0" borderId="12" xfId="2" applyFont="1" applyBorder="1" applyAlignment="1">
      <alignment horizontal="left" vertical="center" wrapText="1"/>
    </xf>
    <xf numFmtId="9" fontId="13" fillId="0" borderId="12" xfId="2" applyNumberFormat="1" applyFont="1" applyBorder="1" applyAlignment="1">
      <alignment horizontal="center" vertical="center" wrapText="1"/>
    </xf>
    <xf numFmtId="0" fontId="13" fillId="0" borderId="12" xfId="7" applyFont="1" applyBorder="1" applyAlignment="1">
      <alignment horizontal="center" vertical="center" wrapText="1"/>
    </xf>
    <xf numFmtId="0" fontId="13" fillId="0" borderId="12" xfId="8" applyFont="1" applyBorder="1" applyAlignment="1">
      <alignment horizontal="center" vertical="center" wrapText="1"/>
    </xf>
    <xf numFmtId="0" fontId="4" fillId="0" borderId="12" xfId="8" applyFont="1" applyBorder="1" applyAlignment="1">
      <alignment horizontal="center" vertical="center"/>
    </xf>
    <xf numFmtId="0" fontId="14" fillId="0" borderId="0" xfId="2" applyFont="1" applyAlignment="1">
      <alignment vertical="center"/>
    </xf>
    <xf numFmtId="0" fontId="13" fillId="0" borderId="10" xfId="2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/>
    </xf>
    <xf numFmtId="9" fontId="13" fillId="0" borderId="12" xfId="2" applyNumberFormat="1" applyFont="1" applyBorder="1" applyAlignment="1">
      <alignment horizontal="center" vertical="center"/>
    </xf>
    <xf numFmtId="2" fontId="13" fillId="0" borderId="12" xfId="2" applyNumberFormat="1" applyFont="1" applyBorder="1" applyAlignment="1">
      <alignment horizontal="center" vertical="center" wrapText="1"/>
    </xf>
    <xf numFmtId="0" fontId="14" fillId="0" borderId="12" xfId="2" applyFont="1" applyBorder="1" applyAlignment="1">
      <alignment horizontal="center" vertical="center"/>
    </xf>
    <xf numFmtId="0" fontId="3" fillId="0" borderId="10" xfId="2" applyFont="1" applyBorder="1" applyAlignment="1">
      <alignment vertical="center" wrapText="1"/>
    </xf>
    <xf numFmtId="2" fontId="3" fillId="0" borderId="10" xfId="2" applyNumberFormat="1" applyFont="1" applyBorder="1" applyAlignment="1">
      <alignment horizontal="center" vertical="center"/>
    </xf>
    <xf numFmtId="9" fontId="15" fillId="0" borderId="10" xfId="2" applyNumberFormat="1" applyFont="1" applyBorder="1" applyAlignment="1">
      <alignment horizontal="center" vertical="center"/>
    </xf>
    <xf numFmtId="164" fontId="13" fillId="0" borderId="10" xfId="2" applyNumberFormat="1" applyFont="1" applyBorder="1" applyAlignment="1">
      <alignment vertical="center" wrapText="1"/>
    </xf>
    <xf numFmtId="164" fontId="13" fillId="0" borderId="10" xfId="2" applyNumberFormat="1" applyFont="1" applyBorder="1" applyAlignment="1">
      <alignment horizontal="center" vertical="center" wrapText="1"/>
    </xf>
    <xf numFmtId="0" fontId="15" fillId="0" borderId="6" xfId="2" applyFont="1" applyBorder="1" applyAlignment="1">
      <alignment horizontal="center"/>
    </xf>
    <xf numFmtId="0" fontId="13" fillId="0" borderId="12" xfId="2" applyFont="1" applyBorder="1"/>
    <xf numFmtId="0" fontId="13" fillId="2" borderId="0" xfId="2" applyFont="1" applyFill="1"/>
    <xf numFmtId="0" fontId="5" fillId="2" borderId="0" xfId="2" applyFont="1" applyFill="1" applyAlignment="1">
      <alignment horizontal="center" vertical="center" wrapText="1"/>
    </xf>
    <xf numFmtId="0" fontId="5" fillId="0" borderId="10" xfId="2" applyFont="1" applyBorder="1" applyAlignment="1">
      <alignment horizontal="center"/>
    </xf>
    <xf numFmtId="0" fontId="5" fillId="0" borderId="12" xfId="2" applyFont="1" applyBorder="1" applyAlignment="1">
      <alignment horizontal="left"/>
    </xf>
    <xf numFmtId="0" fontId="13" fillId="0" borderId="6" xfId="2" applyFont="1" applyBorder="1" applyAlignment="1">
      <alignment horizontal="center"/>
    </xf>
    <xf numFmtId="0" fontId="13" fillId="3" borderId="12" xfId="2" applyFont="1" applyFill="1" applyBorder="1"/>
    <xf numFmtId="0" fontId="5" fillId="2" borderId="12" xfId="2" applyFont="1" applyFill="1" applyBorder="1" applyAlignment="1">
      <alignment horizontal="left"/>
    </xf>
    <xf numFmtId="0" fontId="3" fillId="2" borderId="12" xfId="2" applyFont="1" applyFill="1" applyBorder="1"/>
    <xf numFmtId="0" fontId="6" fillId="0" borderId="12" xfId="2" applyFont="1" applyBorder="1" applyAlignment="1">
      <alignment horizontal="center" vertical="center"/>
    </xf>
    <xf numFmtId="0" fontId="6" fillId="0" borderId="12" xfId="2" applyFont="1" applyBorder="1" applyAlignment="1">
      <alignment vertical="center" wrapText="1"/>
    </xf>
    <xf numFmtId="0" fontId="13" fillId="0" borderId="9" xfId="2" applyFont="1" applyBorder="1"/>
    <xf numFmtId="0" fontId="5" fillId="0" borderId="12" xfId="2" applyFont="1" applyBorder="1" applyAlignment="1">
      <alignment horizontal="center" vertical="center"/>
    </xf>
    <xf numFmtId="0" fontId="5" fillId="0" borderId="12" xfId="2" applyFont="1" applyBorder="1" applyAlignment="1">
      <alignment horizontal="left" vertical="center"/>
    </xf>
    <xf numFmtId="0" fontId="6" fillId="0" borderId="12" xfId="2" applyFont="1" applyBorder="1" applyAlignment="1">
      <alignment horizontal="left" vertical="center"/>
    </xf>
    <xf numFmtId="0" fontId="13" fillId="2" borderId="12" xfId="2" applyFont="1" applyFill="1" applyBorder="1"/>
    <xf numFmtId="0" fontId="6" fillId="0" borderId="12" xfId="2" applyFont="1" applyBorder="1" applyAlignment="1">
      <alignment horizontal="left" vertical="center" wrapText="1"/>
    </xf>
    <xf numFmtId="0" fontId="5" fillId="2" borderId="13" xfId="2" applyFont="1" applyFill="1" applyBorder="1" applyAlignment="1">
      <alignment horizontal="center"/>
    </xf>
    <xf numFmtId="0" fontId="5" fillId="0" borderId="9" xfId="2" applyFont="1" applyBorder="1"/>
    <xf numFmtId="0" fontId="16" fillId="2" borderId="0" xfId="2" applyFont="1" applyFill="1" applyAlignment="1">
      <alignment horizontal="left"/>
    </xf>
    <xf numFmtId="0" fontId="13" fillId="3" borderId="0" xfId="2" applyFont="1" applyFill="1" applyAlignment="1">
      <alignment horizontal="center"/>
    </xf>
    <xf numFmtId="0" fontId="6" fillId="0" borderId="4" xfId="2" applyFont="1" applyBorder="1"/>
    <xf numFmtId="0" fontId="6" fillId="0" borderId="5" xfId="2" applyFont="1" applyBorder="1"/>
    <xf numFmtId="0" fontId="6" fillId="0" borderId="12" xfId="2" applyFont="1" applyBorder="1"/>
    <xf numFmtId="0" fontId="5" fillId="2" borderId="3" xfId="2" applyFont="1" applyFill="1" applyBorder="1" applyAlignment="1">
      <alignment horizontal="left" vertical="center"/>
    </xf>
    <xf numFmtId="0" fontId="5" fillId="2" borderId="8" xfId="2" applyFont="1" applyFill="1" applyBorder="1" applyAlignment="1">
      <alignment horizontal="left" vertical="center"/>
    </xf>
    <xf numFmtId="0" fontId="6" fillId="0" borderId="1" xfId="2" applyFont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13" fillId="3" borderId="0" xfId="2" applyFont="1" applyFill="1" applyAlignment="1">
      <alignment horizontal="center"/>
    </xf>
    <xf numFmtId="0" fontId="13" fillId="3" borderId="1" xfId="2" applyFont="1" applyFill="1" applyBorder="1" applyAlignment="1">
      <alignment horizontal="center"/>
    </xf>
    <xf numFmtId="0" fontId="13" fillId="3" borderId="2" xfId="2" applyFont="1" applyFill="1" applyBorder="1" applyAlignment="1">
      <alignment horizontal="center"/>
    </xf>
    <xf numFmtId="0" fontId="13" fillId="3" borderId="3" xfId="2" applyFont="1" applyFill="1" applyBorder="1" applyAlignment="1">
      <alignment horizontal="center"/>
    </xf>
    <xf numFmtId="0" fontId="13" fillId="3" borderId="4" xfId="2" applyFont="1" applyFill="1" applyBorder="1" applyAlignment="1">
      <alignment horizontal="center"/>
    </xf>
    <xf numFmtId="0" fontId="13" fillId="3" borderId="5" xfId="2" applyFont="1" applyFill="1" applyBorder="1" applyAlignment="1">
      <alignment horizontal="center"/>
    </xf>
    <xf numFmtId="0" fontId="13" fillId="3" borderId="6" xfId="2" applyFont="1" applyFill="1" applyBorder="1" applyAlignment="1">
      <alignment horizontal="center"/>
    </xf>
    <xf numFmtId="0" fontId="13" fillId="3" borderId="7" xfId="2" applyFont="1" applyFill="1" applyBorder="1" applyAlignment="1">
      <alignment horizontal="center"/>
    </xf>
    <xf numFmtId="0" fontId="13" fillId="3" borderId="8" xfId="2" applyFont="1" applyFill="1" applyBorder="1" applyAlignment="1">
      <alignment horizontal="center"/>
    </xf>
    <xf numFmtId="0" fontId="5" fillId="3" borderId="0" xfId="2" applyFont="1" applyFill="1" applyAlignment="1">
      <alignment horizontal="left" vertical="center" wrapText="1"/>
    </xf>
    <xf numFmtId="0" fontId="5" fillId="3" borderId="5" xfId="2" applyFont="1" applyFill="1" applyBorder="1" applyAlignment="1">
      <alignment horizontal="left" vertical="center" wrapText="1"/>
    </xf>
    <xf numFmtId="0" fontId="5" fillId="3" borderId="1" xfId="2" applyFont="1" applyFill="1" applyBorder="1" applyAlignment="1">
      <alignment horizontal="left" vertical="center"/>
    </xf>
    <xf numFmtId="0" fontId="5" fillId="3" borderId="4" xfId="2" applyFont="1" applyFill="1" applyBorder="1" applyAlignment="1">
      <alignment horizontal="left" vertical="center"/>
    </xf>
    <xf numFmtId="0" fontId="5" fillId="3" borderId="6" xfId="2" applyFont="1" applyFill="1" applyBorder="1" applyAlignment="1">
      <alignment horizontal="left" vertical="center"/>
    </xf>
    <xf numFmtId="0" fontId="6" fillId="0" borderId="2" xfId="2" applyFont="1" applyBorder="1" applyAlignment="1">
      <alignment horizontal="left"/>
    </xf>
    <xf numFmtId="0" fontId="6" fillId="0" borderId="0" xfId="2" applyFont="1" applyAlignment="1">
      <alignment horizontal="left"/>
    </xf>
    <xf numFmtId="0" fontId="6" fillId="0" borderId="7" xfId="2" applyFont="1" applyBorder="1" applyAlignment="1">
      <alignment horizontal="left"/>
    </xf>
    <xf numFmtId="0" fontId="5" fillId="3" borderId="3" xfId="2" applyFont="1" applyFill="1" applyBorder="1" applyAlignment="1">
      <alignment horizontal="left" vertical="center"/>
    </xf>
    <xf numFmtId="0" fontId="5" fillId="3" borderId="5" xfId="2" applyFont="1" applyFill="1" applyBorder="1" applyAlignment="1">
      <alignment horizontal="left" vertical="center"/>
    </xf>
    <xf numFmtId="0" fontId="5" fillId="3" borderId="8" xfId="2" applyFont="1" applyFill="1" applyBorder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5" xfId="2" applyFont="1" applyFill="1" applyBorder="1" applyAlignment="1">
      <alignment horizontal="left" vertical="center" wrapText="1"/>
    </xf>
    <xf numFmtId="0" fontId="6" fillId="0" borderId="12" xfId="2" applyFont="1" applyBorder="1" applyAlignment="1">
      <alignment horizontal="center"/>
    </xf>
    <xf numFmtId="0" fontId="5" fillId="2" borderId="1" xfId="2" applyFont="1" applyFill="1" applyBorder="1" applyAlignment="1">
      <alignment horizontal="left" vertical="center"/>
    </xf>
    <xf numFmtId="0" fontId="5" fillId="2" borderId="6" xfId="2" applyFont="1" applyFill="1" applyBorder="1" applyAlignment="1">
      <alignment horizontal="left" vertical="center"/>
    </xf>
    <xf numFmtId="0" fontId="5" fillId="2" borderId="12" xfId="2" applyFont="1" applyFill="1" applyBorder="1" applyAlignment="1">
      <alignment horizontal="left" vertical="center" wrapText="1"/>
    </xf>
    <xf numFmtId="0" fontId="6" fillId="0" borderId="4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5" fillId="2" borderId="1" xfId="2" applyFont="1" applyFill="1" applyBorder="1" applyAlignment="1">
      <alignment horizontal="left" vertical="center" wrapText="1"/>
    </xf>
    <xf numFmtId="0" fontId="5" fillId="2" borderId="4" xfId="2" applyFont="1" applyFill="1" applyBorder="1" applyAlignment="1">
      <alignment horizontal="left" vertical="center" wrapText="1"/>
    </xf>
    <xf numFmtId="0" fontId="5" fillId="2" borderId="6" xfId="2" applyFont="1" applyFill="1" applyBorder="1" applyAlignment="1">
      <alignment horizontal="left" vertical="center" wrapText="1"/>
    </xf>
    <xf numFmtId="0" fontId="5" fillId="2" borderId="3" xfId="2" applyFont="1" applyFill="1" applyBorder="1" applyAlignment="1">
      <alignment horizontal="left" vertical="center" wrapText="1"/>
    </xf>
    <xf numFmtId="0" fontId="5" fillId="2" borderId="8" xfId="2" applyFont="1" applyFill="1" applyBorder="1" applyAlignment="1">
      <alignment horizontal="left" vertical="center" wrapText="1"/>
    </xf>
    <xf numFmtId="0" fontId="6" fillId="0" borderId="2" xfId="2" applyFont="1" applyBorder="1" applyAlignment="1">
      <alignment horizontal="center"/>
    </xf>
    <xf numFmtId="0" fontId="6" fillId="0" borderId="0" xfId="2" applyFont="1" applyAlignment="1">
      <alignment horizontal="center"/>
    </xf>
    <xf numFmtId="0" fontId="6" fillId="0" borderId="7" xfId="2" applyFont="1" applyBorder="1" applyAlignment="1">
      <alignment horizontal="center"/>
    </xf>
    <xf numFmtId="0" fontId="6" fillId="0" borderId="9" xfId="2" applyFont="1" applyBorder="1" applyAlignment="1">
      <alignment horizontal="left" vertical="center" wrapText="1"/>
    </xf>
    <xf numFmtId="0" fontId="6" fillId="0" borderId="13" xfId="2" applyFont="1" applyBorder="1" applyAlignment="1">
      <alignment horizontal="left" vertical="center" wrapText="1"/>
    </xf>
    <xf numFmtId="0" fontId="6" fillId="0" borderId="11" xfId="2" applyFont="1" applyBorder="1" applyAlignment="1">
      <alignment horizontal="left" vertical="center" wrapText="1"/>
    </xf>
    <xf numFmtId="0" fontId="5" fillId="2" borderId="9" xfId="2" applyFont="1" applyFill="1" applyBorder="1" applyAlignment="1">
      <alignment horizontal="left"/>
    </xf>
    <xf numFmtId="0" fontId="5" fillId="2" borderId="13" xfId="2" applyFont="1" applyFill="1" applyBorder="1" applyAlignment="1">
      <alignment horizontal="left"/>
    </xf>
    <xf numFmtId="0" fontId="6" fillId="0" borderId="9" xfId="2" applyFont="1" applyBorder="1" applyAlignment="1">
      <alignment vertical="top" wrapText="1"/>
    </xf>
    <xf numFmtId="0" fontId="6" fillId="0" borderId="13" xfId="2" applyFont="1" applyBorder="1" applyAlignment="1">
      <alignment vertical="top" wrapText="1"/>
    </xf>
    <xf numFmtId="0" fontId="6" fillId="0" borderId="11" xfId="2" applyFont="1" applyBorder="1" applyAlignment="1">
      <alignment vertical="top" wrapText="1"/>
    </xf>
    <xf numFmtId="0" fontId="5" fillId="2" borderId="0" xfId="2" applyFont="1" applyFill="1" applyAlignment="1">
      <alignment horizontal="left"/>
    </xf>
    <xf numFmtId="0" fontId="6" fillId="0" borderId="9" xfId="2" applyFont="1" applyBorder="1"/>
    <xf numFmtId="0" fontId="6" fillId="0" borderId="13" xfId="2" applyFont="1" applyBorder="1"/>
    <xf numFmtId="0" fontId="6" fillId="0" borderId="11" xfId="2" applyFont="1" applyBorder="1"/>
    <xf numFmtId="0" fontId="3" fillId="2" borderId="12" xfId="2" applyFont="1" applyFill="1" applyBorder="1"/>
    <xf numFmtId="0" fontId="6" fillId="0" borderId="9" xfId="2" applyFont="1" applyBorder="1" applyAlignment="1">
      <alignment horizontal="left" vertical="top" wrapText="1"/>
    </xf>
    <xf numFmtId="0" fontId="6" fillId="0" borderId="13" xfId="2" applyFont="1" applyBorder="1" applyAlignment="1">
      <alignment horizontal="left" vertical="top" wrapText="1"/>
    </xf>
    <xf numFmtId="0" fontId="6" fillId="0" borderId="11" xfId="2" applyFont="1" applyBorder="1" applyAlignment="1">
      <alignment horizontal="left" vertical="top" wrapText="1"/>
    </xf>
    <xf numFmtId="0" fontId="5" fillId="2" borderId="10" xfId="2" applyFont="1" applyFill="1" applyBorder="1" applyAlignment="1">
      <alignment horizontal="center" vertical="center" wrapText="1"/>
    </xf>
    <xf numFmtId="0" fontId="5" fillId="2" borderId="6" xfId="2" applyFont="1" applyFill="1" applyBorder="1" applyAlignment="1">
      <alignment horizontal="center" vertical="center" wrapText="1"/>
    </xf>
    <xf numFmtId="0" fontId="5" fillId="2" borderId="12" xfId="2" applyFont="1" applyFill="1" applyBorder="1" applyAlignment="1">
      <alignment horizontal="center" vertical="center"/>
    </xf>
    <xf numFmtId="0" fontId="5" fillId="3" borderId="0" xfId="2" applyFont="1" applyFill="1" applyAlignment="1">
      <alignment horizontal="center" vertical="center"/>
    </xf>
    <xf numFmtId="0" fontId="6" fillId="0" borderId="6" xfId="2" applyFont="1" applyBorder="1"/>
    <xf numFmtId="0" fontId="6" fillId="0" borderId="7" xfId="2" applyFont="1" applyBorder="1"/>
    <xf numFmtId="0" fontId="6" fillId="0" borderId="8" xfId="2" applyFont="1" applyBorder="1"/>
    <xf numFmtId="0" fontId="13" fillId="0" borderId="14" xfId="2" applyFont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13" fillId="0" borderId="14" xfId="2" applyFont="1" applyBorder="1" applyAlignment="1">
      <alignment horizontal="left" vertical="center" wrapText="1"/>
    </xf>
    <xf numFmtId="0" fontId="13" fillId="0" borderId="10" xfId="2" applyFont="1" applyBorder="1" applyAlignment="1">
      <alignment horizontal="left" vertical="center" wrapText="1"/>
    </xf>
    <xf numFmtId="2" fontId="13" fillId="0" borderId="14" xfId="2" applyNumberFormat="1" applyFont="1" applyBorder="1" applyAlignment="1">
      <alignment horizontal="center" vertical="center" wrapText="1"/>
    </xf>
    <xf numFmtId="2" fontId="13" fillId="0" borderId="10" xfId="2" applyNumberFormat="1" applyFont="1" applyBorder="1" applyAlignment="1">
      <alignment horizontal="center" vertical="center" wrapText="1"/>
    </xf>
    <xf numFmtId="0" fontId="13" fillId="0" borderId="15" xfId="2" applyFont="1" applyBorder="1" applyAlignment="1">
      <alignment horizontal="center" vertical="center"/>
    </xf>
    <xf numFmtId="0" fontId="13" fillId="0" borderId="14" xfId="2" applyFont="1" applyBorder="1" applyAlignment="1">
      <alignment horizontal="center" vertical="center" wrapText="1"/>
    </xf>
    <xf numFmtId="0" fontId="13" fillId="0" borderId="15" xfId="2" applyFont="1" applyBorder="1" applyAlignment="1">
      <alignment horizontal="center" vertical="center" wrapText="1"/>
    </xf>
    <xf numFmtId="0" fontId="13" fillId="0" borderId="10" xfId="2" applyFont="1" applyBorder="1" applyAlignment="1">
      <alignment horizontal="center" vertical="center" wrapText="1"/>
    </xf>
    <xf numFmtId="2" fontId="13" fillId="0" borderId="14" xfId="2" applyNumberFormat="1" applyFont="1" applyBorder="1" applyAlignment="1">
      <alignment horizontal="center" vertical="center"/>
    </xf>
    <xf numFmtId="2" fontId="13" fillId="0" borderId="15" xfId="2" applyNumberFormat="1" applyFont="1" applyBorder="1" applyAlignment="1">
      <alignment horizontal="center" vertical="center"/>
    </xf>
    <xf numFmtId="2" fontId="13" fillId="0" borderId="10" xfId="2" applyNumberFormat="1" applyFont="1" applyBorder="1" applyAlignment="1">
      <alignment horizontal="center" vertical="center"/>
    </xf>
    <xf numFmtId="0" fontId="13" fillId="0" borderId="15" xfId="2" applyFont="1" applyBorder="1" applyAlignment="1">
      <alignment horizontal="left" vertical="center" wrapText="1"/>
    </xf>
    <xf numFmtId="2" fontId="13" fillId="0" borderId="15" xfId="2" applyNumberFormat="1" applyFont="1" applyBorder="1" applyAlignment="1">
      <alignment horizontal="center" vertical="center" wrapText="1"/>
    </xf>
    <xf numFmtId="0" fontId="5" fillId="2" borderId="9" xfId="2" applyFont="1" applyFill="1" applyBorder="1" applyAlignment="1">
      <alignment horizontal="center" vertical="center" wrapText="1"/>
    </xf>
    <xf numFmtId="0" fontId="5" fillId="2" borderId="13" xfId="2" applyFont="1" applyFill="1" applyBorder="1" applyAlignment="1">
      <alignment horizontal="center" vertical="center" wrapText="1"/>
    </xf>
    <xf numFmtId="0" fontId="5" fillId="2" borderId="11" xfId="2" applyFont="1" applyFill="1" applyBorder="1" applyAlignment="1">
      <alignment horizontal="center" vertical="center" wrapText="1"/>
    </xf>
    <xf numFmtId="0" fontId="5" fillId="3" borderId="0" xfId="2" applyFont="1" applyFill="1" applyAlignment="1">
      <alignment horizontal="left"/>
    </xf>
    <xf numFmtId="0" fontId="5" fillId="2" borderId="14" xfId="2" applyFont="1" applyFill="1" applyBorder="1" applyAlignment="1">
      <alignment horizontal="center" vertical="center"/>
    </xf>
    <xf numFmtId="0" fontId="5" fillId="2" borderId="15" xfId="2" applyFont="1" applyFill="1" applyBorder="1" applyAlignment="1">
      <alignment horizontal="center" vertical="center"/>
    </xf>
    <xf numFmtId="0" fontId="5" fillId="2" borderId="14" xfId="2" applyFont="1" applyFill="1" applyBorder="1" applyAlignment="1">
      <alignment horizontal="center" vertical="center" wrapText="1"/>
    </xf>
    <xf numFmtId="0" fontId="5" fillId="2" borderId="15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5" fillId="2" borderId="4" xfId="2" applyFont="1" applyFill="1" applyBorder="1" applyAlignment="1">
      <alignment horizontal="center" vertical="center"/>
    </xf>
    <xf numFmtId="0" fontId="3" fillId="2" borderId="0" xfId="2" applyFont="1" applyFill="1" applyAlignment="1">
      <alignment horizontal="left"/>
    </xf>
    <xf numFmtId="0" fontId="3" fillId="3" borderId="0" xfId="5" applyFont="1" applyFill="1" applyAlignment="1">
      <alignment horizontal="left" vertical="center"/>
    </xf>
    <xf numFmtId="0" fontId="3" fillId="3" borderId="5" xfId="5" applyFont="1" applyFill="1" applyBorder="1" applyAlignment="1">
      <alignment horizontal="left" vertical="center"/>
    </xf>
    <xf numFmtId="0" fontId="3" fillId="0" borderId="7" xfId="6" applyFont="1" applyBorder="1" applyAlignment="1">
      <alignment horizontal="left"/>
    </xf>
    <xf numFmtId="0" fontId="3" fillId="0" borderId="8" xfId="6" applyFont="1" applyBorder="1" applyAlignment="1">
      <alignment horizontal="left"/>
    </xf>
    <xf numFmtId="0" fontId="3" fillId="3" borderId="0" xfId="5" applyFont="1" applyFill="1" applyAlignment="1">
      <alignment horizontal="left"/>
    </xf>
    <xf numFmtId="0" fontId="3" fillId="3" borderId="5" xfId="5" applyFont="1" applyFill="1" applyBorder="1" applyAlignment="1">
      <alignment horizontal="left"/>
    </xf>
    <xf numFmtId="0" fontId="3" fillId="0" borderId="9" xfId="6" applyFont="1" applyBorder="1" applyAlignment="1">
      <alignment horizontal="left"/>
    </xf>
    <xf numFmtId="0" fontId="3" fillId="0" borderId="11" xfId="6" applyFont="1" applyBorder="1" applyAlignment="1">
      <alignment horizontal="left"/>
    </xf>
    <xf numFmtId="0" fontId="12" fillId="2" borderId="0" xfId="2" applyFont="1" applyFill="1"/>
    <xf numFmtId="0" fontId="5" fillId="3" borderId="0" xfId="3" applyFont="1" applyFill="1" applyAlignment="1">
      <alignment horizontal="left"/>
    </xf>
    <xf numFmtId="0" fontId="5" fillId="3" borderId="5" xfId="3" applyFont="1" applyFill="1" applyBorder="1" applyAlignment="1">
      <alignment horizontal="left"/>
    </xf>
    <xf numFmtId="0" fontId="5" fillId="0" borderId="13" xfId="3" applyFont="1" applyBorder="1" applyAlignment="1">
      <alignment horizontal="left"/>
    </xf>
    <xf numFmtId="0" fontId="5" fillId="0" borderId="11" xfId="3" applyFont="1" applyBorder="1" applyAlignment="1">
      <alignment horizontal="left"/>
    </xf>
    <xf numFmtId="0" fontId="5" fillId="3" borderId="0" xfId="4" applyFont="1" applyFill="1" applyAlignment="1">
      <alignment horizontal="left" vertical="center"/>
    </xf>
    <xf numFmtId="0" fontId="5" fillId="3" borderId="5" xfId="4" applyFont="1" applyFill="1" applyBorder="1" applyAlignment="1">
      <alignment horizontal="left" vertical="center"/>
    </xf>
    <xf numFmtId="0" fontId="5" fillId="0" borderId="6" xfId="4" applyFont="1" applyBorder="1" applyAlignment="1">
      <alignment horizontal="left"/>
    </xf>
    <xf numFmtId="0" fontId="5" fillId="0" borderId="8" xfId="4" applyFont="1" applyBorder="1" applyAlignment="1">
      <alignment horizontal="left"/>
    </xf>
    <xf numFmtId="0" fontId="5" fillId="3" borderId="0" xfId="4" applyFont="1" applyFill="1" applyAlignment="1">
      <alignment horizontal="left"/>
    </xf>
    <xf numFmtId="0" fontId="5" fillId="3" borderId="5" xfId="4" applyFont="1" applyFill="1" applyBorder="1" applyAlignment="1">
      <alignment horizontal="left"/>
    </xf>
    <xf numFmtId="0" fontId="5" fillId="0" borderId="9" xfId="4" applyFont="1" applyBorder="1" applyAlignment="1">
      <alignment horizontal="left"/>
    </xf>
    <xf numFmtId="0" fontId="5" fillId="0" borderId="11" xfId="4" applyFont="1" applyBorder="1" applyAlignment="1">
      <alignment horizontal="left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6" fillId="2" borderId="0" xfId="2" applyFont="1" applyFill="1" applyAlignment="1">
      <alignment horizontal="center"/>
    </xf>
    <xf numFmtId="0" fontId="5" fillId="3" borderId="0" xfId="3" applyFont="1" applyFill="1" applyAlignment="1">
      <alignment horizontal="left" vertical="center"/>
    </xf>
    <xf numFmtId="0" fontId="5" fillId="3" borderId="5" xfId="3" applyFont="1" applyFill="1" applyBorder="1" applyAlignment="1">
      <alignment horizontal="left" vertical="center"/>
    </xf>
    <xf numFmtId="0" fontId="5" fillId="0" borderId="7" xfId="3" applyFont="1" applyBorder="1" applyAlignment="1">
      <alignment horizontal="left"/>
    </xf>
    <xf numFmtId="0" fontId="5" fillId="0" borderId="8" xfId="3" applyFont="1" applyBorder="1" applyAlignment="1">
      <alignment horizontal="left"/>
    </xf>
  </cellXfs>
  <cellStyles count="9">
    <cellStyle name="Hyperlink" xfId="1" builtinId="8"/>
    <cellStyle name="Normal" xfId="0" builtinId="0"/>
    <cellStyle name="Normal 2 3" xfId="2" xr:uid="{35817425-C4F8-437C-9F15-CED5CC7A8C71}"/>
    <cellStyle name="Normal 2 3 2" xfId="6" xr:uid="{AFE35096-1AC8-4E7D-BBCA-4175A2290F88}"/>
    <cellStyle name="Normal 2 3 5" xfId="4" xr:uid="{78232D00-FD69-4BEC-AF53-81C5DB2B7081}"/>
    <cellStyle name="Normal 2 4 2" xfId="5" xr:uid="{F6E89612-738C-4C19-8225-C61CE3F7B89C}"/>
    <cellStyle name="Normal 2 5" xfId="3" xr:uid="{21C27C2B-6ED4-4ED6-B2AE-05012806F7E0}"/>
    <cellStyle name="Normal 4 2 2 2 2" xfId="8" xr:uid="{4714C4B7-09B6-4A7E-AA4A-8B98D4986FB8}"/>
    <cellStyle name="Normal 5 2 2" xfId="7" xr:uid="{2B8F62B3-4757-424C-ACAE-5901A1924C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142875</xdr:rowOff>
    </xdr:from>
    <xdr:ext cx="520327" cy="538529"/>
    <xdr:pic>
      <xdr:nvPicPr>
        <xdr:cNvPr id="2" name="Picture 1">
          <a:extLst>
            <a:ext uri="{FF2B5EF4-FFF2-40B4-BE49-F238E27FC236}">
              <a16:creationId xmlns:a16="http://schemas.microsoft.com/office/drawing/2014/main" id="{D81742C4-0C98-4C99-A76B-E2960D8E3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92175" y="142875"/>
          <a:ext cx="520327" cy="5385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enrubab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AC29-56D3-40EA-8690-5A3275AA28D9}">
  <sheetPr>
    <pageSetUpPr fitToPage="1"/>
  </sheetPr>
  <dimension ref="A1:O71"/>
  <sheetViews>
    <sheetView tabSelected="1" topLeftCell="E19" zoomScale="20" zoomScaleNormal="20" workbookViewId="0">
      <selection activeCell="H23" sqref="H23:O23"/>
    </sheetView>
  </sheetViews>
  <sheetFormatPr defaultColWidth="9.140625" defaultRowHeight="64.5" x14ac:dyDescent="0.95"/>
  <cols>
    <col min="1" max="1" width="32.28515625" style="1" bestFit="1" customWidth="1"/>
    <col min="2" max="2" width="171.5703125" style="1" bestFit="1" customWidth="1"/>
    <col min="3" max="3" width="53" style="1" bestFit="1" customWidth="1"/>
    <col min="4" max="4" width="255.7109375" style="1" bestFit="1" customWidth="1"/>
    <col min="5" max="5" width="118.7109375" style="1" bestFit="1" customWidth="1"/>
    <col min="6" max="6" width="61.5703125" style="1" bestFit="1" customWidth="1"/>
    <col min="7" max="7" width="255.7109375" style="1" bestFit="1" customWidth="1"/>
    <col min="8" max="8" width="64.42578125" style="1" bestFit="1" customWidth="1"/>
    <col min="9" max="9" width="70.140625" style="1" bestFit="1" customWidth="1"/>
    <col min="10" max="10" width="33.5703125" style="1" customWidth="1"/>
    <col min="11" max="11" width="30.85546875" style="1" customWidth="1"/>
    <col min="12" max="12" width="31.5703125" style="1" customWidth="1"/>
    <col min="13" max="13" width="27.28515625" style="1" customWidth="1"/>
    <col min="14" max="14" width="20.85546875" style="1" customWidth="1"/>
    <col min="15" max="15" width="29.42578125" style="1" customWidth="1"/>
    <col min="16" max="16" width="9.140625" style="1" customWidth="1"/>
    <col min="17" max="16384" width="9.140625" style="1"/>
  </cols>
  <sheetData>
    <row r="1" spans="1:15" ht="22.5" customHeight="1" x14ac:dyDescent="0.95">
      <c r="A1" s="203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22.5" customHeight="1" x14ac:dyDescent="0.95">
      <c r="A2" s="206"/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8"/>
    </row>
    <row r="3" spans="1:15" ht="22.5" customHeight="1" x14ac:dyDescent="0.95">
      <c r="A3" s="209"/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1"/>
    </row>
    <row r="4" spans="1:15" x14ac:dyDescent="0.95">
      <c r="A4" s="117" t="s">
        <v>1</v>
      </c>
      <c r="B4" s="117"/>
      <c r="C4" s="117"/>
      <c r="D4" s="117"/>
      <c r="E4" s="117"/>
      <c r="F4" s="117"/>
      <c r="G4" s="117"/>
      <c r="H4" s="117"/>
      <c r="I4" s="117"/>
      <c r="J4" s="2"/>
      <c r="K4" s="3"/>
      <c r="L4" s="3"/>
      <c r="M4" s="3"/>
      <c r="N4" s="3"/>
      <c r="O4" s="3"/>
    </row>
    <row r="5" spans="1:15" ht="47.25" customHeight="1" x14ac:dyDescent="0.95">
      <c r="A5" s="4" t="s">
        <v>2</v>
      </c>
      <c r="B5" s="5" t="s">
        <v>3</v>
      </c>
      <c r="C5" s="6" t="s">
        <v>4</v>
      </c>
      <c r="D5" s="7" t="s">
        <v>5</v>
      </c>
      <c r="E5" s="212"/>
      <c r="F5" s="212"/>
      <c r="G5" s="212"/>
      <c r="H5" s="212"/>
      <c r="I5" s="212"/>
      <c r="J5" s="8"/>
      <c r="K5" s="3"/>
      <c r="L5" s="3"/>
      <c r="M5" s="3"/>
      <c r="N5" s="3"/>
      <c r="O5" s="3"/>
    </row>
    <row r="6" spans="1:15" ht="64.5" customHeight="1" x14ac:dyDescent="0.95">
      <c r="A6" s="181" t="s">
        <v>6</v>
      </c>
      <c r="B6" s="181"/>
      <c r="C6" s="181"/>
      <c r="D6" s="181"/>
      <c r="E6" s="181"/>
      <c r="F6" s="181"/>
      <c r="G6" s="181"/>
      <c r="H6" s="181"/>
      <c r="I6" s="181"/>
      <c r="J6" s="9"/>
      <c r="K6" s="3"/>
      <c r="L6" s="3"/>
      <c r="M6" s="3"/>
      <c r="N6" s="3"/>
      <c r="O6" s="3"/>
    </row>
    <row r="7" spans="1:15" s="14" customFormat="1" ht="61.5" x14ac:dyDescent="0.75">
      <c r="A7" s="213" t="s">
        <v>7</v>
      </c>
      <c r="B7" s="214"/>
      <c r="C7" s="10" t="s">
        <v>8</v>
      </c>
      <c r="D7" s="11" t="s">
        <v>9</v>
      </c>
      <c r="E7" s="10" t="s">
        <v>10</v>
      </c>
      <c r="F7" s="11" t="s">
        <v>11</v>
      </c>
      <c r="G7" s="12"/>
      <c r="H7" s="11" t="s">
        <v>12</v>
      </c>
      <c r="I7" s="215" t="s">
        <v>13</v>
      </c>
      <c r="J7" s="216"/>
      <c r="K7" s="13"/>
      <c r="L7" s="13"/>
      <c r="M7" s="13"/>
      <c r="N7" s="13"/>
      <c r="O7" s="13"/>
    </row>
    <row r="8" spans="1:15" s="14" customFormat="1" x14ac:dyDescent="0.95">
      <c r="A8" s="191" t="s">
        <v>14</v>
      </c>
      <c r="B8" s="192"/>
      <c r="C8" s="15">
        <v>359823</v>
      </c>
      <c r="D8" s="16" t="s">
        <v>15</v>
      </c>
      <c r="E8" s="17" t="s">
        <v>16</v>
      </c>
      <c r="F8" s="16" t="s">
        <v>17</v>
      </c>
      <c r="G8" s="18" t="s">
        <v>18</v>
      </c>
      <c r="H8" s="16" t="s">
        <v>19</v>
      </c>
      <c r="I8" s="193" t="s">
        <v>20</v>
      </c>
      <c r="J8" s="194"/>
      <c r="K8" s="13"/>
      <c r="L8" s="13"/>
      <c r="M8" s="13"/>
      <c r="N8" s="13"/>
      <c r="O8" s="13"/>
    </row>
    <row r="9" spans="1:15" s="20" customFormat="1" ht="62.25" customHeight="1" x14ac:dyDescent="0.95">
      <c r="A9" s="181" t="s">
        <v>21</v>
      </c>
      <c r="B9" s="181"/>
      <c r="C9" s="181"/>
      <c r="D9" s="181"/>
      <c r="E9" s="181"/>
      <c r="F9" s="181"/>
      <c r="G9" s="181"/>
      <c r="H9" s="181"/>
      <c r="I9" s="181"/>
      <c r="J9" s="9"/>
      <c r="K9" s="19"/>
      <c r="L9" s="19"/>
      <c r="M9" s="19"/>
      <c r="N9" s="19"/>
      <c r="O9" s="19"/>
    </row>
    <row r="10" spans="1:15" s="25" customFormat="1" x14ac:dyDescent="0.95">
      <c r="A10" s="195" t="s">
        <v>7</v>
      </c>
      <c r="B10" s="196"/>
      <c r="C10" s="21" t="s">
        <v>22</v>
      </c>
      <c r="D10" s="22" t="s">
        <v>9</v>
      </c>
      <c r="E10" s="21" t="s">
        <v>23</v>
      </c>
      <c r="F10" s="22" t="s">
        <v>11</v>
      </c>
      <c r="G10" s="23"/>
      <c r="H10" s="22" t="s">
        <v>12</v>
      </c>
      <c r="I10" s="197" t="s">
        <v>24</v>
      </c>
      <c r="J10" s="198"/>
      <c r="K10" s="24"/>
      <c r="L10" s="24"/>
      <c r="M10" s="24"/>
      <c r="N10" s="24"/>
      <c r="O10" s="24"/>
    </row>
    <row r="11" spans="1:15" s="25" customFormat="1" x14ac:dyDescent="0.95">
      <c r="A11" s="199" t="s">
        <v>14</v>
      </c>
      <c r="B11" s="200"/>
      <c r="C11" s="26">
        <v>168083</v>
      </c>
      <c r="D11" s="27" t="s">
        <v>15</v>
      </c>
      <c r="E11" s="28" t="s">
        <v>25</v>
      </c>
      <c r="F11" s="27" t="s">
        <v>17</v>
      </c>
      <c r="G11" s="29"/>
      <c r="H11" s="27" t="s">
        <v>19</v>
      </c>
      <c r="I11" s="201" t="s">
        <v>20</v>
      </c>
      <c r="J11" s="202"/>
      <c r="K11" s="24"/>
      <c r="L11" s="24"/>
      <c r="M11" s="24"/>
      <c r="N11" s="24"/>
      <c r="O11" s="24"/>
    </row>
    <row r="12" spans="1:15" s="20" customFormat="1" x14ac:dyDescent="0.95">
      <c r="A12" s="181" t="s">
        <v>26</v>
      </c>
      <c r="B12" s="181"/>
      <c r="C12" s="181"/>
      <c r="D12" s="181"/>
      <c r="E12" s="181"/>
      <c r="F12" s="181"/>
      <c r="G12" s="181"/>
      <c r="H12" s="181"/>
      <c r="I12" s="181"/>
      <c r="J12" s="9"/>
      <c r="K12" s="19"/>
      <c r="L12" s="19"/>
      <c r="M12" s="19"/>
      <c r="N12" s="19"/>
      <c r="O12" s="19"/>
    </row>
    <row r="13" spans="1:15" s="35" customFormat="1" x14ac:dyDescent="0.95">
      <c r="A13" s="182" t="s">
        <v>7</v>
      </c>
      <c r="B13" s="183"/>
      <c r="C13" s="30" t="s">
        <v>27</v>
      </c>
      <c r="D13" s="31" t="s">
        <v>9</v>
      </c>
      <c r="E13" s="30" t="s">
        <v>28</v>
      </c>
      <c r="F13" s="32" t="s">
        <v>11</v>
      </c>
      <c r="G13" s="33" t="s">
        <v>29</v>
      </c>
      <c r="H13" s="31" t="s">
        <v>12</v>
      </c>
      <c r="I13" s="184" t="s">
        <v>30</v>
      </c>
      <c r="J13" s="185"/>
      <c r="K13" s="34"/>
      <c r="L13" s="34"/>
      <c r="M13" s="34"/>
      <c r="N13" s="34"/>
      <c r="O13" s="34"/>
    </row>
    <row r="14" spans="1:15" s="35" customFormat="1" x14ac:dyDescent="0.95">
      <c r="A14" s="186" t="s">
        <v>14</v>
      </c>
      <c r="B14" s="187"/>
      <c r="C14" s="36">
        <v>60529</v>
      </c>
      <c r="D14" s="37" t="s">
        <v>15</v>
      </c>
      <c r="E14" s="38" t="s">
        <v>31</v>
      </c>
      <c r="F14" s="39" t="s">
        <v>17</v>
      </c>
      <c r="G14" s="40"/>
      <c r="H14" s="37" t="s">
        <v>19</v>
      </c>
      <c r="I14" s="188" t="s">
        <v>32</v>
      </c>
      <c r="J14" s="189"/>
      <c r="K14" s="34"/>
      <c r="L14" s="34"/>
      <c r="M14" s="34"/>
      <c r="N14" s="34"/>
      <c r="O14" s="34"/>
    </row>
    <row r="15" spans="1:15" ht="65.25" x14ac:dyDescent="0.95">
      <c r="A15" s="190"/>
      <c r="B15" s="190"/>
      <c r="C15" s="190"/>
      <c r="D15" s="190"/>
      <c r="E15" s="190"/>
      <c r="F15" s="190"/>
      <c r="G15" s="190"/>
      <c r="H15" s="190"/>
      <c r="I15" s="190"/>
      <c r="J15" s="8"/>
      <c r="K15" s="41"/>
      <c r="L15" s="3"/>
      <c r="M15" s="3"/>
      <c r="N15" s="3"/>
      <c r="O15" s="3"/>
    </row>
    <row r="16" spans="1:15" ht="65.25" x14ac:dyDescent="0.95">
      <c r="A16" s="174" t="s">
        <v>33</v>
      </c>
      <c r="B16" s="174"/>
      <c r="C16" s="174"/>
      <c r="D16" s="174"/>
      <c r="E16" s="174"/>
      <c r="F16" s="174"/>
      <c r="G16" s="174"/>
      <c r="H16" s="174"/>
      <c r="I16" s="174"/>
      <c r="J16" s="42"/>
      <c r="K16" s="43"/>
      <c r="L16" s="44"/>
      <c r="M16" s="44"/>
      <c r="N16" s="44"/>
      <c r="O16" s="44"/>
    </row>
    <row r="17" spans="1:15" ht="57.75" customHeight="1" x14ac:dyDescent="0.95">
      <c r="A17" s="175" t="s">
        <v>34</v>
      </c>
      <c r="B17" s="176" t="s">
        <v>35</v>
      </c>
      <c r="C17" s="175" t="s">
        <v>36</v>
      </c>
      <c r="D17" s="175" t="s">
        <v>37</v>
      </c>
      <c r="E17" s="175" t="s">
        <v>36</v>
      </c>
      <c r="F17" s="177" t="s">
        <v>38</v>
      </c>
      <c r="G17" s="177" t="s">
        <v>39</v>
      </c>
      <c r="H17" s="179" t="s">
        <v>40</v>
      </c>
      <c r="I17" s="177" t="s">
        <v>41</v>
      </c>
      <c r="J17" s="171" t="s">
        <v>42</v>
      </c>
      <c r="K17" s="172"/>
      <c r="L17" s="172"/>
      <c r="M17" s="172"/>
      <c r="N17" s="172"/>
      <c r="O17" s="173"/>
    </row>
    <row r="18" spans="1:15" ht="51.75" customHeight="1" x14ac:dyDescent="0.95">
      <c r="A18" s="176"/>
      <c r="B18" s="176"/>
      <c r="C18" s="176"/>
      <c r="D18" s="176"/>
      <c r="E18" s="176"/>
      <c r="F18" s="178"/>
      <c r="G18" s="178"/>
      <c r="H18" s="180"/>
      <c r="I18" s="178"/>
      <c r="J18" s="45" t="s">
        <v>43</v>
      </c>
      <c r="K18" s="46" t="s">
        <v>44</v>
      </c>
      <c r="L18" s="46" t="s">
        <v>45</v>
      </c>
      <c r="M18" s="45" t="s">
        <v>46</v>
      </c>
      <c r="N18" s="45" t="s">
        <v>47</v>
      </c>
      <c r="O18" s="45" t="s">
        <v>48</v>
      </c>
    </row>
    <row r="19" spans="1:15" s="55" customFormat="1" ht="201" customHeight="1" x14ac:dyDescent="0.25">
      <c r="A19" s="156">
        <v>1</v>
      </c>
      <c r="B19" s="158" t="s">
        <v>49</v>
      </c>
      <c r="C19" s="166">
        <v>2.2493573264781497</v>
      </c>
      <c r="D19" s="48" t="s">
        <v>50</v>
      </c>
      <c r="E19" s="49">
        <f>C19/5</f>
        <v>0.44987146529562994</v>
      </c>
      <c r="F19" s="49">
        <f t="shared" ref="F19:F41" si="0">E19/$E$42 * 100</f>
        <v>0.44987146529562977</v>
      </c>
      <c r="G19" s="50" t="s">
        <v>51</v>
      </c>
      <c r="H19" s="51">
        <v>1</v>
      </c>
      <c r="I19" s="52" t="s">
        <v>52</v>
      </c>
      <c r="J19" s="53">
        <v>100</v>
      </c>
      <c r="K19" s="54">
        <v>95</v>
      </c>
      <c r="L19" s="54">
        <v>90</v>
      </c>
      <c r="M19" s="54">
        <v>85</v>
      </c>
      <c r="N19" s="54">
        <v>80</v>
      </c>
      <c r="O19" s="54" t="s">
        <v>53</v>
      </c>
    </row>
    <row r="20" spans="1:15" s="55" customFormat="1" ht="250.5" customHeight="1" x14ac:dyDescent="0.25">
      <c r="A20" s="162"/>
      <c r="B20" s="169"/>
      <c r="C20" s="167"/>
      <c r="D20" s="48" t="s">
        <v>54</v>
      </c>
      <c r="E20" s="49">
        <f>C19/5</f>
        <v>0.44987146529562994</v>
      </c>
      <c r="F20" s="49">
        <f t="shared" si="0"/>
        <v>0.44987146529562977</v>
      </c>
      <c r="G20" s="50" t="s">
        <v>55</v>
      </c>
      <c r="H20" s="51">
        <v>1</v>
      </c>
      <c r="I20" s="52" t="s">
        <v>52</v>
      </c>
      <c r="J20" s="53">
        <v>100</v>
      </c>
      <c r="K20" s="54">
        <v>95</v>
      </c>
      <c r="L20" s="54">
        <v>90</v>
      </c>
      <c r="M20" s="54">
        <v>85</v>
      </c>
      <c r="N20" s="54">
        <v>80</v>
      </c>
      <c r="O20" s="54" t="s">
        <v>53</v>
      </c>
    </row>
    <row r="21" spans="1:15" s="55" customFormat="1" ht="272.25" customHeight="1" x14ac:dyDescent="0.25">
      <c r="A21" s="162"/>
      <c r="B21" s="169"/>
      <c r="C21" s="167"/>
      <c r="D21" s="48" t="s">
        <v>56</v>
      </c>
      <c r="E21" s="49">
        <f>C19/5</f>
        <v>0.44987146529562994</v>
      </c>
      <c r="F21" s="49">
        <f t="shared" si="0"/>
        <v>0.44987146529562977</v>
      </c>
      <c r="G21" s="50" t="s">
        <v>57</v>
      </c>
      <c r="H21" s="51">
        <v>1</v>
      </c>
      <c r="I21" s="52" t="s">
        <v>52</v>
      </c>
      <c r="J21" s="53">
        <v>100</v>
      </c>
      <c r="K21" s="54">
        <v>95</v>
      </c>
      <c r="L21" s="54">
        <v>90</v>
      </c>
      <c r="M21" s="54">
        <v>85</v>
      </c>
      <c r="N21" s="54">
        <v>80</v>
      </c>
      <c r="O21" s="54" t="s">
        <v>53</v>
      </c>
    </row>
    <row r="22" spans="1:15" s="55" customFormat="1" ht="272.25" customHeight="1" x14ac:dyDescent="0.25">
      <c r="A22" s="162"/>
      <c r="B22" s="169"/>
      <c r="C22" s="167"/>
      <c r="D22" s="48" t="s">
        <v>58</v>
      </c>
      <c r="E22" s="49">
        <f>C19/5</f>
        <v>0.44987146529562994</v>
      </c>
      <c r="F22" s="49">
        <f t="shared" si="0"/>
        <v>0.44987146529562977</v>
      </c>
      <c r="G22" s="50" t="s">
        <v>59</v>
      </c>
      <c r="H22" s="57">
        <v>5</v>
      </c>
      <c r="I22" s="52" t="s">
        <v>76</v>
      </c>
      <c r="J22" s="53" t="s">
        <v>81</v>
      </c>
      <c r="K22" s="54">
        <v>5</v>
      </c>
      <c r="L22" s="54">
        <v>4</v>
      </c>
      <c r="M22" s="54">
        <v>3</v>
      </c>
      <c r="N22" s="54">
        <v>2</v>
      </c>
      <c r="O22" s="54">
        <v>1</v>
      </c>
    </row>
    <row r="23" spans="1:15" s="55" customFormat="1" ht="272.25" customHeight="1" x14ac:dyDescent="0.25">
      <c r="A23" s="157"/>
      <c r="B23" s="159"/>
      <c r="C23" s="168"/>
      <c r="D23" s="48" t="s">
        <v>60</v>
      </c>
      <c r="E23" s="49">
        <f>C19/5</f>
        <v>0.44987146529562994</v>
      </c>
      <c r="F23" s="49">
        <f t="shared" si="0"/>
        <v>0.44987146529562977</v>
      </c>
      <c r="G23" s="50" t="s">
        <v>61</v>
      </c>
      <c r="H23" s="51">
        <v>1</v>
      </c>
      <c r="I23" s="52" t="s">
        <v>52</v>
      </c>
      <c r="J23" s="53">
        <v>100</v>
      </c>
      <c r="K23" s="54">
        <v>95</v>
      </c>
      <c r="L23" s="54">
        <v>90</v>
      </c>
      <c r="M23" s="54">
        <v>85</v>
      </c>
      <c r="N23" s="54">
        <v>80</v>
      </c>
      <c r="O23" s="54" t="s">
        <v>53</v>
      </c>
    </row>
    <row r="24" spans="1:15" s="55" customFormat="1" ht="231.75" customHeight="1" x14ac:dyDescent="0.25">
      <c r="A24" s="156">
        <v>2</v>
      </c>
      <c r="B24" s="158" t="s">
        <v>62</v>
      </c>
      <c r="C24" s="166">
        <v>1.3496143958868898</v>
      </c>
      <c r="D24" s="48" t="s">
        <v>63</v>
      </c>
      <c r="E24" s="49">
        <v>0.6748071979434449</v>
      </c>
      <c r="F24" s="49">
        <f t="shared" si="0"/>
        <v>0.67480719794344468</v>
      </c>
      <c r="G24" s="50" t="s">
        <v>64</v>
      </c>
      <c r="H24" s="51">
        <v>0.5</v>
      </c>
      <c r="I24" s="52" t="s">
        <v>52</v>
      </c>
      <c r="J24" s="53" t="s">
        <v>65</v>
      </c>
      <c r="K24" s="54">
        <v>50</v>
      </c>
      <c r="L24" s="54">
        <v>45</v>
      </c>
      <c r="M24" s="54">
        <v>40</v>
      </c>
      <c r="N24" s="54">
        <v>25</v>
      </c>
      <c r="O24" s="54" t="s">
        <v>66</v>
      </c>
    </row>
    <row r="25" spans="1:15" s="55" customFormat="1" ht="308.25" customHeight="1" x14ac:dyDescent="0.25">
      <c r="A25" s="162"/>
      <c r="B25" s="169"/>
      <c r="C25" s="167"/>
      <c r="D25" s="48" t="s">
        <v>67</v>
      </c>
      <c r="E25" s="49">
        <v>0.33740359897172245</v>
      </c>
      <c r="F25" s="49">
        <f t="shared" si="0"/>
        <v>0.33740359897172234</v>
      </c>
      <c r="G25" s="50" t="s">
        <v>68</v>
      </c>
      <c r="H25" s="51">
        <v>0.5</v>
      </c>
      <c r="I25" s="52" t="s">
        <v>52</v>
      </c>
      <c r="J25" s="53" t="s">
        <v>65</v>
      </c>
      <c r="K25" s="54">
        <v>50</v>
      </c>
      <c r="L25" s="54">
        <v>45</v>
      </c>
      <c r="M25" s="54">
        <v>40</v>
      </c>
      <c r="N25" s="54">
        <v>25</v>
      </c>
      <c r="O25" s="54" t="s">
        <v>66</v>
      </c>
    </row>
    <row r="26" spans="1:15" s="55" customFormat="1" ht="246" customHeight="1" x14ac:dyDescent="0.25">
      <c r="A26" s="157"/>
      <c r="B26" s="159"/>
      <c r="C26" s="168"/>
      <c r="D26" s="48" t="s">
        <v>69</v>
      </c>
      <c r="E26" s="49">
        <v>0.33740359897172245</v>
      </c>
      <c r="F26" s="49">
        <f t="shared" si="0"/>
        <v>0.33740359897172234</v>
      </c>
      <c r="G26" s="50" t="s">
        <v>70</v>
      </c>
      <c r="H26" s="51">
        <v>0.75</v>
      </c>
      <c r="I26" s="52" t="s">
        <v>52</v>
      </c>
      <c r="J26" s="53" t="s">
        <v>71</v>
      </c>
      <c r="K26" s="54">
        <v>75</v>
      </c>
      <c r="L26" s="54">
        <v>70</v>
      </c>
      <c r="M26" s="54">
        <v>60</v>
      </c>
      <c r="N26" s="54">
        <v>50</v>
      </c>
      <c r="O26" s="54" t="s">
        <v>72</v>
      </c>
    </row>
    <row r="27" spans="1:15" s="55" customFormat="1" ht="246" customHeight="1" x14ac:dyDescent="0.25">
      <c r="A27" s="156">
        <v>3</v>
      </c>
      <c r="B27" s="163" t="s">
        <v>73</v>
      </c>
      <c r="C27" s="166">
        <v>87.544183804627295</v>
      </c>
      <c r="D27" s="48" t="s">
        <v>74</v>
      </c>
      <c r="E27" s="49">
        <f>C27/6</f>
        <v>14.590697300771216</v>
      </c>
      <c r="F27" s="49">
        <f t="shared" si="0"/>
        <v>14.590697300771211</v>
      </c>
      <c r="G27" s="50" t="s">
        <v>75</v>
      </c>
      <c r="H27" s="57">
        <v>20</v>
      </c>
      <c r="I27" s="53" t="s">
        <v>76</v>
      </c>
      <c r="J27" s="53" t="s">
        <v>77</v>
      </c>
      <c r="K27" s="54">
        <v>20</v>
      </c>
      <c r="L27" s="54">
        <v>15</v>
      </c>
      <c r="M27" s="54">
        <v>10</v>
      </c>
      <c r="N27" s="54">
        <v>5</v>
      </c>
      <c r="O27" s="54" t="s">
        <v>78</v>
      </c>
    </row>
    <row r="28" spans="1:15" s="55" customFormat="1" ht="246" customHeight="1" x14ac:dyDescent="0.25">
      <c r="A28" s="162"/>
      <c r="B28" s="164"/>
      <c r="C28" s="167"/>
      <c r="D28" s="48" t="s">
        <v>79</v>
      </c>
      <c r="E28" s="49">
        <f>C27/6</f>
        <v>14.590697300771216</v>
      </c>
      <c r="F28" s="49">
        <f t="shared" si="0"/>
        <v>14.590697300771211</v>
      </c>
      <c r="G28" s="50" t="s">
        <v>80</v>
      </c>
      <c r="H28" s="57">
        <v>5</v>
      </c>
      <c r="I28" s="52" t="s">
        <v>76</v>
      </c>
      <c r="J28" s="53" t="s">
        <v>81</v>
      </c>
      <c r="K28" s="54">
        <v>5</v>
      </c>
      <c r="L28" s="54">
        <v>4</v>
      </c>
      <c r="M28" s="54">
        <v>3</v>
      </c>
      <c r="N28" s="54">
        <v>2</v>
      </c>
      <c r="O28" s="54">
        <v>1</v>
      </c>
    </row>
    <row r="29" spans="1:15" s="55" customFormat="1" ht="246" customHeight="1" x14ac:dyDescent="0.25">
      <c r="A29" s="162"/>
      <c r="B29" s="164"/>
      <c r="C29" s="167"/>
      <c r="D29" s="48" t="s">
        <v>82</v>
      </c>
      <c r="E29" s="49">
        <f>C27/6</f>
        <v>14.590697300771216</v>
      </c>
      <c r="F29" s="49">
        <f t="shared" si="0"/>
        <v>14.590697300771211</v>
      </c>
      <c r="G29" s="50" t="s">
        <v>83</v>
      </c>
      <c r="H29" s="58">
        <v>0.2</v>
      </c>
      <c r="I29" s="52" t="s">
        <v>52</v>
      </c>
      <c r="J29" s="53" t="s">
        <v>77</v>
      </c>
      <c r="K29" s="54">
        <v>20</v>
      </c>
      <c r="L29" s="54">
        <v>15</v>
      </c>
      <c r="M29" s="54">
        <v>10</v>
      </c>
      <c r="N29" s="54">
        <v>5</v>
      </c>
      <c r="O29" s="54" t="s">
        <v>78</v>
      </c>
    </row>
    <row r="30" spans="1:15" s="55" customFormat="1" ht="246" customHeight="1" x14ac:dyDescent="0.25">
      <c r="A30" s="162"/>
      <c r="B30" s="164"/>
      <c r="C30" s="167"/>
      <c r="D30" s="48" t="s">
        <v>84</v>
      </c>
      <c r="E30" s="49">
        <f>C27/6</f>
        <v>14.590697300771216</v>
      </c>
      <c r="F30" s="49">
        <f t="shared" si="0"/>
        <v>14.590697300771211</v>
      </c>
      <c r="G30" s="50" t="s">
        <v>85</v>
      </c>
      <c r="H30" s="57">
        <v>20</v>
      </c>
      <c r="I30" s="52" t="s">
        <v>52</v>
      </c>
      <c r="J30" s="53" t="s">
        <v>77</v>
      </c>
      <c r="K30" s="54">
        <v>20</v>
      </c>
      <c r="L30" s="54">
        <v>15</v>
      </c>
      <c r="M30" s="54">
        <v>10</v>
      </c>
      <c r="N30" s="54">
        <v>5</v>
      </c>
      <c r="O30" s="54" t="s">
        <v>78</v>
      </c>
    </row>
    <row r="31" spans="1:15" s="55" customFormat="1" ht="246" customHeight="1" x14ac:dyDescent="0.25">
      <c r="A31" s="162"/>
      <c r="B31" s="164"/>
      <c r="C31" s="167"/>
      <c r="D31" s="48" t="s">
        <v>86</v>
      </c>
      <c r="E31" s="49">
        <f>C27/6</f>
        <v>14.590697300771216</v>
      </c>
      <c r="F31" s="49">
        <f t="shared" si="0"/>
        <v>14.590697300771211</v>
      </c>
      <c r="G31" s="50" t="s">
        <v>87</v>
      </c>
      <c r="H31" s="57">
        <v>5</v>
      </c>
      <c r="I31" s="52" t="s">
        <v>76</v>
      </c>
      <c r="J31" s="53" t="s">
        <v>81</v>
      </c>
      <c r="K31" s="54">
        <v>5</v>
      </c>
      <c r="L31" s="54">
        <v>4</v>
      </c>
      <c r="M31" s="54">
        <v>3</v>
      </c>
      <c r="N31" s="54">
        <v>2</v>
      </c>
      <c r="O31" s="54">
        <v>1</v>
      </c>
    </row>
    <row r="32" spans="1:15" s="55" customFormat="1" ht="246" customHeight="1" x14ac:dyDescent="0.25">
      <c r="A32" s="157"/>
      <c r="B32" s="165"/>
      <c r="C32" s="168"/>
      <c r="D32" s="48" t="s">
        <v>88</v>
      </c>
      <c r="E32" s="49">
        <f>C27/6</f>
        <v>14.590697300771216</v>
      </c>
      <c r="F32" s="49">
        <f t="shared" si="0"/>
        <v>14.590697300771211</v>
      </c>
      <c r="G32" s="50" t="s">
        <v>89</v>
      </c>
      <c r="H32" s="58">
        <v>1</v>
      </c>
      <c r="I32" s="52" t="s">
        <v>52</v>
      </c>
      <c r="J32" s="53">
        <v>100</v>
      </c>
      <c r="K32" s="54">
        <v>95</v>
      </c>
      <c r="L32" s="54">
        <v>90</v>
      </c>
      <c r="M32" s="54">
        <v>85</v>
      </c>
      <c r="N32" s="54">
        <v>80</v>
      </c>
      <c r="O32" s="54" t="s">
        <v>53</v>
      </c>
    </row>
    <row r="33" spans="1:15" s="55" customFormat="1" ht="246" customHeight="1" x14ac:dyDescent="0.25">
      <c r="A33" s="156">
        <v>4</v>
      </c>
      <c r="B33" s="158" t="s">
        <v>90</v>
      </c>
      <c r="C33" s="160">
        <v>2.108772493573265</v>
      </c>
      <c r="D33" s="48" t="s">
        <v>91</v>
      </c>
      <c r="E33" s="49">
        <f>C33/3</f>
        <v>0.70292416452442164</v>
      </c>
      <c r="F33" s="49">
        <f t="shared" si="0"/>
        <v>0.7029241645244213</v>
      </c>
      <c r="G33" s="50" t="s">
        <v>92</v>
      </c>
      <c r="H33" s="57">
        <v>5</v>
      </c>
      <c r="I33" s="52" t="s">
        <v>76</v>
      </c>
      <c r="J33" s="53" t="s">
        <v>81</v>
      </c>
      <c r="K33" s="54">
        <v>5</v>
      </c>
      <c r="L33" s="54">
        <v>4</v>
      </c>
      <c r="M33" s="54">
        <v>3</v>
      </c>
      <c r="N33" s="54">
        <v>2</v>
      </c>
      <c r="O33" s="54">
        <v>1</v>
      </c>
    </row>
    <row r="34" spans="1:15" s="55" customFormat="1" ht="246" customHeight="1" x14ac:dyDescent="0.25">
      <c r="A34" s="162"/>
      <c r="B34" s="169"/>
      <c r="C34" s="170"/>
      <c r="D34" s="48" t="s">
        <v>93</v>
      </c>
      <c r="E34" s="49">
        <f>C33/3</f>
        <v>0.70292416452442164</v>
      </c>
      <c r="F34" s="49">
        <f t="shared" si="0"/>
        <v>0.7029241645244213</v>
      </c>
      <c r="G34" s="50" t="s">
        <v>94</v>
      </c>
      <c r="H34" s="58">
        <v>0.1</v>
      </c>
      <c r="I34" s="57" t="s">
        <v>52</v>
      </c>
      <c r="J34" s="53" t="s">
        <v>95</v>
      </c>
      <c r="K34" s="54">
        <v>10</v>
      </c>
      <c r="L34" s="54">
        <v>7</v>
      </c>
      <c r="M34" s="54">
        <v>6</v>
      </c>
      <c r="N34" s="54">
        <v>5</v>
      </c>
      <c r="O34" s="54" t="s">
        <v>78</v>
      </c>
    </row>
    <row r="35" spans="1:15" s="55" customFormat="1" ht="358.5" customHeight="1" x14ac:dyDescent="0.25">
      <c r="A35" s="157"/>
      <c r="B35" s="159"/>
      <c r="C35" s="161"/>
      <c r="D35" s="48" t="s">
        <v>96</v>
      </c>
      <c r="E35" s="49">
        <f>C33/3</f>
        <v>0.70292416452442164</v>
      </c>
      <c r="F35" s="49">
        <f t="shared" si="0"/>
        <v>0.7029241645244213</v>
      </c>
      <c r="G35" s="50" t="s">
        <v>97</v>
      </c>
      <c r="H35" s="57">
        <v>2</v>
      </c>
      <c r="I35" s="52" t="s">
        <v>76</v>
      </c>
      <c r="J35" s="53" t="s">
        <v>98</v>
      </c>
      <c r="K35" s="54">
        <v>2</v>
      </c>
      <c r="L35" s="54">
        <v>1</v>
      </c>
      <c r="M35" s="54">
        <v>0</v>
      </c>
      <c r="N35" s="54"/>
      <c r="O35" s="54"/>
    </row>
    <row r="36" spans="1:15" s="55" customFormat="1" ht="407.25" customHeight="1" x14ac:dyDescent="0.25">
      <c r="A36" s="156">
        <v>5</v>
      </c>
      <c r="B36" s="158" t="s">
        <v>99</v>
      </c>
      <c r="C36" s="160">
        <v>4.21754498714653</v>
      </c>
      <c r="D36" s="48" t="s">
        <v>100</v>
      </c>
      <c r="E36" s="49">
        <f>C36/2</f>
        <v>2.108772493573265</v>
      </c>
      <c r="F36" s="49">
        <f t="shared" si="0"/>
        <v>2.1087724935732641</v>
      </c>
      <c r="G36" s="50" t="s">
        <v>101</v>
      </c>
      <c r="H36" s="57">
        <v>2</v>
      </c>
      <c r="I36" s="52" t="s">
        <v>76</v>
      </c>
      <c r="J36" s="53" t="s">
        <v>98</v>
      </c>
      <c r="K36" s="54">
        <v>2</v>
      </c>
      <c r="L36" s="54">
        <v>1</v>
      </c>
      <c r="M36" s="54">
        <v>0</v>
      </c>
      <c r="N36" s="54"/>
      <c r="O36" s="54"/>
    </row>
    <row r="37" spans="1:15" s="55" customFormat="1" ht="377.25" customHeight="1" x14ac:dyDescent="0.25">
      <c r="A37" s="157"/>
      <c r="B37" s="159"/>
      <c r="C37" s="161"/>
      <c r="D37" s="48" t="s">
        <v>102</v>
      </c>
      <c r="E37" s="49">
        <f>C36/2</f>
        <v>2.108772493573265</v>
      </c>
      <c r="F37" s="49">
        <f t="shared" si="0"/>
        <v>2.1087724935732641</v>
      </c>
      <c r="G37" s="50" t="s">
        <v>103</v>
      </c>
      <c r="H37" s="58">
        <v>0.2</v>
      </c>
      <c r="I37" s="52" t="s">
        <v>52</v>
      </c>
      <c r="J37" s="53" t="s">
        <v>77</v>
      </c>
      <c r="K37" s="54">
        <v>20</v>
      </c>
      <c r="L37" s="54">
        <v>15</v>
      </c>
      <c r="M37" s="54">
        <v>10</v>
      </c>
      <c r="N37" s="54">
        <v>5</v>
      </c>
      <c r="O37" s="54" t="s">
        <v>78</v>
      </c>
    </row>
    <row r="38" spans="1:15" s="55" customFormat="1" ht="407.25" customHeight="1" x14ac:dyDescent="0.25">
      <c r="A38" s="156">
        <v>6</v>
      </c>
      <c r="B38" s="158" t="s">
        <v>104</v>
      </c>
      <c r="C38" s="160">
        <v>1.4058483290488437</v>
      </c>
      <c r="D38" s="48" t="s">
        <v>105</v>
      </c>
      <c r="E38" s="49">
        <f>C38/2</f>
        <v>0.70292416452442186</v>
      </c>
      <c r="F38" s="49">
        <f t="shared" si="0"/>
        <v>0.70292416452442164</v>
      </c>
      <c r="G38" s="50" t="s">
        <v>106</v>
      </c>
      <c r="H38" s="58">
        <v>0.8</v>
      </c>
      <c r="I38" s="57" t="s">
        <v>52</v>
      </c>
      <c r="J38" s="53" t="s">
        <v>107</v>
      </c>
      <c r="K38" s="54">
        <v>80</v>
      </c>
      <c r="L38" s="54">
        <v>75</v>
      </c>
      <c r="M38" s="54">
        <v>70</v>
      </c>
      <c r="N38" s="54">
        <v>50</v>
      </c>
      <c r="O38" s="54" t="s">
        <v>72</v>
      </c>
    </row>
    <row r="39" spans="1:15" s="55" customFormat="1" ht="396" customHeight="1" x14ac:dyDescent="0.25">
      <c r="A39" s="157"/>
      <c r="B39" s="159"/>
      <c r="C39" s="161"/>
      <c r="D39" s="48" t="s">
        <v>108</v>
      </c>
      <c r="E39" s="49">
        <f>C38/2</f>
        <v>0.70292416452442186</v>
      </c>
      <c r="F39" s="49">
        <f t="shared" si="0"/>
        <v>0.70292416452442164</v>
      </c>
      <c r="G39" s="50" t="s">
        <v>109</v>
      </c>
      <c r="H39" s="58">
        <v>0.8</v>
      </c>
      <c r="I39" s="57" t="s">
        <v>52</v>
      </c>
      <c r="J39" s="53" t="s">
        <v>107</v>
      </c>
      <c r="K39" s="54">
        <v>80</v>
      </c>
      <c r="L39" s="54">
        <v>75</v>
      </c>
      <c r="M39" s="54">
        <v>70</v>
      </c>
      <c r="N39" s="54">
        <v>50</v>
      </c>
      <c r="O39" s="54" t="s">
        <v>72</v>
      </c>
    </row>
    <row r="40" spans="1:15" s="55" customFormat="1" ht="354.75" customHeight="1" x14ac:dyDescent="0.25">
      <c r="A40" s="57">
        <v>7</v>
      </c>
      <c r="B40" s="48" t="s">
        <v>110</v>
      </c>
      <c r="C40" s="59">
        <f>1.12467866323907/2</f>
        <v>0.56233933161953498</v>
      </c>
      <c r="D40" s="47" t="s">
        <v>111</v>
      </c>
      <c r="E40" s="49">
        <f>C40</f>
        <v>0.56233933161953498</v>
      </c>
      <c r="F40" s="49">
        <f t="shared" si="0"/>
        <v>0.56233933161953475</v>
      </c>
      <c r="G40" s="50" t="s">
        <v>112</v>
      </c>
      <c r="H40" s="51">
        <v>0.7</v>
      </c>
      <c r="I40" s="57" t="s">
        <v>52</v>
      </c>
      <c r="J40" s="53" t="s">
        <v>113</v>
      </c>
      <c r="K40" s="54">
        <v>70</v>
      </c>
      <c r="L40" s="54">
        <v>60</v>
      </c>
      <c r="M40" s="54">
        <v>50</v>
      </c>
      <c r="N40" s="54">
        <v>40</v>
      </c>
      <c r="O40" s="54" t="s">
        <v>114</v>
      </c>
    </row>
    <row r="41" spans="1:15" s="55" customFormat="1" ht="321" customHeight="1" x14ac:dyDescent="0.25">
      <c r="A41" s="57">
        <v>8</v>
      </c>
      <c r="B41" s="48" t="s">
        <v>115</v>
      </c>
      <c r="C41" s="59">
        <v>0.56233933161953498</v>
      </c>
      <c r="D41" s="50" t="s">
        <v>116</v>
      </c>
      <c r="E41" s="49">
        <f>C41</f>
        <v>0.56233933161953498</v>
      </c>
      <c r="F41" s="49">
        <f t="shared" si="0"/>
        <v>0.56233933161953475</v>
      </c>
      <c r="G41" s="50" t="s">
        <v>117</v>
      </c>
      <c r="H41" s="51">
        <v>0.5</v>
      </c>
      <c r="I41" s="52" t="s">
        <v>52</v>
      </c>
      <c r="J41" s="53" t="s">
        <v>65</v>
      </c>
      <c r="K41" s="54">
        <v>50</v>
      </c>
      <c r="L41" s="54">
        <v>45</v>
      </c>
      <c r="M41" s="54">
        <v>40</v>
      </c>
      <c r="N41" s="54">
        <v>25</v>
      </c>
      <c r="O41" s="54" t="s">
        <v>66</v>
      </c>
    </row>
    <row r="42" spans="1:15" ht="356.25" customHeight="1" x14ac:dyDescent="0.95">
      <c r="A42" s="60"/>
      <c r="B42" s="61" t="s">
        <v>118</v>
      </c>
      <c r="C42" s="62">
        <f>SUM(C19:C41)</f>
        <v>100.00000000000004</v>
      </c>
      <c r="D42" s="62"/>
      <c r="E42" s="62">
        <f>SUM(E19:E41)</f>
        <v>100.00000000000004</v>
      </c>
      <c r="F42" s="62">
        <f>SUM(F19:F41)</f>
        <v>100.00000000000001</v>
      </c>
      <c r="G42" s="63"/>
      <c r="H42" s="64"/>
      <c r="I42" s="65"/>
      <c r="J42" s="66"/>
      <c r="K42" s="67"/>
      <c r="L42" s="67"/>
      <c r="M42" s="67"/>
      <c r="N42" s="67"/>
      <c r="O42" s="67"/>
    </row>
    <row r="43" spans="1:15" x14ac:dyDescent="0.95">
      <c r="A43" s="117" t="s">
        <v>119</v>
      </c>
      <c r="B43" s="117"/>
      <c r="C43" s="117"/>
      <c r="D43" s="117"/>
      <c r="E43" s="117"/>
      <c r="F43" s="117"/>
      <c r="G43" s="117"/>
      <c r="H43" s="149"/>
      <c r="I43" s="149"/>
      <c r="J43" s="150"/>
      <c r="K43" s="151" t="s">
        <v>120</v>
      </c>
      <c r="L43" s="151"/>
      <c r="M43" s="151"/>
      <c r="N43" s="151"/>
      <c r="O43" s="151"/>
    </row>
    <row r="44" spans="1:15" ht="65.25" x14ac:dyDescent="0.95">
      <c r="A44" s="68"/>
      <c r="B44" s="8"/>
      <c r="C44" s="152" t="s">
        <v>121</v>
      </c>
      <c r="D44" s="152"/>
      <c r="E44" s="152"/>
      <c r="F44" s="152"/>
      <c r="G44" s="152"/>
      <c r="H44" s="69" t="s">
        <v>122</v>
      </c>
      <c r="I44" s="69" t="s">
        <v>123</v>
      </c>
      <c r="J44" s="69" t="s">
        <v>124</v>
      </c>
      <c r="K44" s="151"/>
      <c r="L44" s="151"/>
      <c r="M44" s="151"/>
      <c r="N44" s="151"/>
      <c r="O44" s="151"/>
    </row>
    <row r="45" spans="1:15" ht="65.25" x14ac:dyDescent="0.95">
      <c r="A45" s="70">
        <v>1</v>
      </c>
      <c r="B45" s="71" t="s">
        <v>125</v>
      </c>
      <c r="C45" s="153"/>
      <c r="D45" s="154"/>
      <c r="E45" s="154"/>
      <c r="F45" s="154"/>
      <c r="G45" s="155"/>
      <c r="H45" s="56"/>
      <c r="I45" s="56"/>
      <c r="J45" s="72"/>
      <c r="K45" s="73"/>
      <c r="L45" s="74" t="s">
        <v>43</v>
      </c>
      <c r="M45" s="145" t="s">
        <v>126</v>
      </c>
      <c r="N45" s="145"/>
      <c r="O45" s="145"/>
    </row>
    <row r="46" spans="1:15" ht="89.25" customHeight="1" x14ac:dyDescent="0.95">
      <c r="A46" s="76" t="s">
        <v>127</v>
      </c>
      <c r="B46" s="77" t="s">
        <v>128</v>
      </c>
      <c r="C46" s="146"/>
      <c r="D46" s="147"/>
      <c r="E46" s="147"/>
      <c r="F46" s="147"/>
      <c r="G46" s="148"/>
      <c r="H46" s="57">
        <v>3</v>
      </c>
      <c r="I46" s="57">
        <v>3</v>
      </c>
      <c r="J46" s="78"/>
      <c r="K46" s="73"/>
      <c r="L46" s="74" t="s">
        <v>44</v>
      </c>
      <c r="M46" s="145" t="s">
        <v>129</v>
      </c>
      <c r="N46" s="145"/>
      <c r="O46" s="145"/>
    </row>
    <row r="47" spans="1:15" ht="86.25" customHeight="1" x14ac:dyDescent="0.95">
      <c r="A47" s="76" t="s">
        <v>130</v>
      </c>
      <c r="B47" s="77" t="s">
        <v>131</v>
      </c>
      <c r="C47" s="146"/>
      <c r="D47" s="147"/>
      <c r="E47" s="147"/>
      <c r="F47" s="147"/>
      <c r="G47" s="148"/>
      <c r="H47" s="57">
        <v>3</v>
      </c>
      <c r="I47" s="57">
        <v>3</v>
      </c>
      <c r="J47" s="78"/>
      <c r="K47" s="73"/>
      <c r="L47" s="74" t="s">
        <v>45</v>
      </c>
      <c r="M47" s="145" t="s">
        <v>132</v>
      </c>
      <c r="N47" s="145"/>
      <c r="O47" s="145"/>
    </row>
    <row r="48" spans="1:15" ht="79.5" customHeight="1" x14ac:dyDescent="0.95">
      <c r="A48" s="76" t="s">
        <v>133</v>
      </c>
      <c r="B48" s="77" t="s">
        <v>134</v>
      </c>
      <c r="C48" s="146"/>
      <c r="D48" s="147"/>
      <c r="E48" s="147"/>
      <c r="F48" s="147"/>
      <c r="G48" s="148"/>
      <c r="H48" s="57">
        <v>3</v>
      </c>
      <c r="I48" s="57">
        <v>3</v>
      </c>
      <c r="J48" s="78"/>
      <c r="K48" s="73"/>
      <c r="L48" s="74" t="s">
        <v>46</v>
      </c>
      <c r="M48" s="145" t="s">
        <v>135</v>
      </c>
      <c r="N48" s="145"/>
      <c r="O48" s="145"/>
    </row>
    <row r="49" spans="1:15" ht="79.5" customHeight="1" x14ac:dyDescent="0.95">
      <c r="A49" s="79">
        <v>2</v>
      </c>
      <c r="B49" s="80" t="s">
        <v>136</v>
      </c>
      <c r="C49" s="142"/>
      <c r="D49" s="143"/>
      <c r="E49" s="143"/>
      <c r="F49" s="143"/>
      <c r="G49" s="144"/>
      <c r="H49" s="57"/>
      <c r="I49" s="57"/>
      <c r="J49" s="78"/>
      <c r="K49" s="73"/>
      <c r="L49" s="74" t="s">
        <v>47</v>
      </c>
      <c r="M49" s="145" t="s">
        <v>137</v>
      </c>
      <c r="N49" s="145"/>
      <c r="O49" s="145"/>
    </row>
    <row r="50" spans="1:15" ht="96.75" customHeight="1" x14ac:dyDescent="0.95">
      <c r="A50" s="76" t="s">
        <v>127</v>
      </c>
      <c r="B50" s="81" t="s">
        <v>138</v>
      </c>
      <c r="C50" s="138"/>
      <c r="D50" s="139"/>
      <c r="E50" s="139"/>
      <c r="F50" s="139"/>
      <c r="G50" s="140"/>
      <c r="H50" s="57">
        <v>3</v>
      </c>
      <c r="I50" s="57">
        <v>3</v>
      </c>
      <c r="J50" s="78"/>
      <c r="K50" s="73"/>
      <c r="L50" s="74" t="s">
        <v>48</v>
      </c>
      <c r="M50" s="145" t="s">
        <v>139</v>
      </c>
      <c r="N50" s="145"/>
      <c r="O50" s="145"/>
    </row>
    <row r="51" spans="1:15" ht="84.75" customHeight="1" x14ac:dyDescent="0.95">
      <c r="A51" s="76" t="s">
        <v>130</v>
      </c>
      <c r="B51" s="81" t="s">
        <v>140</v>
      </c>
      <c r="C51" s="138"/>
      <c r="D51" s="139"/>
      <c r="E51" s="139"/>
      <c r="F51" s="139"/>
      <c r="G51" s="140"/>
      <c r="H51" s="57">
        <v>2</v>
      </c>
      <c r="I51" s="57">
        <v>2</v>
      </c>
      <c r="J51" s="78"/>
      <c r="K51" s="73"/>
      <c r="L51" s="75" t="s">
        <v>124</v>
      </c>
      <c r="M51" s="75" t="s">
        <v>141</v>
      </c>
      <c r="N51" s="82"/>
      <c r="O51" s="82"/>
    </row>
    <row r="52" spans="1:15" ht="96" customHeight="1" x14ac:dyDescent="0.95">
      <c r="A52" s="76" t="s">
        <v>133</v>
      </c>
      <c r="B52" s="83" t="s">
        <v>142</v>
      </c>
      <c r="C52" s="138"/>
      <c r="D52" s="139"/>
      <c r="E52" s="139"/>
      <c r="F52" s="139"/>
      <c r="G52" s="140"/>
      <c r="H52" s="57">
        <v>2</v>
      </c>
      <c r="I52" s="57">
        <v>2</v>
      </c>
      <c r="J52" s="78"/>
      <c r="K52" s="73"/>
      <c r="L52" s="75" t="s">
        <v>143</v>
      </c>
      <c r="M52" s="145" t="s">
        <v>144</v>
      </c>
      <c r="N52" s="145"/>
      <c r="O52" s="145"/>
    </row>
    <row r="53" spans="1:15" ht="65.25" x14ac:dyDescent="0.95">
      <c r="A53" s="79">
        <v>3</v>
      </c>
      <c r="B53" s="80" t="s">
        <v>145</v>
      </c>
      <c r="C53" s="142"/>
      <c r="D53" s="143"/>
      <c r="E53" s="143"/>
      <c r="F53" s="143"/>
      <c r="G53" s="144"/>
      <c r="H53" s="57"/>
      <c r="I53" s="57"/>
      <c r="J53" s="78"/>
      <c r="K53" s="73"/>
      <c r="L53" s="75" t="s">
        <v>122</v>
      </c>
      <c r="M53" s="145" t="s">
        <v>146</v>
      </c>
      <c r="N53" s="145"/>
      <c r="O53" s="145"/>
    </row>
    <row r="54" spans="1:15" ht="81.75" customHeight="1" x14ac:dyDescent="0.95">
      <c r="A54" s="76" t="s">
        <v>127</v>
      </c>
      <c r="B54" s="81" t="s">
        <v>147</v>
      </c>
      <c r="C54" s="133"/>
      <c r="D54" s="134"/>
      <c r="E54" s="134"/>
      <c r="F54" s="134"/>
      <c r="G54" s="135"/>
      <c r="H54" s="57">
        <v>2</v>
      </c>
      <c r="I54" s="57">
        <v>2</v>
      </c>
      <c r="J54" s="78"/>
      <c r="K54" s="73"/>
      <c r="L54" s="75" t="s">
        <v>123</v>
      </c>
      <c r="M54" s="145" t="s">
        <v>148</v>
      </c>
      <c r="N54" s="145"/>
      <c r="O54" s="145"/>
    </row>
    <row r="55" spans="1:15" ht="72" customHeight="1" x14ac:dyDescent="0.95">
      <c r="A55" s="76" t="s">
        <v>130</v>
      </c>
      <c r="B55" s="81" t="s">
        <v>149</v>
      </c>
      <c r="C55" s="133"/>
      <c r="D55" s="134"/>
      <c r="E55" s="134"/>
      <c r="F55" s="134"/>
      <c r="G55" s="135"/>
      <c r="H55" s="57">
        <v>1</v>
      </c>
      <c r="I55" s="57">
        <v>1</v>
      </c>
      <c r="J55" s="78"/>
      <c r="K55" s="73"/>
      <c r="L55" s="75" t="s">
        <v>150</v>
      </c>
      <c r="M55" s="145" t="s">
        <v>151</v>
      </c>
      <c r="N55" s="145"/>
      <c r="O55" s="145"/>
    </row>
    <row r="56" spans="1:15" ht="78" customHeight="1" x14ac:dyDescent="0.95">
      <c r="A56" s="76" t="s">
        <v>133</v>
      </c>
      <c r="B56" s="81" t="s">
        <v>152</v>
      </c>
      <c r="C56" s="133"/>
      <c r="D56" s="134"/>
      <c r="E56" s="134"/>
      <c r="F56" s="134"/>
      <c r="G56" s="135"/>
      <c r="H56" s="57">
        <v>1</v>
      </c>
      <c r="I56" s="57">
        <v>1</v>
      </c>
      <c r="J56" s="78"/>
      <c r="K56" s="73"/>
      <c r="L56" s="82"/>
      <c r="M56" s="82"/>
      <c r="N56" s="82"/>
      <c r="O56" s="82"/>
    </row>
    <row r="57" spans="1:15" ht="65.25" x14ac:dyDescent="0.95">
      <c r="A57" s="136" t="s">
        <v>153</v>
      </c>
      <c r="B57" s="137"/>
      <c r="C57" s="137"/>
      <c r="D57" s="137"/>
      <c r="E57" s="137"/>
      <c r="F57" s="137"/>
      <c r="G57" s="137"/>
      <c r="H57" s="84"/>
      <c r="I57" s="84"/>
      <c r="J57" s="84"/>
      <c r="K57" s="73"/>
      <c r="L57" s="82"/>
      <c r="M57" s="82"/>
      <c r="N57" s="82"/>
      <c r="O57" s="82"/>
    </row>
    <row r="58" spans="1:15" ht="65.25" x14ac:dyDescent="0.95">
      <c r="A58" s="76" t="s">
        <v>127</v>
      </c>
      <c r="B58" s="85" t="s">
        <v>154</v>
      </c>
      <c r="C58" s="138" t="s">
        <v>155</v>
      </c>
      <c r="D58" s="139"/>
      <c r="E58" s="139"/>
      <c r="F58" s="139"/>
      <c r="G58" s="140"/>
      <c r="H58" s="79">
        <v>4</v>
      </c>
      <c r="I58" s="76">
        <v>4</v>
      </c>
      <c r="J58" s="85"/>
      <c r="K58" s="73"/>
      <c r="L58" s="82"/>
      <c r="M58" s="82"/>
      <c r="N58" s="82"/>
      <c r="O58" s="82"/>
    </row>
    <row r="59" spans="1:15" ht="65.25" x14ac:dyDescent="0.95">
      <c r="A59" s="76" t="s">
        <v>130</v>
      </c>
      <c r="B59" s="85" t="s">
        <v>156</v>
      </c>
      <c r="C59" s="138" t="s">
        <v>157</v>
      </c>
      <c r="D59" s="139"/>
      <c r="E59" s="139"/>
      <c r="F59" s="139"/>
      <c r="G59" s="140"/>
      <c r="H59" s="79">
        <v>4</v>
      </c>
      <c r="I59" s="76">
        <v>4</v>
      </c>
      <c r="J59" s="85"/>
      <c r="K59" s="73"/>
      <c r="L59" s="82"/>
      <c r="M59" s="82"/>
      <c r="N59" s="82"/>
      <c r="O59" s="82"/>
    </row>
    <row r="60" spans="1:15" ht="65.25" x14ac:dyDescent="0.95">
      <c r="A60" s="76" t="s">
        <v>130</v>
      </c>
      <c r="B60" s="85" t="s">
        <v>158</v>
      </c>
      <c r="C60" s="138" t="s">
        <v>159</v>
      </c>
      <c r="D60" s="139"/>
      <c r="E60" s="139"/>
      <c r="F60" s="139"/>
      <c r="G60" s="140"/>
      <c r="H60" s="79">
        <v>2</v>
      </c>
      <c r="I60" s="76">
        <v>2</v>
      </c>
      <c r="J60" s="85"/>
      <c r="K60" s="73"/>
      <c r="L60" s="82"/>
      <c r="M60" s="82"/>
      <c r="N60" s="82"/>
      <c r="O60" s="82"/>
    </row>
    <row r="61" spans="1:15" ht="65.25" x14ac:dyDescent="0.95">
      <c r="A61" s="141" t="s">
        <v>160</v>
      </c>
      <c r="B61" s="141"/>
      <c r="C61" s="141"/>
      <c r="D61" s="141"/>
      <c r="E61" s="141"/>
      <c r="F61" s="141"/>
      <c r="G61" s="141"/>
      <c r="H61" s="141"/>
      <c r="I61" s="141"/>
      <c r="J61" s="86"/>
      <c r="K61" s="82"/>
      <c r="L61" s="82"/>
      <c r="M61" s="82"/>
      <c r="N61" s="82"/>
      <c r="O61" s="82"/>
    </row>
    <row r="62" spans="1:15" ht="15" customHeight="1" x14ac:dyDescent="0.95">
      <c r="A62" s="122" t="s">
        <v>161</v>
      </c>
      <c r="B62" s="122"/>
      <c r="C62" s="123"/>
      <c r="D62" s="124"/>
      <c r="E62" s="125" t="s">
        <v>162</v>
      </c>
      <c r="F62" s="111"/>
      <c r="G62" s="128" t="s">
        <v>163</v>
      </c>
      <c r="H62" s="93"/>
      <c r="I62" s="130"/>
      <c r="J62" s="87"/>
      <c r="K62" s="73"/>
      <c r="L62" s="73"/>
      <c r="M62" s="73"/>
      <c r="N62" s="73"/>
      <c r="O62" s="73"/>
    </row>
    <row r="63" spans="1:15" ht="33" customHeight="1" x14ac:dyDescent="0.95">
      <c r="A63" s="122"/>
      <c r="B63" s="122"/>
      <c r="C63" s="123"/>
      <c r="D63" s="124"/>
      <c r="E63" s="126"/>
      <c r="F63" s="112"/>
      <c r="G63" s="118"/>
      <c r="H63" s="123"/>
      <c r="I63" s="131"/>
      <c r="J63" s="87"/>
      <c r="K63" s="98"/>
      <c r="L63" s="99"/>
      <c r="M63" s="99"/>
      <c r="N63" s="99"/>
      <c r="O63" s="100"/>
    </row>
    <row r="64" spans="1:15" ht="33" customHeight="1" x14ac:dyDescent="0.95">
      <c r="A64" s="122"/>
      <c r="B64" s="122"/>
      <c r="C64" s="123"/>
      <c r="D64" s="124"/>
      <c r="E64" s="126"/>
      <c r="F64" s="112"/>
      <c r="G64" s="118"/>
      <c r="H64" s="123"/>
      <c r="I64" s="131"/>
      <c r="J64" s="87"/>
      <c r="K64" s="101"/>
      <c r="L64" s="97"/>
      <c r="M64" s="97"/>
      <c r="N64" s="97"/>
      <c r="O64" s="102"/>
    </row>
    <row r="65" spans="1:15" ht="27.75" customHeight="1" x14ac:dyDescent="0.95">
      <c r="A65" s="122"/>
      <c r="B65" s="122"/>
      <c r="C65" s="95"/>
      <c r="D65" s="96"/>
      <c r="E65" s="127"/>
      <c r="F65" s="113"/>
      <c r="G65" s="129"/>
      <c r="H65" s="95"/>
      <c r="I65" s="132"/>
      <c r="J65" s="87"/>
      <c r="K65" s="101"/>
      <c r="L65" s="97"/>
      <c r="M65" s="97"/>
      <c r="N65" s="97"/>
      <c r="O65" s="102"/>
    </row>
    <row r="66" spans="1:15" ht="33" customHeight="1" x14ac:dyDescent="0.95">
      <c r="A66" s="106" t="s">
        <v>164</v>
      </c>
      <c r="B66" s="107"/>
      <c r="C66" s="88"/>
      <c r="D66" s="89"/>
      <c r="E66" s="108" t="s">
        <v>164</v>
      </c>
      <c r="F66" s="111"/>
      <c r="G66" s="114" t="s">
        <v>164</v>
      </c>
      <c r="H66" s="93"/>
      <c r="I66" s="94"/>
      <c r="J66" s="87"/>
      <c r="K66" s="101"/>
      <c r="L66" s="97"/>
      <c r="M66" s="97"/>
      <c r="N66" s="97"/>
      <c r="O66" s="102"/>
    </row>
    <row r="67" spans="1:15" ht="30.75" customHeight="1" x14ac:dyDescent="0.95">
      <c r="A67" s="106"/>
      <c r="B67" s="107"/>
      <c r="C67" s="88"/>
      <c r="D67" s="89"/>
      <c r="E67" s="109"/>
      <c r="F67" s="112"/>
      <c r="G67" s="115"/>
      <c r="H67" s="95"/>
      <c r="I67" s="96"/>
      <c r="J67" s="87"/>
      <c r="K67" s="101"/>
      <c r="L67" s="97"/>
      <c r="M67" s="97"/>
      <c r="N67" s="97"/>
      <c r="O67" s="102"/>
    </row>
    <row r="68" spans="1:15" ht="17.25" hidden="1" customHeight="1" x14ac:dyDescent="0.95">
      <c r="A68" s="106"/>
      <c r="B68" s="107"/>
      <c r="C68" s="88"/>
      <c r="D68" s="89"/>
      <c r="E68" s="110"/>
      <c r="F68" s="113"/>
      <c r="G68" s="116"/>
      <c r="H68" s="90"/>
      <c r="I68" s="90"/>
      <c r="J68" s="87"/>
      <c r="K68" s="101"/>
      <c r="L68" s="97"/>
      <c r="M68" s="97"/>
      <c r="N68" s="97"/>
      <c r="O68" s="102"/>
    </row>
    <row r="69" spans="1:15" ht="33" customHeight="1" x14ac:dyDescent="0.95">
      <c r="A69" s="117" t="s">
        <v>165</v>
      </c>
      <c r="B69" s="118"/>
      <c r="C69" s="119"/>
      <c r="D69" s="119"/>
      <c r="E69" s="120" t="s">
        <v>165</v>
      </c>
      <c r="F69" s="111"/>
      <c r="G69" s="91" t="s">
        <v>165</v>
      </c>
      <c r="H69" s="93"/>
      <c r="I69" s="94"/>
      <c r="J69" s="87"/>
      <c r="K69" s="101"/>
      <c r="L69" s="97"/>
      <c r="M69" s="97"/>
      <c r="N69" s="97"/>
      <c r="O69" s="102"/>
    </row>
    <row r="70" spans="1:15" ht="33" customHeight="1" x14ac:dyDescent="0.95">
      <c r="A70" s="117"/>
      <c r="B70" s="118"/>
      <c r="C70" s="119"/>
      <c r="D70" s="119"/>
      <c r="E70" s="121"/>
      <c r="F70" s="113"/>
      <c r="G70" s="92"/>
      <c r="H70" s="95"/>
      <c r="I70" s="96"/>
      <c r="J70" s="87"/>
      <c r="K70" s="101"/>
      <c r="L70" s="97"/>
      <c r="M70" s="97"/>
      <c r="N70" s="97"/>
      <c r="O70" s="102"/>
    </row>
    <row r="71" spans="1:15" ht="65.25" x14ac:dyDescent="0.95">
      <c r="A71" s="97"/>
      <c r="B71" s="97"/>
      <c r="C71" s="97"/>
      <c r="D71" s="97"/>
      <c r="E71" s="97"/>
      <c r="F71" s="97"/>
      <c r="G71" s="97"/>
      <c r="H71" s="97"/>
      <c r="I71" s="97"/>
      <c r="J71" s="87"/>
      <c r="K71" s="103"/>
      <c r="L71" s="104"/>
      <c r="M71" s="104"/>
      <c r="N71" s="104"/>
      <c r="O71" s="105"/>
    </row>
  </sheetData>
  <mergeCells count="98">
    <mergeCell ref="A1:O3"/>
    <mergeCell ref="A4:I4"/>
    <mergeCell ref="E5:I5"/>
    <mergeCell ref="A6:I6"/>
    <mergeCell ref="A7:B7"/>
    <mergeCell ref="I7:J7"/>
    <mergeCell ref="A15:I15"/>
    <mergeCell ref="A8:B8"/>
    <mergeCell ref="I8:J8"/>
    <mergeCell ref="A9:I9"/>
    <mergeCell ref="A10:B10"/>
    <mergeCell ref="I10:J10"/>
    <mergeCell ref="A11:B11"/>
    <mergeCell ref="I11:J11"/>
    <mergeCell ref="A12:I12"/>
    <mergeCell ref="A13:B13"/>
    <mergeCell ref="I13:J13"/>
    <mergeCell ref="A14:B14"/>
    <mergeCell ref="I14:J14"/>
    <mergeCell ref="A16:I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O17"/>
    <mergeCell ref="A19:A23"/>
    <mergeCell ref="B19:B23"/>
    <mergeCell ref="C19:C23"/>
    <mergeCell ref="A24:A26"/>
    <mergeCell ref="B24:B26"/>
    <mergeCell ref="C24:C26"/>
    <mergeCell ref="A27:A32"/>
    <mergeCell ref="B27:B32"/>
    <mergeCell ref="C27:C32"/>
    <mergeCell ref="A33:A35"/>
    <mergeCell ref="B33:B35"/>
    <mergeCell ref="C33:C35"/>
    <mergeCell ref="A36:A37"/>
    <mergeCell ref="B36:B37"/>
    <mergeCell ref="C36:C37"/>
    <mergeCell ref="A38:A39"/>
    <mergeCell ref="B38:B39"/>
    <mergeCell ref="C38:C39"/>
    <mergeCell ref="A43:G43"/>
    <mergeCell ref="H43:J43"/>
    <mergeCell ref="K43:O44"/>
    <mergeCell ref="C44:G44"/>
    <mergeCell ref="C45:G45"/>
    <mergeCell ref="M45:O45"/>
    <mergeCell ref="C52:G52"/>
    <mergeCell ref="M52:O52"/>
    <mergeCell ref="C46:G46"/>
    <mergeCell ref="M46:O46"/>
    <mergeCell ref="C47:G47"/>
    <mergeCell ref="M47:O47"/>
    <mergeCell ref="C48:G48"/>
    <mergeCell ref="M48:O48"/>
    <mergeCell ref="C49:G49"/>
    <mergeCell ref="M49:O49"/>
    <mergeCell ref="C50:G50"/>
    <mergeCell ref="M50:O50"/>
    <mergeCell ref="C51:G51"/>
    <mergeCell ref="C53:G53"/>
    <mergeCell ref="M53:O53"/>
    <mergeCell ref="C54:G54"/>
    <mergeCell ref="M54:O54"/>
    <mergeCell ref="C55:G55"/>
    <mergeCell ref="M55:O55"/>
    <mergeCell ref="F62:F65"/>
    <mergeCell ref="G62:G65"/>
    <mergeCell ref="H62:I65"/>
    <mergeCell ref="C56:G56"/>
    <mergeCell ref="A57:G57"/>
    <mergeCell ref="C58:G58"/>
    <mergeCell ref="C59:G59"/>
    <mergeCell ref="C60:G60"/>
    <mergeCell ref="A61:I61"/>
    <mergeCell ref="G69:G70"/>
    <mergeCell ref="H69:I70"/>
    <mergeCell ref="A71:I71"/>
    <mergeCell ref="K63:O71"/>
    <mergeCell ref="A66:B68"/>
    <mergeCell ref="E66:E68"/>
    <mergeCell ref="F66:F68"/>
    <mergeCell ref="G66:G68"/>
    <mergeCell ref="H66:I67"/>
    <mergeCell ref="A69:B70"/>
    <mergeCell ref="C69:D70"/>
    <mergeCell ref="E69:E70"/>
    <mergeCell ref="F69:F70"/>
    <mergeCell ref="A62:B65"/>
    <mergeCell ref="C62:D65"/>
    <mergeCell ref="E62:E65"/>
  </mergeCells>
  <hyperlinks>
    <hyperlink ref="E11" r:id="rId1" xr:uid="{5BF9834D-C5DC-44D2-AC15-7090478A5C1C}"/>
  </hyperlinks>
  <pageMargins left="0.45" right="0.2" top="0.25" bottom="0.25" header="0.3" footer="0.3"/>
  <pageSetup paperSize="9" scale="11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UTUTAH_EMMANUEL</vt:lpstr>
      <vt:lpstr>UTUTAH_EMMANUEL!Print_Area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2026-04-10T10:55:25Z</cp:lastPrinted>
  <dcterms:created xsi:type="dcterms:W3CDTF">2026-04-08T14:16:18Z</dcterms:created>
  <dcterms:modified xsi:type="dcterms:W3CDTF">2026-04-10T10:55:43Z</dcterms:modified>
</cp:coreProperties>
</file>