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ICT\"/>
    </mc:Choice>
  </mc:AlternateContent>
  <xr:revisionPtr revIDLastSave="0" documentId="8_{5A40C03A-3EB3-4DA1-8E6B-425605A6055C}" xr6:coauthVersionLast="47" xr6:coauthVersionMax="47" xr10:uidLastSave="{00000000-0000-0000-0000-000000000000}"/>
  <bookViews>
    <workbookView xWindow="-120" yWindow="-120" windowWidth="20730" windowHeight="11040" xr2:uid="{6A2F1ED8-C4E3-44E1-ACD1-2471BC3AEE76}"/>
  </bookViews>
  <sheets>
    <sheet name="ICT_SI" sheetId="1" r:id="rId1"/>
  </sheets>
  <definedNames>
    <definedName name="_xlnm.Print_Area" localSheetId="0">ICT_SI!$A$1:$O$86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8" i="1" l="1"/>
  <c r="F57" i="1"/>
  <c r="F56" i="1"/>
  <c r="C56" i="1"/>
  <c r="F55" i="1"/>
  <c r="C55" i="1"/>
  <c r="F54" i="1"/>
  <c r="F53" i="1"/>
  <c r="C53" i="1"/>
  <c r="F52" i="1"/>
  <c r="F51" i="1"/>
  <c r="F50" i="1"/>
  <c r="C50" i="1"/>
  <c r="F49" i="1"/>
  <c r="C49" i="1"/>
  <c r="F48" i="1"/>
  <c r="F47" i="1"/>
  <c r="F46" i="1"/>
  <c r="C46" i="1"/>
  <c r="F45" i="1"/>
  <c r="F44" i="1"/>
  <c r="F43" i="1"/>
  <c r="F42" i="1"/>
  <c r="F41" i="1"/>
  <c r="F40" i="1"/>
  <c r="F39" i="1"/>
  <c r="F38" i="1"/>
  <c r="F37" i="1"/>
  <c r="F36" i="1"/>
  <c r="C36" i="1"/>
  <c r="F35" i="1"/>
  <c r="F34" i="1"/>
  <c r="F33" i="1"/>
  <c r="F32" i="1"/>
  <c r="F31" i="1"/>
  <c r="F30" i="1"/>
  <c r="F29" i="1"/>
  <c r="F28" i="1"/>
  <c r="F27" i="1"/>
  <c r="F26" i="1"/>
  <c r="F25" i="1"/>
  <c r="C25" i="1"/>
  <c r="F24" i="1"/>
  <c r="F23" i="1"/>
  <c r="F22" i="1"/>
  <c r="F21" i="1"/>
  <c r="F20" i="1"/>
  <c r="F19" i="1"/>
  <c r="F58" i="1" s="1"/>
  <c r="C19" i="1"/>
  <c r="C58" i="1" s="1"/>
</calcChain>
</file>

<file path=xl/sharedStrings.xml><?xml version="1.0" encoding="utf-8"?>
<sst xmlns="http://schemas.openxmlformats.org/spreadsheetml/2006/main" count="302" uniqueCount="176">
  <si>
    <t>PERFORMANCE CONTRACT</t>
  </si>
  <si>
    <t>PERFORMANCE APPRAISAL PERIOD:</t>
  </si>
  <si>
    <t>FROM</t>
  </si>
  <si>
    <t>JANUARY 2026</t>
  </si>
  <si>
    <t>To</t>
  </si>
  <si>
    <t>DECEMBER 2026</t>
  </si>
  <si>
    <t>SECTION 1: EMPLOYEE INFORMATION</t>
  </si>
  <si>
    <t>Surname:</t>
  </si>
  <si>
    <t>IGWE</t>
  </si>
  <si>
    <t>Firstname</t>
  </si>
  <si>
    <t>CASMIR</t>
  </si>
  <si>
    <t>Othername</t>
  </si>
  <si>
    <t>SUNDAY</t>
  </si>
  <si>
    <t>Designation</t>
  </si>
  <si>
    <t>HEAD OF CURRICUM/ACPA</t>
  </si>
  <si>
    <t>IPPIS No.</t>
  </si>
  <si>
    <t>Email</t>
  </si>
  <si>
    <t xml:space="preserve"> igcasmir@gmail.om</t>
  </si>
  <si>
    <t>Phone No.</t>
  </si>
  <si>
    <t>Department</t>
  </si>
  <si>
    <t>SERVICOM INSTITUTE</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</si>
  <si>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</si>
  <si>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</si>
  <si>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</si>
  <si>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</si>
  <si>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</si>
  <si>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</si>
  <si>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</si>
  <si>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</si>
  <si>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</si>
  <si>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</si>
  <si>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</si>
  <si>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</si>
  <si>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</si>
  <si>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</si>
  <si>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</si>
  <si>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</si>
  <si>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</si>
  <si>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</si>
  <si>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</si>
  <si>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</si>
  <si>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</si>
  <si>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</si>
  <si>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</si>
  <si>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</si>
  <si>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</si>
  <si>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</si>
  <si>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</si>
  <si>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</si>
  <si>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</si>
  <si>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</si>
  <si>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</si>
  <si>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</si>
  <si>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</si>
  <si>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</si>
  <si>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</si>
  <si>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</si>
  <si>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</si>
  <si>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</si>
  <si>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</si>
  <si>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ICT Governance, Digital Transformation, &amp; Information Security</t>
  </si>
  <si>
    <t>Strengthen ICT governance and policy alignment in line with national frameworks
(NDES, NITDA Guidelines, NDPR, Civil Service Reform &amp; e-Government Agenda)</t>
  </si>
  <si>
    <t>Level of compliance with NITDA and NDPR requirements</t>
  </si>
  <si>
    <t>Percentage completion of ICT asset verification and inventory update</t>
  </si>
  <si>
    <t>&gt;80</t>
  </si>
  <si>
    <t>Percentage of ICT and data protection policies reviewed, updated, and approved</t>
  </si>
  <si>
    <t>&gt;90</t>
  </si>
  <si>
    <t>Upgrade and maintain reliable ICT infrastructure to support operations
(Networks, equipment, servers, power, backups)</t>
  </si>
  <si>
    <t>System and network uptime percentage</t>
  </si>
  <si>
    <t>Percentage of planned ICT infrastructure upgrades completed</t>
  </si>
  <si>
    <t>Enhance ICT service delivery and user support through an effective helpdesk</t>
  </si>
  <si>
    <t>Percentage of ICT service requests resolved within agreed SLA</t>
  </si>
  <si>
    <t>User satisfaction rate with ICT support services</t>
  </si>
  <si>
    <t>Strengthen cybersecurity and data protection compliance</t>
  </si>
  <si>
    <t>Percentage of cybersecurity audits and vulnerability assessments conducted</t>
  </si>
  <si>
    <t>Percentage compliance with NDPR requirements</t>
  </si>
  <si>
    <t>Monitor, evaluate, and sustain ICT performance</t>
  </si>
  <si>
    <t>Timely production of annual ICT performance report</t>
  </si>
  <si>
    <t>Percentage of ICT deliverables achieved against annual workplan</t>
  </si>
  <si>
    <t>&gt;20</t>
  </si>
  <si>
    <t>&lt;5</t>
  </si>
  <si>
    <t>MDA-wide Staff Development, Training, and Capacity Enhancement</t>
  </si>
  <si>
    <t>Identify capacity gaps and establish training priorities across SERVICOM and MDAs</t>
  </si>
  <si>
    <t>Percentage of MDAs/staff covered by the Training Needs Assessment (TNA)</t>
  </si>
  <si>
    <t>Timely completion of Annual Training Needs Assessment Report</t>
  </si>
  <si>
    <t>Strengthen foundational competencies and ensure compliance with public service standards</t>
  </si>
  <si>
    <t>Percentage of newly recruited or transferred MDA staff inducted</t>
  </si>
  <si>
    <t>Percentage of eligible officers completing supervisory/leadership training</t>
  </si>
  <si>
    <t>Build specialized, technical, and performance-driven competencies</t>
  </si>
  <si>
    <t>Number of specialized and technical training programmes conducted across MDAs</t>
  </si>
  <si>
    <t>NUMBER</t>
  </si>
  <si>
    <t>&gt;10</t>
  </si>
  <si>
    <t>Percentage of targeted MDA staff completing specialized/professional training</t>
  </si>
  <si>
    <t>Institutionalize learning, knowledge sharing, and best practice dissemination</t>
  </si>
  <si>
    <t>Number of training manuals and learning materials developed or updated</t>
  </si>
  <si>
    <t>&gt;5</t>
  </si>
  <si>
    <t>Number of knowledge-sharing workshops conducted across MDAs</t>
  </si>
  <si>
    <t>Evaluate training impact and measure improvement in service delivery</t>
  </si>
  <si>
    <t>Percentage of training programmes evaluated post-delivery</t>
  </si>
  <si>
    <t>Percentage improvement in staff performance indicators after training</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</si>
  <si>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</si>
  <si>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</si>
  <si>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</si>
  <si>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Percentage of Identified Innovations and Initiatives Implemented or Piloted</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</si>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</sst>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28" x14ac:knownFonts="1">
    <font>
      <sz val="11"/>
      <color theme="1"/>
      <name val="Calibri"/>
      <family val="2"/>
      <scheme val="minor"/>
    </font>
    <font>
      <sz val="11"/>
      <color theme="1"/>
      <name val="Calibri"/>
      <family val="2"/>
      <scheme val="minor"/>
    </font>
    <font>
      <u/>
      <sz val="11"/>
      <color theme="10"/>
      <name val="Calibri"/>
      <family val="2"/>
      <scheme val="minor"/>
    </font>
    <font>
      <b/>
      <sz val="48"/>
      <color theme="1"/>
      <name val="Century Gothic"/>
      <family val="2"/>
    </font>
    <font>
      <b/>
      <sz val="50"/>
      <name val="Century Gothic"/>
      <family val="2"/>
    </font>
    <font>
      <sz val="50"/>
      <color theme="1"/>
      <name val="Calibri"/>
      <family val="2"/>
      <scheme val="minor"/>
    </font>
    <font>
      <sz val="50"/>
      <name val="Century Gothic"/>
      <family val="2"/>
    </font>
    <font>
      <b/>
      <sz val="50"/>
      <color theme="1"/>
      <name val="Century Gothic"/>
      <family val="2"/>
    </font>
    <font>
      <b/>
      <sz val="50"/>
      <color theme="1"/>
      <name val="Calibri"/>
      <family val="2"/>
      <scheme val="minor"/>
    </font>
    <font>
      <b/>
      <u/>
      <sz val="50"/>
      <name val="Calibri"/>
      <family val="2"/>
      <charset val="1"/>
      <scheme val="minor"/>
    </font>
    <font>
      <u/>
      <sz val="50"/>
      <color theme="1"/>
      <name val="Calibri"/>
      <family val="2"/>
      <scheme val="minor"/>
    </font>
    <font>
      <sz val="50"/>
      <color theme="1"/>
      <name val="Century Gothic"/>
      <family val="2"/>
    </font>
    <font>
      <sz val="18"/>
      <name val="Calibri"/>
      <family val="2"/>
      <scheme val="minor"/>
    </font>
    <font>
      <sz val="18"/>
      <name val="Century Gothic"/>
      <family val="2"/>
    </font>
    <font>
      <sz val="11"/>
      <name val="Calibri"/>
      <family val="2"/>
      <scheme val="minor"/>
    </font>
    <font>
      <b/>
      <sz val="26"/>
      <name val="Century Gothic"/>
      <family val="2"/>
    </font>
    <font>
      <sz val="26"/>
      <name val="Century Gothic"/>
      <family val="2"/>
    </font>
    <font>
      <sz val="26"/>
      <color theme="1"/>
      <name val="Century Gothic"/>
      <family val="2"/>
    </font>
    <font>
      <b/>
      <sz val="36"/>
      <name val="Century Gothic"/>
      <family val="2"/>
    </font>
    <font>
      <b/>
      <sz val="26"/>
      <color theme="1" tint="4.9989318521683403E-2"/>
      <name val="Century Gothic"/>
      <family val="2"/>
    </font>
    <font>
      <b/>
      <sz val="40"/>
      <color theme="1" tint="4.9989318521683403E-2"/>
      <name val="Century Gothic"/>
      <family val="2"/>
    </font>
    <font>
      <b/>
      <sz val="40"/>
      <color theme="1"/>
      <name val="Century Gothic"/>
      <family val="2"/>
    </font>
    <font>
      <sz val="26"/>
      <color theme="1" tint="4.9989318521683403E-2"/>
      <name val="Century Gothic"/>
      <family val="2"/>
    </font>
    <font>
      <sz val="48"/>
      <color theme="1"/>
      <name val="Century Gothic"/>
      <family val="2"/>
    </font>
    <font>
      <b/>
      <sz val="40"/>
      <name val="Century Gothic"/>
      <family val="2"/>
    </font>
    <font>
      <sz val="40"/>
      <name val="Century Gothic"/>
      <family val="2"/>
    </font>
    <font>
      <b/>
      <sz val="26"/>
      <color theme="1"/>
      <name val="Century Gothic"/>
      <family val="2"/>
    </font>
    <font>
      <b/>
      <sz val="50"/>
      <color theme="0"/>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8">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11">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1" fillId="0" borderId="0" xfId="2"/>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4" fillId="2" borderId="0" xfId="2" applyFont="1" applyFill="1" applyAlignment="1">
      <alignment horizontal="left" vertical="center" wrapText="1"/>
    </xf>
    <xf numFmtId="0" fontId="4" fillId="2" borderId="0" xfId="2" applyFont="1" applyFill="1" applyAlignment="1">
      <alignment horizontal="left" vertical="center" wrapText="1"/>
    </xf>
    <xf numFmtId="0" fontId="5" fillId="2" borderId="0" xfId="2" applyFont="1" applyFill="1"/>
    <xf numFmtId="0" fontId="5" fillId="0" borderId="0" xfId="2" applyFont="1"/>
    <xf numFmtId="0" fontId="4" fillId="3" borderId="0" xfId="2" applyFont="1" applyFill="1" applyAlignment="1">
      <alignment vertical="center"/>
    </xf>
    <xf numFmtId="49" fontId="4" fillId="4" borderId="0" xfId="2" applyNumberFormat="1" applyFont="1" applyFill="1" applyAlignment="1">
      <alignment vertical="center"/>
    </xf>
    <xf numFmtId="0" fontId="4" fillId="3" borderId="0" xfId="2" applyFont="1" applyFill="1" applyAlignment="1">
      <alignment horizontal="center" vertical="center"/>
    </xf>
    <xf numFmtId="49" fontId="4"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7" fillId="2" borderId="0" xfId="2" applyFont="1" applyFill="1" applyAlignment="1">
      <alignment horizontal="left"/>
    </xf>
    <xf numFmtId="0" fontId="7" fillId="2" borderId="0" xfId="2" applyFont="1" applyFill="1" applyAlignment="1">
      <alignment horizontal="left"/>
    </xf>
    <xf numFmtId="0" fontId="4" fillId="3" borderId="10" xfId="2" applyFont="1" applyFill="1" applyBorder="1" applyAlignment="1">
      <alignment horizontal="left" vertical="center"/>
    </xf>
    <xf numFmtId="0" fontId="4" fillId="0" borderId="10" xfId="2" applyFont="1" applyBorder="1" applyAlignment="1">
      <alignment horizontal="left"/>
    </xf>
    <xf numFmtId="0" fontId="4" fillId="3" borderId="10" xfId="2" applyFont="1" applyFill="1" applyBorder="1" applyAlignment="1">
      <alignment horizontal="left"/>
    </xf>
    <xf numFmtId="0" fontId="4" fillId="0" borderId="10" xfId="2" applyFont="1" applyBorder="1" applyAlignment="1">
      <alignment horizontal="left"/>
    </xf>
    <xf numFmtId="0" fontId="5" fillId="2" borderId="0" xfId="3" applyFont="1" applyFill="1" applyAlignment="1">
      <alignment horizontal="left"/>
    </xf>
    <xf numFmtId="0" fontId="8" fillId="2" borderId="0" xfId="2" applyFont="1" applyFill="1" applyAlignment="1">
      <alignment horizontal="left"/>
    </xf>
    <xf numFmtId="0" fontId="8" fillId="0" borderId="0" xfId="2" applyFont="1" applyAlignment="1">
      <alignment horizontal="left"/>
    </xf>
    <xf numFmtId="0" fontId="4" fillId="3" borderId="10" xfId="2" applyFont="1" applyFill="1" applyBorder="1" applyAlignment="1">
      <alignment horizontal="left"/>
    </xf>
    <xf numFmtId="0" fontId="9" fillId="0" borderId="10" xfId="1" applyFont="1" applyBorder="1" applyAlignment="1">
      <alignment horizontal="left"/>
    </xf>
    <xf numFmtId="0" fontId="7" fillId="3" borderId="0" xfId="4" applyFont="1" applyFill="1" applyAlignment="1">
      <alignment horizontal="left" vertical="center"/>
    </xf>
    <xf numFmtId="0" fontId="7" fillId="3" borderId="5" xfId="4" applyFont="1" applyFill="1" applyBorder="1" applyAlignment="1">
      <alignment horizontal="left" vertical="center"/>
    </xf>
    <xf numFmtId="0" fontId="7" fillId="0" borderId="8" xfId="4" applyFont="1" applyBorder="1" applyAlignment="1">
      <alignment horizontal="left"/>
    </xf>
    <xf numFmtId="0" fontId="7" fillId="3" borderId="11" xfId="4" applyFont="1" applyFill="1" applyBorder="1" applyAlignment="1">
      <alignment horizontal="left"/>
    </xf>
    <xf numFmtId="0" fontId="7" fillId="3" borderId="6" xfId="4" applyFont="1" applyFill="1" applyBorder="1" applyAlignment="1">
      <alignment horizontal="left"/>
    </xf>
    <xf numFmtId="0" fontId="7" fillId="0" borderId="6" xfId="4" applyFont="1" applyBorder="1" applyAlignment="1">
      <alignment horizontal="left"/>
    </xf>
    <xf numFmtId="0" fontId="7" fillId="0" borderId="7" xfId="5" applyFont="1" applyBorder="1" applyAlignment="1">
      <alignment horizontal="left"/>
    </xf>
    <xf numFmtId="0" fontId="7" fillId="0" borderId="8" xfId="5" applyFont="1" applyBorder="1" applyAlignment="1">
      <alignment horizontal="left"/>
    </xf>
    <xf numFmtId="0" fontId="5" fillId="2" borderId="0" xfId="4" applyFont="1" applyFill="1"/>
    <xf numFmtId="0" fontId="5" fillId="0" borderId="0" xfId="4" applyFont="1"/>
    <xf numFmtId="0" fontId="7" fillId="3" borderId="0" xfId="4" applyFont="1" applyFill="1" applyAlignment="1">
      <alignment horizontal="left"/>
    </xf>
    <xf numFmtId="0" fontId="7" fillId="3" borderId="5" xfId="4" applyFont="1" applyFill="1" applyBorder="1" applyAlignment="1">
      <alignment horizontal="left"/>
    </xf>
    <xf numFmtId="0" fontId="7" fillId="0" borderId="12" xfId="4" applyFont="1" applyBorder="1" applyAlignment="1">
      <alignment horizontal="left"/>
    </xf>
    <xf numFmtId="0" fontId="7" fillId="3" borderId="10" xfId="4" applyFont="1" applyFill="1" applyBorder="1" applyAlignment="1">
      <alignment horizontal="left"/>
    </xf>
    <xf numFmtId="0" fontId="10" fillId="0" borderId="12" xfId="1" quotePrefix="1" applyFont="1" applyBorder="1" applyAlignment="1">
      <alignment horizontal="left"/>
    </xf>
    <xf numFmtId="0" fontId="7" fillId="3" borderId="9" xfId="4" applyFont="1" applyFill="1" applyBorder="1" applyAlignment="1">
      <alignment horizontal="left"/>
    </xf>
    <xf numFmtId="0" fontId="11" fillId="0" borderId="9" xfId="4" applyFont="1" applyBorder="1" applyAlignment="1">
      <alignment horizontal="left"/>
    </xf>
    <xf numFmtId="0" fontId="7" fillId="0" borderId="9" xfId="5" applyFont="1" applyBorder="1" applyAlignment="1">
      <alignment horizontal="left"/>
    </xf>
    <xf numFmtId="0" fontId="7" fillId="0" borderId="12" xfId="5" applyFont="1" applyBorder="1" applyAlignment="1">
      <alignment horizontal="left"/>
    </xf>
    <xf numFmtId="0" fontId="7" fillId="3" borderId="10" xfId="4" applyFont="1" applyFill="1" applyBorder="1" applyAlignment="1">
      <alignment horizontal="left" vertical="center"/>
    </xf>
    <xf numFmtId="0" fontId="7" fillId="0" borderId="7" xfId="2" applyFont="1" applyBorder="1" applyAlignment="1">
      <alignment horizontal="left"/>
    </xf>
    <xf numFmtId="0" fontId="7" fillId="0" borderId="8" xfId="2" applyFont="1" applyBorder="1" applyAlignment="1">
      <alignment horizontal="left"/>
    </xf>
    <xf numFmtId="0" fontId="7" fillId="3" borderId="10" xfId="4" applyFont="1" applyFill="1" applyBorder="1" applyAlignment="1">
      <alignment horizontal="left"/>
    </xf>
    <xf numFmtId="0" fontId="10" fillId="0" borderId="12" xfId="1" applyFont="1" applyBorder="1" applyAlignment="1">
      <alignment horizontal="left"/>
    </xf>
    <xf numFmtId="0" fontId="7" fillId="0" borderId="13" xfId="2" applyFont="1" applyBorder="1" applyAlignment="1">
      <alignment horizontal="left"/>
    </xf>
    <xf numFmtId="0" fontId="7" fillId="0" borderId="12" xfId="2" applyFont="1" applyBorder="1" applyAlignment="1">
      <alignment horizontal="left"/>
    </xf>
    <xf numFmtId="0" fontId="12" fillId="2" borderId="0" xfId="2" applyFont="1" applyFill="1"/>
    <xf numFmtId="0" fontId="13" fillId="2" borderId="0" xfId="2" applyFont="1" applyFill="1" applyAlignment="1">
      <alignment horizontal="center"/>
    </xf>
    <xf numFmtId="0" fontId="14" fillId="2" borderId="0" xfId="2" applyFont="1" applyFill="1"/>
    <xf numFmtId="0" fontId="1" fillId="2" borderId="0" xfId="2" applyFill="1"/>
    <xf numFmtId="0" fontId="15" fillId="3" borderId="0" xfId="2" applyFont="1" applyFill="1" applyAlignment="1">
      <alignment horizontal="left"/>
    </xf>
    <xf numFmtId="0" fontId="15" fillId="3" borderId="0" xfId="2" applyFont="1" applyFill="1" applyAlignment="1">
      <alignment horizontal="left"/>
    </xf>
    <xf numFmtId="0" fontId="16" fillId="3" borderId="0" xfId="2" applyFont="1" applyFill="1"/>
    <xf numFmtId="0" fontId="17" fillId="3" borderId="0" xfId="2" applyFont="1" applyFill="1"/>
    <xf numFmtId="0" fontId="18" fillId="2" borderId="14" xfId="2" applyFont="1" applyFill="1" applyBorder="1" applyAlignment="1">
      <alignment horizontal="center" vertical="center"/>
    </xf>
    <xf numFmtId="0" fontId="18" fillId="2" borderId="15" xfId="2" applyFont="1" applyFill="1" applyBorder="1" applyAlignment="1">
      <alignment horizontal="center" vertical="center"/>
    </xf>
    <xf numFmtId="0" fontId="18" fillId="2" borderId="14" xfId="2" applyFont="1" applyFill="1" applyBorder="1" applyAlignment="1">
      <alignment horizontal="center" vertical="center" wrapText="1"/>
    </xf>
    <xf numFmtId="0" fontId="18" fillId="2" borderId="1" xfId="2" applyFont="1" applyFill="1" applyBorder="1" applyAlignment="1">
      <alignment horizontal="center" vertical="center" wrapText="1"/>
    </xf>
    <xf numFmtId="0" fontId="18" fillId="2" borderId="9" xfId="2" applyFont="1" applyFill="1" applyBorder="1" applyAlignment="1">
      <alignment horizontal="center" vertical="center" wrapText="1"/>
    </xf>
    <xf numFmtId="0" fontId="18" fillId="2" borderId="13" xfId="2" applyFont="1" applyFill="1" applyBorder="1" applyAlignment="1">
      <alignment horizontal="center" vertical="center" wrapText="1"/>
    </xf>
    <xf numFmtId="0" fontId="18" fillId="2" borderId="12" xfId="2" applyFont="1" applyFill="1" applyBorder="1" applyAlignment="1">
      <alignment horizontal="center" vertical="center" wrapText="1"/>
    </xf>
    <xf numFmtId="0" fontId="18" fillId="2" borderId="15" xfId="2" applyFont="1" applyFill="1" applyBorder="1" applyAlignment="1">
      <alignment horizontal="center" vertical="center" wrapText="1"/>
    </xf>
    <xf numFmtId="0" fontId="18" fillId="2" borderId="4" xfId="2" applyFont="1" applyFill="1" applyBorder="1" applyAlignment="1">
      <alignment horizontal="center" vertical="center"/>
    </xf>
    <xf numFmtId="0" fontId="18" fillId="2" borderId="14" xfId="2" applyFont="1" applyFill="1" applyBorder="1" applyAlignment="1">
      <alignment horizontal="center" vertical="center"/>
    </xf>
    <xf numFmtId="0" fontId="18" fillId="2" borderId="14" xfId="2" applyFont="1" applyFill="1" applyBorder="1" applyAlignment="1">
      <alignment horizontal="center" vertical="center" wrapText="1"/>
    </xf>
    <xf numFmtId="0" fontId="11" fillId="0" borderId="10" xfId="2" applyFont="1" applyBorder="1" applyAlignment="1">
      <alignment horizontal="center" vertical="center"/>
    </xf>
    <xf numFmtId="0" fontId="11" fillId="0" borderId="10" xfId="2" applyFont="1" applyBorder="1" applyAlignment="1">
      <alignment horizontal="left" vertical="center" wrapText="1"/>
    </xf>
    <xf numFmtId="2" fontId="11" fillId="0" borderId="10" xfId="2" applyNumberFormat="1" applyFont="1" applyBorder="1" applyAlignment="1">
      <alignment horizontal="center" vertical="center"/>
    </xf>
    <xf numFmtId="0" fontId="11" fillId="0" borderId="14" xfId="2" applyFont="1" applyBorder="1" applyAlignment="1">
      <alignment horizontal="left" vertical="center" wrapText="1"/>
    </xf>
    <xf numFmtId="2" fontId="11" fillId="0" borderId="10" xfId="0" applyNumberFormat="1" applyFont="1" applyBorder="1" applyAlignment="1">
      <alignment horizontal="center" vertical="center"/>
    </xf>
    <xf numFmtId="0" fontId="11" fillId="0" borderId="10" xfId="2" applyFont="1" applyBorder="1" applyAlignment="1">
      <alignment horizontal="left" vertical="center" wrapText="1"/>
    </xf>
    <xf numFmtId="9" fontId="11" fillId="0" borderId="10" xfId="2" applyNumberFormat="1" applyFont="1" applyBorder="1" applyAlignment="1">
      <alignment horizontal="center" vertical="center" wrapText="1"/>
    </xf>
    <xf numFmtId="0" fontId="11" fillId="0" borderId="10" xfId="6" applyFont="1" applyBorder="1" applyAlignment="1">
      <alignment horizontal="center" vertical="center" wrapText="1"/>
    </xf>
    <xf numFmtId="0" fontId="11" fillId="0" borderId="10" xfId="7" applyFont="1" applyBorder="1" applyAlignment="1">
      <alignment horizontal="center" vertical="center" wrapText="1"/>
    </xf>
    <xf numFmtId="0" fontId="5" fillId="0" borderId="10" xfId="7" applyFont="1" applyBorder="1" applyAlignment="1">
      <alignment horizontal="center" vertical="center"/>
    </xf>
    <xf numFmtId="0" fontId="19" fillId="0" borderId="0" xfId="2" applyFont="1" applyAlignment="1">
      <alignment vertical="center"/>
    </xf>
    <xf numFmtId="0" fontId="11" fillId="0" borderId="15" xfId="2" applyFont="1" applyBorder="1" applyAlignment="1">
      <alignment horizontal="left" vertical="center" wrapText="1"/>
    </xf>
    <xf numFmtId="0" fontId="11" fillId="0" borderId="11" xfId="2" applyFont="1" applyBorder="1" applyAlignment="1">
      <alignment horizontal="left" vertical="center" wrapText="1"/>
    </xf>
    <xf numFmtId="0" fontId="11" fillId="0" borderId="14" xfId="2" applyFont="1" applyBorder="1" applyAlignment="1">
      <alignment horizontal="center" vertical="center"/>
    </xf>
    <xf numFmtId="2" fontId="11" fillId="0" borderId="14" xfId="2" applyNumberFormat="1" applyFont="1" applyBorder="1" applyAlignment="1">
      <alignment horizontal="center" vertical="center"/>
    </xf>
    <xf numFmtId="9" fontId="11" fillId="0" borderId="10" xfId="2" applyNumberFormat="1" applyFont="1" applyBorder="1" applyAlignment="1">
      <alignment horizontal="center" vertical="center"/>
    </xf>
    <xf numFmtId="0" fontId="11" fillId="0" borderId="15" xfId="2" applyFont="1" applyBorder="1" applyAlignment="1">
      <alignment horizontal="center" vertical="center"/>
    </xf>
    <xf numFmtId="2" fontId="11" fillId="0" borderId="15" xfId="2" applyNumberFormat="1" applyFont="1" applyBorder="1" applyAlignment="1">
      <alignment horizontal="center" vertical="center"/>
    </xf>
    <xf numFmtId="0" fontId="11" fillId="0" borderId="10" xfId="2" applyFont="1" applyBorder="1" applyAlignment="1">
      <alignment horizontal="center" vertical="center"/>
    </xf>
    <xf numFmtId="0" fontId="11" fillId="0" borderId="11" xfId="2" applyFont="1" applyBorder="1" applyAlignment="1">
      <alignment horizontal="center" vertical="center"/>
    </xf>
    <xf numFmtId="2" fontId="11" fillId="0" borderId="11" xfId="2" applyNumberFormat="1" applyFont="1" applyBorder="1" applyAlignment="1">
      <alignment horizontal="center" vertical="center"/>
    </xf>
    <xf numFmtId="0" fontId="11" fillId="0" borderId="10" xfId="0" applyFont="1" applyBorder="1" applyAlignment="1">
      <alignment horizontal="center" vertical="center"/>
    </xf>
    <xf numFmtId="0" fontId="11" fillId="0" borderId="10" xfId="0" applyFont="1" applyBorder="1" applyAlignment="1">
      <alignment vertical="center"/>
    </xf>
    <xf numFmtId="2" fontId="11" fillId="0" borderId="10" xfId="2" applyNumberFormat="1" applyFont="1" applyBorder="1" applyAlignment="1">
      <alignment horizontal="center" vertical="center" wrapText="1"/>
    </xf>
    <xf numFmtId="2" fontId="11" fillId="0" borderId="10" xfId="2" applyNumberFormat="1" applyFont="1" applyBorder="1" applyAlignment="1">
      <alignment horizontal="center" vertical="center" wrapText="1"/>
    </xf>
    <xf numFmtId="2" fontId="11" fillId="0" borderId="14" xfId="2" applyNumberFormat="1" applyFont="1" applyBorder="1" applyAlignment="1">
      <alignment horizontal="center" vertical="center" wrapText="1"/>
    </xf>
    <xf numFmtId="2" fontId="11" fillId="0" borderId="15" xfId="2" applyNumberFormat="1" applyFont="1" applyBorder="1" applyAlignment="1">
      <alignment horizontal="center" vertical="center" wrapText="1"/>
    </xf>
    <xf numFmtId="2" fontId="11" fillId="0" borderId="11" xfId="2" applyNumberFormat="1" applyFont="1" applyBorder="1" applyAlignment="1">
      <alignment horizontal="center" vertical="center" wrapText="1"/>
    </xf>
    <xf numFmtId="0" fontId="11" fillId="0" borderId="14" xfId="2" applyFont="1" applyBorder="1" applyAlignment="1">
      <alignment horizontal="center" vertical="center"/>
    </xf>
    <xf numFmtId="0" fontId="11" fillId="0" borderId="14" xfId="2" applyFont="1" applyBorder="1" applyAlignment="1">
      <alignment horizontal="left" vertical="center" wrapText="1"/>
    </xf>
    <xf numFmtId="2" fontId="11" fillId="0" borderId="14" xfId="2" applyNumberFormat="1" applyFont="1" applyBorder="1" applyAlignment="1">
      <alignment horizontal="center" vertical="center" wrapText="1"/>
    </xf>
    <xf numFmtId="0" fontId="20" fillId="0" borderId="10" xfId="2" applyFont="1" applyBorder="1" applyAlignment="1">
      <alignment horizontal="center" vertical="center"/>
    </xf>
    <xf numFmtId="0" fontId="21" fillId="0" borderId="11" xfId="2" applyFont="1" applyBorder="1" applyAlignment="1">
      <alignment vertical="center" wrapText="1"/>
    </xf>
    <xf numFmtId="2" fontId="21" fillId="0" borderId="11" xfId="2" applyNumberFormat="1" applyFont="1" applyBorder="1" applyAlignment="1">
      <alignment horizontal="center" vertical="center"/>
    </xf>
    <xf numFmtId="9" fontId="22" fillId="0" borderId="11" xfId="2" applyNumberFormat="1" applyFont="1" applyBorder="1" applyAlignment="1">
      <alignment horizontal="center" vertical="center"/>
    </xf>
    <xf numFmtId="164" fontId="23" fillId="0" borderId="11" xfId="2" applyNumberFormat="1" applyFont="1" applyBorder="1" applyAlignment="1">
      <alignment vertical="center" wrapText="1"/>
    </xf>
    <xf numFmtId="164" fontId="23" fillId="0" borderId="11" xfId="2" applyNumberFormat="1" applyFont="1" applyBorder="1" applyAlignment="1">
      <alignment horizontal="center" vertical="center" wrapText="1"/>
    </xf>
    <xf numFmtId="0" fontId="22" fillId="0" borderId="6" xfId="2" applyFont="1" applyBorder="1" applyAlignment="1">
      <alignment horizontal="center"/>
    </xf>
    <xf numFmtId="0" fontId="17" fillId="0" borderId="10" xfId="2" applyFont="1" applyBorder="1"/>
    <xf numFmtId="0" fontId="15" fillId="2" borderId="0" xfId="2" applyFont="1" applyFill="1" applyAlignment="1">
      <alignment horizontal="left" vertical="center" wrapText="1"/>
    </xf>
    <xf numFmtId="0" fontId="15" fillId="2" borderId="11" xfId="2" applyFont="1" applyFill="1" applyBorder="1" applyAlignment="1">
      <alignment horizontal="center" vertical="center" wrapText="1"/>
    </xf>
    <xf numFmtId="0" fontId="15" fillId="2" borderId="6" xfId="2" applyFont="1" applyFill="1" applyBorder="1" applyAlignment="1">
      <alignment horizontal="center" vertical="center" wrapText="1"/>
    </xf>
    <xf numFmtId="0" fontId="15" fillId="2" borderId="10" xfId="2" applyFont="1" applyFill="1" applyBorder="1" applyAlignment="1">
      <alignment horizontal="center" vertical="center"/>
    </xf>
    <xf numFmtId="0" fontId="17" fillId="2" borderId="0" xfId="2" applyFont="1" applyFill="1"/>
    <xf numFmtId="0" fontId="16" fillId="2" borderId="0" xfId="2" applyFont="1" applyFill="1" applyAlignment="1">
      <alignment horizontal="center"/>
    </xf>
    <xf numFmtId="0" fontId="15" fillId="3" borderId="0" xfId="2" applyFont="1" applyFill="1" applyAlignment="1">
      <alignment horizontal="center" vertical="center"/>
    </xf>
    <xf numFmtId="0" fontId="15" fillId="2" borderId="0" xfId="2" applyFont="1" applyFill="1" applyAlignment="1">
      <alignment horizontal="center" vertical="center" wrapText="1"/>
    </xf>
    <xf numFmtId="0" fontId="24" fillId="0" borderId="11" xfId="2" applyFont="1" applyBorder="1" applyAlignment="1">
      <alignment horizontal="center"/>
    </xf>
    <xf numFmtId="0" fontId="24" fillId="0" borderId="10" xfId="2" applyFont="1" applyBorder="1" applyAlignment="1">
      <alignment horizontal="left"/>
    </xf>
    <xf numFmtId="0" fontId="25" fillId="0" borderId="6" xfId="2" applyFont="1" applyBorder="1"/>
    <xf numFmtId="0" fontId="25" fillId="0" borderId="7" xfId="2" applyFont="1" applyBorder="1"/>
    <xf numFmtId="0" fontId="25" fillId="0" borderId="8" xfId="2" applyFont="1" applyBorder="1"/>
    <xf numFmtId="0" fontId="17" fillId="0" borderId="11" xfId="2" applyFont="1" applyBorder="1" applyAlignment="1">
      <alignment horizontal="center"/>
    </xf>
    <xf numFmtId="0" fontId="17" fillId="0" borderId="6" xfId="2" applyFont="1" applyBorder="1" applyAlignment="1">
      <alignment horizontal="center"/>
    </xf>
    <xf numFmtId="0" fontId="17" fillId="3" borderId="10" xfId="2" applyFont="1" applyFill="1" applyBorder="1"/>
    <xf numFmtId="0" fontId="15" fillId="2" borderId="10" xfId="2" applyFont="1" applyFill="1" applyBorder="1" applyAlignment="1">
      <alignment horizontal="left"/>
    </xf>
    <xf numFmtId="0" fontId="26" fillId="2" borderId="10" xfId="2" applyFont="1" applyFill="1" applyBorder="1"/>
    <xf numFmtId="0" fontId="25" fillId="0" borderId="10" xfId="2" applyFont="1" applyBorder="1" applyAlignment="1">
      <alignment horizontal="center" vertical="center"/>
    </xf>
    <xf numFmtId="0" fontId="25" fillId="0" borderId="10" xfId="2" applyFont="1" applyBorder="1" applyAlignment="1">
      <alignment vertical="center" wrapText="1"/>
    </xf>
    <xf numFmtId="0" fontId="25" fillId="0" borderId="9" xfId="2" applyFont="1" applyBorder="1" applyAlignment="1">
      <alignment horizontal="left" vertical="top" wrapText="1"/>
    </xf>
    <xf numFmtId="0" fontId="25" fillId="0" borderId="13" xfId="2" applyFont="1" applyBorder="1" applyAlignment="1">
      <alignment horizontal="left" vertical="top" wrapText="1"/>
    </xf>
    <xf numFmtId="0" fontId="25" fillId="0" borderId="12" xfId="2" applyFont="1" applyBorder="1" applyAlignment="1">
      <alignment horizontal="left" vertical="top" wrapText="1"/>
    </xf>
    <xf numFmtId="0" fontId="17" fillId="0" borderId="9" xfId="2" applyFont="1" applyBorder="1"/>
    <xf numFmtId="0" fontId="24" fillId="0" borderId="10" xfId="2" applyFont="1" applyBorder="1" applyAlignment="1">
      <alignment horizontal="center" vertical="center"/>
    </xf>
    <xf numFmtId="0" fontId="24" fillId="0" borderId="10" xfId="2" applyFont="1" applyBorder="1" applyAlignment="1">
      <alignment horizontal="left" vertical="center"/>
    </xf>
    <xf numFmtId="0" fontId="25" fillId="0" borderId="9" xfId="2" applyFont="1" applyBorder="1"/>
    <xf numFmtId="0" fontId="25" fillId="0" borderId="13" xfId="2" applyFont="1" applyBorder="1"/>
    <xf numFmtId="0" fontId="25" fillId="0" borderId="12" xfId="2" applyFont="1" applyBorder="1"/>
    <xf numFmtId="0" fontId="25" fillId="0" borderId="10" xfId="2" applyFont="1" applyBorder="1" applyAlignment="1">
      <alignment horizontal="left" vertical="center"/>
    </xf>
    <xf numFmtId="0" fontId="25" fillId="0" borderId="9" xfId="2" applyFont="1" applyBorder="1" applyAlignment="1">
      <alignment vertical="top" wrapText="1"/>
    </xf>
    <xf numFmtId="0" fontId="25" fillId="0" borderId="13" xfId="2" applyFont="1" applyBorder="1" applyAlignment="1">
      <alignment vertical="top" wrapText="1"/>
    </xf>
    <xf numFmtId="0" fontId="25" fillId="0" borderId="12" xfId="2" applyFont="1" applyBorder="1" applyAlignment="1">
      <alignment vertical="top" wrapText="1"/>
    </xf>
    <xf numFmtId="0" fontId="26" fillId="2" borderId="10" xfId="2" applyFont="1" applyFill="1" applyBorder="1"/>
    <xf numFmtId="0" fontId="17" fillId="2" borderId="10" xfId="2" applyFont="1" applyFill="1" applyBorder="1"/>
    <xf numFmtId="0" fontId="25" fillId="0" borderId="10" xfId="2" applyFont="1" applyBorder="1" applyAlignment="1">
      <alignment horizontal="left" vertical="center" wrapText="1"/>
    </xf>
    <xf numFmtId="0" fontId="25" fillId="0" borderId="9" xfId="2" applyFont="1" applyBorder="1" applyAlignment="1">
      <alignment horizontal="left" vertical="center" wrapText="1"/>
    </xf>
    <xf numFmtId="0" fontId="25" fillId="0" borderId="13" xfId="2" applyFont="1" applyBorder="1" applyAlignment="1">
      <alignment horizontal="left" vertical="center" wrapText="1"/>
    </xf>
    <xf numFmtId="0" fontId="25" fillId="0" borderId="12" xfId="2" applyFont="1" applyBorder="1" applyAlignment="1">
      <alignment horizontal="left" vertical="center" wrapText="1"/>
    </xf>
    <xf numFmtId="0" fontId="15" fillId="2" borderId="9" xfId="2" applyFont="1" applyFill="1" applyBorder="1" applyAlignment="1">
      <alignment horizontal="left"/>
    </xf>
    <xf numFmtId="0" fontId="15" fillId="2" borderId="13" xfId="2" applyFont="1" applyFill="1" applyBorder="1" applyAlignment="1">
      <alignment horizontal="left"/>
    </xf>
    <xf numFmtId="0" fontId="15" fillId="2" borderId="13" xfId="2" applyFont="1" applyFill="1" applyBorder="1" applyAlignment="1">
      <alignment horizontal="center"/>
    </xf>
    <xf numFmtId="0" fontId="24" fillId="0" borderId="9" xfId="2" applyFont="1" applyBorder="1"/>
    <xf numFmtId="0" fontId="15" fillId="0" borderId="10" xfId="2" applyFont="1" applyBorder="1"/>
    <xf numFmtId="0" fontId="16" fillId="0" borderId="10" xfId="2" applyFont="1" applyBorder="1" applyAlignment="1">
      <alignment horizontal="right" vertical="center"/>
    </xf>
    <xf numFmtId="0" fontId="15" fillId="0" borderId="9" xfId="2" applyFont="1" applyBorder="1"/>
    <xf numFmtId="0" fontId="4" fillId="2" borderId="0" xfId="2" applyFont="1" applyFill="1" applyAlignment="1">
      <alignment horizontal="left"/>
    </xf>
    <xf numFmtId="0" fontId="27" fillId="2" borderId="0" xfId="2" applyFont="1" applyFill="1" applyAlignment="1">
      <alignment horizontal="left"/>
    </xf>
    <xf numFmtId="0" fontId="11" fillId="2" borderId="10" xfId="2" applyFont="1" applyFill="1" applyBorder="1"/>
    <xf numFmtId="0" fontId="4" fillId="2" borderId="10" xfId="2" applyFont="1" applyFill="1" applyBorder="1" applyAlignment="1">
      <alignment horizontal="left" vertical="center" wrapText="1"/>
    </xf>
    <xf numFmtId="0" fontId="6" fillId="0" borderId="4" xfId="2" applyFont="1" applyBorder="1" applyAlignment="1">
      <alignment horizontal="center"/>
    </xf>
    <xf numFmtId="0" fontId="6" fillId="0" borderId="5" xfId="2" applyFont="1" applyBorder="1" applyAlignment="1">
      <alignment horizontal="center"/>
    </xf>
    <xf numFmtId="0" fontId="4" fillId="2" borderId="1" xfId="2" applyFont="1" applyFill="1" applyBorder="1" applyAlignment="1">
      <alignment horizontal="left" vertical="center" wrapText="1"/>
    </xf>
    <xf numFmtId="0" fontId="6" fillId="0" borderId="2" xfId="2" applyFont="1" applyBorder="1" applyAlignment="1">
      <alignment horizontal="left"/>
    </xf>
    <xf numFmtId="0" fontId="4" fillId="2" borderId="3" xfId="2" applyFont="1" applyFill="1" applyBorder="1" applyAlignment="1">
      <alignment horizontal="left" vertical="center" wrapText="1"/>
    </xf>
    <xf numFmtId="0" fontId="6" fillId="0" borderId="1" xfId="2" applyFont="1" applyBorder="1" applyAlignment="1">
      <alignment horizontal="center"/>
    </xf>
    <xf numFmtId="0" fontId="6" fillId="0" borderId="2" xfId="2" applyFont="1" applyBorder="1" applyAlignment="1">
      <alignment horizontal="center"/>
    </xf>
    <xf numFmtId="0" fontId="11" fillId="3" borderId="0" xfId="2" applyFont="1" applyFill="1" applyAlignment="1">
      <alignment horizontal="center"/>
    </xf>
    <xf numFmtId="0" fontId="11" fillId="3" borderId="10" xfId="2" applyFont="1" applyFill="1" applyBorder="1"/>
    <xf numFmtId="0" fontId="4" fillId="2" borderId="4" xfId="2" applyFont="1" applyFill="1" applyBorder="1" applyAlignment="1">
      <alignment horizontal="left" vertical="center" wrapText="1"/>
    </xf>
    <xf numFmtId="0" fontId="6" fillId="0" borderId="0" xfId="2" applyFont="1" applyAlignment="1">
      <alignment horizontal="left"/>
    </xf>
    <xf numFmtId="0" fontId="4" fillId="2" borderId="5" xfId="2" applyFont="1" applyFill="1" applyBorder="1" applyAlignment="1">
      <alignment horizontal="left" vertical="center" wrapText="1"/>
    </xf>
    <xf numFmtId="0" fontId="6" fillId="0" borderId="0" xfId="2" applyFont="1" applyAlignment="1">
      <alignment horizontal="center"/>
    </xf>
    <xf numFmtId="0" fontId="11" fillId="3" borderId="1" xfId="2" applyFont="1" applyFill="1" applyBorder="1" applyAlignment="1">
      <alignment horizontal="center"/>
    </xf>
    <xf numFmtId="0" fontId="11" fillId="3" borderId="2" xfId="2" applyFont="1" applyFill="1" applyBorder="1" applyAlignment="1">
      <alignment horizontal="center"/>
    </xf>
    <xf numFmtId="0" fontId="11" fillId="3" borderId="3" xfId="2" applyFont="1" applyFill="1" applyBorder="1" applyAlignment="1">
      <alignment horizontal="center"/>
    </xf>
    <xf numFmtId="0" fontId="11" fillId="3" borderId="4" xfId="2" applyFont="1" applyFill="1" applyBorder="1" applyAlignment="1">
      <alignment horizontal="center"/>
    </xf>
    <xf numFmtId="0" fontId="11" fillId="3" borderId="0" xfId="2" applyFont="1" applyFill="1" applyAlignment="1">
      <alignment horizontal="center"/>
    </xf>
    <xf numFmtId="0" fontId="11" fillId="3" borderId="5" xfId="2" applyFont="1" applyFill="1" applyBorder="1" applyAlignment="1">
      <alignment horizontal="center"/>
    </xf>
    <xf numFmtId="0" fontId="6" fillId="0" borderId="6" xfId="2" applyFont="1" applyBorder="1" applyAlignment="1">
      <alignment horizontal="center"/>
    </xf>
    <xf numFmtId="0" fontId="6" fillId="0" borderId="8" xfId="2" applyFont="1" applyBorder="1" applyAlignment="1">
      <alignment horizontal="center"/>
    </xf>
    <xf numFmtId="0" fontId="4" fillId="2" borderId="6" xfId="2" applyFont="1" applyFill="1" applyBorder="1" applyAlignment="1">
      <alignment horizontal="left" vertical="center" wrapText="1"/>
    </xf>
    <xf numFmtId="0" fontId="6" fillId="0" borderId="7" xfId="2" applyFont="1" applyBorder="1" applyAlignment="1">
      <alignment horizontal="left"/>
    </xf>
    <xf numFmtId="0" fontId="4" fillId="2" borderId="8" xfId="2" applyFont="1" applyFill="1" applyBorder="1" applyAlignment="1">
      <alignment horizontal="left" vertical="center" wrapText="1"/>
    </xf>
    <xf numFmtId="0" fontId="6" fillId="0" borderId="7" xfId="2" applyFont="1" applyBorder="1" applyAlignment="1">
      <alignment horizontal="center"/>
    </xf>
    <xf numFmtId="0" fontId="4" fillId="3" borderId="0" xfId="2" applyFont="1" applyFill="1" applyAlignment="1">
      <alignment horizontal="left" vertical="center" wrapText="1"/>
    </xf>
    <xf numFmtId="0" fontId="4" fillId="3" borderId="5" xfId="2" applyFont="1" applyFill="1" applyBorder="1" applyAlignment="1">
      <alignment horizontal="left" vertical="center" wrapText="1"/>
    </xf>
    <xf numFmtId="0" fontId="6" fillId="0" borderId="4" xfId="2" applyFont="1" applyBorder="1"/>
    <xf numFmtId="0" fontId="6" fillId="0" borderId="5" xfId="2" applyFont="1" applyBorder="1"/>
    <xf numFmtId="0" fontId="4" fillId="3" borderId="1" xfId="2" applyFont="1" applyFill="1" applyBorder="1" applyAlignment="1">
      <alignment horizontal="left" vertical="center"/>
    </xf>
    <xf numFmtId="0" fontId="4" fillId="3" borderId="3" xfId="2" applyFont="1" applyFill="1" applyBorder="1" applyAlignment="1">
      <alignment horizontal="left" vertical="center"/>
    </xf>
    <xf numFmtId="0" fontId="6" fillId="0" borderId="3" xfId="2" applyFont="1" applyBorder="1" applyAlignment="1">
      <alignment horizontal="center"/>
    </xf>
    <xf numFmtId="0" fontId="4" fillId="3" borderId="4" xfId="2" applyFont="1" applyFill="1" applyBorder="1" applyAlignment="1">
      <alignment horizontal="left" vertical="center"/>
    </xf>
    <xf numFmtId="0" fontId="4" fillId="3" borderId="5" xfId="2" applyFont="1" applyFill="1" applyBorder="1" applyAlignment="1">
      <alignment horizontal="left" vertical="center"/>
    </xf>
    <xf numFmtId="0" fontId="4" fillId="3" borderId="6" xfId="2" applyFont="1" applyFill="1" applyBorder="1" applyAlignment="1">
      <alignment horizontal="left" vertical="center"/>
    </xf>
    <xf numFmtId="0" fontId="4" fillId="3" borderId="8" xfId="2" applyFont="1" applyFill="1" applyBorder="1" applyAlignment="1">
      <alignment horizontal="left" vertical="center"/>
    </xf>
    <xf numFmtId="0" fontId="6" fillId="0" borderId="10" xfId="2" applyFont="1" applyBorder="1"/>
    <xf numFmtId="0" fontId="6" fillId="0" borderId="10" xfId="2" applyFont="1" applyBorder="1" applyAlignment="1">
      <alignment horizontal="center"/>
    </xf>
    <xf numFmtId="0" fontId="4" fillId="2" borderId="1" xfId="2" applyFont="1" applyFill="1" applyBorder="1" applyAlignment="1">
      <alignment horizontal="left" vertical="center"/>
    </xf>
    <xf numFmtId="0" fontId="4" fillId="2" borderId="3" xfId="2" applyFont="1" applyFill="1" applyBorder="1" applyAlignment="1">
      <alignment horizontal="left" vertical="center"/>
    </xf>
    <xf numFmtId="0" fontId="4" fillId="2" borderId="6" xfId="2" applyFont="1" applyFill="1" applyBorder="1" applyAlignment="1">
      <alignment horizontal="left" vertical="center"/>
    </xf>
    <xf numFmtId="0" fontId="4" fillId="2" borderId="8" xfId="2" applyFont="1" applyFill="1" applyBorder="1" applyAlignment="1">
      <alignment horizontal="left" vertical="center"/>
    </xf>
    <xf numFmtId="0" fontId="11" fillId="3" borderId="6" xfId="2" applyFont="1" applyFill="1" applyBorder="1" applyAlignment="1">
      <alignment horizontal="center"/>
    </xf>
    <xf numFmtId="0" fontId="11" fillId="3" borderId="7" xfId="2" applyFont="1" applyFill="1" applyBorder="1" applyAlignment="1">
      <alignment horizontal="center"/>
    </xf>
    <xf numFmtId="0" fontId="11" fillId="3" borderId="8" xfId="2" applyFont="1" applyFill="1" applyBorder="1" applyAlignment="1">
      <alignment horizontal="center"/>
    </xf>
  </cellXfs>
  <cellStyles count="8">
    <cellStyle name="Hyperlink" xfId="1" builtinId="8"/>
    <cellStyle name="Normal" xfId="0" builtinId="0"/>
    <cellStyle name="Normal 2 3" xfId="2" xr:uid="{91E8A67D-4DE9-4170-8C62-EA7B0EFA5049}"/>
    <cellStyle name="Normal 2 3 2" xfId="5" xr:uid="{6833EC3A-1A70-40AF-9FC4-A3075CBC1E80}"/>
    <cellStyle name="Normal 2 3 6" xfId="3" xr:uid="{3119C4FD-E0E7-4991-B237-91C5DD46C545}"/>
    <cellStyle name="Normal 2 4 2" xfId="4" xr:uid="{D361FEEE-3FF1-4ED3-B205-A88081EDD332}"/>
    <cellStyle name="Normal 4 2 2 2 2" xfId="7" xr:uid="{5345CEEF-DC65-4641-AB0A-AB7F919B8864}"/>
    <cellStyle name="Normal 5 2 2" xfId="6" xr:uid="{B4A8D277-0D3D-4B30-B7CD-A97DFC161E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ABAA463E-4AC9-445C-A24A-7E200857553D}"/>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kinbodew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703A-18A8-481D-854A-C97D921E5E99}">
  <sheetPr>
    <pageSetUpPr fitToPage="1"/>
  </sheetPr>
  <dimension ref="A1:R87"/>
  <sheetViews>
    <sheetView tabSelected="1" zoomScale="20" zoomScaleNormal="20" workbookViewId="0">
      <selection activeCell="A77" sqref="A77:XFD87"/>
    </sheetView>
  </sheetViews>
  <sheetFormatPr defaultColWidth="9.140625" defaultRowHeight="15" x14ac:dyDescent="0.25"/>
  <cols>
    <col min="1" max="1" width="14.42578125" style="4" customWidth="1"/>
    <col min="2" max="2" width="110.85546875" style="4" customWidth="1"/>
    <col min="3" max="3" width="68.7109375" style="4" bestFit="1" customWidth="1"/>
    <col min="4" max="4" width="255.7109375" style="4" bestFit="1" customWidth="1"/>
    <col min="5" max="5" width="102.28515625" style="4" bestFit="1" customWidth="1"/>
    <col min="6" max="6" width="69" style="4" customWidth="1"/>
    <col min="7" max="7" width="255.7109375" style="4" bestFit="1" customWidth="1"/>
    <col min="8" max="8" width="74.7109375" style="4" customWidth="1"/>
    <col min="9" max="9" width="70.5703125" style="4" customWidth="1"/>
    <col min="10" max="10" width="65.7109375" style="4" customWidth="1"/>
    <col min="11" max="13" width="32.7109375" style="4" customWidth="1"/>
    <col min="14" max="14" width="28.7109375" style="4" customWidth="1"/>
    <col min="15" max="15" width="31.28515625" style="4" customWidth="1"/>
    <col min="16" max="16384" width="9.140625" style="4"/>
  </cols>
  <sheetData>
    <row r="1" spans="1:18" ht="22.5" customHeight="1" x14ac:dyDescent="0.25">
      <c r="A1" s="1" t="s">
        <v>0</v>
      </c>
      <c r="B1" s="2"/>
      <c r="C1" s="2"/>
      <c r="D1" s="2"/>
      <c r="E1" s="2"/>
      <c r="F1" s="2"/>
      <c r="G1" s="2"/>
      <c r="H1" s="2"/>
      <c r="I1" s="2"/>
      <c r="J1" s="2"/>
      <c r="K1" s="2"/>
      <c r="L1" s="2"/>
      <c r="M1" s="2"/>
      <c r="N1" s="2"/>
      <c r="O1" s="3"/>
    </row>
    <row r="2" spans="1:18" ht="22.5" customHeight="1" x14ac:dyDescent="0.25">
      <c r="A2" s="5"/>
      <c r="B2" s="6"/>
      <c r="C2" s="6"/>
      <c r="D2" s="6"/>
      <c r="E2" s="6"/>
      <c r="F2" s="6"/>
      <c r="G2" s="6"/>
      <c r="H2" s="6"/>
      <c r="I2" s="6"/>
      <c r="J2" s="6"/>
      <c r="K2" s="6"/>
      <c r="L2" s="6"/>
      <c r="M2" s="6"/>
      <c r="N2" s="6"/>
      <c r="O2" s="7"/>
    </row>
    <row r="3" spans="1:18" ht="22.5" customHeight="1" x14ac:dyDescent="0.25">
      <c r="A3" s="8"/>
      <c r="B3" s="9"/>
      <c r="C3" s="9"/>
      <c r="D3" s="9"/>
      <c r="E3" s="9"/>
      <c r="F3" s="9"/>
      <c r="G3" s="9"/>
      <c r="H3" s="9"/>
      <c r="I3" s="9"/>
      <c r="J3" s="9"/>
      <c r="K3" s="9"/>
      <c r="L3" s="9"/>
      <c r="M3" s="9"/>
      <c r="N3" s="9"/>
      <c r="O3" s="10"/>
    </row>
    <row r="4" spans="1:18" s="14" customFormat="1" ht="64.5" x14ac:dyDescent="0.95">
      <c r="A4" s="11" t="s">
        <v>1</v>
      </c>
      <c r="B4" s="11"/>
      <c r="C4" s="11"/>
      <c r="D4" s="11"/>
      <c r="E4" s="11"/>
      <c r="F4" s="11"/>
      <c r="G4" s="11"/>
      <c r="H4" s="11"/>
      <c r="I4" s="11"/>
      <c r="J4" s="12"/>
      <c r="K4" s="13"/>
      <c r="L4" s="13"/>
      <c r="M4" s="13"/>
      <c r="N4" s="13"/>
      <c r="O4" s="13"/>
    </row>
    <row r="5" spans="1:18" s="14" customFormat="1" ht="47.25" customHeight="1" x14ac:dyDescent="0.95">
      <c r="A5" s="15" t="s">
        <v>2</v>
      </c>
      <c r="B5" s="16" t="s">
        <v>3</v>
      </c>
      <c r="C5" s="17" t="s">
        <v>4</v>
      </c>
      <c r="D5" s="18" t="s">
        <v>5</v>
      </c>
      <c r="E5" s="19"/>
      <c r="F5" s="19"/>
      <c r="G5" s="19"/>
      <c r="H5" s="19"/>
      <c r="I5" s="19"/>
      <c r="J5" s="20"/>
      <c r="K5" s="13"/>
      <c r="L5" s="13"/>
      <c r="M5" s="13"/>
      <c r="N5" s="13"/>
      <c r="O5" s="13"/>
    </row>
    <row r="6" spans="1:18" s="14" customFormat="1" ht="64.5" x14ac:dyDescent="0.95">
      <c r="A6" s="21" t="s">
        <v>6</v>
      </c>
      <c r="B6" s="21"/>
      <c r="C6" s="21"/>
      <c r="D6" s="21"/>
      <c r="E6" s="21"/>
      <c r="F6" s="21"/>
      <c r="G6" s="21"/>
      <c r="H6" s="21"/>
      <c r="I6" s="21"/>
      <c r="J6" s="22"/>
      <c r="K6" s="13"/>
      <c r="L6" s="13"/>
      <c r="M6" s="13"/>
      <c r="N6" s="13"/>
      <c r="O6" s="13"/>
    </row>
    <row r="7" spans="1:18" s="29" customFormat="1" ht="64.5" x14ac:dyDescent="0.95">
      <c r="A7" s="23" t="s">
        <v>7</v>
      </c>
      <c r="B7" s="23"/>
      <c r="C7" s="24" t="s">
        <v>8</v>
      </c>
      <c r="D7" s="25" t="s">
        <v>9</v>
      </c>
      <c r="E7" s="24" t="s">
        <v>10</v>
      </c>
      <c r="F7" s="25" t="s">
        <v>11</v>
      </c>
      <c r="G7" s="24" t="s">
        <v>12</v>
      </c>
      <c r="H7" s="25" t="s">
        <v>13</v>
      </c>
      <c r="I7" s="26" t="s">
        <v>14</v>
      </c>
      <c r="J7" s="26"/>
      <c r="K7" s="27"/>
      <c r="L7" s="27"/>
      <c r="M7" s="27"/>
      <c r="N7" s="27"/>
      <c r="O7" s="27"/>
      <c r="P7" s="28"/>
      <c r="Q7" s="28"/>
      <c r="R7" s="28"/>
    </row>
    <row r="8" spans="1:18" s="29" customFormat="1" ht="64.5" x14ac:dyDescent="0.95">
      <c r="A8" s="30" t="s">
        <v>15</v>
      </c>
      <c r="B8" s="30"/>
      <c r="C8" s="24">
        <v>88721</v>
      </c>
      <c r="D8" s="25" t="s">
        <v>16</v>
      </c>
      <c r="E8" s="31" t="s">
        <v>17</v>
      </c>
      <c r="F8" s="25" t="s">
        <v>18</v>
      </c>
      <c r="G8" s="24"/>
      <c r="H8" s="25" t="s">
        <v>19</v>
      </c>
      <c r="I8" s="26" t="s">
        <v>20</v>
      </c>
      <c r="J8" s="26"/>
      <c r="K8" s="27"/>
      <c r="L8" s="27"/>
      <c r="M8" s="27"/>
      <c r="N8" s="27"/>
      <c r="O8" s="27"/>
      <c r="P8" s="28"/>
      <c r="Q8" s="28"/>
      <c r="R8" s="28"/>
    </row>
    <row r="9" spans="1:18" s="29" customFormat="1" ht="62.25" customHeight="1" x14ac:dyDescent="0.95">
      <c r="A9" s="21" t="s">
        <v>21</v>
      </c>
      <c r="B9" s="21"/>
      <c r="C9" s="21"/>
      <c r="D9" s="21"/>
      <c r="E9" s="21"/>
      <c r="F9" s="21"/>
      <c r="G9" s="21"/>
      <c r="H9" s="21"/>
      <c r="I9" s="21"/>
      <c r="J9" s="22"/>
      <c r="K9" s="28"/>
      <c r="L9" s="28"/>
      <c r="M9" s="28"/>
      <c r="N9" s="28"/>
      <c r="O9" s="28"/>
    </row>
    <row r="10" spans="1:18" s="41" customFormat="1" ht="64.5" x14ac:dyDescent="0.95">
      <c r="A10" s="32" t="s">
        <v>7</v>
      </c>
      <c r="B10" s="33"/>
      <c r="C10" s="34" t="s">
        <v>22</v>
      </c>
      <c r="D10" s="35" t="s">
        <v>9</v>
      </c>
      <c r="E10" s="34" t="s">
        <v>23</v>
      </c>
      <c r="F10" s="36" t="s">
        <v>11</v>
      </c>
      <c r="G10" s="37" t="s">
        <v>24</v>
      </c>
      <c r="H10" s="35" t="s">
        <v>13</v>
      </c>
      <c r="I10" s="38" t="s">
        <v>25</v>
      </c>
      <c r="J10" s="39"/>
      <c r="K10" s="40"/>
      <c r="L10" s="40"/>
      <c r="M10" s="40"/>
      <c r="N10" s="40"/>
      <c r="O10" s="40"/>
    </row>
    <row r="11" spans="1:18" s="41" customFormat="1" ht="65.25" x14ac:dyDescent="0.95">
      <c r="A11" s="42" t="s">
        <v>15</v>
      </c>
      <c r="B11" s="43"/>
      <c r="C11" s="44">
        <v>60529</v>
      </c>
      <c r="D11" s="45" t="s">
        <v>16</v>
      </c>
      <c r="E11" s="46" t="s">
        <v>26</v>
      </c>
      <c r="F11" s="47" t="s">
        <v>18</v>
      </c>
      <c r="G11" s="48"/>
      <c r="H11" s="45" t="s">
        <v>19</v>
      </c>
      <c r="I11" s="49" t="s">
        <v>27</v>
      </c>
      <c r="J11" s="50"/>
      <c r="K11" s="40"/>
      <c r="L11" s="40"/>
      <c r="M11" s="40"/>
      <c r="N11" s="40"/>
      <c r="O11" s="40"/>
    </row>
    <row r="12" spans="1:18" s="29" customFormat="1" ht="64.5" x14ac:dyDescent="0.95">
      <c r="A12" s="21" t="s">
        <v>28</v>
      </c>
      <c r="B12" s="21"/>
      <c r="C12" s="21"/>
      <c r="D12" s="21"/>
      <c r="E12" s="21"/>
      <c r="F12" s="21"/>
      <c r="G12" s="21"/>
      <c r="H12" s="21"/>
      <c r="I12" s="21"/>
      <c r="J12" s="22"/>
      <c r="K12" s="28"/>
      <c r="L12" s="28"/>
      <c r="M12" s="28"/>
      <c r="N12" s="28"/>
      <c r="O12" s="28"/>
    </row>
    <row r="13" spans="1:18" s="41" customFormat="1" ht="56.25" customHeight="1" x14ac:dyDescent="0.95">
      <c r="A13" s="51" t="s">
        <v>7</v>
      </c>
      <c r="B13" s="51"/>
      <c r="C13" s="34"/>
      <c r="D13" s="35" t="s">
        <v>9</v>
      </c>
      <c r="E13" s="34"/>
      <c r="F13" s="36" t="s">
        <v>11</v>
      </c>
      <c r="G13" s="37"/>
      <c r="H13" s="35" t="s">
        <v>13</v>
      </c>
      <c r="I13" s="52"/>
      <c r="J13" s="53"/>
      <c r="K13" s="40"/>
      <c r="L13" s="40"/>
      <c r="M13" s="40"/>
      <c r="N13" s="40"/>
      <c r="O13" s="40"/>
    </row>
    <row r="14" spans="1:18" s="41" customFormat="1" ht="57" customHeight="1" x14ac:dyDescent="0.95">
      <c r="A14" s="54" t="s">
        <v>15</v>
      </c>
      <c r="B14" s="54"/>
      <c r="C14" s="44"/>
      <c r="D14" s="45" t="s">
        <v>16</v>
      </c>
      <c r="E14" s="55"/>
      <c r="F14" s="47" t="s">
        <v>18</v>
      </c>
      <c r="G14" s="48"/>
      <c r="H14" s="45" t="s">
        <v>19</v>
      </c>
      <c r="I14" s="56"/>
      <c r="J14" s="57"/>
      <c r="K14" s="40"/>
      <c r="L14" s="40"/>
      <c r="M14" s="40"/>
      <c r="N14" s="40"/>
      <c r="O14" s="40"/>
    </row>
    <row r="15" spans="1:18" ht="24" x14ac:dyDescent="0.35">
      <c r="A15" s="58"/>
      <c r="B15" s="58"/>
      <c r="C15" s="58"/>
      <c r="D15" s="58"/>
      <c r="E15" s="58"/>
      <c r="F15" s="58"/>
      <c r="G15" s="58"/>
      <c r="H15" s="58"/>
      <c r="I15" s="58"/>
      <c r="J15" s="59"/>
      <c r="K15" s="60"/>
      <c r="L15" s="61"/>
      <c r="M15" s="61"/>
      <c r="N15" s="61"/>
      <c r="O15" s="61"/>
    </row>
    <row r="16" spans="1:18" ht="33" x14ac:dyDescent="0.45">
      <c r="A16" s="62" t="s">
        <v>29</v>
      </c>
      <c r="B16" s="62"/>
      <c r="C16" s="62"/>
      <c r="D16" s="62"/>
      <c r="E16" s="62"/>
      <c r="F16" s="62"/>
      <c r="G16" s="62"/>
      <c r="H16" s="62"/>
      <c r="I16" s="62"/>
      <c r="J16" s="63"/>
      <c r="K16" s="64"/>
      <c r="L16" s="65"/>
      <c r="M16" s="65"/>
      <c r="N16" s="65"/>
      <c r="O16" s="65"/>
    </row>
    <row r="17" spans="1:15" ht="57.75" customHeight="1" x14ac:dyDescent="0.25">
      <c r="A17" s="66" t="s">
        <v>30</v>
      </c>
      <c r="B17" s="67" t="s">
        <v>31</v>
      </c>
      <c r="C17" s="66" t="s">
        <v>32</v>
      </c>
      <c r="D17" s="66" t="s">
        <v>33</v>
      </c>
      <c r="E17" s="66" t="s">
        <v>32</v>
      </c>
      <c r="F17" s="68" t="s">
        <v>34</v>
      </c>
      <c r="G17" s="68" t="s">
        <v>35</v>
      </c>
      <c r="H17" s="69" t="s">
        <v>36</v>
      </c>
      <c r="I17" s="68" t="s">
        <v>37</v>
      </c>
      <c r="J17" s="70" t="s">
        <v>38</v>
      </c>
      <c r="K17" s="71"/>
      <c r="L17" s="71"/>
      <c r="M17" s="71"/>
      <c r="N17" s="71"/>
      <c r="O17" s="72"/>
    </row>
    <row r="18" spans="1:15" ht="51.75" customHeight="1" x14ac:dyDescent="0.25">
      <c r="A18" s="67"/>
      <c r="B18" s="67"/>
      <c r="C18" s="67"/>
      <c r="D18" s="67"/>
      <c r="E18" s="67"/>
      <c r="F18" s="73"/>
      <c r="G18" s="73"/>
      <c r="H18" s="74"/>
      <c r="I18" s="73"/>
      <c r="J18" s="75" t="s">
        <v>39</v>
      </c>
      <c r="K18" s="76" t="s">
        <v>40</v>
      </c>
      <c r="L18" s="76" t="s">
        <v>41</v>
      </c>
      <c r="M18" s="75" t="s">
        <v>42</v>
      </c>
      <c r="N18" s="75" t="s">
        <v>43</v>
      </c>
      <c r="O18" s="75" t="s">
        <v>44</v>
      </c>
    </row>
    <row r="19" spans="1:15" s="87" customFormat="1" ht="223.5" customHeight="1" x14ac:dyDescent="0.25">
      <c r="A19" s="77">
        <v>1</v>
      </c>
      <c r="B19" s="78" t="s">
        <v>45</v>
      </c>
      <c r="C19" s="79">
        <f>SUM(E19:E24)</f>
        <v>2.2666666666666666</v>
      </c>
      <c r="D19" s="80" t="s">
        <v>46</v>
      </c>
      <c r="E19" s="81">
        <v>6.6666666666666666E-2</v>
      </c>
      <c r="F19" s="81">
        <f t="shared" ref="F19:F57" si="0">E19/$E$58 * 100</f>
        <v>0.35469977197871805</v>
      </c>
      <c r="G19" s="82" t="s">
        <v>47</v>
      </c>
      <c r="H19" s="83">
        <v>1</v>
      </c>
      <c r="I19" s="84" t="s">
        <v>48</v>
      </c>
      <c r="J19" s="85">
        <v>100</v>
      </c>
      <c r="K19" s="86">
        <v>95</v>
      </c>
      <c r="L19" s="86">
        <v>90</v>
      </c>
      <c r="M19" s="86">
        <v>85</v>
      </c>
      <c r="N19" s="86">
        <v>80</v>
      </c>
      <c r="O19" s="86" t="s">
        <v>49</v>
      </c>
    </row>
    <row r="20" spans="1:15" s="87" customFormat="1" ht="246.75" customHeight="1" x14ac:dyDescent="0.25">
      <c r="A20" s="77"/>
      <c r="B20" s="78"/>
      <c r="C20" s="79"/>
      <c r="D20" s="88"/>
      <c r="E20" s="81">
        <v>6.6666666666666666E-2</v>
      </c>
      <c r="F20" s="81">
        <f t="shared" si="0"/>
        <v>0.35469977197871805</v>
      </c>
      <c r="G20" s="82" t="s">
        <v>50</v>
      </c>
      <c r="H20" s="83">
        <v>1</v>
      </c>
      <c r="I20" s="84" t="s">
        <v>48</v>
      </c>
      <c r="J20" s="85">
        <v>100</v>
      </c>
      <c r="K20" s="86">
        <v>95</v>
      </c>
      <c r="L20" s="86">
        <v>90</v>
      </c>
      <c r="M20" s="86">
        <v>85</v>
      </c>
      <c r="N20" s="86">
        <v>80</v>
      </c>
      <c r="O20" s="86" t="s">
        <v>49</v>
      </c>
    </row>
    <row r="21" spans="1:15" s="87" customFormat="1" ht="223.5" customHeight="1" x14ac:dyDescent="0.25">
      <c r="A21" s="77"/>
      <c r="B21" s="78"/>
      <c r="C21" s="79"/>
      <c r="D21" s="89"/>
      <c r="E21" s="81">
        <v>0.13333333333333333</v>
      </c>
      <c r="F21" s="81">
        <f t="shared" si="0"/>
        <v>0.7093995439574361</v>
      </c>
      <c r="G21" s="82" t="s">
        <v>51</v>
      </c>
      <c r="H21" s="83">
        <v>1</v>
      </c>
      <c r="I21" s="84" t="s">
        <v>48</v>
      </c>
      <c r="J21" s="85">
        <v>100</v>
      </c>
      <c r="K21" s="86">
        <v>95</v>
      </c>
      <c r="L21" s="86">
        <v>90</v>
      </c>
      <c r="M21" s="86">
        <v>85</v>
      </c>
      <c r="N21" s="86">
        <v>80</v>
      </c>
      <c r="O21" s="86" t="s">
        <v>49</v>
      </c>
    </row>
    <row r="22" spans="1:15" s="87" customFormat="1" ht="231.75" customHeight="1" x14ac:dyDescent="0.25">
      <c r="A22" s="77"/>
      <c r="B22" s="78"/>
      <c r="C22" s="79"/>
      <c r="D22" s="78" t="s">
        <v>52</v>
      </c>
      <c r="E22" s="81">
        <v>1</v>
      </c>
      <c r="F22" s="81">
        <f t="shared" si="0"/>
        <v>5.3204965796807704</v>
      </c>
      <c r="G22" s="82" t="s">
        <v>53</v>
      </c>
      <c r="H22" s="83">
        <v>0.5</v>
      </c>
      <c r="I22" s="84" t="s">
        <v>48</v>
      </c>
      <c r="J22" s="85" t="s">
        <v>54</v>
      </c>
      <c r="K22" s="86">
        <v>50</v>
      </c>
      <c r="L22" s="86">
        <v>45</v>
      </c>
      <c r="M22" s="86">
        <v>40</v>
      </c>
      <c r="N22" s="86">
        <v>25</v>
      </c>
      <c r="O22" s="86" t="s">
        <v>55</v>
      </c>
    </row>
    <row r="23" spans="1:15" s="87" customFormat="1" ht="199.5" customHeight="1" x14ac:dyDescent="0.25">
      <c r="A23" s="77"/>
      <c r="B23" s="78"/>
      <c r="C23" s="79"/>
      <c r="D23" s="78"/>
      <c r="E23" s="81">
        <v>0.5</v>
      </c>
      <c r="F23" s="81">
        <f t="shared" si="0"/>
        <v>2.6602482898403852</v>
      </c>
      <c r="G23" s="82" t="s">
        <v>56</v>
      </c>
      <c r="H23" s="83">
        <v>0.5</v>
      </c>
      <c r="I23" s="84" t="s">
        <v>48</v>
      </c>
      <c r="J23" s="85" t="s">
        <v>54</v>
      </c>
      <c r="K23" s="86">
        <v>50</v>
      </c>
      <c r="L23" s="86">
        <v>45</v>
      </c>
      <c r="M23" s="86">
        <v>40</v>
      </c>
      <c r="N23" s="86">
        <v>25</v>
      </c>
      <c r="O23" s="86" t="s">
        <v>55</v>
      </c>
    </row>
    <row r="24" spans="1:15" s="87" customFormat="1" ht="246" customHeight="1" x14ac:dyDescent="0.25">
      <c r="A24" s="77"/>
      <c r="B24" s="78"/>
      <c r="C24" s="79"/>
      <c r="D24" s="78"/>
      <c r="E24" s="81">
        <v>0.5</v>
      </c>
      <c r="F24" s="81">
        <f t="shared" si="0"/>
        <v>2.6602482898403852</v>
      </c>
      <c r="G24" s="82" t="s">
        <v>57</v>
      </c>
      <c r="H24" s="83">
        <v>0.75</v>
      </c>
      <c r="I24" s="84" t="s">
        <v>48</v>
      </c>
      <c r="J24" s="85" t="s">
        <v>58</v>
      </c>
      <c r="K24" s="86">
        <v>75</v>
      </c>
      <c r="L24" s="86">
        <v>70</v>
      </c>
      <c r="M24" s="86">
        <v>60</v>
      </c>
      <c r="N24" s="86">
        <v>50</v>
      </c>
      <c r="O24" s="86" t="s">
        <v>59</v>
      </c>
    </row>
    <row r="25" spans="1:15" s="87" customFormat="1" ht="246" customHeight="1" x14ac:dyDescent="0.25">
      <c r="A25" s="90">
        <v>2</v>
      </c>
      <c r="B25" s="80" t="s">
        <v>60</v>
      </c>
      <c r="C25" s="91">
        <f>SUM(E25:E35)</f>
        <v>5</v>
      </c>
      <c r="D25" s="80" t="s">
        <v>61</v>
      </c>
      <c r="E25" s="81">
        <v>0.3</v>
      </c>
      <c r="F25" s="81">
        <f t="shared" si="0"/>
        <v>1.5961489739042312</v>
      </c>
      <c r="G25" s="82" t="s">
        <v>62</v>
      </c>
      <c r="H25" s="92">
        <v>1</v>
      </c>
      <c r="I25" s="84" t="s">
        <v>48</v>
      </c>
      <c r="J25" s="85">
        <v>100</v>
      </c>
      <c r="K25" s="86">
        <v>95</v>
      </c>
      <c r="L25" s="86">
        <v>90</v>
      </c>
      <c r="M25" s="86">
        <v>85</v>
      </c>
      <c r="N25" s="86">
        <v>80</v>
      </c>
      <c r="O25" s="86" t="s">
        <v>49</v>
      </c>
    </row>
    <row r="26" spans="1:15" s="87" customFormat="1" ht="246" customHeight="1" x14ac:dyDescent="0.25">
      <c r="A26" s="93"/>
      <c r="B26" s="88"/>
      <c r="C26" s="94"/>
      <c r="D26" s="88"/>
      <c r="E26" s="81">
        <v>0.3</v>
      </c>
      <c r="F26" s="81">
        <f t="shared" si="0"/>
        <v>1.5961489739042312</v>
      </c>
      <c r="G26" s="82" t="s">
        <v>63</v>
      </c>
      <c r="H26" s="92">
        <v>0.8</v>
      </c>
      <c r="I26" s="95" t="s">
        <v>48</v>
      </c>
      <c r="J26" s="85" t="s">
        <v>64</v>
      </c>
      <c r="K26" s="86">
        <v>80</v>
      </c>
      <c r="L26" s="86">
        <v>75</v>
      </c>
      <c r="M26" s="86">
        <v>70</v>
      </c>
      <c r="N26" s="86">
        <v>50</v>
      </c>
      <c r="O26" s="86" t="s">
        <v>59</v>
      </c>
    </row>
    <row r="27" spans="1:15" s="87" customFormat="1" ht="246" customHeight="1" x14ac:dyDescent="0.25">
      <c r="A27" s="93"/>
      <c r="B27" s="88"/>
      <c r="C27" s="94"/>
      <c r="D27" s="89"/>
      <c r="E27" s="81">
        <v>0.4</v>
      </c>
      <c r="F27" s="81">
        <f t="shared" si="0"/>
        <v>2.1281986318723081</v>
      </c>
      <c r="G27" s="82" t="s">
        <v>65</v>
      </c>
      <c r="H27" s="92">
        <v>0.9</v>
      </c>
      <c r="I27" s="95" t="s">
        <v>48</v>
      </c>
      <c r="J27" s="85" t="s">
        <v>66</v>
      </c>
      <c r="K27" s="86">
        <v>90</v>
      </c>
      <c r="L27" s="86">
        <v>80</v>
      </c>
      <c r="M27" s="86">
        <v>70</v>
      </c>
      <c r="N27" s="86">
        <v>50</v>
      </c>
      <c r="O27" s="86" t="s">
        <v>59</v>
      </c>
    </row>
    <row r="28" spans="1:15" s="87" customFormat="1" ht="246" customHeight="1" x14ac:dyDescent="0.25">
      <c r="A28" s="93"/>
      <c r="B28" s="88"/>
      <c r="C28" s="94"/>
      <c r="D28" s="80" t="s">
        <v>67</v>
      </c>
      <c r="E28" s="81">
        <v>0.5</v>
      </c>
      <c r="F28" s="81">
        <f t="shared" si="0"/>
        <v>2.6602482898403852</v>
      </c>
      <c r="G28" s="82" t="s">
        <v>68</v>
      </c>
      <c r="H28" s="92">
        <v>0.75</v>
      </c>
      <c r="I28" s="84" t="s">
        <v>48</v>
      </c>
      <c r="J28" s="85" t="s">
        <v>58</v>
      </c>
      <c r="K28" s="86">
        <v>75</v>
      </c>
      <c r="L28" s="86">
        <v>70</v>
      </c>
      <c r="M28" s="86">
        <v>60</v>
      </c>
      <c r="N28" s="86">
        <v>50</v>
      </c>
      <c r="O28" s="86" t="s">
        <v>59</v>
      </c>
    </row>
    <row r="29" spans="1:15" s="87" customFormat="1" ht="246" customHeight="1" x14ac:dyDescent="0.25">
      <c r="A29" s="93"/>
      <c r="B29" s="88"/>
      <c r="C29" s="94"/>
      <c r="D29" s="89"/>
      <c r="E29" s="81">
        <v>0.5</v>
      </c>
      <c r="F29" s="81">
        <f t="shared" si="0"/>
        <v>2.6602482898403852</v>
      </c>
      <c r="G29" s="82" t="s">
        <v>69</v>
      </c>
      <c r="H29" s="92">
        <v>0.9</v>
      </c>
      <c r="I29" s="95" t="s">
        <v>48</v>
      </c>
      <c r="J29" s="85" t="s">
        <v>66</v>
      </c>
      <c r="K29" s="86">
        <v>90</v>
      </c>
      <c r="L29" s="86">
        <v>80</v>
      </c>
      <c r="M29" s="86">
        <v>70</v>
      </c>
      <c r="N29" s="86">
        <v>50</v>
      </c>
      <c r="O29" s="86" t="s">
        <v>59</v>
      </c>
    </row>
    <row r="30" spans="1:15" s="87" customFormat="1" ht="246" customHeight="1" x14ac:dyDescent="0.25">
      <c r="A30" s="93"/>
      <c r="B30" s="88"/>
      <c r="C30" s="94"/>
      <c r="D30" s="80" t="s">
        <v>70</v>
      </c>
      <c r="E30" s="81">
        <v>0.5</v>
      </c>
      <c r="F30" s="81">
        <f t="shared" si="0"/>
        <v>2.6602482898403852</v>
      </c>
      <c r="G30" s="82" t="s">
        <v>71</v>
      </c>
      <c r="H30" s="92">
        <v>0.8</v>
      </c>
      <c r="I30" s="95" t="s">
        <v>48</v>
      </c>
      <c r="J30" s="85" t="s">
        <v>64</v>
      </c>
      <c r="K30" s="86">
        <v>80</v>
      </c>
      <c r="L30" s="86">
        <v>75</v>
      </c>
      <c r="M30" s="86">
        <v>70</v>
      </c>
      <c r="N30" s="86">
        <v>50</v>
      </c>
      <c r="O30" s="86" t="s">
        <v>59</v>
      </c>
    </row>
    <row r="31" spans="1:15" s="87" customFormat="1" ht="246" customHeight="1" x14ac:dyDescent="0.25">
      <c r="A31" s="93"/>
      <c r="B31" s="88"/>
      <c r="C31" s="94"/>
      <c r="D31" s="89"/>
      <c r="E31" s="81">
        <v>0.5</v>
      </c>
      <c r="F31" s="81">
        <f t="shared" si="0"/>
        <v>2.6602482898403852</v>
      </c>
      <c r="G31" s="82" t="s">
        <v>72</v>
      </c>
      <c r="H31" s="92">
        <v>0.9</v>
      </c>
      <c r="I31" s="95" t="s">
        <v>48</v>
      </c>
      <c r="J31" s="85" t="s">
        <v>66</v>
      </c>
      <c r="K31" s="86">
        <v>90</v>
      </c>
      <c r="L31" s="86">
        <v>80</v>
      </c>
      <c r="M31" s="86">
        <v>70</v>
      </c>
      <c r="N31" s="86">
        <v>50</v>
      </c>
      <c r="O31" s="86" t="s">
        <v>59</v>
      </c>
    </row>
    <row r="32" spans="1:15" s="87" customFormat="1" ht="246" customHeight="1" x14ac:dyDescent="0.25">
      <c r="A32" s="93"/>
      <c r="B32" s="88"/>
      <c r="C32" s="94"/>
      <c r="D32" s="80" t="s">
        <v>73</v>
      </c>
      <c r="E32" s="81">
        <v>0.5</v>
      </c>
      <c r="F32" s="81">
        <f t="shared" si="0"/>
        <v>2.6602482898403852</v>
      </c>
      <c r="G32" s="82" t="s">
        <v>74</v>
      </c>
      <c r="H32" s="92">
        <v>1</v>
      </c>
      <c r="I32" s="84" t="s">
        <v>48</v>
      </c>
      <c r="J32" s="85">
        <v>100</v>
      </c>
      <c r="K32" s="86">
        <v>95</v>
      </c>
      <c r="L32" s="86">
        <v>90</v>
      </c>
      <c r="M32" s="86">
        <v>85</v>
      </c>
      <c r="N32" s="86">
        <v>80</v>
      </c>
      <c r="O32" s="86" t="s">
        <v>49</v>
      </c>
    </row>
    <row r="33" spans="1:15" s="87" customFormat="1" ht="246" customHeight="1" x14ac:dyDescent="0.25">
      <c r="A33" s="93"/>
      <c r="B33" s="88"/>
      <c r="C33" s="94"/>
      <c r="D33" s="89"/>
      <c r="E33" s="81">
        <v>0.5</v>
      </c>
      <c r="F33" s="81">
        <f t="shared" si="0"/>
        <v>2.6602482898403852</v>
      </c>
      <c r="G33" s="82" t="s">
        <v>75</v>
      </c>
      <c r="H33" s="92">
        <v>1</v>
      </c>
      <c r="I33" s="84" t="s">
        <v>48</v>
      </c>
      <c r="J33" s="85">
        <v>100</v>
      </c>
      <c r="K33" s="86">
        <v>95</v>
      </c>
      <c r="L33" s="86">
        <v>90</v>
      </c>
      <c r="M33" s="86">
        <v>85</v>
      </c>
      <c r="N33" s="86">
        <v>80</v>
      </c>
      <c r="O33" s="86" t="s">
        <v>49</v>
      </c>
    </row>
    <row r="34" spans="1:15" s="87" customFormat="1" ht="246" customHeight="1" x14ac:dyDescent="0.25">
      <c r="A34" s="93"/>
      <c r="B34" s="88"/>
      <c r="C34" s="94"/>
      <c r="D34" s="80" t="s">
        <v>76</v>
      </c>
      <c r="E34" s="81">
        <v>0.5</v>
      </c>
      <c r="F34" s="81">
        <f t="shared" si="0"/>
        <v>2.6602482898403852</v>
      </c>
      <c r="G34" s="82" t="s">
        <v>77</v>
      </c>
      <c r="H34" s="92">
        <v>0.8</v>
      </c>
      <c r="I34" s="95" t="s">
        <v>48</v>
      </c>
      <c r="J34" s="85" t="s">
        <v>64</v>
      </c>
      <c r="K34" s="86">
        <v>80</v>
      </c>
      <c r="L34" s="86">
        <v>75</v>
      </c>
      <c r="M34" s="86">
        <v>70</v>
      </c>
      <c r="N34" s="86">
        <v>50</v>
      </c>
      <c r="O34" s="86" t="s">
        <v>59</v>
      </c>
    </row>
    <row r="35" spans="1:15" s="87" customFormat="1" ht="246" customHeight="1" x14ac:dyDescent="0.25">
      <c r="A35" s="96"/>
      <c r="B35" s="89"/>
      <c r="C35" s="97"/>
      <c r="D35" s="89"/>
      <c r="E35" s="81">
        <v>0.5</v>
      </c>
      <c r="F35" s="81">
        <f t="shared" si="0"/>
        <v>2.6602482898403852</v>
      </c>
      <c r="G35" s="82" t="s">
        <v>78</v>
      </c>
      <c r="H35" s="83">
        <v>0.2</v>
      </c>
      <c r="I35" s="84" t="s">
        <v>48</v>
      </c>
      <c r="J35" s="85" t="s">
        <v>79</v>
      </c>
      <c r="K35" s="86">
        <v>20</v>
      </c>
      <c r="L35" s="86">
        <v>15</v>
      </c>
      <c r="M35" s="86">
        <v>10</v>
      </c>
      <c r="N35" s="86">
        <v>5</v>
      </c>
      <c r="O35" s="86" t="s">
        <v>80</v>
      </c>
    </row>
    <row r="36" spans="1:15" s="87" customFormat="1" ht="246" customHeight="1" x14ac:dyDescent="0.25">
      <c r="A36" s="90">
        <v>3</v>
      </c>
      <c r="B36" s="80" t="s">
        <v>81</v>
      </c>
      <c r="C36" s="91">
        <f>SUM(E36:E45)</f>
        <v>5</v>
      </c>
      <c r="D36" s="80" t="s">
        <v>82</v>
      </c>
      <c r="E36" s="81">
        <v>0.7</v>
      </c>
      <c r="F36" s="81">
        <f t="shared" si="0"/>
        <v>3.7243476057765394</v>
      </c>
      <c r="G36" s="82" t="s">
        <v>83</v>
      </c>
      <c r="H36" s="92">
        <v>0.8</v>
      </c>
      <c r="I36" s="95" t="s">
        <v>48</v>
      </c>
      <c r="J36" s="85" t="s">
        <v>64</v>
      </c>
      <c r="K36" s="86">
        <v>80</v>
      </c>
      <c r="L36" s="86">
        <v>75</v>
      </c>
      <c r="M36" s="86">
        <v>70</v>
      </c>
      <c r="N36" s="86">
        <v>50</v>
      </c>
      <c r="O36" s="86" t="s">
        <v>59</v>
      </c>
    </row>
    <row r="37" spans="1:15" s="87" customFormat="1" ht="246" customHeight="1" x14ac:dyDescent="0.25">
      <c r="A37" s="93"/>
      <c r="B37" s="88"/>
      <c r="C37" s="94"/>
      <c r="D37" s="89"/>
      <c r="E37" s="81">
        <v>0.3</v>
      </c>
      <c r="F37" s="81">
        <f t="shared" si="0"/>
        <v>1.5961489739042312</v>
      </c>
      <c r="G37" s="82" t="s">
        <v>84</v>
      </c>
      <c r="H37" s="92">
        <v>1</v>
      </c>
      <c r="I37" s="84" t="s">
        <v>48</v>
      </c>
      <c r="J37" s="85">
        <v>100</v>
      </c>
      <c r="K37" s="86">
        <v>95</v>
      </c>
      <c r="L37" s="86">
        <v>90</v>
      </c>
      <c r="M37" s="86">
        <v>85</v>
      </c>
      <c r="N37" s="86">
        <v>80</v>
      </c>
      <c r="O37" s="86" t="s">
        <v>49</v>
      </c>
    </row>
    <row r="38" spans="1:15" s="87" customFormat="1" ht="246" customHeight="1" x14ac:dyDescent="0.25">
      <c r="A38" s="93"/>
      <c r="B38" s="88"/>
      <c r="C38" s="94"/>
      <c r="D38" s="80" t="s">
        <v>85</v>
      </c>
      <c r="E38" s="81">
        <v>0.5</v>
      </c>
      <c r="F38" s="81">
        <f t="shared" si="0"/>
        <v>2.6602482898403852</v>
      </c>
      <c r="G38" s="82" t="s">
        <v>86</v>
      </c>
      <c r="H38" s="92">
        <v>1</v>
      </c>
      <c r="I38" s="84" t="s">
        <v>48</v>
      </c>
      <c r="J38" s="85">
        <v>100</v>
      </c>
      <c r="K38" s="86">
        <v>95</v>
      </c>
      <c r="L38" s="86">
        <v>90</v>
      </c>
      <c r="M38" s="86">
        <v>85</v>
      </c>
      <c r="N38" s="86">
        <v>80</v>
      </c>
      <c r="O38" s="86" t="s">
        <v>49</v>
      </c>
    </row>
    <row r="39" spans="1:15" s="87" customFormat="1" ht="246" customHeight="1" x14ac:dyDescent="0.25">
      <c r="A39" s="93"/>
      <c r="B39" s="88"/>
      <c r="C39" s="94"/>
      <c r="D39" s="89"/>
      <c r="E39" s="81">
        <v>0.5</v>
      </c>
      <c r="F39" s="81">
        <f t="shared" si="0"/>
        <v>2.6602482898403852</v>
      </c>
      <c r="G39" s="82" t="s">
        <v>87</v>
      </c>
      <c r="H39" s="92">
        <v>0.8</v>
      </c>
      <c r="I39" s="95" t="s">
        <v>48</v>
      </c>
      <c r="J39" s="85" t="s">
        <v>64</v>
      </c>
      <c r="K39" s="86">
        <v>80</v>
      </c>
      <c r="L39" s="86">
        <v>75</v>
      </c>
      <c r="M39" s="86">
        <v>70</v>
      </c>
      <c r="N39" s="86">
        <v>50</v>
      </c>
      <c r="O39" s="86" t="s">
        <v>59</v>
      </c>
    </row>
    <row r="40" spans="1:15" s="87" customFormat="1" ht="246" customHeight="1" x14ac:dyDescent="0.25">
      <c r="A40" s="93"/>
      <c r="B40" s="88"/>
      <c r="C40" s="94"/>
      <c r="D40" s="80" t="s">
        <v>88</v>
      </c>
      <c r="E40" s="81">
        <v>0.5</v>
      </c>
      <c r="F40" s="81">
        <f t="shared" si="0"/>
        <v>2.6602482898403852</v>
      </c>
      <c r="G40" s="82" t="s">
        <v>89</v>
      </c>
      <c r="H40" s="95">
        <v>10</v>
      </c>
      <c r="I40" s="84" t="s">
        <v>90</v>
      </c>
      <c r="J40" s="85" t="s">
        <v>91</v>
      </c>
      <c r="K40" s="86">
        <v>10</v>
      </c>
      <c r="L40" s="86">
        <v>8</v>
      </c>
      <c r="M40" s="86">
        <v>6</v>
      </c>
      <c r="N40" s="86">
        <v>5</v>
      </c>
      <c r="O40" s="86" t="s">
        <v>80</v>
      </c>
    </row>
    <row r="41" spans="1:15" s="87" customFormat="1" ht="246" customHeight="1" x14ac:dyDescent="0.25">
      <c r="A41" s="93"/>
      <c r="B41" s="88"/>
      <c r="C41" s="94"/>
      <c r="D41" s="89"/>
      <c r="E41" s="81">
        <v>0.5</v>
      </c>
      <c r="F41" s="81">
        <f t="shared" si="0"/>
        <v>2.6602482898403852</v>
      </c>
      <c r="G41" s="82" t="s">
        <v>92</v>
      </c>
      <c r="H41" s="92">
        <v>0.8</v>
      </c>
      <c r="I41" s="95" t="s">
        <v>48</v>
      </c>
      <c r="J41" s="85" t="s">
        <v>64</v>
      </c>
      <c r="K41" s="86">
        <v>80</v>
      </c>
      <c r="L41" s="86">
        <v>75</v>
      </c>
      <c r="M41" s="86">
        <v>70</v>
      </c>
      <c r="N41" s="86">
        <v>50</v>
      </c>
      <c r="O41" s="86" t="s">
        <v>59</v>
      </c>
    </row>
    <row r="42" spans="1:15" s="87" customFormat="1" ht="246" customHeight="1" x14ac:dyDescent="0.25">
      <c r="A42" s="93"/>
      <c r="B42" s="88"/>
      <c r="C42" s="94"/>
      <c r="D42" s="80" t="s">
        <v>93</v>
      </c>
      <c r="E42" s="81">
        <v>0.5</v>
      </c>
      <c r="F42" s="81">
        <f t="shared" si="0"/>
        <v>2.6602482898403852</v>
      </c>
      <c r="G42" s="82" t="s">
        <v>94</v>
      </c>
      <c r="H42" s="95">
        <v>5</v>
      </c>
      <c r="I42" s="84" t="s">
        <v>90</v>
      </c>
      <c r="J42" s="85" t="s">
        <v>95</v>
      </c>
      <c r="K42" s="86">
        <v>5</v>
      </c>
      <c r="L42" s="86">
        <v>4</v>
      </c>
      <c r="M42" s="86">
        <v>3</v>
      </c>
      <c r="N42" s="86">
        <v>2</v>
      </c>
      <c r="O42" s="86">
        <v>1</v>
      </c>
    </row>
    <row r="43" spans="1:15" s="87" customFormat="1" ht="246" customHeight="1" x14ac:dyDescent="0.25">
      <c r="A43" s="93"/>
      <c r="B43" s="88"/>
      <c r="C43" s="94"/>
      <c r="D43" s="89"/>
      <c r="E43" s="81">
        <v>0.5</v>
      </c>
      <c r="F43" s="81">
        <f t="shared" si="0"/>
        <v>2.6602482898403852</v>
      </c>
      <c r="G43" s="82" t="s">
        <v>96</v>
      </c>
      <c r="H43" s="95">
        <v>10</v>
      </c>
      <c r="I43" s="84" t="s">
        <v>90</v>
      </c>
      <c r="J43" s="85" t="s">
        <v>91</v>
      </c>
      <c r="K43" s="86">
        <v>10</v>
      </c>
      <c r="L43" s="86">
        <v>8</v>
      </c>
      <c r="M43" s="86">
        <v>6</v>
      </c>
      <c r="N43" s="86">
        <v>5</v>
      </c>
      <c r="O43" s="86" t="s">
        <v>80</v>
      </c>
    </row>
    <row r="44" spans="1:15" s="87" customFormat="1" ht="246" customHeight="1" x14ac:dyDescent="0.25">
      <c r="A44" s="93"/>
      <c r="B44" s="88"/>
      <c r="C44" s="94"/>
      <c r="D44" s="80" t="s">
        <v>97</v>
      </c>
      <c r="E44" s="81">
        <v>0.8</v>
      </c>
      <c r="F44" s="81">
        <f t="shared" si="0"/>
        <v>4.2563972637446161</v>
      </c>
      <c r="G44" s="82" t="s">
        <v>98</v>
      </c>
      <c r="H44" s="92">
        <v>0.8</v>
      </c>
      <c r="I44" s="95" t="s">
        <v>48</v>
      </c>
      <c r="J44" s="85" t="s">
        <v>64</v>
      </c>
      <c r="K44" s="86">
        <v>80</v>
      </c>
      <c r="L44" s="86">
        <v>75</v>
      </c>
      <c r="M44" s="86">
        <v>70</v>
      </c>
      <c r="N44" s="86">
        <v>50</v>
      </c>
      <c r="O44" s="86" t="s">
        <v>59</v>
      </c>
    </row>
    <row r="45" spans="1:15" s="87" customFormat="1" ht="246" customHeight="1" x14ac:dyDescent="0.25">
      <c r="A45" s="96"/>
      <c r="B45" s="89"/>
      <c r="C45" s="97"/>
      <c r="D45" s="89"/>
      <c r="E45" s="98">
        <v>0.2</v>
      </c>
      <c r="F45" s="81">
        <f t="shared" si="0"/>
        <v>1.064099315936154</v>
      </c>
      <c r="G45" s="99" t="s">
        <v>99</v>
      </c>
      <c r="H45" s="92">
        <v>0.2</v>
      </c>
      <c r="I45" s="84" t="s">
        <v>48</v>
      </c>
      <c r="J45" s="85" t="s">
        <v>79</v>
      </c>
      <c r="K45" s="86">
        <v>20</v>
      </c>
      <c r="L45" s="86">
        <v>15</v>
      </c>
      <c r="M45" s="86">
        <v>10</v>
      </c>
      <c r="N45" s="86">
        <v>5</v>
      </c>
      <c r="O45" s="86" t="s">
        <v>80</v>
      </c>
    </row>
    <row r="46" spans="1:15" s="87" customFormat="1" ht="246" customHeight="1" x14ac:dyDescent="0.25">
      <c r="A46" s="77">
        <v>4</v>
      </c>
      <c r="B46" s="78" t="s">
        <v>100</v>
      </c>
      <c r="C46" s="100">
        <f>SUM(E46:E48)</f>
        <v>3.5</v>
      </c>
      <c r="D46" s="78" t="s">
        <v>101</v>
      </c>
      <c r="E46" s="81">
        <v>1.4</v>
      </c>
      <c r="F46" s="81">
        <f t="shared" si="0"/>
        <v>7.4486952115530789</v>
      </c>
      <c r="G46" s="82" t="s">
        <v>102</v>
      </c>
      <c r="H46" s="95">
        <v>5</v>
      </c>
      <c r="I46" s="84" t="s">
        <v>90</v>
      </c>
      <c r="J46" s="85" t="s">
        <v>95</v>
      </c>
      <c r="K46" s="86">
        <v>5</v>
      </c>
      <c r="L46" s="86">
        <v>4</v>
      </c>
      <c r="M46" s="86">
        <v>3</v>
      </c>
      <c r="N46" s="86">
        <v>2</v>
      </c>
      <c r="O46" s="86">
        <v>1</v>
      </c>
    </row>
    <row r="47" spans="1:15" s="87" customFormat="1" ht="246" customHeight="1" x14ac:dyDescent="0.25">
      <c r="A47" s="77"/>
      <c r="B47" s="78"/>
      <c r="C47" s="100"/>
      <c r="D47" s="78"/>
      <c r="E47" s="81">
        <v>1.4</v>
      </c>
      <c r="F47" s="81">
        <f t="shared" si="0"/>
        <v>7.4486952115530789</v>
      </c>
      <c r="G47" s="82" t="s">
        <v>103</v>
      </c>
      <c r="H47" s="92">
        <v>0.1</v>
      </c>
      <c r="I47" s="95" t="s">
        <v>48</v>
      </c>
      <c r="J47" s="85" t="s">
        <v>91</v>
      </c>
      <c r="K47" s="86">
        <v>10</v>
      </c>
      <c r="L47" s="86">
        <v>7</v>
      </c>
      <c r="M47" s="86">
        <v>6</v>
      </c>
      <c r="N47" s="86">
        <v>5</v>
      </c>
      <c r="O47" s="86" t="s">
        <v>80</v>
      </c>
    </row>
    <row r="48" spans="1:15" s="87" customFormat="1" ht="358.5" customHeight="1" x14ac:dyDescent="0.25">
      <c r="A48" s="77"/>
      <c r="B48" s="78"/>
      <c r="C48" s="100"/>
      <c r="D48" s="78"/>
      <c r="E48" s="81">
        <v>0.7</v>
      </c>
      <c r="F48" s="81">
        <f t="shared" si="0"/>
        <v>3.7243476057765394</v>
      </c>
      <c r="G48" s="82" t="s">
        <v>104</v>
      </c>
      <c r="H48" s="95">
        <v>2</v>
      </c>
      <c r="I48" s="84" t="s">
        <v>90</v>
      </c>
      <c r="J48" s="85" t="s">
        <v>105</v>
      </c>
      <c r="K48" s="86">
        <v>2</v>
      </c>
      <c r="L48" s="86">
        <v>1</v>
      </c>
      <c r="M48" s="86">
        <v>0</v>
      </c>
      <c r="N48" s="86"/>
      <c r="O48" s="86"/>
    </row>
    <row r="49" spans="1:15" s="87" customFormat="1" ht="358.5" customHeight="1" x14ac:dyDescent="0.25">
      <c r="A49" s="95">
        <v>5</v>
      </c>
      <c r="B49" s="82" t="s">
        <v>106</v>
      </c>
      <c r="C49" s="101">
        <f>E49</f>
        <v>0.30000000000000004</v>
      </c>
      <c r="D49" s="82" t="s">
        <v>107</v>
      </c>
      <c r="E49" s="81">
        <v>0.30000000000000004</v>
      </c>
      <c r="F49" s="81">
        <f t="shared" si="0"/>
        <v>1.5961489739042312</v>
      </c>
      <c r="G49" s="82" t="s">
        <v>108</v>
      </c>
      <c r="H49" s="95">
        <v>5</v>
      </c>
      <c r="I49" s="95" t="s">
        <v>90</v>
      </c>
      <c r="J49" s="85" t="s">
        <v>95</v>
      </c>
      <c r="K49" s="86">
        <v>5</v>
      </c>
      <c r="L49" s="86">
        <v>4</v>
      </c>
      <c r="M49" s="86">
        <v>3</v>
      </c>
      <c r="N49" s="86">
        <v>2</v>
      </c>
      <c r="O49" s="86">
        <v>1</v>
      </c>
    </row>
    <row r="50" spans="1:15" s="87" customFormat="1" ht="246" customHeight="1" x14ac:dyDescent="0.25">
      <c r="A50" s="90">
        <v>6</v>
      </c>
      <c r="B50" s="80" t="s">
        <v>109</v>
      </c>
      <c r="C50" s="102">
        <f>SUM(E50:E52)</f>
        <v>2</v>
      </c>
      <c r="D50" s="80" t="s">
        <v>110</v>
      </c>
      <c r="E50" s="81">
        <v>0.4</v>
      </c>
      <c r="F50" s="81">
        <f t="shared" si="0"/>
        <v>2.1281986318723081</v>
      </c>
      <c r="G50" s="82" t="s">
        <v>111</v>
      </c>
      <c r="H50" s="95">
        <v>5</v>
      </c>
      <c r="I50" s="95" t="s">
        <v>90</v>
      </c>
      <c r="J50" s="85" t="s">
        <v>95</v>
      </c>
      <c r="K50" s="86">
        <v>5</v>
      </c>
      <c r="L50" s="86">
        <v>4</v>
      </c>
      <c r="M50" s="86">
        <v>3</v>
      </c>
      <c r="N50" s="86">
        <v>2</v>
      </c>
      <c r="O50" s="86">
        <v>1</v>
      </c>
    </row>
    <row r="51" spans="1:15" s="87" customFormat="1" ht="246" customHeight="1" x14ac:dyDescent="0.25">
      <c r="A51" s="93"/>
      <c r="B51" s="88"/>
      <c r="C51" s="103"/>
      <c r="D51" s="88"/>
      <c r="E51" s="81">
        <v>0.8</v>
      </c>
      <c r="F51" s="81">
        <f t="shared" si="0"/>
        <v>4.2563972637446161</v>
      </c>
      <c r="G51" s="82" t="s">
        <v>112</v>
      </c>
      <c r="H51" s="92">
        <v>0.2</v>
      </c>
      <c r="I51" s="84" t="s">
        <v>48</v>
      </c>
      <c r="J51" s="85" t="s">
        <v>79</v>
      </c>
      <c r="K51" s="86">
        <v>20</v>
      </c>
      <c r="L51" s="86">
        <v>15</v>
      </c>
      <c r="M51" s="86">
        <v>10</v>
      </c>
      <c r="N51" s="86">
        <v>5</v>
      </c>
      <c r="O51" s="86" t="s">
        <v>80</v>
      </c>
    </row>
    <row r="52" spans="1:15" s="87" customFormat="1" ht="246" customHeight="1" x14ac:dyDescent="0.25">
      <c r="A52" s="96"/>
      <c r="B52" s="89"/>
      <c r="C52" s="104"/>
      <c r="D52" s="89"/>
      <c r="E52" s="81">
        <v>0.8</v>
      </c>
      <c r="F52" s="81">
        <f t="shared" si="0"/>
        <v>4.2563972637446161</v>
      </c>
      <c r="G52" s="82" t="s">
        <v>113</v>
      </c>
      <c r="H52" s="92">
        <v>0.8</v>
      </c>
      <c r="I52" s="95" t="s">
        <v>48</v>
      </c>
      <c r="J52" s="85" t="s">
        <v>64</v>
      </c>
      <c r="K52" s="86">
        <v>80</v>
      </c>
      <c r="L52" s="86">
        <v>75</v>
      </c>
      <c r="M52" s="86">
        <v>70</v>
      </c>
      <c r="N52" s="86">
        <v>50</v>
      </c>
      <c r="O52" s="86" t="s">
        <v>59</v>
      </c>
    </row>
    <row r="53" spans="1:15" s="87" customFormat="1" ht="246" customHeight="1" x14ac:dyDescent="0.25">
      <c r="A53" s="77">
        <v>7</v>
      </c>
      <c r="B53" s="78" t="s">
        <v>114</v>
      </c>
      <c r="C53" s="100">
        <f>SUM(E53:E54)</f>
        <v>0.16666666666666669</v>
      </c>
      <c r="D53" s="78" t="s">
        <v>115</v>
      </c>
      <c r="E53" s="81">
        <v>0.10000000000000002</v>
      </c>
      <c r="F53" s="81">
        <f t="shared" si="0"/>
        <v>0.53204965796807713</v>
      </c>
      <c r="G53" s="82" t="s">
        <v>116</v>
      </c>
      <c r="H53" s="92">
        <v>0.8</v>
      </c>
      <c r="I53" s="95" t="s">
        <v>48</v>
      </c>
      <c r="J53" s="85" t="s">
        <v>64</v>
      </c>
      <c r="K53" s="86">
        <v>80</v>
      </c>
      <c r="L53" s="86">
        <v>75</v>
      </c>
      <c r="M53" s="86">
        <v>70</v>
      </c>
      <c r="N53" s="86">
        <v>50</v>
      </c>
      <c r="O53" s="86" t="s">
        <v>59</v>
      </c>
    </row>
    <row r="54" spans="1:15" s="87" customFormat="1" ht="246" customHeight="1" x14ac:dyDescent="0.25">
      <c r="A54" s="77"/>
      <c r="B54" s="78"/>
      <c r="C54" s="100"/>
      <c r="D54" s="78"/>
      <c r="E54" s="81">
        <v>6.6666666666666666E-2</v>
      </c>
      <c r="F54" s="81">
        <f t="shared" si="0"/>
        <v>0.35469977197871805</v>
      </c>
      <c r="G54" s="82" t="s">
        <v>117</v>
      </c>
      <c r="H54" s="92">
        <v>0.8</v>
      </c>
      <c r="I54" s="95" t="s">
        <v>48</v>
      </c>
      <c r="J54" s="85" t="s">
        <v>64</v>
      </c>
      <c r="K54" s="86">
        <v>80</v>
      </c>
      <c r="L54" s="86">
        <v>75</v>
      </c>
      <c r="M54" s="86">
        <v>70</v>
      </c>
      <c r="N54" s="86">
        <v>50</v>
      </c>
      <c r="O54" s="86" t="s">
        <v>59</v>
      </c>
    </row>
    <row r="55" spans="1:15" s="87" customFormat="1" ht="407.25" customHeight="1" x14ac:dyDescent="0.25">
      <c r="A55" s="105">
        <v>8</v>
      </c>
      <c r="B55" s="106" t="s">
        <v>118</v>
      </c>
      <c r="C55" s="107">
        <f>E55</f>
        <v>0.42857142857142855</v>
      </c>
      <c r="D55" s="106" t="s">
        <v>119</v>
      </c>
      <c r="E55" s="81">
        <v>0.42857142857142855</v>
      </c>
      <c r="F55" s="81">
        <f t="shared" si="0"/>
        <v>2.2802128198631872</v>
      </c>
      <c r="G55" s="82" t="s">
        <v>120</v>
      </c>
      <c r="H55" s="92">
        <v>1</v>
      </c>
      <c r="I55" s="84" t="s">
        <v>48</v>
      </c>
      <c r="J55" s="85">
        <v>100</v>
      </c>
      <c r="K55" s="86">
        <v>95</v>
      </c>
      <c r="L55" s="86">
        <v>90</v>
      </c>
      <c r="M55" s="86">
        <v>85</v>
      </c>
      <c r="N55" s="86">
        <v>80</v>
      </c>
      <c r="O55" s="86" t="s">
        <v>49</v>
      </c>
    </row>
    <row r="56" spans="1:15" s="87" customFormat="1" ht="246" customHeight="1" x14ac:dyDescent="0.25">
      <c r="A56" s="77">
        <v>9</v>
      </c>
      <c r="B56" s="78" t="s">
        <v>121</v>
      </c>
      <c r="C56" s="100">
        <f>SUM(E56:E57)</f>
        <v>0.13333333333333333</v>
      </c>
      <c r="D56" s="82" t="s">
        <v>122</v>
      </c>
      <c r="E56" s="81">
        <v>6.6666666666666666E-2</v>
      </c>
      <c r="F56" s="81">
        <f t="shared" si="0"/>
        <v>0.35469977197871805</v>
      </c>
      <c r="G56" s="82" t="s">
        <v>123</v>
      </c>
      <c r="H56" s="83">
        <v>0.7</v>
      </c>
      <c r="I56" s="95" t="s">
        <v>48</v>
      </c>
      <c r="J56" s="85" t="s">
        <v>124</v>
      </c>
      <c r="K56" s="86">
        <v>70</v>
      </c>
      <c r="L56" s="86">
        <v>60</v>
      </c>
      <c r="M56" s="86">
        <v>50</v>
      </c>
      <c r="N56" s="86">
        <v>40</v>
      </c>
      <c r="O56" s="86" t="s">
        <v>125</v>
      </c>
    </row>
    <row r="57" spans="1:15" s="87" customFormat="1" ht="246" customHeight="1" x14ac:dyDescent="0.25">
      <c r="A57" s="77"/>
      <c r="B57" s="78"/>
      <c r="C57" s="100"/>
      <c r="D57" s="82" t="s">
        <v>126</v>
      </c>
      <c r="E57" s="81">
        <v>6.6666666666666666E-2</v>
      </c>
      <c r="F57" s="81">
        <f t="shared" si="0"/>
        <v>0.35469977197871805</v>
      </c>
      <c r="G57" s="82" t="s">
        <v>127</v>
      </c>
      <c r="H57" s="83">
        <v>0.5</v>
      </c>
      <c r="I57" s="84" t="s">
        <v>48</v>
      </c>
      <c r="J57" s="85" t="s">
        <v>54</v>
      </c>
      <c r="K57" s="86">
        <v>50</v>
      </c>
      <c r="L57" s="86">
        <v>45</v>
      </c>
      <c r="M57" s="86">
        <v>40</v>
      </c>
      <c r="N57" s="86">
        <v>25</v>
      </c>
      <c r="O57" s="86" t="s">
        <v>55</v>
      </c>
    </row>
    <row r="58" spans="1:15" ht="82.5" customHeight="1" x14ac:dyDescent="0.45">
      <c r="A58" s="108"/>
      <c r="B58" s="109" t="s">
        <v>128</v>
      </c>
      <c r="C58" s="110">
        <f>SUM(C19:C57)</f>
        <v>18.795238095238094</v>
      </c>
      <c r="D58" s="110"/>
      <c r="E58" s="110">
        <f>SUM(E19:E57)</f>
        <v>18.795238095238094</v>
      </c>
      <c r="F58" s="110">
        <f>SUM(F19:F57)</f>
        <v>99.999999999999943</v>
      </c>
      <c r="G58" s="111"/>
      <c r="H58" s="112"/>
      <c r="I58" s="113"/>
      <c r="J58" s="114"/>
      <c r="K58" s="115"/>
      <c r="L58" s="115"/>
      <c r="M58" s="115"/>
      <c r="N58" s="115"/>
      <c r="O58" s="115"/>
    </row>
    <row r="59" spans="1:15" ht="32.25" x14ac:dyDescent="0.25">
      <c r="A59" s="116" t="s">
        <v>129</v>
      </c>
      <c r="B59" s="116"/>
      <c r="C59" s="116"/>
      <c r="D59" s="116"/>
      <c r="E59" s="116"/>
      <c r="F59" s="116"/>
      <c r="G59" s="116"/>
      <c r="H59" s="117"/>
      <c r="I59" s="117"/>
      <c r="J59" s="118"/>
      <c r="K59" s="119" t="s">
        <v>130</v>
      </c>
      <c r="L59" s="119"/>
      <c r="M59" s="119"/>
      <c r="N59" s="119"/>
      <c r="O59" s="119"/>
    </row>
    <row r="60" spans="1:15" ht="33" x14ac:dyDescent="0.45">
      <c r="A60" s="120"/>
      <c r="B60" s="121"/>
      <c r="C60" s="122" t="s">
        <v>131</v>
      </c>
      <c r="D60" s="122"/>
      <c r="E60" s="122"/>
      <c r="F60" s="122"/>
      <c r="G60" s="122"/>
      <c r="H60" s="123" t="s">
        <v>132</v>
      </c>
      <c r="I60" s="123" t="s">
        <v>133</v>
      </c>
      <c r="J60" s="123" t="s">
        <v>134</v>
      </c>
      <c r="K60" s="119"/>
      <c r="L60" s="119"/>
      <c r="M60" s="119"/>
      <c r="N60" s="119"/>
      <c r="O60" s="119"/>
    </row>
    <row r="61" spans="1:15" ht="49.5" x14ac:dyDescent="0.6">
      <c r="A61" s="124">
        <v>1</v>
      </c>
      <c r="B61" s="125" t="s">
        <v>135</v>
      </c>
      <c r="C61" s="126"/>
      <c r="D61" s="127"/>
      <c r="E61" s="127"/>
      <c r="F61" s="127"/>
      <c r="G61" s="128"/>
      <c r="H61" s="129"/>
      <c r="I61" s="129"/>
      <c r="J61" s="130"/>
      <c r="K61" s="131"/>
      <c r="L61" s="132" t="s">
        <v>39</v>
      </c>
      <c r="M61" s="133" t="s">
        <v>136</v>
      </c>
      <c r="N61" s="133"/>
      <c r="O61" s="133"/>
    </row>
    <row r="62" spans="1:15" ht="89.25" customHeight="1" x14ac:dyDescent="0.45">
      <c r="A62" s="134" t="s">
        <v>137</v>
      </c>
      <c r="B62" s="135" t="s">
        <v>138</v>
      </c>
      <c r="C62" s="136"/>
      <c r="D62" s="137"/>
      <c r="E62" s="137"/>
      <c r="F62" s="137"/>
      <c r="G62" s="138"/>
      <c r="H62" s="115">
        <v>3</v>
      </c>
      <c r="I62" s="115">
        <v>3</v>
      </c>
      <c r="J62" s="139"/>
      <c r="K62" s="131"/>
      <c r="L62" s="132" t="s">
        <v>40</v>
      </c>
      <c r="M62" s="133" t="s">
        <v>139</v>
      </c>
      <c r="N62" s="133"/>
      <c r="O62" s="133"/>
    </row>
    <row r="63" spans="1:15" ht="86.25" customHeight="1" x14ac:dyDescent="0.45">
      <c r="A63" s="134" t="s">
        <v>140</v>
      </c>
      <c r="B63" s="135" t="s">
        <v>141</v>
      </c>
      <c r="C63" s="136"/>
      <c r="D63" s="137"/>
      <c r="E63" s="137"/>
      <c r="F63" s="137"/>
      <c r="G63" s="138"/>
      <c r="H63" s="115">
        <v>3</v>
      </c>
      <c r="I63" s="115">
        <v>3</v>
      </c>
      <c r="J63" s="139"/>
      <c r="K63" s="131"/>
      <c r="L63" s="132" t="s">
        <v>41</v>
      </c>
      <c r="M63" s="133" t="s">
        <v>142</v>
      </c>
      <c r="N63" s="133"/>
      <c r="O63" s="133"/>
    </row>
    <row r="64" spans="1:15" ht="79.5" customHeight="1" x14ac:dyDescent="0.45">
      <c r="A64" s="134" t="s">
        <v>143</v>
      </c>
      <c r="B64" s="135" t="s">
        <v>144</v>
      </c>
      <c r="C64" s="136"/>
      <c r="D64" s="137"/>
      <c r="E64" s="137"/>
      <c r="F64" s="137"/>
      <c r="G64" s="138"/>
      <c r="H64" s="115">
        <v>3</v>
      </c>
      <c r="I64" s="115">
        <v>3</v>
      </c>
      <c r="J64" s="139"/>
      <c r="K64" s="131"/>
      <c r="L64" s="132" t="s">
        <v>42</v>
      </c>
      <c r="M64" s="133" t="s">
        <v>145</v>
      </c>
      <c r="N64" s="133"/>
      <c r="O64" s="133"/>
    </row>
    <row r="65" spans="1:15" ht="79.5" customHeight="1" x14ac:dyDescent="0.6">
      <c r="A65" s="140">
        <v>2</v>
      </c>
      <c r="B65" s="141" t="s">
        <v>146</v>
      </c>
      <c r="C65" s="142"/>
      <c r="D65" s="143"/>
      <c r="E65" s="143"/>
      <c r="F65" s="143"/>
      <c r="G65" s="144"/>
      <c r="H65" s="115"/>
      <c r="I65" s="115"/>
      <c r="J65" s="139"/>
      <c r="K65" s="131"/>
      <c r="L65" s="132" t="s">
        <v>43</v>
      </c>
      <c r="M65" s="133" t="s">
        <v>147</v>
      </c>
      <c r="N65" s="133"/>
      <c r="O65" s="133"/>
    </row>
    <row r="66" spans="1:15" ht="96.75" customHeight="1" x14ac:dyDescent="0.45">
      <c r="A66" s="134" t="s">
        <v>137</v>
      </c>
      <c r="B66" s="145" t="s">
        <v>148</v>
      </c>
      <c r="C66" s="146"/>
      <c r="D66" s="147"/>
      <c r="E66" s="147"/>
      <c r="F66" s="147"/>
      <c r="G66" s="148"/>
      <c r="H66" s="115">
        <v>3</v>
      </c>
      <c r="I66" s="115">
        <v>3</v>
      </c>
      <c r="J66" s="139"/>
      <c r="K66" s="131"/>
      <c r="L66" s="132" t="s">
        <v>44</v>
      </c>
      <c r="M66" s="133" t="s">
        <v>149</v>
      </c>
      <c r="N66" s="133"/>
      <c r="O66" s="133"/>
    </row>
    <row r="67" spans="1:15" ht="84.75" customHeight="1" x14ac:dyDescent="0.45">
      <c r="A67" s="134" t="s">
        <v>140</v>
      </c>
      <c r="B67" s="145" t="s">
        <v>150</v>
      </c>
      <c r="C67" s="146"/>
      <c r="D67" s="147"/>
      <c r="E67" s="147"/>
      <c r="F67" s="147"/>
      <c r="G67" s="148"/>
      <c r="H67" s="115">
        <v>2</v>
      </c>
      <c r="I67" s="115">
        <v>2</v>
      </c>
      <c r="J67" s="139"/>
      <c r="K67" s="131"/>
      <c r="L67" s="149" t="s">
        <v>134</v>
      </c>
      <c r="M67" s="149" t="s">
        <v>151</v>
      </c>
      <c r="N67" s="150"/>
      <c r="O67" s="150"/>
    </row>
    <row r="68" spans="1:15" ht="96" customHeight="1" x14ac:dyDescent="0.45">
      <c r="A68" s="134" t="s">
        <v>143</v>
      </c>
      <c r="B68" s="151" t="s">
        <v>152</v>
      </c>
      <c r="C68" s="146"/>
      <c r="D68" s="147"/>
      <c r="E68" s="147"/>
      <c r="F68" s="147"/>
      <c r="G68" s="148"/>
      <c r="H68" s="115">
        <v>2</v>
      </c>
      <c r="I68" s="115">
        <v>2</v>
      </c>
      <c r="J68" s="139"/>
      <c r="K68" s="131"/>
      <c r="L68" s="149" t="s">
        <v>153</v>
      </c>
      <c r="M68" s="133" t="s">
        <v>154</v>
      </c>
      <c r="N68" s="133"/>
      <c r="O68" s="133"/>
    </row>
    <row r="69" spans="1:15" ht="49.5" x14ac:dyDescent="0.6">
      <c r="A69" s="140">
        <v>3</v>
      </c>
      <c r="B69" s="141" t="s">
        <v>155</v>
      </c>
      <c r="C69" s="142"/>
      <c r="D69" s="143"/>
      <c r="E69" s="143"/>
      <c r="F69" s="143"/>
      <c r="G69" s="144"/>
      <c r="H69" s="115"/>
      <c r="I69" s="115"/>
      <c r="J69" s="139"/>
      <c r="K69" s="131"/>
      <c r="L69" s="149" t="s">
        <v>132</v>
      </c>
      <c r="M69" s="133" t="s">
        <v>156</v>
      </c>
      <c r="N69" s="133"/>
      <c r="O69" s="133"/>
    </row>
    <row r="70" spans="1:15" ht="81.75" customHeight="1" x14ac:dyDescent="0.45">
      <c r="A70" s="134" t="s">
        <v>137</v>
      </c>
      <c r="B70" s="145" t="s">
        <v>157</v>
      </c>
      <c r="C70" s="152"/>
      <c r="D70" s="153"/>
      <c r="E70" s="153"/>
      <c r="F70" s="153"/>
      <c r="G70" s="154"/>
      <c r="H70" s="115">
        <v>2</v>
      </c>
      <c r="I70" s="115">
        <v>2</v>
      </c>
      <c r="J70" s="139"/>
      <c r="K70" s="131"/>
      <c r="L70" s="149" t="s">
        <v>133</v>
      </c>
      <c r="M70" s="133" t="s">
        <v>158</v>
      </c>
      <c r="N70" s="133"/>
      <c r="O70" s="133"/>
    </row>
    <row r="71" spans="1:15" ht="72" customHeight="1" x14ac:dyDescent="0.45">
      <c r="A71" s="134" t="s">
        <v>140</v>
      </c>
      <c r="B71" s="145" t="s">
        <v>159</v>
      </c>
      <c r="C71" s="152"/>
      <c r="D71" s="153"/>
      <c r="E71" s="153"/>
      <c r="F71" s="153"/>
      <c r="G71" s="154"/>
      <c r="H71" s="115">
        <v>1</v>
      </c>
      <c r="I71" s="115">
        <v>1</v>
      </c>
      <c r="J71" s="139"/>
      <c r="K71" s="131"/>
      <c r="L71" s="149" t="s">
        <v>160</v>
      </c>
      <c r="M71" s="133" t="s">
        <v>161</v>
      </c>
      <c r="N71" s="133"/>
      <c r="O71" s="133"/>
    </row>
    <row r="72" spans="1:15" ht="78" customHeight="1" x14ac:dyDescent="0.45">
      <c r="A72" s="134" t="s">
        <v>143</v>
      </c>
      <c r="B72" s="145" t="s">
        <v>162</v>
      </c>
      <c r="C72" s="152"/>
      <c r="D72" s="153"/>
      <c r="E72" s="153"/>
      <c r="F72" s="153"/>
      <c r="G72" s="154"/>
      <c r="H72" s="115">
        <v>1</v>
      </c>
      <c r="I72" s="115">
        <v>1</v>
      </c>
      <c r="J72" s="139"/>
      <c r="K72" s="131"/>
      <c r="L72" s="150"/>
      <c r="M72" s="150"/>
      <c r="N72" s="150"/>
      <c r="O72" s="150"/>
    </row>
    <row r="73" spans="1:15" ht="33" x14ac:dyDescent="0.45">
      <c r="A73" s="155" t="s">
        <v>163</v>
      </c>
      <c r="B73" s="156"/>
      <c r="C73" s="156"/>
      <c r="D73" s="156"/>
      <c r="E73" s="156"/>
      <c r="F73" s="156"/>
      <c r="G73" s="156"/>
      <c r="H73" s="157"/>
      <c r="I73" s="157"/>
      <c r="J73" s="157"/>
      <c r="K73" s="131"/>
      <c r="L73" s="150"/>
      <c r="M73" s="150"/>
      <c r="N73" s="150"/>
      <c r="O73" s="150"/>
    </row>
    <row r="74" spans="1:15" ht="49.5" x14ac:dyDescent="0.6">
      <c r="A74" s="134" t="s">
        <v>137</v>
      </c>
      <c r="B74" s="158" t="s">
        <v>164</v>
      </c>
      <c r="C74" s="146" t="s">
        <v>165</v>
      </c>
      <c r="D74" s="147"/>
      <c r="E74" s="147"/>
      <c r="F74" s="147"/>
      <c r="G74" s="148"/>
      <c r="H74" s="159">
        <v>4</v>
      </c>
      <c r="I74" s="160">
        <v>4</v>
      </c>
      <c r="J74" s="161"/>
      <c r="K74" s="131"/>
      <c r="L74" s="150"/>
      <c r="M74" s="150"/>
      <c r="N74" s="150"/>
      <c r="O74" s="150"/>
    </row>
    <row r="75" spans="1:15" ht="49.5" x14ac:dyDescent="0.6">
      <c r="A75" s="134" t="s">
        <v>140</v>
      </c>
      <c r="B75" s="158" t="s">
        <v>166</v>
      </c>
      <c r="C75" s="146" t="s">
        <v>167</v>
      </c>
      <c r="D75" s="147"/>
      <c r="E75" s="147"/>
      <c r="F75" s="147"/>
      <c r="G75" s="148"/>
      <c r="H75" s="159">
        <v>4</v>
      </c>
      <c r="I75" s="160">
        <v>4</v>
      </c>
      <c r="J75" s="161"/>
      <c r="K75" s="131"/>
      <c r="L75" s="150"/>
      <c r="M75" s="150"/>
      <c r="N75" s="150"/>
      <c r="O75" s="150"/>
    </row>
    <row r="76" spans="1:15" ht="68.25" customHeight="1" x14ac:dyDescent="0.6">
      <c r="A76" s="134" t="s">
        <v>140</v>
      </c>
      <c r="B76" s="158" t="s">
        <v>168</v>
      </c>
      <c r="C76" s="146" t="s">
        <v>169</v>
      </c>
      <c r="D76" s="147"/>
      <c r="E76" s="147"/>
      <c r="F76" s="147"/>
      <c r="G76" s="148"/>
      <c r="H76" s="159">
        <v>2</v>
      </c>
      <c r="I76" s="160">
        <v>2</v>
      </c>
      <c r="J76" s="161"/>
      <c r="K76" s="131"/>
      <c r="L76" s="150"/>
      <c r="M76" s="150"/>
      <c r="N76" s="150"/>
      <c r="O76" s="150"/>
    </row>
    <row r="77" spans="1:15" s="14" customFormat="1" ht="65.25" x14ac:dyDescent="0.95">
      <c r="A77" s="162" t="s">
        <v>170</v>
      </c>
      <c r="B77" s="162"/>
      <c r="C77" s="162"/>
      <c r="D77" s="162"/>
      <c r="E77" s="162"/>
      <c r="F77" s="162"/>
      <c r="G77" s="162"/>
      <c r="H77" s="162"/>
      <c r="I77" s="162"/>
      <c r="J77" s="163"/>
      <c r="K77" s="164"/>
      <c r="L77" s="164"/>
      <c r="M77" s="164"/>
      <c r="N77" s="164"/>
      <c r="O77" s="164"/>
    </row>
    <row r="78" spans="1:15" s="14" customFormat="1" ht="15" customHeight="1" x14ac:dyDescent="0.95">
      <c r="A78" s="165" t="s">
        <v>171</v>
      </c>
      <c r="B78" s="165"/>
      <c r="C78" s="166"/>
      <c r="D78" s="167"/>
      <c r="E78" s="168" t="s">
        <v>172</v>
      </c>
      <c r="F78" s="169"/>
      <c r="G78" s="170" t="s">
        <v>173</v>
      </c>
      <c r="H78" s="171"/>
      <c r="I78" s="172"/>
      <c r="J78" s="173"/>
      <c r="K78" s="174"/>
      <c r="L78" s="174"/>
      <c r="M78" s="174"/>
      <c r="N78" s="174"/>
      <c r="O78" s="174"/>
    </row>
    <row r="79" spans="1:15" s="14" customFormat="1" ht="33" customHeight="1" x14ac:dyDescent="0.95">
      <c r="A79" s="165"/>
      <c r="B79" s="165"/>
      <c r="C79" s="166"/>
      <c r="D79" s="167"/>
      <c r="E79" s="175"/>
      <c r="F79" s="176"/>
      <c r="G79" s="177"/>
      <c r="H79" s="166"/>
      <c r="I79" s="178"/>
      <c r="J79" s="173"/>
      <c r="K79" s="179"/>
      <c r="L79" s="180"/>
      <c r="M79" s="180"/>
      <c r="N79" s="180"/>
      <c r="O79" s="181"/>
    </row>
    <row r="80" spans="1:15" s="14" customFormat="1" ht="33" customHeight="1" x14ac:dyDescent="0.95">
      <c r="A80" s="165"/>
      <c r="B80" s="165"/>
      <c r="C80" s="166"/>
      <c r="D80" s="167"/>
      <c r="E80" s="175"/>
      <c r="F80" s="176"/>
      <c r="G80" s="177"/>
      <c r="H80" s="166"/>
      <c r="I80" s="178"/>
      <c r="J80" s="173"/>
      <c r="K80" s="182"/>
      <c r="L80" s="183"/>
      <c r="M80" s="183"/>
      <c r="N80" s="183"/>
      <c r="O80" s="184"/>
    </row>
    <row r="81" spans="1:15" s="14" customFormat="1" ht="27.75" customHeight="1" x14ac:dyDescent="0.95">
      <c r="A81" s="165"/>
      <c r="B81" s="165"/>
      <c r="C81" s="185"/>
      <c r="D81" s="186"/>
      <c r="E81" s="187"/>
      <c r="F81" s="188"/>
      <c r="G81" s="189"/>
      <c r="H81" s="185"/>
      <c r="I81" s="190"/>
      <c r="J81" s="173"/>
      <c r="K81" s="182"/>
      <c r="L81" s="183"/>
      <c r="M81" s="183"/>
      <c r="N81" s="183"/>
      <c r="O81" s="184"/>
    </row>
    <row r="82" spans="1:15" s="14" customFormat="1" ht="33" customHeight="1" x14ac:dyDescent="0.95">
      <c r="A82" s="191" t="s">
        <v>174</v>
      </c>
      <c r="B82" s="192"/>
      <c r="C82" s="193"/>
      <c r="D82" s="194"/>
      <c r="E82" s="195" t="s">
        <v>174</v>
      </c>
      <c r="F82" s="169"/>
      <c r="G82" s="196" t="s">
        <v>174</v>
      </c>
      <c r="H82" s="171"/>
      <c r="I82" s="197"/>
      <c r="J82" s="173"/>
      <c r="K82" s="182"/>
      <c r="L82" s="183"/>
      <c r="M82" s="183"/>
      <c r="N82" s="183"/>
      <c r="O82" s="184"/>
    </row>
    <row r="83" spans="1:15" s="14" customFormat="1" ht="30.75" customHeight="1" x14ac:dyDescent="0.95">
      <c r="A83" s="191"/>
      <c r="B83" s="192"/>
      <c r="C83" s="193"/>
      <c r="D83" s="194"/>
      <c r="E83" s="198"/>
      <c r="F83" s="176"/>
      <c r="G83" s="199"/>
      <c r="H83" s="185"/>
      <c r="I83" s="186"/>
      <c r="J83" s="173"/>
      <c r="K83" s="182"/>
      <c r="L83" s="183"/>
      <c r="M83" s="183"/>
      <c r="N83" s="183"/>
      <c r="O83" s="184"/>
    </row>
    <row r="84" spans="1:15" s="14" customFormat="1" ht="17.25" hidden="1" customHeight="1" x14ac:dyDescent="0.95">
      <c r="A84" s="191"/>
      <c r="B84" s="192"/>
      <c r="C84" s="193"/>
      <c r="D84" s="194"/>
      <c r="E84" s="200"/>
      <c r="F84" s="188"/>
      <c r="G84" s="201"/>
      <c r="H84" s="202"/>
      <c r="I84" s="202"/>
      <c r="J84" s="173"/>
      <c r="K84" s="182"/>
      <c r="L84" s="183"/>
      <c r="M84" s="183"/>
      <c r="N84" s="183"/>
      <c r="O84" s="184"/>
    </row>
    <row r="85" spans="1:15" s="14" customFormat="1" ht="33" customHeight="1" x14ac:dyDescent="0.95">
      <c r="A85" s="11" t="s">
        <v>175</v>
      </c>
      <c r="B85" s="177"/>
      <c r="C85" s="203"/>
      <c r="D85" s="203"/>
      <c r="E85" s="204" t="s">
        <v>175</v>
      </c>
      <c r="F85" s="169"/>
      <c r="G85" s="205" t="s">
        <v>175</v>
      </c>
      <c r="H85" s="171"/>
      <c r="I85" s="197"/>
      <c r="J85" s="173"/>
      <c r="K85" s="182"/>
      <c r="L85" s="183"/>
      <c r="M85" s="183"/>
      <c r="N85" s="183"/>
      <c r="O85" s="184"/>
    </row>
    <row r="86" spans="1:15" s="14" customFormat="1" ht="33" customHeight="1" x14ac:dyDescent="0.95">
      <c r="A86" s="11"/>
      <c r="B86" s="177"/>
      <c r="C86" s="203"/>
      <c r="D86" s="203"/>
      <c r="E86" s="206"/>
      <c r="F86" s="188"/>
      <c r="G86" s="207"/>
      <c r="H86" s="185"/>
      <c r="I86" s="186"/>
      <c r="J86" s="173"/>
      <c r="K86" s="182"/>
      <c r="L86" s="183"/>
      <c r="M86" s="183"/>
      <c r="N86" s="183"/>
      <c r="O86" s="184"/>
    </row>
    <row r="87" spans="1:15" s="14" customFormat="1" ht="65.25" x14ac:dyDescent="0.95">
      <c r="A87" s="183"/>
      <c r="B87" s="183"/>
      <c r="C87" s="183"/>
      <c r="D87" s="183"/>
      <c r="E87" s="183"/>
      <c r="F87" s="183"/>
      <c r="G87" s="183"/>
      <c r="H87" s="183"/>
      <c r="I87" s="183"/>
      <c r="J87" s="173"/>
      <c r="K87" s="208"/>
      <c r="L87" s="209"/>
      <c r="M87" s="209"/>
      <c r="N87" s="209"/>
      <c r="O87" s="210"/>
    </row>
  </sheetData>
  <mergeCells count="116">
    <mergeCell ref="G85:G86"/>
    <mergeCell ref="H85:I86"/>
    <mergeCell ref="A87:I87"/>
    <mergeCell ref="K79:O87"/>
    <mergeCell ref="A82:B84"/>
    <mergeCell ref="E82:E84"/>
    <mergeCell ref="F82:F84"/>
    <mergeCell ref="G82:G84"/>
    <mergeCell ref="H82:I83"/>
    <mergeCell ref="A85:B86"/>
    <mergeCell ref="C85:D86"/>
    <mergeCell ref="E85:E86"/>
    <mergeCell ref="F85:F86"/>
    <mergeCell ref="A78:B81"/>
    <mergeCell ref="C78:D81"/>
    <mergeCell ref="E78:E81"/>
    <mergeCell ref="F78:F81"/>
    <mergeCell ref="G78:G81"/>
    <mergeCell ref="H78:I81"/>
    <mergeCell ref="C72:G72"/>
    <mergeCell ref="A73:G73"/>
    <mergeCell ref="C74:G74"/>
    <mergeCell ref="C75:G75"/>
    <mergeCell ref="C76:G76"/>
    <mergeCell ref="A77:I77"/>
    <mergeCell ref="C69:G69"/>
    <mergeCell ref="M69:O69"/>
    <mergeCell ref="C70:G70"/>
    <mergeCell ref="M70:O70"/>
    <mergeCell ref="C71:G71"/>
    <mergeCell ref="M71:O71"/>
    <mergeCell ref="C65:G65"/>
    <mergeCell ref="M65:O65"/>
    <mergeCell ref="C66:G66"/>
    <mergeCell ref="M66:O66"/>
    <mergeCell ref="C67:G67"/>
    <mergeCell ref="C68:G68"/>
    <mergeCell ref="M68:O68"/>
    <mergeCell ref="C62:G62"/>
    <mergeCell ref="M62:O62"/>
    <mergeCell ref="C63:G63"/>
    <mergeCell ref="M63:O63"/>
    <mergeCell ref="C64:G64"/>
    <mergeCell ref="M64:O64"/>
    <mergeCell ref="A59:G59"/>
    <mergeCell ref="H59:J59"/>
    <mergeCell ref="K59:O60"/>
    <mergeCell ref="C60:G60"/>
    <mergeCell ref="C61:G61"/>
    <mergeCell ref="M61:O61"/>
    <mergeCell ref="A53:A54"/>
    <mergeCell ref="B53:B54"/>
    <mergeCell ref="C53:C54"/>
    <mergeCell ref="D53:D54"/>
    <mergeCell ref="A56:A57"/>
    <mergeCell ref="B56:B57"/>
    <mergeCell ref="C56:C57"/>
    <mergeCell ref="A46:A48"/>
    <mergeCell ref="B46:B48"/>
    <mergeCell ref="C46:C48"/>
    <mergeCell ref="D46:D48"/>
    <mergeCell ref="A50:A52"/>
    <mergeCell ref="B50:B52"/>
    <mergeCell ref="C50:C52"/>
    <mergeCell ref="D50:D52"/>
    <mergeCell ref="A36:A45"/>
    <mergeCell ref="B36:B45"/>
    <mergeCell ref="C36:C45"/>
    <mergeCell ref="D36:D37"/>
    <mergeCell ref="D38:D39"/>
    <mergeCell ref="D40:D41"/>
    <mergeCell ref="D42:D43"/>
    <mergeCell ref="D44:D45"/>
    <mergeCell ref="A25:A35"/>
    <mergeCell ref="B25:B35"/>
    <mergeCell ref="C25:C35"/>
    <mergeCell ref="D25:D27"/>
    <mergeCell ref="D28:D29"/>
    <mergeCell ref="D30:D31"/>
    <mergeCell ref="D32:D33"/>
    <mergeCell ref="D34:D35"/>
    <mergeCell ref="J17:O17"/>
    <mergeCell ref="A19:A24"/>
    <mergeCell ref="B19:B24"/>
    <mergeCell ref="C19:C24"/>
    <mergeCell ref="D19:D21"/>
    <mergeCell ref="D22:D24"/>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display="jakinbodewa@gmail.com" xr:uid="{C125E43F-33F1-4DC3-B489-0C67AA680753}"/>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ICT_SI</vt:lpstr>
      <vt:lpstr>ICT_SI!Print_Area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2026-04-09T20:55:51Z</dcterms:created>
  <dcterms:modified xsi:type="dcterms:W3CDTF">2026-04-09T20:56:31Z</dcterms:modified>
</cp:coreProperties>
</file>