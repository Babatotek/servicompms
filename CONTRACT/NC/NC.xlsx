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servicom_2026\2026\NC\"/>
    </mc:Choice>
  </mc:AlternateContent>
  <xr:revisionPtr revIDLastSave="0" documentId="13_ncr:1_{C45BAF23-CB8F-4116-830C-27F112BF17B7}" xr6:coauthVersionLast="47" xr6:coauthVersionMax="47" xr10:uidLastSave="{00000000-0000-0000-0000-000000000000}"/>
  <bookViews>
    <workbookView xWindow="-120" yWindow="-120" windowWidth="20730" windowHeight="11040" xr2:uid="{AF0741DE-E34C-4C14-B9C9-2F63D847005A}"/>
  </bookViews>
  <sheets>
    <sheet name="NC" sheetId="1" r:id="rId1"/>
  </sheets>
  <definedNames>
    <definedName name="_xlnm.Print_Area" localSheetId="0">NC!$A$1:$O$176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8" i="1" l="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C121" i="1"/>
  <c r="C101" i="1" l="1"/>
  <c r="C90" i="1"/>
  <c r="C62" i="1" l="1"/>
  <c r="C54" i="1"/>
  <c r="C40" i="1"/>
  <c r="E148" i="1"/>
  <c r="C142" i="1"/>
  <c r="C137" i="1"/>
  <c r="C134" i="1"/>
  <c r="C132" i="1"/>
  <c r="C129" i="1"/>
  <c r="C19" i="1"/>
  <c r="F19" i="1" l="1"/>
  <c r="F148" i="1" l="1"/>
</calcChain>
</file>

<file path=xl/sharedStrings.xml><?xml version="1.0" encoding="utf-8"?>
<sst xmlns="http://schemas.openxmlformats.org/spreadsheetml/2006/main" count="637" uniqueCount="308">
  <si>
    <t>PERFORMANCE CONTRACT</t>
  </si>
  <si>
    <t>PERFORMANCE APPRAISAL PERIOD:</t>
  </si>
  <si>
    <t>FROM</t>
  </si>
  <si>
    <t>JANUARY 2026</t>
  </si>
  <si>
    <t>To</t>
  </si>
  <si>
    <t>DECEMBER 2026</t>
  </si>
  <si>
    <t>SECTION 1: EMPLOYEE INFORMATION</t>
  </si>
  <si>
    <t>Surname:</t>
  </si>
  <si>
    <t>Firstname</t>
  </si>
  <si>
    <t>Othername</t>
  </si>
  <si>
    <t>Designation</t>
  </si>
  <si>
    <t>IPPIS No.</t>
  </si>
  <si>
    <t>Email</t>
  </si>
  <si>
    <t>Phone No.</t>
  </si>
  <si>
    <t>Department</t>
  </si>
  <si>
    <t>SECTION 2: SUPERVISOR INFORMATION</t>
  </si>
  <si>
    <t>LAWAL</t>
  </si>
  <si>
    <t>HELEN</t>
  </si>
  <si>
    <t>OBEHI</t>
  </si>
  <si>
    <t xml:space="preserve">DEPUTY DIRECTOR </t>
  </si>
  <si>
    <t>helenlawal6a@gmail.com</t>
  </si>
  <si>
    <t>SERVICOM</t>
  </si>
  <si>
    <t>SECTION 3: COUNTER-SIGNING OFFICER'S INFORMATION</t>
  </si>
  <si>
    <t xml:space="preserve">SECTION 4: EMPLOYEE'S TASKS </t>
  </si>
  <si>
    <t>S/N</t>
  </si>
  <si>
    <t>Key Result Areas</t>
  </si>
  <si>
    <t>Weight</t>
  </si>
  <si>
    <t>Objectives</t>
  </si>
  <si>
    <t>Graded
Weight</t>
  </si>
  <si>
    <t>KPIs</t>
  </si>
  <si>
    <t>Target
Set</t>
  </si>
  <si>
    <t>Unit of
Measurement</t>
  </si>
  <si>
    <t>Criteria Values</t>
  </si>
  <si>
    <t>O</t>
  </si>
  <si>
    <t>E</t>
  </si>
  <si>
    <t>VG</t>
  </si>
  <si>
    <t>G</t>
  </si>
  <si>
    <t>F</t>
  </si>
  <si>
    <t>P</t>
  </si>
  <si>
    <t>Governance &amp; Service Delivery</t>
  </si>
  <si>
    <t>Strengthen and institutionalize the effective utilization of the Performance Management System (PMS) to enhance accountability, performance tracking, and service delivery outcomes across SERVICOM.</t>
  </si>
  <si>
    <t xml:space="preserve">PMS Implementation Rate across Units </t>
  </si>
  <si>
    <t>PERCENTAGE</t>
  </si>
  <si>
    <t>&lt;80</t>
  </si>
  <si>
    <t>Percentage of staff with completed and approved performance contract aligned to SERVICOM objectives.</t>
  </si>
  <si>
    <t>Percentage of performance reviews and appraisals completed within approved PMS timelines.</t>
  </si>
  <si>
    <t>Initiate and institutionalize the digitization of records and work processes to improve information management, workflow efficiency, and readiness for the  adoption of an Enterprise Content Management (ECM) system.</t>
  </si>
  <si>
    <t>Percentage of Staff Trained on Digital Records and Workflow Management</t>
  </si>
  <si>
    <t>&gt;50</t>
  </si>
  <si>
    <t>&lt;25</t>
  </si>
  <si>
    <t>Percentage increase in the use of digital documentation and approval processes compared to baseline.</t>
  </si>
  <si>
    <t>Percentage of Transactions Processed Digitally</t>
  </si>
  <si>
    <t>&gt;75</t>
  </si>
  <si>
    <t>&lt;50</t>
  </si>
  <si>
    <t>Initiate and implement quarterly citizens and stakeholder engagement sessions to communicate SERVICOM activities and serve as a feedback mechanism.</t>
  </si>
  <si>
    <t>Total number of quarterly  engagement sessions held with citizens and stakeholders</t>
  </si>
  <si>
    <t>NUMBER</t>
  </si>
  <si>
    <t>&gt;4</t>
  </si>
  <si>
    <t>Promote disability inclusion and accessibility awareness within SERVICOM to ensure inclusive internal service processes, communication, and staff conduct.</t>
  </si>
  <si>
    <t>Percentage of SERVICOM Staff Trained on Accessibility Practices and Disability Awareness</t>
  </si>
  <si>
    <t>Percentage of SERVICOM public-facing information materials (service charters, feedback forms, website content, notices) available in accessible formats.</t>
  </si>
  <si>
    <t>Administrative Services, Staff Welfare, and Office Support</t>
  </si>
  <si>
    <t>Strengthen staff and nodal officers' engagements, planning, and organizational alignment</t>
  </si>
  <si>
    <t>Percentage of scheduled staff retreat conducted annually</t>
  </si>
  <si>
    <t>&gt;80</t>
  </si>
  <si>
    <t>Percentage of nodal officers’ meetings held as scheduled</t>
  </si>
  <si>
    <t>Ensure availability and effective management of office logistics and assets</t>
  </si>
  <si>
    <t>Percentage of office vehicles in functional condition</t>
  </si>
  <si>
    <t>Percentage of office equipment serviceable as at when due</t>
  </si>
  <si>
    <t>Average response time to maintenance requests</t>
  </si>
  <si>
    <t>Ensure efficient records management and file movement</t>
  </si>
  <si>
    <t>Percentage of file requests attended to without delay</t>
  </si>
  <si>
    <t>Accuracy of file tracking and movement records</t>
  </si>
  <si>
    <t>Ensure effective handling of office correspondence and mail dispatch</t>
  </si>
  <si>
    <t>Percentage of incoming correspondence received and registered same day</t>
  </si>
  <si>
    <t>&gt;90</t>
  </si>
  <si>
    <t>Percentage of outgoing correspondence dispatched within timelines</t>
  </si>
  <si>
    <t>Ensure efficient, transparent, and timely management of stores and inventory through proper custody, issuance, and replenishment of consumables and assets in support of uninterrupted administrative and operational activities within SERVICOM</t>
  </si>
  <si>
    <t>Percentage of store items accurately recorded in the store ledger/inventory system</t>
  </si>
  <si>
    <t>Percentage of items restocked within approved timelines after reaching reorder level</t>
  </si>
  <si>
    <t>Percentage of store items with updated bin cards or inventory records</t>
  </si>
  <si>
    <t>Service Innovation And Improvement</t>
  </si>
  <si>
    <t>Strengthen a culture of innovation and technology adoption within SERVICOM by identifying, piloting, and implementing service-improvement initiatives, while actively promoting staff participation in the OHCSF Innovation Challenge.</t>
  </si>
  <si>
    <t>Number of Innovation, Initiative, and Technology Ideas Generated</t>
  </si>
  <si>
    <t>&gt;5</t>
  </si>
  <si>
    <t>Percentage of Identified Innovations and Initiatives Implemented or Piloted</t>
  </si>
  <si>
    <t>&gt;10</t>
  </si>
  <si>
    <t>&lt;5</t>
  </si>
  <si>
    <t>Number of SERVICOM Staff Participating in the OHCSF Innovation Challenge</t>
  </si>
  <si>
    <t>&gt;2</t>
  </si>
  <si>
    <t>Number of structured inter-unit meetings, workshops, or knowledge-sharing sessions held during the year.</t>
  </si>
  <si>
    <t>Number of Cross-Unit Collaboration Initiatives Implemented</t>
  </si>
  <si>
    <t>Automated Service Delivery</t>
  </si>
  <si>
    <t>Identify, prioritize, and automate key service delivery processes, forms, and routine tasks, while standardizing the use of official email communication to improve efficiency, accuracy, transparency, and accountability across SERVICOM.</t>
  </si>
  <si>
    <t>Number of Processes, Forms, and Tasks Identified for Automation</t>
  </si>
  <si>
    <t>Percentage of Identified Processes and Forms Automated or Digitized</t>
  </si>
  <si>
    <t>&gt;20</t>
  </si>
  <si>
    <t>Percentage of Staff Actively Using Official Email for Work-Related Communication</t>
  </si>
  <si>
    <t>Capacity Building</t>
  </si>
  <si>
    <t>Enhance the skills, competencies, and knowledge of SERVICOM staff through training, induction, and orientation, ensuring excellent service delivery, adoption of best practices, and seamless integration of new, transferred, and promoted staff within their respective units.</t>
  </si>
  <si>
    <t>Percentage of all staff trained on service delivery standards, best practices, and functional skills</t>
  </si>
  <si>
    <t>Percentage of new, transferred, and promoted staff successfully inducted/oriented within 30 days of joining, transfer, or promotion</t>
  </si>
  <si>
    <t>Support For Service Delivery</t>
  </si>
  <si>
    <t>Percentage compliance with financial regulations and government policies</t>
  </si>
  <si>
    <t>Percentage of payments and staff claims processed within the required timeline</t>
  </si>
  <si>
    <t>Staff Welfare</t>
  </si>
  <si>
    <t>Promote staff welfare, motivation, and recognition</t>
  </si>
  <si>
    <t>Percentage of staff benefiting from welfare packages</t>
  </si>
  <si>
    <t>Timely delivery of welfare items and cash tokens</t>
  </si>
  <si>
    <t>Number of recognition and award programmes conducted</t>
  </si>
  <si>
    <t>Staff satisfaction level with welfare and recognition initiatives</t>
  </si>
  <si>
    <t>&gt;70</t>
  </si>
  <si>
    <t>&lt;40</t>
  </si>
  <si>
    <t>Promote work-life balance, wellness, and staff health</t>
  </si>
  <si>
    <t>Staff participation rate in wellness programmes</t>
  </si>
  <si>
    <t>Number of wellness and fitness sessions conducted</t>
  </si>
  <si>
    <t>TOTAL</t>
  </si>
  <si>
    <t>SECTION 5: COMPETENCIES</t>
  </si>
  <si>
    <t>LEGEND</t>
  </si>
  <si>
    <t>Describe Expectations</t>
  </si>
  <si>
    <t>Q2</t>
  </si>
  <si>
    <t>Q3</t>
  </si>
  <si>
    <t>A</t>
  </si>
  <si>
    <t>Generic Compentencies</t>
  </si>
  <si>
    <t>Outstanding</t>
  </si>
  <si>
    <t>i</t>
  </si>
  <si>
    <t>Leadership Skill</t>
  </si>
  <si>
    <t>Excellent</t>
  </si>
  <si>
    <t>ii</t>
  </si>
  <si>
    <t>Managing &amp; Developing People</t>
  </si>
  <si>
    <t>Very Good</t>
  </si>
  <si>
    <t>iii</t>
  </si>
  <si>
    <t>Effective Communication</t>
  </si>
  <si>
    <t>Good</t>
  </si>
  <si>
    <t>Functional Competencies</t>
  </si>
  <si>
    <t>Fair</t>
  </si>
  <si>
    <t>Strategic thinking</t>
  </si>
  <si>
    <t>Poor</t>
  </si>
  <si>
    <t>Drive for results</t>
  </si>
  <si>
    <t>Aggregrate</t>
  </si>
  <si>
    <t>Transparency and Accountability</t>
  </si>
  <si>
    <t>Q1</t>
  </si>
  <si>
    <t>First Quarter</t>
  </si>
  <si>
    <t>Ethic and value</t>
  </si>
  <si>
    <t>Second Quarter</t>
  </si>
  <si>
    <t>Integrity</t>
  </si>
  <si>
    <t>Third Quarter</t>
  </si>
  <si>
    <t>Citizen focus</t>
  </si>
  <si>
    <t>Q4</t>
  </si>
  <si>
    <t>Fourth Quarter</t>
  </si>
  <si>
    <t>Courage</t>
  </si>
  <si>
    <t>SECTION 6: OPERATIONS AND PROCESSES</t>
  </si>
  <si>
    <t>Punctuality/Attendance</t>
  </si>
  <si>
    <t>Get to work at the specified time and days</t>
  </si>
  <si>
    <t>Work turn around time</t>
  </si>
  <si>
    <t>Display efficiency and effectiveness in service delivery</t>
  </si>
  <si>
    <t>Innovation on the job</t>
  </si>
  <si>
    <t>Introduce improvements in work processes as may be required</t>
  </si>
  <si>
    <t>SECTION 7: COMMENTS</t>
  </si>
  <si>
    <t>Appraisee's  Comments:</t>
  </si>
  <si>
    <t>Supervisor's Comments:</t>
  </si>
  <si>
    <t>Countersigning Officer's Comments:</t>
  </si>
  <si>
    <t>Signature</t>
  </si>
  <si>
    <t>Date</t>
  </si>
  <si>
    <t>Service Delivery Monitoring, Evaluation, and Compliance</t>
  </si>
  <si>
    <t>Conduct SERVICOM Compliance Evaluations (SCE) across MDAs to assess service delivery performance</t>
  </si>
  <si>
    <t>Number of MDAs evaluated through SCE annually</t>
  </si>
  <si>
    <t>&gt;30</t>
  </si>
  <si>
    <t>&lt;15</t>
  </si>
  <si>
    <t>Percentage of planned SCE exercises conducted as scheduled</t>
  </si>
  <si>
    <t>Timeliness of completion of SCE assessments and reports</t>
  </si>
  <si>
    <t>Present evaluation findings to MDAs to drive service improvement</t>
  </si>
  <si>
    <t>Percentage of SCE reports presented to evaluated MDAs</t>
  </si>
  <si>
    <t>Timeliness of presentation after completion of evaluations</t>
  </si>
  <si>
    <t>Promote continuous performance improvement and accountability through engagement platforms</t>
  </si>
  <si>
    <t>Number of breakfast meetings and networking seminars held</t>
  </si>
  <si>
    <t>Level of participation by MDAs and service heads</t>
  </si>
  <si>
    <t>Assess functionality and effectiveness of SERVICOM structures within MDAs</t>
  </si>
  <si>
    <t>Number of MSU functionality evaluations conducted</t>
  </si>
  <si>
    <t>&lt;3</t>
  </si>
  <si>
    <t>Percentage of evaluated MSUs meeting minimum functionality standards</t>
  </si>
  <si>
    <t>Sensitize MDAs and stakeholders on grievance redress and service standards</t>
  </si>
  <si>
    <t>Number of GRM sensitization programmes conducted</t>
  </si>
  <si>
    <t>&gt;6</t>
  </si>
  <si>
    <t>Level of MDA participation in Customer Service Week</t>
  </si>
  <si>
    <t>Support year-end performance review and institutional learning</t>
  </si>
  <si>
    <t>Timely completion of end-of-year operational reports</t>
  </si>
  <si>
    <t>Percentage of operational activities reviewed and documented</t>
  </si>
  <si>
    <t>Facilitate  Service Chatered development</t>
  </si>
  <si>
    <t>Percentage of MDAs with implementable Chatered</t>
  </si>
  <si>
    <t>Legal Advisory and Compliance Services</t>
  </si>
  <si>
    <t>Provide legal advisory services and ensure compliance with applicable laws and regulations to safeguard SERVICOM’s operations and interests.</t>
  </si>
  <si>
    <t>Percentage of requests for legal advice responded to within specified timelines</t>
  </si>
  <si>
    <t>Percentage of contracts and agreements reviewed before execution</t>
  </si>
  <si>
    <t>Percentage of SERVICOM activities compliant with applicable legal and regulatory requirements</t>
  </si>
  <si>
    <t>Percentage of legal documents prepared accurately and within required timelines</t>
  </si>
  <si>
    <t>Percentage of legal records properly maintained and easily retrievable</t>
  </si>
  <si>
    <t>Percentage of procurement and administrative processes reviewed for legal compliance</t>
  </si>
  <si>
    <t>Percentage of identified legal risks addressed with appropriate legal advice</t>
  </si>
  <si>
    <t>Percentage of legal issues handled in accordance with legal procedures and timelines</t>
  </si>
  <si>
    <t>Procurement and Contract Management</t>
  </si>
  <si>
    <t>Ensure transparent, efficient, and compliant procurement processes that support timely acquisition of goods, works, and services to enhance effective service delivery in SERVICOM.</t>
  </si>
  <si>
    <t>Percentage of annual procurement plan developed and approved within first quarter</t>
  </si>
  <si>
    <t>Percentage of procurement processes compliant with procurement regulations</t>
  </si>
  <si>
    <t>Percentage of procurement requests processed within approved timelines</t>
  </si>
  <si>
    <t>Percentage of procurement processes conducted using approved procurement methods</t>
  </si>
  <si>
    <t>Percentage of procurement records properly documented and retrievable</t>
  </si>
  <si>
    <t>Percentage of contracts executed in accordance with agreed terms and timelines</t>
  </si>
  <si>
    <t>Percentage of procurement requests supported with appropriate procurement guidance</t>
  </si>
  <si>
    <t>Percentage of procurement activities conducted without audit queries or compliance issues</t>
  </si>
  <si>
    <t>Financial Management, Budgeting, and Accounting Services</t>
  </si>
  <si>
    <t>Prepare and manage SERVICOM’s annual budget in line with approved financial regulations</t>
  </si>
  <si>
    <t>Timely preparation and submission of annual budget</t>
  </si>
  <si>
    <t>Percentage of budget estimates prepared in line with approved guidelines</t>
  </si>
  <si>
    <t>Ensure accurate financial record-keeping and proper retirement of advances</t>
  </si>
  <si>
    <t>Percentage of advances retired within approved timelines</t>
  </si>
  <si>
    <t>Percentage of vouchers with complete and accurate supporting documents</t>
  </si>
  <si>
    <t>Ensure proper verification, processing, and payment of financial transactions</t>
  </si>
  <si>
    <t>Percentage of payment vouchers verified and processed in line with approval</t>
  </si>
  <si>
    <t>Percentage of payments effected based on duly approved memos</t>
  </si>
  <si>
    <t>Average turnaround time for processing payment vouchers</t>
  </si>
  <si>
    <t>Strengthen financial reporting and compliance with IPSAS (Accrual Basis)</t>
  </si>
  <si>
    <t>Timely preparation and submission of annual financial statements</t>
  </si>
  <si>
    <t>Level of compliance with IPSAS (Accrual) requirements</t>
  </si>
  <si>
    <t>Internal Audit, Financial Control, and Compliance Assurance</t>
  </si>
  <si>
    <t>Ensure timely audit, certification, and reporting of SERVICOM financial statements</t>
  </si>
  <si>
    <t>Timely submission of annual, half-yearly, quarterly, and monthly audit reports</t>
  </si>
  <si>
    <t>Percentage of statutory audit reports submitted within approved timelines</t>
  </si>
  <si>
    <t>Compliance rate with reporting requirements of OAuGF and OAGF</t>
  </si>
  <si>
    <t>Strengthen pre-payment and post-payment audit controls</t>
  </si>
  <si>
    <t>Percentage of payment vouchers subjected to pre-payment audit</t>
  </si>
  <si>
    <t>Percentage of post-payment audits conducted as scheduled</t>
  </si>
  <si>
    <t>Conduct routine and periodic audit of financial records and transactions</t>
  </si>
  <si>
    <t>Percentage of monthly audits completed as planned</t>
  </si>
  <si>
    <t>Number of quarterly audit reviews conducted across departments</t>
  </si>
  <si>
    <t>Evaluate the effectiveness of internal controls and safeguard government assets</t>
  </si>
  <si>
    <t>Percentage of capital assets audited quarterly</t>
  </si>
  <si>
    <t>Percentage of audit recommendations implemented by management</t>
  </si>
  <si>
    <t>Ensure proper auditing of revenue collection and remittance</t>
  </si>
  <si>
    <t>Percentage of revenue collections audited</t>
  </si>
  <si>
    <t>Percentage of revenue remitted in full and on time</t>
  </si>
  <si>
    <t>ICT Governance, Digital Transformation, &amp; Information Security</t>
  </si>
  <si>
    <t>Strengthen ICT governance and policy alignment in line with national frameworks
(NDES, NITDA Guidelines, NDPR, Civil Service Reform &amp; e-Government Agenda)</t>
  </si>
  <si>
    <t>Level of compliance with NITDA and NDPR requirements</t>
  </si>
  <si>
    <t>Percentage completion of ICT asset verification and inventory update</t>
  </si>
  <si>
    <t>Percentage of ICT and data protection policies reviewed, updated, and approved</t>
  </si>
  <si>
    <t>Upgrade and maintain reliable ICT infrastructure to support operations
(Networks, equipment, servers, power, backups)</t>
  </si>
  <si>
    <t>System and network uptime percentage</t>
  </si>
  <si>
    <t>Percentage of planned ICT infrastructure upgrades completed</t>
  </si>
  <si>
    <t>Enhance ICT service delivery and user support through an effective helpdesk</t>
  </si>
  <si>
    <t>Percentage of ICT service requests resolved within agreed SLA</t>
  </si>
  <si>
    <t>User satisfaction rate with ICT support services</t>
  </si>
  <si>
    <t>Strengthen cybersecurity and data protection compliance</t>
  </si>
  <si>
    <t>Percentage of cybersecurity audits and vulnerability assessments conducted</t>
  </si>
  <si>
    <t>Percentage compliance with NDPR requirements</t>
  </si>
  <si>
    <t>Monitor, evaluate, and sustain ICT performance</t>
  </si>
  <si>
    <t>Timely production of annual ICT performance report</t>
  </si>
  <si>
    <t>Percentage of ICT deliverables achieved against annual workplan</t>
  </si>
  <si>
    <t>MDA-wide Staff Development, Training, and Capacity Enhancement</t>
  </si>
  <si>
    <t>Percentage of MDAs/staff covered by the Training Needs Assessment (TNA)</t>
  </si>
  <si>
    <t>Timely completion of Annual Training Needs Assessment Report</t>
  </si>
  <si>
    <t>Strengthen foundational competencies and ensure compliance with public service standards</t>
  </si>
  <si>
    <t>Percentage of newly recruited or transferred MDA staff inducted</t>
  </si>
  <si>
    <t>Percentage of eligible officers completing supervisory/leadership training</t>
  </si>
  <si>
    <t>Build specialized, technical, and performance-driven competencies</t>
  </si>
  <si>
    <t>Number of specialized and technical training programmes conducted across MDAs</t>
  </si>
  <si>
    <t>Percentage of targeted MDA staff completing specialized/professional training</t>
  </si>
  <si>
    <t>Institutionalize learning, knowledge sharing, and best practice dissemination</t>
  </si>
  <si>
    <t>Number of training manuals and learning materials developed or updated</t>
  </si>
  <si>
    <t>Number of knowledge-sharing workshops conducted across MDAs</t>
  </si>
  <si>
    <t>Evaluate training impact and measure improvement in service delivery</t>
  </si>
  <si>
    <t>Percentage of training programmes evaluated post-delivery</t>
  </si>
  <si>
    <t>Percentage improvement in staff performance indicators after training</t>
  </si>
  <si>
    <t>Public Awareness, Advocacy, and Citizen Engagement</t>
  </si>
  <si>
    <t>Enhance public awareness and visibility of SERVICOM’s mandate, programmes, and achievements</t>
  </si>
  <si>
    <t>Number of press interviews, media appearances, and programme features conducted (TV, radio, print)</t>
  </si>
  <si>
    <t>Number of documentaries, jingles, and awareness materials produced and disseminated</t>
  </si>
  <si>
    <t>Leverage digital platforms and social media to expand SERVICOM’s outreach and impact</t>
  </si>
  <si>
    <t>Growth rate of followers and engagement across SERVICOM social media platforms</t>
  </si>
  <si>
    <t>Number of audio-visual advocacy materials produced and shared online</t>
  </si>
  <si>
    <t>Promote transparency and accountability through publication of SERVICOM reports and evaluations</t>
  </si>
  <si>
    <t>Number of SERVICOM evaluation reports published in national dailies</t>
  </si>
  <si>
    <t>Timeliness of report dissemination</t>
  </si>
  <si>
    <t>Improve internal capacity and productivity for effective media and publicity operations</t>
  </si>
  <si>
    <t>Percentage Turnaround time for media coverage and content production</t>
  </si>
  <si>
    <t>Availability and functionality of media and digital equipment</t>
  </si>
  <si>
    <t>Support national and global service delivery initiatives and campaigns</t>
  </si>
  <si>
    <t>Percentage of planned national and global service delivery campaigns successfully implemented</t>
  </si>
  <si>
    <t>Percentage of MDAs that actively participated in Customer Service Week and related campaigns under SERVICOM’s coordination</t>
  </si>
  <si>
    <t>&lt;10</t>
  </si>
  <si>
    <t>Executive Administration, Secretariat and Strategic Support</t>
  </si>
  <si>
    <t>Provide effective administrative and secretarial support to the National Coordinator</t>
  </si>
  <si>
    <t>Percentage of correspondence (incoming and outgoing) processed within approved timelines</t>
  </si>
  <si>
    <t>Percentage of meetings supported with complete documentation (agenda, minutes, briefs)</t>
  </si>
  <si>
    <t>Ensure efficient coordination and scheduling of the National Coordinator’s official activities</t>
  </si>
  <si>
    <t>Percentage of official engagements properly scheduled and documented</t>
  </si>
  <si>
    <t>Percentage of meetings/events attended as scheduled</t>
  </si>
  <si>
    <t>Strengthen records management and document control for executive decisions</t>
  </si>
  <si>
    <t>Percentage of executive files properly registered, tracked, and archived</t>
  </si>
  <si>
    <t>Percentage of documents retrievable within agreed time standards</t>
  </si>
  <si>
    <t>Support effective internal coordination between the National Coordinator and SERVICOM units</t>
  </si>
  <si>
    <t>Percentage of directives from the National Coordinator communicated to relevant units within timelines</t>
  </si>
  <si>
    <t>Provide clerical and logistical support for high-level meetings, engagements, and events</t>
  </si>
  <si>
    <t>Percentage of high-level meetings/events supported without logistical lapses</t>
  </si>
  <si>
    <r>
      <t xml:space="preserve">Identify capacity gaps and establish training priorities across </t>
    </r>
    <r>
      <rPr>
        <sz val="40"/>
        <color rgb="FFFF0000"/>
        <rFont val="Century Gothic"/>
        <family val="2"/>
      </rPr>
      <t>SERVICOM</t>
    </r>
    <r>
      <rPr>
        <sz val="40"/>
        <color theme="1"/>
        <rFont val="Century Gothic"/>
        <family val="2"/>
      </rPr>
      <t xml:space="preserve"> </t>
    </r>
    <r>
      <rPr>
        <sz val="40"/>
        <color rgb="FFFF0000"/>
        <rFont val="Century Gothic"/>
        <family val="2"/>
      </rPr>
      <t>and</t>
    </r>
    <r>
      <rPr>
        <sz val="40"/>
        <color theme="1"/>
        <rFont val="Century Gothic"/>
        <family val="2"/>
      </rPr>
      <t xml:space="preserve"> MDAs</t>
    </r>
  </si>
  <si>
    <t>Strengthen internal stakeholders engagement within SERVICOM by improving communication, collaboration, and coordination among units to enhance teamwork and organizational effectiveness.</t>
  </si>
  <si>
    <t>Stakeholders Engagement (MDA)</t>
  </si>
  <si>
    <t>Strengthen regulatory compliance within the SERVICOM Office by implementing robust financial control measures to prevent and eliminate cases of fraud, irregularities, and non-adherence to financial regulations and government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</si>
</sst>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30" x14ac:knownFonts="1">
    <font>
      <sz val="11"/>
      <color theme="1"/>
      <name val="Calibri"/>
      <family val="2"/>
      <scheme val="minor"/>
    </font>
    <font>
      <sz val="11"/>
      <color theme="1"/>
      <name val="Calibri"/>
      <family val="2"/>
      <scheme val="minor"/>
    </font>
    <font>
      <b/>
      <sz val="48"/>
      <color theme="1"/>
      <name val="Century Gothic"/>
      <family val="2"/>
    </font>
    <font>
      <b/>
      <sz val="40"/>
      <name val="Century Gothic"/>
      <family val="2"/>
    </font>
    <font>
      <sz val="40"/>
      <color theme="1"/>
      <name val="Calibri"/>
      <family val="2"/>
      <scheme val="minor"/>
    </font>
    <font>
      <sz val="40"/>
      <name val="Century Gothic"/>
      <family val="2"/>
    </font>
    <font>
      <b/>
      <sz val="28"/>
      <color theme="1"/>
      <name val="Century Gothic"/>
      <family val="2"/>
    </font>
    <font>
      <sz val="28"/>
      <color theme="1"/>
      <name val="Calibri"/>
      <family val="2"/>
      <scheme val="minor"/>
    </font>
    <font>
      <b/>
      <sz val="40"/>
      <color theme="1"/>
      <name val="Century Gothic"/>
      <family val="2"/>
    </font>
    <font>
      <b/>
      <sz val="40"/>
      <color theme="1"/>
      <name val="Calibri"/>
      <family val="2"/>
      <scheme val="minor"/>
    </font>
    <font>
      <u/>
      <sz val="11"/>
      <color theme="10"/>
      <name val="Calibri"/>
      <family val="2"/>
      <scheme val="minor"/>
    </font>
    <font>
      <u/>
      <sz val="40"/>
      <color theme="1"/>
      <name val="Calibri"/>
      <family val="2"/>
      <scheme val="minor"/>
    </font>
    <font>
      <sz val="40"/>
      <color theme="1"/>
      <name val="Century Gothic"/>
      <family val="2"/>
    </font>
    <font>
      <sz val="18"/>
      <name val="Calibri"/>
      <family val="2"/>
      <scheme val="minor"/>
    </font>
    <font>
      <sz val="18"/>
      <name val="Century Gothic"/>
      <family val="2"/>
    </font>
    <font>
      <sz val="11"/>
      <name val="Calibri"/>
      <family val="2"/>
      <scheme val="minor"/>
    </font>
    <font>
      <b/>
      <sz val="26"/>
      <name val="Century Gothic"/>
      <family val="2"/>
    </font>
    <font>
      <sz val="26"/>
      <name val="Century Gothic"/>
      <family val="2"/>
    </font>
    <font>
      <sz val="26"/>
      <color theme="1"/>
      <name val="Century Gothic"/>
      <family val="2"/>
    </font>
    <font>
      <b/>
      <sz val="36"/>
      <name val="Century Gothic"/>
      <family val="2"/>
    </font>
    <font>
      <b/>
      <sz val="26"/>
      <color theme="1" tint="4.9989318521683403E-2"/>
      <name val="Century Gothic"/>
      <family val="2"/>
    </font>
    <font>
      <b/>
      <sz val="40"/>
      <color theme="1" tint="4.9989318521683403E-2"/>
      <name val="Century Gothic"/>
      <family val="2"/>
    </font>
    <font>
      <sz val="26"/>
      <color theme="1" tint="4.9989318521683403E-2"/>
      <name val="Century Gothic"/>
      <family val="2"/>
    </font>
    <font>
      <sz val="48"/>
      <color theme="1"/>
      <name val="Century Gothic"/>
      <family val="2"/>
    </font>
    <font>
      <b/>
      <sz val="26"/>
      <color theme="1"/>
      <name val="Century Gothic"/>
      <family val="2"/>
    </font>
    <font>
      <b/>
      <sz val="26"/>
      <color theme="0"/>
      <name val="Century Gothic"/>
      <family val="2"/>
    </font>
    <font>
      <sz val="16"/>
      <color theme="1"/>
      <name val="Century Gothic"/>
      <family val="2"/>
    </font>
    <font>
      <sz val="40"/>
      <color rgb="FFFF0000"/>
      <name val="Century Gothic"/>
      <family val="2"/>
    </font>
    <font>
      <u/>
      <sz val="11"/>
      <color theme="10"/>
      <name val="Calibri"/>
      <family val="2"/>
      <charset val="1"/>
      <scheme val="minor"/>
    </font>
    <font>
      <sz val="11"/>
      <color theme="1"/>
      <name val="Calibri"/>
      <family val="2"/>
      <charset val="1"/>
      <scheme val="minor"/>
    </font>
  </fonts>
  <fills count="5">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0"/>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medium">
        <color auto="1"/>
      </bottom>
      <diagonal/>
    </border>
  </borders>
  <cellStyleXfs count="14">
    <xf numFmtId="0" fontId="0" fillId="0" borderId="0"/>
    <xf numFmtId="0" fontId="1" fillId="0" borderId="0"/>
    <xf numFmtId="0" fontId="1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8" fillId="0" borderId="0" applyNumberFormat="0" applyFill="0" applyBorder="0" applyAlignment="0" applyProtection="0"/>
    <xf numFmtId="0" fontId="29" fillId="0" borderId="0"/>
    <xf numFmtId="0" fontId="29" fillId="0" borderId="0"/>
    <xf numFmtId="0" fontId="29" fillId="0" borderId="0"/>
    <xf numFmtId="0" fontId="1" fillId="0" borderId="0"/>
    <xf numFmtId="9" fontId="1" fillId="0" borderId="0" applyFont="0" applyFill="0" applyBorder="0" applyAlignment="0" applyProtection="0"/>
  </cellStyleXfs>
  <cellXfs count="204">
    <xf numFmtId="0" fontId="0" fillId="0" borderId="0" xfId="0"/>
    <xf numFmtId="0" fontId="1" fillId="0" borderId="0" xfId="1"/>
    <xf numFmtId="0" fontId="3" fillId="2" borderId="0" xfId="1" applyFont="1" applyFill="1" applyAlignment="1">
      <alignment horizontal="left" vertical="center" wrapText="1"/>
    </xf>
    <xf numFmtId="0" fontId="4" fillId="2" borderId="0" xfId="1" applyFont="1" applyFill="1"/>
    <xf numFmtId="0" fontId="4" fillId="0" borderId="0" xfId="1" applyFont="1"/>
    <xf numFmtId="0" fontId="3" fillId="3" borderId="0" xfId="1" applyFont="1" applyFill="1" applyAlignment="1">
      <alignment vertical="center"/>
    </xf>
    <xf numFmtId="49" fontId="3" fillId="4" borderId="0" xfId="1" applyNumberFormat="1" applyFont="1" applyFill="1" applyAlignment="1">
      <alignment vertical="center"/>
    </xf>
    <xf numFmtId="0" fontId="3" fillId="3" borderId="0" xfId="1" applyFont="1" applyFill="1" applyAlignment="1">
      <alignment horizontal="center" vertical="center"/>
    </xf>
    <xf numFmtId="49" fontId="3" fillId="0" borderId="9" xfId="1" applyNumberFormat="1" applyFont="1" applyBorder="1" applyAlignment="1">
      <alignment horizontal="center"/>
    </xf>
    <xf numFmtId="0" fontId="5" fillId="2" borderId="0" xfId="1" applyFont="1" applyFill="1" applyAlignment="1">
      <alignment horizontal="center"/>
    </xf>
    <xf numFmtId="0" fontId="6" fillId="2" borderId="0" xfId="1" applyFont="1" applyFill="1" applyAlignment="1">
      <alignment horizontal="left"/>
    </xf>
    <xf numFmtId="0" fontId="7" fillId="2" borderId="0" xfId="1" applyFont="1" applyFill="1"/>
    <xf numFmtId="0" fontId="7" fillId="0" borderId="0" xfId="1" applyFont="1"/>
    <xf numFmtId="0" fontId="8" fillId="3" borderId="11" xfId="1" applyFont="1" applyFill="1" applyBorder="1" applyAlignment="1">
      <alignment horizontal="left"/>
    </xf>
    <xf numFmtId="0" fontId="8" fillId="3" borderId="6" xfId="1" applyFont="1" applyFill="1" applyBorder="1" applyAlignment="1">
      <alignment horizontal="left"/>
    </xf>
    <xf numFmtId="0" fontId="9" fillId="2" borderId="0" xfId="1" applyFont="1" applyFill="1" applyAlignment="1">
      <alignment horizontal="left"/>
    </xf>
    <xf numFmtId="0" fontId="9" fillId="0" borderId="0" xfId="1" applyFont="1" applyAlignment="1">
      <alignment horizontal="left"/>
    </xf>
    <xf numFmtId="0" fontId="8" fillId="3" borderId="10" xfId="1" applyFont="1" applyFill="1" applyBorder="1" applyAlignment="1">
      <alignment horizontal="left"/>
    </xf>
    <xf numFmtId="0" fontId="11" fillId="0" borderId="12" xfId="2" quotePrefix="1" applyFont="1" applyBorder="1" applyAlignment="1">
      <alignment horizontal="left"/>
    </xf>
    <xf numFmtId="0" fontId="8" fillId="3" borderId="9" xfId="1" applyFont="1" applyFill="1" applyBorder="1" applyAlignment="1">
      <alignment horizontal="left"/>
    </xf>
    <xf numFmtId="0" fontId="8" fillId="0" borderId="9" xfId="1" quotePrefix="1" applyFont="1" applyBorder="1" applyAlignment="1">
      <alignment horizontal="left"/>
    </xf>
    <xf numFmtId="0" fontId="8" fillId="2" borderId="0" xfId="1" applyFont="1" applyFill="1" applyAlignment="1">
      <alignment horizontal="left"/>
    </xf>
    <xf numFmtId="0" fontId="8" fillId="0" borderId="8" xfId="3" applyFont="1" applyBorder="1" applyAlignment="1">
      <alignment horizontal="left"/>
    </xf>
    <xf numFmtId="0" fontId="8" fillId="3" borderId="11" xfId="3" applyFont="1" applyFill="1" applyBorder="1" applyAlignment="1">
      <alignment horizontal="left"/>
    </xf>
    <xf numFmtId="0" fontId="8" fillId="3" borderId="6" xfId="3" applyFont="1" applyFill="1" applyBorder="1" applyAlignment="1">
      <alignment horizontal="left"/>
    </xf>
    <xf numFmtId="0" fontId="8" fillId="0" borderId="6" xfId="3" applyFont="1" applyBorder="1" applyAlignment="1">
      <alignment horizontal="left"/>
    </xf>
    <xf numFmtId="0" fontId="4" fillId="2" borderId="0" xfId="3" applyFont="1" applyFill="1"/>
    <xf numFmtId="0" fontId="4" fillId="0" borderId="0" xfId="3" applyFont="1"/>
    <xf numFmtId="0" fontId="8" fillId="0" borderId="12" xfId="3" applyFont="1" applyBorder="1" applyAlignment="1">
      <alignment horizontal="left"/>
    </xf>
    <xf numFmtId="0" fontId="8" fillId="3" borderId="10" xfId="3" applyFont="1" applyFill="1" applyBorder="1" applyAlignment="1">
      <alignment horizontal="left"/>
    </xf>
    <xf numFmtId="0" fontId="8" fillId="3" borderId="9" xfId="3" applyFont="1" applyFill="1" applyBorder="1" applyAlignment="1">
      <alignment horizontal="left"/>
    </xf>
    <xf numFmtId="0" fontId="12" fillId="0" borderId="9" xfId="3" applyFont="1" applyBorder="1" applyAlignment="1">
      <alignment horizontal="left"/>
    </xf>
    <xf numFmtId="0" fontId="11" fillId="0" borderId="12" xfId="2" applyFont="1" applyBorder="1" applyAlignment="1">
      <alignment horizontal="left"/>
    </xf>
    <xf numFmtId="0" fontId="14" fillId="2" borderId="0" xfId="1" applyFont="1" applyFill="1" applyAlignment="1">
      <alignment horizontal="center"/>
    </xf>
    <xf numFmtId="0" fontId="15" fillId="2" borderId="0" xfId="1" applyFont="1" applyFill="1"/>
    <xf numFmtId="0" fontId="1" fillId="2" borderId="0" xfId="1" applyFill="1"/>
    <xf numFmtId="0" fontId="16" fillId="3" borderId="0" xfId="1" applyFont="1" applyFill="1" applyAlignment="1">
      <alignment horizontal="left"/>
    </xf>
    <xf numFmtId="0" fontId="17" fillId="3" borderId="0" xfId="1" applyFont="1" applyFill="1"/>
    <xf numFmtId="0" fontId="18" fillId="3" borderId="0" xfId="1" applyFont="1" applyFill="1"/>
    <xf numFmtId="0" fontId="19" fillId="2" borderId="14" xfId="1" applyFont="1" applyFill="1" applyBorder="1" applyAlignment="1">
      <alignment horizontal="center" vertical="center"/>
    </xf>
    <xf numFmtId="0" fontId="19" fillId="2" borderId="14" xfId="1" applyFont="1" applyFill="1" applyBorder="1" applyAlignment="1">
      <alignment horizontal="center" vertical="center" wrapText="1"/>
    </xf>
    <xf numFmtId="0" fontId="12" fillId="0" borderId="10" xfId="1" applyFont="1" applyBorder="1" applyAlignment="1">
      <alignment horizontal="center" vertical="center"/>
    </xf>
    <xf numFmtId="0" fontId="12" fillId="0" borderId="10" xfId="1" applyFont="1" applyBorder="1" applyAlignment="1">
      <alignment horizontal="left" vertical="center" wrapText="1"/>
    </xf>
    <xf numFmtId="2" fontId="12" fillId="0" borderId="10" xfId="0" applyNumberFormat="1" applyFont="1" applyBorder="1" applyAlignment="1">
      <alignment horizontal="center" vertical="center"/>
    </xf>
    <xf numFmtId="9" fontId="12" fillId="0" borderId="10" xfId="1" applyNumberFormat="1" applyFont="1" applyBorder="1" applyAlignment="1">
      <alignment horizontal="center" vertical="center" wrapText="1"/>
    </xf>
    <xf numFmtId="0" fontId="12" fillId="0" borderId="10" xfId="5" applyFont="1" applyBorder="1" applyAlignment="1">
      <alignment horizontal="center" vertical="center" wrapText="1"/>
    </xf>
    <xf numFmtId="0" fontId="12" fillId="0" borderId="10" xfId="6" applyFont="1" applyBorder="1" applyAlignment="1">
      <alignment horizontal="center" vertical="center" wrapText="1"/>
    </xf>
    <xf numFmtId="0" fontId="4" fillId="0" borderId="10" xfId="6" applyFont="1" applyBorder="1" applyAlignment="1">
      <alignment horizontal="center" vertical="center"/>
    </xf>
    <xf numFmtId="0" fontId="20" fillId="0" borderId="0" xfId="1" applyFont="1" applyAlignment="1">
      <alignment vertical="center"/>
    </xf>
    <xf numFmtId="0" fontId="12" fillId="0" borderId="10" xfId="1" applyFont="1" applyBorder="1" applyAlignment="1">
      <alignment vertical="center" wrapText="1"/>
    </xf>
    <xf numFmtId="0" fontId="12" fillId="0" borderId="16" xfId="0" applyFont="1" applyBorder="1" applyAlignment="1">
      <alignment horizontal="center" vertical="center" wrapText="1"/>
    </xf>
    <xf numFmtId="9" fontId="12" fillId="0" borderId="10" xfId="1" applyNumberFormat="1" applyFont="1" applyBorder="1" applyAlignment="1">
      <alignment horizontal="center" vertical="center"/>
    </xf>
    <xf numFmtId="1" fontId="12" fillId="0" borderId="10" xfId="1" applyNumberFormat="1" applyFont="1" applyBorder="1" applyAlignment="1">
      <alignment horizontal="center" vertical="center" wrapText="1"/>
    </xf>
    <xf numFmtId="0" fontId="21" fillId="0" borderId="10" xfId="1" applyFont="1" applyBorder="1" applyAlignment="1">
      <alignment horizontal="center" vertical="center"/>
    </xf>
    <xf numFmtId="0" fontId="8" fillId="0" borderId="11" xfId="1" applyFont="1" applyBorder="1" applyAlignment="1">
      <alignment vertical="center" wrapText="1"/>
    </xf>
    <xf numFmtId="2" fontId="8" fillId="0" borderId="11" xfId="1" applyNumberFormat="1" applyFont="1" applyBorder="1" applyAlignment="1">
      <alignment horizontal="center" vertical="center"/>
    </xf>
    <xf numFmtId="9" fontId="22" fillId="0" borderId="11" xfId="1" applyNumberFormat="1" applyFont="1" applyBorder="1" applyAlignment="1">
      <alignment horizontal="center" vertical="center"/>
    </xf>
    <xf numFmtId="164" fontId="23" fillId="0" borderId="11" xfId="1" applyNumberFormat="1" applyFont="1" applyBorder="1" applyAlignment="1">
      <alignment vertical="center" wrapText="1"/>
    </xf>
    <xf numFmtId="164" fontId="23" fillId="0" borderId="11" xfId="1" applyNumberFormat="1" applyFont="1" applyBorder="1" applyAlignment="1">
      <alignment horizontal="center" vertical="center" wrapText="1"/>
    </xf>
    <xf numFmtId="0" fontId="22" fillId="0" borderId="6" xfId="1" applyFont="1" applyBorder="1" applyAlignment="1">
      <alignment horizontal="center"/>
    </xf>
    <xf numFmtId="0" fontId="18" fillId="0" borderId="10" xfId="1" applyFont="1" applyBorder="1"/>
    <xf numFmtId="0" fontId="18" fillId="2" borderId="0" xfId="1" applyFont="1" applyFill="1"/>
    <xf numFmtId="0" fontId="17" fillId="2" borderId="0" xfId="1" applyFont="1" applyFill="1" applyAlignment="1">
      <alignment horizontal="center"/>
    </xf>
    <xf numFmtId="0" fontId="16" fillId="2" borderId="0" xfId="1" applyFont="1" applyFill="1" applyAlignment="1">
      <alignment horizontal="center" vertical="center" wrapText="1"/>
    </xf>
    <xf numFmtId="0" fontId="3" fillId="0" borderId="11" xfId="1" applyFont="1" applyBorder="1" applyAlignment="1">
      <alignment horizontal="center"/>
    </xf>
    <xf numFmtId="0" fontId="3" fillId="0" borderId="10" xfId="1" applyFont="1" applyBorder="1" applyAlignment="1">
      <alignment horizontal="left"/>
    </xf>
    <xf numFmtId="0" fontId="18" fillId="0" borderId="11" xfId="1" applyFont="1" applyBorder="1" applyAlignment="1">
      <alignment horizontal="center"/>
    </xf>
    <xf numFmtId="0" fontId="18" fillId="0" borderId="6" xfId="1" applyFont="1" applyBorder="1" applyAlignment="1">
      <alignment horizontal="center"/>
    </xf>
    <xf numFmtId="0" fontId="18" fillId="3" borderId="10" xfId="1" applyFont="1" applyFill="1" applyBorder="1"/>
    <xf numFmtId="0" fontId="16" fillId="2" borderId="10" xfId="1" applyFont="1" applyFill="1" applyBorder="1" applyAlignment="1">
      <alignment horizontal="left"/>
    </xf>
    <xf numFmtId="0" fontId="24" fillId="2" borderId="10" xfId="1" applyFont="1" applyFill="1" applyBorder="1"/>
    <xf numFmtId="0" fontId="5" fillId="0" borderId="10" xfId="1" applyFont="1" applyBorder="1" applyAlignment="1">
      <alignment horizontal="center" vertical="center"/>
    </xf>
    <xf numFmtId="0" fontId="5" fillId="0" borderId="10" xfId="1" applyFont="1" applyBorder="1" applyAlignment="1">
      <alignment vertical="center" wrapText="1"/>
    </xf>
    <xf numFmtId="0" fontId="18" fillId="0" borderId="9" xfId="1" applyFont="1" applyBorder="1"/>
    <xf numFmtId="0" fontId="3" fillId="0" borderId="10" xfId="1" applyFont="1" applyBorder="1" applyAlignment="1">
      <alignment horizontal="center" vertical="center"/>
    </xf>
    <xf numFmtId="0" fontId="3" fillId="0" borderId="10" xfId="1" applyFont="1" applyBorder="1" applyAlignment="1">
      <alignment horizontal="left" vertical="center"/>
    </xf>
    <xf numFmtId="0" fontId="5" fillId="0" borderId="10" xfId="1" applyFont="1" applyBorder="1" applyAlignment="1">
      <alignment horizontal="left" vertical="center"/>
    </xf>
    <xf numFmtId="0" fontId="18" fillId="2" borderId="10" xfId="1" applyFont="1" applyFill="1" applyBorder="1"/>
    <xf numFmtId="0" fontId="5" fillId="0" borderId="10" xfId="1" applyFont="1" applyBorder="1" applyAlignment="1">
      <alignment horizontal="left" vertical="center" wrapText="1"/>
    </xf>
    <xf numFmtId="0" fontId="16" fillId="2" borderId="13" xfId="1" applyFont="1" applyFill="1" applyBorder="1" applyAlignment="1">
      <alignment horizontal="center"/>
    </xf>
    <xf numFmtId="0" fontId="3" fillId="0" borderId="9" xfId="1" applyFont="1" applyBorder="1"/>
    <xf numFmtId="0" fontId="16" fillId="0" borderId="10" xfId="1" applyFont="1" applyBorder="1"/>
    <xf numFmtId="0" fontId="17" fillId="0" borderId="10" xfId="1" applyFont="1" applyBorder="1" applyAlignment="1">
      <alignment horizontal="right" vertical="center"/>
    </xf>
    <xf numFmtId="0" fontId="16" fillId="0" borderId="9" xfId="1" applyFont="1" applyBorder="1"/>
    <xf numFmtId="0" fontId="25" fillId="2" borderId="0" xfId="1" applyFont="1" applyFill="1" applyAlignment="1">
      <alignment horizontal="left"/>
    </xf>
    <xf numFmtId="0" fontId="17" fillId="0" borderId="2" xfId="1" applyFont="1" applyBorder="1"/>
    <xf numFmtId="0" fontId="18" fillId="3" borderId="0" xfId="1" applyFont="1" applyFill="1" applyAlignment="1">
      <alignment horizontal="center"/>
    </xf>
    <xf numFmtId="0" fontId="17" fillId="0" borderId="10" xfId="1" applyFont="1" applyBorder="1"/>
    <xf numFmtId="0" fontId="26" fillId="3" borderId="0" xfId="1" applyFont="1" applyFill="1" applyAlignment="1">
      <alignment horizontal="center"/>
    </xf>
    <xf numFmtId="0" fontId="26" fillId="3" borderId="10" xfId="1" applyFont="1" applyFill="1" applyBorder="1"/>
    <xf numFmtId="0" fontId="12" fillId="0" borderId="10" xfId="0" applyFont="1" applyBorder="1" applyAlignment="1">
      <alignment horizontal="center" vertical="center"/>
    </xf>
    <xf numFmtId="0" fontId="12" fillId="0" borderId="10" xfId="0" applyFont="1" applyBorder="1" applyAlignment="1">
      <alignment vertical="top"/>
    </xf>
    <xf numFmtId="0" fontId="12" fillId="0" borderId="10" xfId="0" applyFont="1" applyBorder="1" applyAlignment="1">
      <alignment vertical="center"/>
    </xf>
    <xf numFmtId="0" fontId="12" fillId="0" borderId="10" xfId="0" applyFont="1" applyBorder="1" applyAlignment="1">
      <alignment vertical="top" wrapText="1"/>
    </xf>
    <xf numFmtId="0" fontId="12" fillId="0" borderId="10" xfId="1" applyFont="1" applyBorder="1" applyAlignment="1">
      <alignment horizontal="left" vertical="center" wrapText="1"/>
    </xf>
    <xf numFmtId="0" fontId="12" fillId="0" borderId="10" xfId="1" applyFont="1" applyBorder="1" applyAlignment="1">
      <alignment horizontal="center" vertical="center"/>
    </xf>
    <xf numFmtId="2" fontId="12" fillId="0" borderId="10" xfId="1" applyNumberFormat="1" applyFont="1" applyBorder="1" applyAlignment="1">
      <alignment horizontal="center" vertical="center"/>
    </xf>
    <xf numFmtId="0" fontId="12" fillId="0" borderId="14" xfId="1" applyFont="1" applyBorder="1" applyAlignment="1">
      <alignment horizontal="left" vertical="center" wrapText="1"/>
    </xf>
    <xf numFmtId="0" fontId="12" fillId="0" borderId="15" xfId="1" applyFont="1" applyBorder="1" applyAlignment="1">
      <alignment horizontal="left" vertical="center" wrapText="1"/>
    </xf>
    <xf numFmtId="0" fontId="12" fillId="0" borderId="11" xfId="1" applyFont="1" applyBorder="1" applyAlignment="1">
      <alignment horizontal="left" vertical="center" wrapText="1"/>
    </xf>
    <xf numFmtId="0" fontId="12" fillId="0" borderId="14" xfId="1" applyFont="1" applyBorder="1" applyAlignment="1">
      <alignment horizontal="center" vertical="center"/>
    </xf>
    <xf numFmtId="0" fontId="12" fillId="0" borderId="15" xfId="1" applyFont="1" applyBorder="1" applyAlignment="1">
      <alignment horizontal="center" vertical="center"/>
    </xf>
    <xf numFmtId="0" fontId="12" fillId="0" borderId="11" xfId="1" applyFont="1" applyBorder="1" applyAlignment="1">
      <alignment horizontal="center" vertical="center"/>
    </xf>
    <xf numFmtId="2" fontId="12" fillId="0" borderId="14" xfId="1" applyNumberFormat="1" applyFont="1" applyBorder="1" applyAlignment="1">
      <alignment horizontal="center" vertical="center"/>
    </xf>
    <xf numFmtId="2" fontId="12" fillId="0" borderId="15" xfId="1" applyNumberFormat="1" applyFont="1" applyBorder="1" applyAlignment="1">
      <alignment horizontal="center" vertical="center"/>
    </xf>
    <xf numFmtId="2" fontId="12" fillId="0" borderId="11" xfId="1" applyNumberFormat="1" applyFont="1" applyBorder="1" applyAlignment="1">
      <alignment horizontal="center" vertical="center"/>
    </xf>
    <xf numFmtId="0" fontId="12" fillId="0" borderId="14" xfId="1" applyFont="1" applyBorder="1" applyAlignment="1">
      <alignment vertical="center" wrapText="1"/>
    </xf>
    <xf numFmtId="0" fontId="12" fillId="0" borderId="11" xfId="1" applyFont="1" applyBorder="1" applyAlignment="1">
      <alignment vertical="center" wrapText="1"/>
    </xf>
    <xf numFmtId="2" fontId="12" fillId="0" borderId="14" xfId="1" applyNumberFormat="1" applyFont="1" applyBorder="1" applyAlignment="1">
      <alignment horizontal="center" vertical="center" wrapText="1"/>
    </xf>
    <xf numFmtId="2" fontId="12" fillId="0" borderId="15" xfId="1" applyNumberFormat="1" applyFont="1" applyBorder="1" applyAlignment="1">
      <alignment horizontal="center" vertical="center" wrapText="1"/>
    </xf>
    <xf numFmtId="2" fontId="12" fillId="0" borderId="11" xfId="1" applyNumberFormat="1" applyFont="1" applyBorder="1" applyAlignment="1">
      <alignment horizontal="center" vertical="center" wrapText="1"/>
    </xf>
    <xf numFmtId="2" fontId="12" fillId="0" borderId="10" xfId="1" applyNumberFormat="1" applyFont="1" applyBorder="1" applyAlignment="1">
      <alignment horizontal="center" vertical="center" wrapText="1"/>
    </xf>
    <xf numFmtId="0" fontId="12" fillId="0" borderId="15" xfId="1" applyFont="1" applyBorder="1" applyAlignment="1">
      <alignment vertical="center" wrapText="1"/>
    </xf>
    <xf numFmtId="0" fontId="2" fillId="0" borderId="1" xfId="1" applyFont="1" applyBorder="1" applyAlignment="1">
      <alignment horizontal="center" vertical="center"/>
    </xf>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2" fillId="0" borderId="0" xfId="1" applyFont="1" applyAlignment="1">
      <alignment horizontal="center" vertical="center"/>
    </xf>
    <xf numFmtId="0" fontId="2" fillId="0" borderId="5" xfId="1" applyFont="1" applyBorder="1" applyAlignment="1">
      <alignment horizontal="center" vertical="center"/>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2" fillId="0" borderId="8" xfId="1" applyFont="1" applyBorder="1" applyAlignment="1">
      <alignment horizontal="center" vertical="center"/>
    </xf>
    <xf numFmtId="0" fontId="3" fillId="2" borderId="0" xfId="1" applyFont="1" applyFill="1" applyAlignment="1">
      <alignment horizontal="left" vertical="center" wrapText="1"/>
    </xf>
    <xf numFmtId="0" fontId="5" fillId="2" borderId="0" xfId="1" applyFont="1" applyFill="1" applyAlignment="1">
      <alignment horizontal="center"/>
    </xf>
    <xf numFmtId="0" fontId="6" fillId="2" borderId="0" xfId="1" applyFont="1" applyFill="1" applyAlignment="1">
      <alignment horizontal="left"/>
    </xf>
    <xf numFmtId="0" fontId="8" fillId="3" borderId="10" xfId="1" applyFont="1" applyFill="1" applyBorder="1" applyAlignment="1">
      <alignment horizontal="left" vertical="center"/>
    </xf>
    <xf numFmtId="0" fontId="8" fillId="0" borderId="7" xfId="4" applyFont="1" applyBorder="1" applyAlignment="1">
      <alignment horizontal="left"/>
    </xf>
    <xf numFmtId="0" fontId="8" fillId="0" borderId="8" xfId="4" applyFont="1" applyBorder="1" applyAlignment="1">
      <alignment horizontal="left"/>
    </xf>
    <xf numFmtId="0" fontId="8" fillId="2" borderId="0" xfId="1" applyFont="1" applyFill="1" applyAlignment="1">
      <alignment horizontal="left"/>
    </xf>
    <xf numFmtId="0" fontId="8" fillId="3" borderId="10" xfId="3" applyFont="1" applyFill="1" applyBorder="1" applyAlignment="1">
      <alignment horizontal="left" vertical="center"/>
    </xf>
    <xf numFmtId="0" fontId="8" fillId="0" borderId="7" xfId="1" applyFont="1" applyBorder="1" applyAlignment="1">
      <alignment horizontal="left"/>
    </xf>
    <xf numFmtId="0" fontId="8" fillId="0" borderId="8" xfId="1" applyFont="1" applyBorder="1" applyAlignment="1">
      <alignment horizontal="left"/>
    </xf>
    <xf numFmtId="0" fontId="8" fillId="3" borderId="10" xfId="3" applyFont="1" applyFill="1" applyBorder="1" applyAlignment="1">
      <alignment horizontal="left"/>
    </xf>
    <xf numFmtId="0" fontId="8" fillId="0" borderId="13" xfId="1" applyFont="1" applyBorder="1" applyAlignment="1">
      <alignment horizontal="left"/>
    </xf>
    <xf numFmtId="0" fontId="8" fillId="0" borderId="12" xfId="1" applyFont="1" applyBorder="1" applyAlignment="1">
      <alignment horizontal="left"/>
    </xf>
    <xf numFmtId="0" fontId="13" fillId="2" borderId="0" xfId="1" applyFont="1" applyFill="1"/>
    <xf numFmtId="0" fontId="8" fillId="3" borderId="10" xfId="1" applyFont="1" applyFill="1" applyBorder="1" applyAlignment="1">
      <alignment horizontal="left"/>
    </xf>
    <xf numFmtId="0" fontId="8" fillId="0" borderId="9" xfId="4" applyFont="1" applyBorder="1" applyAlignment="1">
      <alignment horizontal="left"/>
    </xf>
    <xf numFmtId="0" fontId="8" fillId="0" borderId="12" xfId="4" applyFont="1" applyBorder="1" applyAlignment="1">
      <alignment horizontal="left"/>
    </xf>
    <xf numFmtId="0" fontId="8" fillId="3" borderId="0" xfId="3" applyFont="1" applyFill="1" applyAlignment="1">
      <alignment horizontal="left" vertical="center"/>
    </xf>
    <xf numFmtId="0" fontId="8" fillId="3" borderId="5" xfId="3" applyFont="1" applyFill="1" applyBorder="1" applyAlignment="1">
      <alignment horizontal="left" vertical="center"/>
    </xf>
    <xf numFmtId="0" fontId="8" fillId="3" borderId="0" xfId="3" applyFont="1" applyFill="1" applyAlignment="1">
      <alignment horizontal="left"/>
    </xf>
    <xf numFmtId="0" fontId="8" fillId="3" borderId="5" xfId="3" applyFont="1" applyFill="1" applyBorder="1" applyAlignment="1">
      <alignment horizontal="left"/>
    </xf>
    <xf numFmtId="0" fontId="16" fillId="3" borderId="0" xfId="1" applyFont="1" applyFill="1" applyAlignment="1">
      <alignment horizontal="left"/>
    </xf>
    <xf numFmtId="0" fontId="19" fillId="2" borderId="14" xfId="1" applyFont="1" applyFill="1" applyBorder="1" applyAlignment="1">
      <alignment horizontal="center" vertical="center"/>
    </xf>
    <xf numFmtId="0" fontId="19" fillId="2" borderId="15" xfId="1" applyFont="1" applyFill="1" applyBorder="1" applyAlignment="1">
      <alignment horizontal="center" vertical="center"/>
    </xf>
    <xf numFmtId="0" fontId="19" fillId="2" borderId="14" xfId="1" applyFont="1" applyFill="1" applyBorder="1" applyAlignment="1">
      <alignment horizontal="center" vertical="center" wrapText="1"/>
    </xf>
    <xf numFmtId="0" fontId="19" fillId="2" borderId="15" xfId="1" applyFont="1" applyFill="1" applyBorder="1" applyAlignment="1">
      <alignment horizontal="center" vertical="center" wrapText="1"/>
    </xf>
    <xf numFmtId="0" fontId="19" fillId="2" borderId="1" xfId="1" applyFont="1" applyFill="1" applyBorder="1" applyAlignment="1">
      <alignment horizontal="center" vertical="center" wrapText="1"/>
    </xf>
    <xf numFmtId="0" fontId="19" fillId="2" borderId="4" xfId="1" applyFont="1" applyFill="1" applyBorder="1" applyAlignment="1">
      <alignment horizontal="center" vertical="center"/>
    </xf>
    <xf numFmtId="0" fontId="19" fillId="2" borderId="9" xfId="1" applyFont="1" applyFill="1" applyBorder="1" applyAlignment="1">
      <alignment horizontal="center" vertical="center" wrapText="1"/>
    </xf>
    <xf numFmtId="0" fontId="19" fillId="2" borderId="13" xfId="1" applyFont="1" applyFill="1" applyBorder="1" applyAlignment="1">
      <alignment horizontal="center" vertical="center" wrapText="1"/>
    </xf>
    <xf numFmtId="0" fontId="19" fillId="2" borderId="12" xfId="1" applyFont="1" applyFill="1" applyBorder="1" applyAlignment="1">
      <alignment horizontal="center" vertical="center" wrapText="1"/>
    </xf>
    <xf numFmtId="0" fontId="5" fillId="0" borderId="9" xfId="1" applyFont="1" applyBorder="1" applyAlignment="1">
      <alignment horizontal="left" vertical="top" wrapText="1"/>
    </xf>
    <xf numFmtId="0" fontId="5" fillId="0" borderId="13" xfId="1" applyFont="1" applyBorder="1" applyAlignment="1">
      <alignment horizontal="left" vertical="top" wrapText="1"/>
    </xf>
    <xf numFmtId="0" fontId="5" fillId="0" borderId="12" xfId="1" applyFont="1" applyBorder="1" applyAlignment="1">
      <alignment horizontal="left" vertical="top" wrapText="1"/>
    </xf>
    <xf numFmtId="0" fontId="24" fillId="2" borderId="10" xfId="1" applyFont="1" applyFill="1" applyBorder="1"/>
    <xf numFmtId="0" fontId="16" fillId="2" borderId="0" xfId="1" applyFont="1" applyFill="1" applyAlignment="1">
      <alignment horizontal="left" vertical="center" wrapText="1"/>
    </xf>
    <xf numFmtId="0" fontId="16" fillId="2" borderId="11" xfId="1" applyFont="1" applyFill="1" applyBorder="1" applyAlignment="1">
      <alignment horizontal="center" vertical="center" wrapText="1"/>
    </xf>
    <xf numFmtId="0" fontId="16" fillId="2" borderId="6" xfId="1" applyFont="1" applyFill="1" applyBorder="1" applyAlignment="1">
      <alignment horizontal="center" vertical="center" wrapText="1"/>
    </xf>
    <xf numFmtId="0" fontId="16" fillId="2" borderId="10" xfId="1" applyFont="1" applyFill="1" applyBorder="1" applyAlignment="1">
      <alignment horizontal="center" vertical="center"/>
    </xf>
    <xf numFmtId="0" fontId="16" fillId="3" borderId="0" xfId="1" applyFont="1" applyFill="1" applyAlignment="1">
      <alignment horizontal="center" vertical="center"/>
    </xf>
    <xf numFmtId="0" fontId="5" fillId="0" borderId="6" xfId="1" applyFont="1" applyBorder="1"/>
    <xf numFmtId="0" fontId="5" fillId="0" borderId="7" xfId="1" applyFont="1" applyBorder="1"/>
    <xf numFmtId="0" fontId="5" fillId="0" borderId="8" xfId="1" applyFont="1" applyBorder="1"/>
    <xf numFmtId="0" fontId="5" fillId="0" borderId="9" xfId="1" applyFont="1" applyBorder="1" applyAlignment="1">
      <alignment vertical="top" wrapText="1"/>
    </xf>
    <xf numFmtId="0" fontId="5" fillId="0" borderId="13" xfId="1" applyFont="1" applyBorder="1" applyAlignment="1">
      <alignment vertical="top" wrapText="1"/>
    </xf>
    <xf numFmtId="0" fontId="5" fillId="0" borderId="12" xfId="1" applyFont="1" applyBorder="1" applyAlignment="1">
      <alignment vertical="top" wrapText="1"/>
    </xf>
    <xf numFmtId="0" fontId="16" fillId="2" borderId="0" xfId="1" applyFont="1" applyFill="1" applyAlignment="1">
      <alignment horizontal="left"/>
    </xf>
    <xf numFmtId="0" fontId="5" fillId="0" borderId="9" xfId="1" applyFont="1" applyBorder="1"/>
    <xf numFmtId="0" fontId="5" fillId="0" borderId="13" xfId="1" applyFont="1" applyBorder="1"/>
    <xf numFmtId="0" fontId="5" fillId="0" borderId="12" xfId="1" applyFont="1" applyBorder="1"/>
    <xf numFmtId="0" fontId="5" fillId="0" borderId="9" xfId="1" applyFont="1" applyBorder="1" applyAlignment="1">
      <alignment horizontal="left" vertical="center" wrapText="1"/>
    </xf>
    <xf numFmtId="0" fontId="5" fillId="0" borderId="13" xfId="1" applyFont="1" applyBorder="1" applyAlignment="1">
      <alignment horizontal="left" vertical="center" wrapText="1"/>
    </xf>
    <xf numFmtId="0" fontId="5" fillId="0" borderId="12" xfId="1" applyFont="1" applyBorder="1" applyAlignment="1">
      <alignment horizontal="left" vertical="center" wrapText="1"/>
    </xf>
    <xf numFmtId="0" fontId="3" fillId="2" borderId="1" xfId="1" applyFont="1" applyFill="1" applyBorder="1" applyAlignment="1">
      <alignment horizontal="left" vertical="center"/>
    </xf>
    <xf numFmtId="0" fontId="3" fillId="2" borderId="6" xfId="1" applyFont="1" applyFill="1" applyBorder="1" applyAlignment="1">
      <alignment horizontal="left" vertical="center"/>
    </xf>
    <xf numFmtId="0" fontId="5" fillId="0" borderId="2" xfId="1" applyFont="1" applyBorder="1" applyAlignment="1">
      <alignment horizontal="left"/>
    </xf>
    <xf numFmtId="0" fontId="5" fillId="0" borderId="7" xfId="1" applyFont="1" applyBorder="1" applyAlignment="1">
      <alignment horizontal="left"/>
    </xf>
    <xf numFmtId="0" fontId="3" fillId="2" borderId="3" xfId="1" applyFont="1" applyFill="1" applyBorder="1" applyAlignment="1">
      <alignment horizontal="left" vertical="center"/>
    </xf>
    <xf numFmtId="0" fontId="3" fillId="2" borderId="8" xfId="1" applyFont="1" applyFill="1" applyBorder="1" applyAlignment="1">
      <alignment horizontal="left" vertical="center"/>
    </xf>
    <xf numFmtId="0" fontId="26" fillId="3" borderId="0" xfId="1" applyFont="1" applyFill="1" applyAlignment="1">
      <alignment horizontal="center"/>
    </xf>
    <xf numFmtId="0" fontId="3" fillId="2" borderId="10" xfId="1" applyFont="1" applyFill="1" applyBorder="1" applyAlignment="1">
      <alignment horizontal="left" vertical="center" wrapText="1"/>
    </xf>
    <xf numFmtId="0" fontId="5" fillId="0" borderId="4" xfId="1" applyFont="1" applyBorder="1" applyAlignment="1">
      <alignment horizontal="center"/>
    </xf>
    <xf numFmtId="0" fontId="5" fillId="0" borderId="5" xfId="1" applyFont="1" applyBorder="1" applyAlignment="1">
      <alignment horizontal="center"/>
    </xf>
    <xf numFmtId="0" fontId="5" fillId="0" borderId="6" xfId="1" applyFont="1" applyBorder="1" applyAlignment="1">
      <alignment horizontal="center"/>
    </xf>
    <xf numFmtId="0" fontId="5" fillId="0" borderId="8" xfId="1" applyFont="1" applyBorder="1" applyAlignment="1">
      <alignment horizontal="center"/>
    </xf>
    <xf numFmtId="0" fontId="3" fillId="2" borderId="1" xfId="1" applyFont="1" applyFill="1" applyBorder="1" applyAlignment="1">
      <alignment horizontal="left" vertical="center" wrapText="1"/>
    </xf>
    <xf numFmtId="0" fontId="3" fillId="2" borderId="4" xfId="1" applyFont="1" applyFill="1" applyBorder="1" applyAlignment="1">
      <alignment horizontal="left" vertical="center" wrapText="1"/>
    </xf>
    <xf numFmtId="0" fontId="3" fillId="2" borderId="6" xfId="1" applyFont="1" applyFill="1" applyBorder="1" applyAlignment="1">
      <alignment horizontal="left" vertical="center" wrapText="1"/>
    </xf>
    <xf numFmtId="0" fontId="5" fillId="0" borderId="0" xfId="1" applyFont="1" applyAlignment="1">
      <alignment horizontal="left"/>
    </xf>
    <xf numFmtId="0" fontId="3" fillId="2" borderId="3" xfId="1" applyFont="1" applyFill="1" applyBorder="1" applyAlignment="1">
      <alignment horizontal="left" vertical="center" wrapText="1"/>
    </xf>
    <xf numFmtId="0" fontId="3" fillId="2" borderId="5" xfId="1" applyFont="1" applyFill="1" applyBorder="1" applyAlignment="1">
      <alignment horizontal="left" vertical="center" wrapText="1"/>
    </xf>
    <xf numFmtId="0" fontId="3" fillId="2" borderId="8" xfId="1" applyFont="1" applyFill="1" applyBorder="1" applyAlignment="1">
      <alignment horizontal="left" vertical="center" wrapText="1"/>
    </xf>
    <xf numFmtId="0" fontId="3" fillId="3" borderId="0" xfId="1" applyFont="1" applyFill="1" applyAlignment="1">
      <alignment horizontal="left" vertical="center" wrapText="1"/>
    </xf>
    <xf numFmtId="0" fontId="3" fillId="3" borderId="5" xfId="1" applyFont="1" applyFill="1" applyBorder="1" applyAlignment="1">
      <alignment horizontal="left" vertical="center" wrapText="1"/>
    </xf>
    <xf numFmtId="0" fontId="3" fillId="3" borderId="1" xfId="1" applyFont="1" applyFill="1" applyBorder="1" applyAlignment="1">
      <alignment horizontal="left" vertical="center"/>
    </xf>
    <xf numFmtId="0" fontId="3" fillId="3" borderId="4" xfId="1" applyFont="1" applyFill="1" applyBorder="1" applyAlignment="1">
      <alignment horizontal="left" vertical="center"/>
    </xf>
    <xf numFmtId="0" fontId="3" fillId="3" borderId="6" xfId="1" applyFont="1" applyFill="1" applyBorder="1" applyAlignment="1">
      <alignment horizontal="left" vertical="center"/>
    </xf>
    <xf numFmtId="0" fontId="3" fillId="3" borderId="3" xfId="1" applyFont="1" applyFill="1" applyBorder="1" applyAlignment="1">
      <alignment horizontal="left" vertical="center"/>
    </xf>
    <xf numFmtId="0" fontId="3" fillId="3" borderId="5" xfId="1" applyFont="1" applyFill="1" applyBorder="1" applyAlignment="1">
      <alignment horizontal="left" vertical="center"/>
    </xf>
    <xf numFmtId="0" fontId="3" fillId="3" borderId="8" xfId="1" applyFont="1" applyFill="1" applyBorder="1" applyAlignment="1">
      <alignment horizontal="left" vertical="center"/>
    </xf>
    <xf numFmtId="0" fontId="16" fillId="2" borderId="9" xfId="1" applyFont="1" applyFill="1" applyBorder="1" applyAlignment="1">
      <alignment horizontal="left"/>
    </xf>
    <xf numFmtId="0" fontId="16" fillId="2" borderId="13" xfId="1" applyFont="1" applyFill="1" applyBorder="1" applyAlignment="1">
      <alignment horizontal="left"/>
    </xf>
  </cellXfs>
  <cellStyles count="14">
    <cellStyle name="Hyperlink" xfId="2" builtinId="8"/>
    <cellStyle name="Hyperlink 2" xfId="8" xr:uid="{852E4E6B-22C7-4698-8724-5E06141008E8}"/>
    <cellStyle name="Normal" xfId="0" builtinId="0"/>
    <cellStyle name="Normal 2" xfId="9" xr:uid="{5030D0B4-59C1-4D8A-859E-0A0FB41E1D24}"/>
    <cellStyle name="Normal 2 2" xfId="10" xr:uid="{AA98484B-8A12-4998-9F3D-E09258192E71}"/>
    <cellStyle name="Normal 2 2 3 2" xfId="12" xr:uid="{75D55889-9CFB-410E-8A43-3F1F2FE685C8}"/>
    <cellStyle name="Normal 2 3" xfId="1" xr:uid="{89DFC91A-BDB3-4325-931F-DF23E1BF9006}"/>
    <cellStyle name="Normal 2 3 2" xfId="4" xr:uid="{2C071EEF-4B17-44FF-BF53-C08F2AD39F07}"/>
    <cellStyle name="Normal 2 4 2" xfId="3" xr:uid="{A66A82DE-F2C8-4C01-B01C-3480372B7B62}"/>
    <cellStyle name="Normal 2 5 2 2" xfId="7" xr:uid="{A9EE744E-44B9-4E35-8F0A-197B0F779DA7}"/>
    <cellStyle name="Normal 2 7" xfId="11" xr:uid="{902AF55E-1AD6-455F-924D-7718C9BBAE3F}"/>
    <cellStyle name="Normal 4 2 2 2 2" xfId="6" xr:uid="{738B8090-D43A-4C0C-B880-726FD9C3378D}"/>
    <cellStyle name="Normal 5 2 2" xfId="5" xr:uid="{C9CDDE8E-B6D2-4832-9977-6CB4BF245081}"/>
    <cellStyle name="Percent 2 2" xfId="13" xr:uid="{F2949CB2-FAAA-40C8-B6F3-835D188B79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142875</xdr:rowOff>
    </xdr:from>
    <xdr:ext cx="520327" cy="538529"/>
    <xdr:pic>
      <xdr:nvPicPr>
        <xdr:cNvPr id="2" name="Picture 1">
          <a:extLst>
            <a:ext uri="{FF2B5EF4-FFF2-40B4-BE49-F238E27FC236}">
              <a16:creationId xmlns:a16="http://schemas.microsoft.com/office/drawing/2014/main" id="{F0DB8897-A46B-482B-A724-E23882C95A09}"/>
            </a:ext>
          </a:extLst>
        </xdr:cNvPr>
        <xdr:cNvPicPr>
          <a:picLocks noChangeAspect="1"/>
        </xdr:cNvPicPr>
      </xdr:nvPicPr>
      <xdr:blipFill>
        <a:blip xmlns:r="http://schemas.openxmlformats.org/officeDocument/2006/relationships" r:embed="rId1"/>
        <a:stretch>
          <a:fillRect/>
        </a:stretch>
      </xdr:blipFill>
      <xdr:spPr>
        <a:xfrm>
          <a:off x="8353425" y="142875"/>
          <a:ext cx="520327" cy="53852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F05-6992-4DB3-8DB1-5C34920CAFBB}">
  <sheetPr>
    <pageSetUpPr fitToPage="1"/>
  </sheetPr>
  <dimension ref="A1:O177"/>
  <sheetViews>
    <sheetView tabSelected="1" topLeftCell="A148" zoomScale="20" zoomScaleNormal="20" workbookViewId="0">
      <selection activeCell="C157" sqref="C157:G157"/>
    </sheetView>
  </sheetViews>
  <sheetFormatPr defaultColWidth="9.140625" defaultRowHeight="15" x14ac:dyDescent="0.25"/>
  <cols>
    <col min="1" max="1" width="14.42578125" style="1" customWidth="1"/>
    <col min="2" max="2" width="110.85546875" style="1" customWidth="1"/>
    <col min="3" max="3" width="68.7109375" style="1" bestFit="1" customWidth="1"/>
    <col min="4" max="4" width="189.85546875" style="1" customWidth="1"/>
    <col min="5" max="5" width="102.28515625" style="1" bestFit="1" customWidth="1"/>
    <col min="6" max="6" width="69" style="1" customWidth="1"/>
    <col min="7" max="7" width="174.42578125" style="1" customWidth="1"/>
    <col min="8" max="8" width="74.7109375" style="1" customWidth="1"/>
    <col min="9" max="9" width="70.5703125" style="1" customWidth="1"/>
    <col min="10" max="10" width="45.7109375" style="1" customWidth="1"/>
    <col min="11" max="13" width="32.7109375" style="1" customWidth="1"/>
    <col min="14" max="14" width="28.7109375" style="1" customWidth="1"/>
    <col min="15" max="15" width="31.28515625" style="1" customWidth="1"/>
    <col min="16" max="16384" width="9.140625" style="1"/>
  </cols>
  <sheetData>
    <row r="1" spans="1:15" ht="22.5" customHeight="1" x14ac:dyDescent="0.25">
      <c r="A1" s="113" t="s">
        <v>0</v>
      </c>
      <c r="B1" s="114"/>
      <c r="C1" s="114"/>
      <c r="D1" s="114"/>
      <c r="E1" s="114"/>
      <c r="F1" s="114"/>
      <c r="G1" s="114"/>
      <c r="H1" s="114"/>
      <c r="I1" s="114"/>
      <c r="J1" s="114"/>
      <c r="K1" s="114"/>
      <c r="L1" s="114"/>
      <c r="M1" s="114"/>
      <c r="N1" s="114"/>
      <c r="O1" s="115"/>
    </row>
    <row r="2" spans="1:15" ht="22.5" customHeight="1" x14ac:dyDescent="0.25">
      <c r="A2" s="116"/>
      <c r="B2" s="117"/>
      <c r="C2" s="117"/>
      <c r="D2" s="117"/>
      <c r="E2" s="117"/>
      <c r="F2" s="117"/>
      <c r="G2" s="117"/>
      <c r="H2" s="117"/>
      <c r="I2" s="117"/>
      <c r="J2" s="117"/>
      <c r="K2" s="117"/>
      <c r="L2" s="117"/>
      <c r="M2" s="117"/>
      <c r="N2" s="117"/>
      <c r="O2" s="118"/>
    </row>
    <row r="3" spans="1:15" ht="22.5" customHeight="1" x14ac:dyDescent="0.25">
      <c r="A3" s="119"/>
      <c r="B3" s="120"/>
      <c r="C3" s="120"/>
      <c r="D3" s="120"/>
      <c r="E3" s="120"/>
      <c r="F3" s="120"/>
      <c r="G3" s="120"/>
      <c r="H3" s="120"/>
      <c r="I3" s="120"/>
      <c r="J3" s="120"/>
      <c r="K3" s="120"/>
      <c r="L3" s="120"/>
      <c r="M3" s="120"/>
      <c r="N3" s="120"/>
      <c r="O3" s="121"/>
    </row>
    <row r="4" spans="1:15" s="4" customFormat="1" ht="51" x14ac:dyDescent="0.75">
      <c r="A4" s="122" t="s">
        <v>1</v>
      </c>
      <c r="B4" s="122"/>
      <c r="C4" s="122"/>
      <c r="D4" s="122"/>
      <c r="E4" s="122"/>
      <c r="F4" s="122"/>
      <c r="G4" s="122"/>
      <c r="H4" s="122"/>
      <c r="I4" s="122"/>
      <c r="J4" s="2"/>
      <c r="K4" s="3"/>
      <c r="L4" s="3"/>
      <c r="M4" s="3"/>
      <c r="N4" s="3"/>
      <c r="O4" s="3"/>
    </row>
    <row r="5" spans="1:15" s="4" customFormat="1" ht="47.25" customHeight="1" x14ac:dyDescent="0.75">
      <c r="A5" s="5" t="s">
        <v>2</v>
      </c>
      <c r="B5" s="6" t="s">
        <v>3</v>
      </c>
      <c r="C5" s="7" t="s">
        <v>4</v>
      </c>
      <c r="D5" s="8" t="s">
        <v>5</v>
      </c>
      <c r="E5" s="123"/>
      <c r="F5" s="123"/>
      <c r="G5" s="123"/>
      <c r="H5" s="123"/>
      <c r="I5" s="123"/>
      <c r="J5" s="9"/>
      <c r="K5" s="3"/>
      <c r="L5" s="3"/>
      <c r="M5" s="3"/>
      <c r="N5" s="3"/>
      <c r="O5" s="3"/>
    </row>
    <row r="6" spans="1:15" s="12" customFormat="1" ht="38.25" customHeight="1" x14ac:dyDescent="0.55000000000000004">
      <c r="A6" s="124" t="s">
        <v>6</v>
      </c>
      <c r="B6" s="124"/>
      <c r="C6" s="124"/>
      <c r="D6" s="124"/>
      <c r="E6" s="124"/>
      <c r="F6" s="124"/>
      <c r="G6" s="124"/>
      <c r="H6" s="124"/>
      <c r="I6" s="124"/>
      <c r="J6" s="10"/>
      <c r="K6" s="11"/>
      <c r="L6" s="11"/>
      <c r="M6" s="11"/>
      <c r="N6" s="11"/>
      <c r="O6" s="11"/>
    </row>
    <row r="7" spans="1:15" s="16" customFormat="1" ht="48.75" customHeight="1" x14ac:dyDescent="0.75">
      <c r="A7" s="125" t="s">
        <v>7</v>
      </c>
      <c r="B7" s="125"/>
      <c r="C7" s="22" t="s">
        <v>16</v>
      </c>
      <c r="D7" s="13" t="s">
        <v>8</v>
      </c>
      <c r="E7" s="22" t="s">
        <v>17</v>
      </c>
      <c r="F7" s="14" t="s">
        <v>9</v>
      </c>
      <c r="G7" s="25" t="s">
        <v>18</v>
      </c>
      <c r="H7" s="13" t="s">
        <v>10</v>
      </c>
      <c r="I7" s="126" t="s">
        <v>19</v>
      </c>
      <c r="J7" s="127"/>
      <c r="K7" s="15"/>
      <c r="L7" s="15"/>
      <c r="M7" s="15"/>
      <c r="N7" s="15"/>
      <c r="O7" s="15"/>
    </row>
    <row r="8" spans="1:15" s="16" customFormat="1" ht="57" customHeight="1" x14ac:dyDescent="0.75">
      <c r="A8" s="136" t="s">
        <v>11</v>
      </c>
      <c r="B8" s="136"/>
      <c r="C8" s="28">
        <v>60529</v>
      </c>
      <c r="D8" s="17" t="s">
        <v>12</v>
      </c>
      <c r="E8" s="18" t="s">
        <v>20</v>
      </c>
      <c r="F8" s="19" t="s">
        <v>13</v>
      </c>
      <c r="G8" s="20"/>
      <c r="H8" s="17" t="s">
        <v>14</v>
      </c>
      <c r="I8" s="137" t="s">
        <v>21</v>
      </c>
      <c r="J8" s="138"/>
      <c r="K8" s="15"/>
      <c r="L8" s="15"/>
      <c r="M8" s="15"/>
      <c r="N8" s="15"/>
      <c r="O8" s="15"/>
    </row>
    <row r="9" spans="1:15" s="16" customFormat="1" ht="62.25" customHeight="1" x14ac:dyDescent="0.75">
      <c r="A9" s="128" t="s">
        <v>15</v>
      </c>
      <c r="B9" s="128"/>
      <c r="C9" s="128"/>
      <c r="D9" s="128"/>
      <c r="E9" s="128"/>
      <c r="F9" s="128"/>
      <c r="G9" s="128"/>
      <c r="H9" s="128"/>
      <c r="I9" s="128"/>
      <c r="J9" s="21"/>
      <c r="K9" s="15"/>
      <c r="L9" s="15"/>
      <c r="M9" s="15"/>
      <c r="N9" s="15"/>
      <c r="O9" s="15"/>
    </row>
    <row r="10" spans="1:15" s="27" customFormat="1" ht="51" x14ac:dyDescent="0.75">
      <c r="A10" s="139" t="s">
        <v>7</v>
      </c>
      <c r="B10" s="140"/>
      <c r="C10" s="22"/>
      <c r="D10" s="23" t="s">
        <v>8</v>
      </c>
      <c r="E10" s="22"/>
      <c r="F10" s="24" t="s">
        <v>9</v>
      </c>
      <c r="G10" s="25"/>
      <c r="H10" s="23" t="s">
        <v>10</v>
      </c>
      <c r="I10" s="126"/>
      <c r="J10" s="127"/>
      <c r="K10" s="26"/>
      <c r="L10" s="26"/>
      <c r="M10" s="26"/>
      <c r="N10" s="26"/>
      <c r="O10" s="26"/>
    </row>
    <row r="11" spans="1:15" s="27" customFormat="1" ht="51.75" x14ac:dyDescent="0.75">
      <c r="A11" s="141" t="s">
        <v>11</v>
      </c>
      <c r="B11" s="142"/>
      <c r="C11" s="28"/>
      <c r="D11" s="29" t="s">
        <v>12</v>
      </c>
      <c r="E11" s="18"/>
      <c r="F11" s="30" t="s">
        <v>13</v>
      </c>
      <c r="G11" s="31"/>
      <c r="H11" s="29" t="s">
        <v>14</v>
      </c>
      <c r="I11" s="137"/>
      <c r="J11" s="138"/>
      <c r="K11" s="26"/>
      <c r="L11" s="26"/>
      <c r="M11" s="26"/>
      <c r="N11" s="26"/>
      <c r="O11" s="26"/>
    </row>
    <row r="12" spans="1:15" s="16" customFormat="1" ht="51" x14ac:dyDescent="0.75">
      <c r="A12" s="128" t="s">
        <v>22</v>
      </c>
      <c r="B12" s="128"/>
      <c r="C12" s="128"/>
      <c r="D12" s="128"/>
      <c r="E12" s="128"/>
      <c r="F12" s="128"/>
      <c r="G12" s="128"/>
      <c r="H12" s="128"/>
      <c r="I12" s="128"/>
      <c r="J12" s="21"/>
      <c r="K12" s="15"/>
      <c r="L12" s="15"/>
      <c r="M12" s="15"/>
      <c r="N12" s="15"/>
      <c r="O12" s="15"/>
    </row>
    <row r="13" spans="1:15" s="27" customFormat="1" ht="56.25" customHeight="1" x14ac:dyDescent="0.75">
      <c r="A13" s="129" t="s">
        <v>7</v>
      </c>
      <c r="B13" s="129"/>
      <c r="C13" s="22"/>
      <c r="D13" s="23" t="s">
        <v>8</v>
      </c>
      <c r="E13" s="22"/>
      <c r="F13" s="24" t="s">
        <v>9</v>
      </c>
      <c r="G13" s="25"/>
      <c r="H13" s="23" t="s">
        <v>10</v>
      </c>
      <c r="I13" s="130"/>
      <c r="J13" s="131"/>
      <c r="K13" s="26"/>
      <c r="L13" s="26"/>
      <c r="M13" s="26"/>
      <c r="N13" s="26"/>
      <c r="O13" s="26"/>
    </row>
    <row r="14" spans="1:15" s="27" customFormat="1" ht="57" customHeight="1" x14ac:dyDescent="0.75">
      <c r="A14" s="132" t="s">
        <v>11</v>
      </c>
      <c r="B14" s="132"/>
      <c r="C14" s="28"/>
      <c r="D14" s="29" t="s">
        <v>12</v>
      </c>
      <c r="E14" s="32"/>
      <c r="F14" s="30" t="s">
        <v>13</v>
      </c>
      <c r="G14" s="31"/>
      <c r="H14" s="29" t="s">
        <v>14</v>
      </c>
      <c r="I14" s="133"/>
      <c r="J14" s="134"/>
      <c r="K14" s="26"/>
      <c r="L14" s="26"/>
      <c r="M14" s="26"/>
      <c r="N14" s="26"/>
      <c r="O14" s="26"/>
    </row>
    <row r="15" spans="1:15" ht="24" x14ac:dyDescent="0.35">
      <c r="A15" s="135"/>
      <c r="B15" s="135"/>
      <c r="C15" s="135"/>
      <c r="D15" s="135"/>
      <c r="E15" s="135"/>
      <c r="F15" s="135"/>
      <c r="G15" s="135"/>
      <c r="H15" s="135"/>
      <c r="I15" s="135"/>
      <c r="J15" s="33"/>
      <c r="K15" s="34"/>
      <c r="L15" s="35"/>
      <c r="M15" s="35"/>
      <c r="N15" s="35"/>
      <c r="O15" s="35"/>
    </row>
    <row r="16" spans="1:15" ht="33" x14ac:dyDescent="0.45">
      <c r="A16" s="143" t="s">
        <v>23</v>
      </c>
      <c r="B16" s="143"/>
      <c r="C16" s="143"/>
      <c r="D16" s="143"/>
      <c r="E16" s="143"/>
      <c r="F16" s="143"/>
      <c r="G16" s="143"/>
      <c r="H16" s="143"/>
      <c r="I16" s="143"/>
      <c r="J16" s="36"/>
      <c r="K16" s="37"/>
      <c r="L16" s="38"/>
      <c r="M16" s="38"/>
      <c r="N16" s="38"/>
      <c r="O16" s="38"/>
    </row>
    <row r="17" spans="1:15" ht="57.75" customHeight="1" x14ac:dyDescent="0.25">
      <c r="A17" s="144" t="s">
        <v>24</v>
      </c>
      <c r="B17" s="145" t="s">
        <v>25</v>
      </c>
      <c r="C17" s="144" t="s">
        <v>26</v>
      </c>
      <c r="D17" s="144" t="s">
        <v>27</v>
      </c>
      <c r="E17" s="144" t="s">
        <v>26</v>
      </c>
      <c r="F17" s="146" t="s">
        <v>28</v>
      </c>
      <c r="G17" s="146" t="s">
        <v>29</v>
      </c>
      <c r="H17" s="148" t="s">
        <v>30</v>
      </c>
      <c r="I17" s="146" t="s">
        <v>31</v>
      </c>
      <c r="J17" s="150" t="s">
        <v>32</v>
      </c>
      <c r="K17" s="151"/>
      <c r="L17" s="151"/>
      <c r="M17" s="151"/>
      <c r="N17" s="151"/>
      <c r="O17" s="152"/>
    </row>
    <row r="18" spans="1:15" ht="51.75" customHeight="1" x14ac:dyDescent="0.25">
      <c r="A18" s="145"/>
      <c r="B18" s="145"/>
      <c r="C18" s="145"/>
      <c r="D18" s="145"/>
      <c r="E18" s="145"/>
      <c r="F18" s="147"/>
      <c r="G18" s="147"/>
      <c r="H18" s="149"/>
      <c r="I18" s="147"/>
      <c r="J18" s="39" t="s">
        <v>33</v>
      </c>
      <c r="K18" s="40" t="s">
        <v>34</v>
      </c>
      <c r="L18" s="40" t="s">
        <v>35</v>
      </c>
      <c r="M18" s="39" t="s">
        <v>36</v>
      </c>
      <c r="N18" s="39" t="s">
        <v>37</v>
      </c>
      <c r="O18" s="39" t="s">
        <v>38</v>
      </c>
    </row>
    <row r="19" spans="1:15" s="48" customFormat="1" ht="99.75" customHeight="1" x14ac:dyDescent="0.25">
      <c r="A19" s="95">
        <v>1</v>
      </c>
      <c r="B19" s="94" t="s">
        <v>39</v>
      </c>
      <c r="C19" s="96">
        <f>SUM(E19:E27)</f>
        <v>13</v>
      </c>
      <c r="D19" s="97" t="s">
        <v>40</v>
      </c>
      <c r="E19" s="43">
        <v>1</v>
      </c>
      <c r="F19" s="43">
        <f>E19/$E$148 * 100</f>
        <v>1.0000000000000002</v>
      </c>
      <c r="G19" s="42" t="s">
        <v>41</v>
      </c>
      <c r="H19" s="44">
        <v>1</v>
      </c>
      <c r="I19" s="45" t="s">
        <v>42</v>
      </c>
      <c r="J19" s="46">
        <v>100</v>
      </c>
      <c r="K19" s="47">
        <v>95</v>
      </c>
      <c r="L19" s="47">
        <v>90</v>
      </c>
      <c r="M19" s="47">
        <v>85</v>
      </c>
      <c r="N19" s="47">
        <v>80</v>
      </c>
      <c r="O19" s="47" t="s">
        <v>43</v>
      </c>
    </row>
    <row r="20" spans="1:15" s="48" customFormat="1" ht="171.75" customHeight="1" x14ac:dyDescent="0.25">
      <c r="A20" s="95"/>
      <c r="B20" s="94"/>
      <c r="C20" s="96"/>
      <c r="D20" s="98"/>
      <c r="E20" s="43">
        <v>1</v>
      </c>
      <c r="F20" s="43">
        <f t="shared" ref="F20:F83" si="0">E20/$E$148 * 100</f>
        <v>1.0000000000000002</v>
      </c>
      <c r="G20" s="42" t="s">
        <v>44</v>
      </c>
      <c r="H20" s="44">
        <v>1</v>
      </c>
      <c r="I20" s="45" t="s">
        <v>42</v>
      </c>
      <c r="J20" s="46">
        <v>100</v>
      </c>
      <c r="K20" s="47">
        <v>95</v>
      </c>
      <c r="L20" s="47">
        <v>90</v>
      </c>
      <c r="M20" s="47">
        <v>85</v>
      </c>
      <c r="N20" s="47">
        <v>80</v>
      </c>
      <c r="O20" s="47" t="s">
        <v>43</v>
      </c>
    </row>
    <row r="21" spans="1:15" s="48" customFormat="1" ht="148.5" x14ac:dyDescent="0.25">
      <c r="A21" s="95"/>
      <c r="B21" s="94"/>
      <c r="C21" s="96"/>
      <c r="D21" s="99"/>
      <c r="E21" s="43">
        <v>2</v>
      </c>
      <c r="F21" s="43">
        <f t="shared" si="0"/>
        <v>2.0000000000000004</v>
      </c>
      <c r="G21" s="42" t="s">
        <v>45</v>
      </c>
      <c r="H21" s="44">
        <v>1</v>
      </c>
      <c r="I21" s="45" t="s">
        <v>42</v>
      </c>
      <c r="J21" s="46">
        <v>100</v>
      </c>
      <c r="K21" s="47">
        <v>95</v>
      </c>
      <c r="L21" s="47">
        <v>90</v>
      </c>
      <c r="M21" s="47">
        <v>85</v>
      </c>
      <c r="N21" s="47">
        <v>80</v>
      </c>
      <c r="O21" s="47" t="s">
        <v>43</v>
      </c>
    </row>
    <row r="22" spans="1:15" s="48" customFormat="1" ht="231.75" customHeight="1" x14ac:dyDescent="0.25">
      <c r="A22" s="95"/>
      <c r="B22" s="94"/>
      <c r="C22" s="96"/>
      <c r="D22" s="94" t="s">
        <v>46</v>
      </c>
      <c r="E22" s="43">
        <v>2</v>
      </c>
      <c r="F22" s="43">
        <f t="shared" si="0"/>
        <v>2.0000000000000004</v>
      </c>
      <c r="G22" s="42" t="s">
        <v>47</v>
      </c>
      <c r="H22" s="44">
        <v>0.5</v>
      </c>
      <c r="I22" s="45" t="s">
        <v>42</v>
      </c>
      <c r="J22" s="46" t="s">
        <v>48</v>
      </c>
      <c r="K22" s="47">
        <v>50</v>
      </c>
      <c r="L22" s="47">
        <v>45</v>
      </c>
      <c r="M22" s="47">
        <v>40</v>
      </c>
      <c r="N22" s="47">
        <v>25</v>
      </c>
      <c r="O22" s="47" t="s">
        <v>49</v>
      </c>
    </row>
    <row r="23" spans="1:15" s="48" customFormat="1" ht="199.5" customHeight="1" x14ac:dyDescent="0.25">
      <c r="A23" s="95"/>
      <c r="B23" s="94"/>
      <c r="C23" s="96"/>
      <c r="D23" s="94"/>
      <c r="E23" s="43">
        <v>1</v>
      </c>
      <c r="F23" s="43">
        <f t="shared" si="0"/>
        <v>1.0000000000000002</v>
      </c>
      <c r="G23" s="42" t="s">
        <v>50</v>
      </c>
      <c r="H23" s="44">
        <v>0.5</v>
      </c>
      <c r="I23" s="45" t="s">
        <v>42</v>
      </c>
      <c r="J23" s="46" t="s">
        <v>48</v>
      </c>
      <c r="K23" s="47">
        <v>50</v>
      </c>
      <c r="L23" s="47">
        <v>45</v>
      </c>
      <c r="M23" s="47">
        <v>40</v>
      </c>
      <c r="N23" s="47">
        <v>25</v>
      </c>
      <c r="O23" s="47" t="s">
        <v>49</v>
      </c>
    </row>
    <row r="24" spans="1:15" s="48" customFormat="1" ht="246" customHeight="1" x14ac:dyDescent="0.25">
      <c r="A24" s="95"/>
      <c r="B24" s="94"/>
      <c r="C24" s="96"/>
      <c r="D24" s="94"/>
      <c r="E24" s="43">
        <v>1</v>
      </c>
      <c r="F24" s="43">
        <f t="shared" si="0"/>
        <v>1.0000000000000002</v>
      </c>
      <c r="G24" s="42" t="s">
        <v>51</v>
      </c>
      <c r="H24" s="44">
        <v>0.75</v>
      </c>
      <c r="I24" s="45" t="s">
        <v>42</v>
      </c>
      <c r="J24" s="46" t="s">
        <v>52</v>
      </c>
      <c r="K24" s="47">
        <v>75</v>
      </c>
      <c r="L24" s="47">
        <v>70</v>
      </c>
      <c r="M24" s="47">
        <v>60</v>
      </c>
      <c r="N24" s="47">
        <v>50</v>
      </c>
      <c r="O24" s="47" t="s">
        <v>53</v>
      </c>
    </row>
    <row r="25" spans="1:15" s="48" customFormat="1" ht="246" customHeight="1" thickBot="1" x14ac:dyDescent="0.3">
      <c r="A25" s="95"/>
      <c r="B25" s="94"/>
      <c r="C25" s="96"/>
      <c r="D25" s="49" t="s">
        <v>54</v>
      </c>
      <c r="E25" s="43">
        <v>4</v>
      </c>
      <c r="F25" s="43">
        <f t="shared" si="0"/>
        <v>4.0000000000000009</v>
      </c>
      <c r="G25" s="42" t="s">
        <v>55</v>
      </c>
      <c r="H25" s="50">
        <v>4</v>
      </c>
      <c r="I25" s="45" t="s">
        <v>56</v>
      </c>
      <c r="J25" s="46" t="s">
        <v>57</v>
      </c>
      <c r="K25" s="47">
        <v>4</v>
      </c>
      <c r="L25" s="47">
        <v>3</v>
      </c>
      <c r="M25" s="47">
        <v>2</v>
      </c>
      <c r="N25" s="47">
        <v>1</v>
      </c>
      <c r="O25" s="47">
        <v>0</v>
      </c>
    </row>
    <row r="26" spans="1:15" s="48" customFormat="1" ht="246" customHeight="1" x14ac:dyDescent="0.25">
      <c r="A26" s="95"/>
      <c r="B26" s="94"/>
      <c r="C26" s="96"/>
      <c r="D26" s="94" t="s">
        <v>58</v>
      </c>
      <c r="E26" s="43">
        <v>0.5</v>
      </c>
      <c r="F26" s="43">
        <f t="shared" si="0"/>
        <v>0.50000000000000011</v>
      </c>
      <c r="G26" s="42" t="s">
        <v>59</v>
      </c>
      <c r="H26" s="44">
        <v>0.5</v>
      </c>
      <c r="I26" s="45" t="s">
        <v>42</v>
      </c>
      <c r="J26" s="46" t="s">
        <v>48</v>
      </c>
      <c r="K26" s="47">
        <v>50</v>
      </c>
      <c r="L26" s="47">
        <v>45</v>
      </c>
      <c r="M26" s="47">
        <v>40</v>
      </c>
      <c r="N26" s="47">
        <v>25</v>
      </c>
      <c r="O26" s="47" t="s">
        <v>49</v>
      </c>
    </row>
    <row r="27" spans="1:15" s="48" customFormat="1" ht="246" customHeight="1" x14ac:dyDescent="0.25">
      <c r="A27" s="95"/>
      <c r="B27" s="94"/>
      <c r="C27" s="96"/>
      <c r="D27" s="94"/>
      <c r="E27" s="43">
        <v>0.5</v>
      </c>
      <c r="F27" s="43">
        <f t="shared" si="0"/>
        <v>0.50000000000000011</v>
      </c>
      <c r="G27" s="42" t="s">
        <v>60</v>
      </c>
      <c r="H27" s="44">
        <v>0.75</v>
      </c>
      <c r="I27" s="45" t="s">
        <v>42</v>
      </c>
      <c r="J27" s="46" t="s">
        <v>52</v>
      </c>
      <c r="K27" s="47">
        <v>75</v>
      </c>
      <c r="L27" s="47">
        <v>70</v>
      </c>
      <c r="M27" s="47">
        <v>60</v>
      </c>
      <c r="N27" s="47">
        <v>50</v>
      </c>
      <c r="O27" s="47" t="s">
        <v>53</v>
      </c>
    </row>
    <row r="28" spans="1:15" s="48" customFormat="1" ht="246" customHeight="1" x14ac:dyDescent="0.25">
      <c r="A28" s="100">
        <v>2</v>
      </c>
      <c r="B28" s="97" t="s">
        <v>61</v>
      </c>
      <c r="C28" s="103">
        <v>7</v>
      </c>
      <c r="D28" s="97" t="s">
        <v>62</v>
      </c>
      <c r="E28" s="43">
        <v>1</v>
      </c>
      <c r="F28" s="43">
        <f t="shared" si="0"/>
        <v>1.0000000000000002</v>
      </c>
      <c r="G28" s="42" t="s">
        <v>63</v>
      </c>
      <c r="H28" s="51">
        <v>0.8</v>
      </c>
      <c r="I28" s="41" t="s">
        <v>42</v>
      </c>
      <c r="J28" s="46" t="s">
        <v>64</v>
      </c>
      <c r="K28" s="47">
        <v>80</v>
      </c>
      <c r="L28" s="47">
        <v>75</v>
      </c>
      <c r="M28" s="47">
        <v>70</v>
      </c>
      <c r="N28" s="47">
        <v>50</v>
      </c>
      <c r="O28" s="47" t="s">
        <v>53</v>
      </c>
    </row>
    <row r="29" spans="1:15" s="48" customFormat="1" ht="246" customHeight="1" x14ac:dyDescent="0.25">
      <c r="A29" s="101"/>
      <c r="B29" s="98"/>
      <c r="C29" s="104"/>
      <c r="D29" s="99"/>
      <c r="E29" s="43">
        <v>1</v>
      </c>
      <c r="F29" s="43">
        <f t="shared" si="0"/>
        <v>1.0000000000000002</v>
      </c>
      <c r="G29" s="42" t="s">
        <v>65</v>
      </c>
      <c r="H29" s="51">
        <v>0.8</v>
      </c>
      <c r="I29" s="41" t="s">
        <v>42</v>
      </c>
      <c r="J29" s="46" t="s">
        <v>64</v>
      </c>
      <c r="K29" s="47">
        <v>80</v>
      </c>
      <c r="L29" s="47">
        <v>75</v>
      </c>
      <c r="M29" s="47">
        <v>70</v>
      </c>
      <c r="N29" s="47">
        <v>50</v>
      </c>
      <c r="O29" s="47" t="s">
        <v>53</v>
      </c>
    </row>
    <row r="30" spans="1:15" s="48" customFormat="1" ht="246" customHeight="1" x14ac:dyDescent="0.25">
      <c r="A30" s="101"/>
      <c r="B30" s="98"/>
      <c r="C30" s="104"/>
      <c r="D30" s="97" t="s">
        <v>66</v>
      </c>
      <c r="E30" s="43">
        <v>0.66666666666666663</v>
      </c>
      <c r="F30" s="43">
        <f t="shared" si="0"/>
        <v>0.66666666666666674</v>
      </c>
      <c r="G30" s="42" t="s">
        <v>67</v>
      </c>
      <c r="H30" s="51">
        <v>0.8</v>
      </c>
      <c r="I30" s="41" t="s">
        <v>42</v>
      </c>
      <c r="J30" s="46" t="s">
        <v>64</v>
      </c>
      <c r="K30" s="47">
        <v>80</v>
      </c>
      <c r="L30" s="47">
        <v>75</v>
      </c>
      <c r="M30" s="47">
        <v>70</v>
      </c>
      <c r="N30" s="47">
        <v>50</v>
      </c>
      <c r="O30" s="47" t="s">
        <v>53</v>
      </c>
    </row>
    <row r="31" spans="1:15" s="48" customFormat="1" ht="246" customHeight="1" x14ac:dyDescent="0.25">
      <c r="A31" s="101"/>
      <c r="B31" s="98"/>
      <c r="C31" s="104"/>
      <c r="D31" s="98"/>
      <c r="E31" s="43">
        <v>0.66666666666666663</v>
      </c>
      <c r="F31" s="43">
        <f t="shared" si="0"/>
        <v>0.66666666666666674</v>
      </c>
      <c r="G31" s="42" t="s">
        <v>68</v>
      </c>
      <c r="H31" s="51">
        <v>0.8</v>
      </c>
      <c r="I31" s="41" t="s">
        <v>42</v>
      </c>
      <c r="J31" s="46" t="s">
        <v>64</v>
      </c>
      <c r="K31" s="47">
        <v>80</v>
      </c>
      <c r="L31" s="47">
        <v>75</v>
      </c>
      <c r="M31" s="47">
        <v>70</v>
      </c>
      <c r="N31" s="47">
        <v>50</v>
      </c>
      <c r="O31" s="47" t="s">
        <v>53</v>
      </c>
    </row>
    <row r="32" spans="1:15" s="48" customFormat="1" ht="246" customHeight="1" x14ac:dyDescent="0.25">
      <c r="A32" s="101"/>
      <c r="B32" s="98"/>
      <c r="C32" s="104"/>
      <c r="D32" s="99"/>
      <c r="E32" s="43">
        <v>0.66666666666666663</v>
      </c>
      <c r="F32" s="43">
        <f t="shared" si="0"/>
        <v>0.66666666666666674</v>
      </c>
      <c r="G32" s="42" t="s">
        <v>69</v>
      </c>
      <c r="H32" s="51">
        <v>0.8</v>
      </c>
      <c r="I32" s="41" t="s">
        <v>42</v>
      </c>
      <c r="J32" s="46" t="s">
        <v>64</v>
      </c>
      <c r="K32" s="47">
        <v>80</v>
      </c>
      <c r="L32" s="47">
        <v>75</v>
      </c>
      <c r="M32" s="47">
        <v>70</v>
      </c>
      <c r="N32" s="47">
        <v>50</v>
      </c>
      <c r="O32" s="47" t="s">
        <v>53</v>
      </c>
    </row>
    <row r="33" spans="1:15" s="48" customFormat="1" ht="246" customHeight="1" x14ac:dyDescent="0.25">
      <c r="A33" s="101"/>
      <c r="B33" s="98"/>
      <c r="C33" s="104"/>
      <c r="D33" s="97" t="s">
        <v>70</v>
      </c>
      <c r="E33" s="43">
        <v>0.5</v>
      </c>
      <c r="F33" s="43">
        <f t="shared" si="0"/>
        <v>0.50000000000000011</v>
      </c>
      <c r="G33" s="42" t="s">
        <v>71</v>
      </c>
      <c r="H33" s="51">
        <v>0.8</v>
      </c>
      <c r="I33" s="41" t="s">
        <v>42</v>
      </c>
      <c r="J33" s="46" t="s">
        <v>64</v>
      </c>
      <c r="K33" s="47">
        <v>80</v>
      </c>
      <c r="L33" s="47">
        <v>75</v>
      </c>
      <c r="M33" s="47">
        <v>70</v>
      </c>
      <c r="N33" s="47">
        <v>50</v>
      </c>
      <c r="O33" s="47" t="s">
        <v>53</v>
      </c>
    </row>
    <row r="34" spans="1:15" s="48" customFormat="1" ht="246" customHeight="1" x14ac:dyDescent="0.25">
      <c r="A34" s="101"/>
      <c r="B34" s="98"/>
      <c r="C34" s="104"/>
      <c r="D34" s="99"/>
      <c r="E34" s="43">
        <v>0.5</v>
      </c>
      <c r="F34" s="43">
        <f t="shared" si="0"/>
        <v>0.50000000000000011</v>
      </c>
      <c r="G34" s="42" t="s">
        <v>72</v>
      </c>
      <c r="H34" s="51">
        <v>1</v>
      </c>
      <c r="I34" s="45" t="s">
        <v>42</v>
      </c>
      <c r="J34" s="46">
        <v>100</v>
      </c>
      <c r="K34" s="47">
        <v>95</v>
      </c>
      <c r="L34" s="47">
        <v>90</v>
      </c>
      <c r="M34" s="47">
        <v>85</v>
      </c>
      <c r="N34" s="47">
        <v>80</v>
      </c>
      <c r="O34" s="47" t="s">
        <v>43</v>
      </c>
    </row>
    <row r="35" spans="1:15" s="48" customFormat="1" ht="246" customHeight="1" x14ac:dyDescent="0.25">
      <c r="A35" s="101"/>
      <c r="B35" s="98"/>
      <c r="C35" s="104"/>
      <c r="D35" s="97" t="s">
        <v>73</v>
      </c>
      <c r="E35" s="43">
        <v>0.5</v>
      </c>
      <c r="F35" s="43">
        <f t="shared" si="0"/>
        <v>0.50000000000000011</v>
      </c>
      <c r="G35" s="42" t="s">
        <v>74</v>
      </c>
      <c r="H35" s="51">
        <v>0.9</v>
      </c>
      <c r="I35" s="41" t="s">
        <v>42</v>
      </c>
      <c r="J35" s="46" t="s">
        <v>75</v>
      </c>
      <c r="K35" s="47">
        <v>90</v>
      </c>
      <c r="L35" s="47">
        <v>80</v>
      </c>
      <c r="M35" s="47">
        <v>70</v>
      </c>
      <c r="N35" s="47">
        <v>50</v>
      </c>
      <c r="O35" s="47" t="s">
        <v>53</v>
      </c>
    </row>
    <row r="36" spans="1:15" s="48" customFormat="1" ht="246" customHeight="1" x14ac:dyDescent="0.25">
      <c r="A36" s="101"/>
      <c r="B36" s="98"/>
      <c r="C36" s="104"/>
      <c r="D36" s="99"/>
      <c r="E36" s="43">
        <v>0.5</v>
      </c>
      <c r="F36" s="43">
        <f t="shared" si="0"/>
        <v>0.50000000000000011</v>
      </c>
      <c r="G36" s="42" t="s">
        <v>76</v>
      </c>
      <c r="H36" s="51">
        <v>0.8</v>
      </c>
      <c r="I36" s="41" t="s">
        <v>42</v>
      </c>
      <c r="J36" s="46" t="s">
        <v>64</v>
      </c>
      <c r="K36" s="47">
        <v>80</v>
      </c>
      <c r="L36" s="47">
        <v>75</v>
      </c>
      <c r="M36" s="47">
        <v>70</v>
      </c>
      <c r="N36" s="47">
        <v>50</v>
      </c>
      <c r="O36" s="47" t="s">
        <v>53</v>
      </c>
    </row>
    <row r="37" spans="1:15" s="48" customFormat="1" ht="246" customHeight="1" x14ac:dyDescent="0.25">
      <c r="A37" s="101"/>
      <c r="B37" s="98"/>
      <c r="C37" s="104"/>
      <c r="D37" s="97" t="s">
        <v>77</v>
      </c>
      <c r="E37" s="43">
        <v>0.5</v>
      </c>
      <c r="F37" s="43">
        <f t="shared" si="0"/>
        <v>0.50000000000000011</v>
      </c>
      <c r="G37" s="42" t="s">
        <v>78</v>
      </c>
      <c r="H37" s="51">
        <v>1</v>
      </c>
      <c r="I37" s="45" t="s">
        <v>42</v>
      </c>
      <c r="J37" s="46">
        <v>100</v>
      </c>
      <c r="K37" s="47">
        <v>95</v>
      </c>
      <c r="L37" s="47">
        <v>90</v>
      </c>
      <c r="M37" s="47">
        <v>85</v>
      </c>
      <c r="N37" s="47">
        <v>80</v>
      </c>
      <c r="O37" s="47" t="s">
        <v>43</v>
      </c>
    </row>
    <row r="38" spans="1:15" s="48" customFormat="1" ht="246" customHeight="1" x14ac:dyDescent="0.25">
      <c r="A38" s="101"/>
      <c r="B38" s="98"/>
      <c r="C38" s="104"/>
      <c r="D38" s="98"/>
      <c r="E38" s="43">
        <v>0.25</v>
      </c>
      <c r="F38" s="43">
        <f t="shared" si="0"/>
        <v>0.25000000000000006</v>
      </c>
      <c r="G38" s="42" t="s">
        <v>79</v>
      </c>
      <c r="H38" s="51">
        <v>0.8</v>
      </c>
      <c r="I38" s="41" t="s">
        <v>42</v>
      </c>
      <c r="J38" s="46" t="s">
        <v>64</v>
      </c>
      <c r="K38" s="47">
        <v>80</v>
      </c>
      <c r="L38" s="47">
        <v>75</v>
      </c>
      <c r="M38" s="47">
        <v>70</v>
      </c>
      <c r="N38" s="47">
        <v>50</v>
      </c>
      <c r="O38" s="47" t="s">
        <v>53</v>
      </c>
    </row>
    <row r="39" spans="1:15" s="48" customFormat="1" ht="246" customHeight="1" x14ac:dyDescent="0.25">
      <c r="A39" s="102"/>
      <c r="B39" s="99"/>
      <c r="C39" s="105"/>
      <c r="D39" s="99"/>
      <c r="E39" s="43">
        <v>0.25</v>
      </c>
      <c r="F39" s="43">
        <f t="shared" si="0"/>
        <v>0.25000000000000006</v>
      </c>
      <c r="G39" s="42" t="s">
        <v>80</v>
      </c>
      <c r="H39" s="51">
        <v>1</v>
      </c>
      <c r="I39" s="45" t="s">
        <v>42</v>
      </c>
      <c r="J39" s="46">
        <v>100</v>
      </c>
      <c r="K39" s="47">
        <v>95</v>
      </c>
      <c r="L39" s="47">
        <v>90</v>
      </c>
      <c r="M39" s="47">
        <v>85</v>
      </c>
      <c r="N39" s="47">
        <v>80</v>
      </c>
      <c r="O39" s="47" t="s">
        <v>43</v>
      </c>
    </row>
    <row r="40" spans="1:15" s="48" customFormat="1" ht="246" customHeight="1" x14ac:dyDescent="0.25">
      <c r="A40" s="100">
        <v>3</v>
      </c>
      <c r="B40" s="94" t="s">
        <v>164</v>
      </c>
      <c r="C40" s="103">
        <f>SUM(E40:E53)</f>
        <v>10</v>
      </c>
      <c r="D40" s="94" t="s">
        <v>165</v>
      </c>
      <c r="E40" s="43">
        <v>0.5</v>
      </c>
      <c r="F40" s="43">
        <f t="shared" si="0"/>
        <v>0.50000000000000011</v>
      </c>
      <c r="G40" s="49" t="s">
        <v>166</v>
      </c>
      <c r="H40" s="41">
        <v>30</v>
      </c>
      <c r="I40" s="45" t="s">
        <v>56</v>
      </c>
      <c r="J40" s="46" t="s">
        <v>167</v>
      </c>
      <c r="K40" s="47">
        <v>30</v>
      </c>
      <c r="L40" s="47">
        <v>25</v>
      </c>
      <c r="M40" s="47">
        <v>20</v>
      </c>
      <c r="N40" s="47">
        <v>15</v>
      </c>
      <c r="O40" s="47" t="s">
        <v>168</v>
      </c>
    </row>
    <row r="41" spans="1:15" s="48" customFormat="1" ht="246" customHeight="1" x14ac:dyDescent="0.25">
      <c r="A41" s="101"/>
      <c r="B41" s="94"/>
      <c r="C41" s="104"/>
      <c r="D41" s="94"/>
      <c r="E41" s="43">
        <v>0.5</v>
      </c>
      <c r="F41" s="43">
        <f t="shared" si="0"/>
        <v>0.50000000000000011</v>
      </c>
      <c r="G41" s="49" t="s">
        <v>169</v>
      </c>
      <c r="H41" s="51">
        <v>1</v>
      </c>
      <c r="I41" s="45" t="s">
        <v>42</v>
      </c>
      <c r="J41" s="46">
        <v>100</v>
      </c>
      <c r="K41" s="47">
        <v>95</v>
      </c>
      <c r="L41" s="47">
        <v>90</v>
      </c>
      <c r="M41" s="47">
        <v>85</v>
      </c>
      <c r="N41" s="47">
        <v>80</v>
      </c>
      <c r="O41" s="47" t="s">
        <v>43</v>
      </c>
    </row>
    <row r="42" spans="1:15" s="48" customFormat="1" ht="246" customHeight="1" x14ac:dyDescent="0.25">
      <c r="A42" s="101"/>
      <c r="B42" s="94"/>
      <c r="C42" s="104"/>
      <c r="D42" s="94"/>
      <c r="E42" s="43">
        <v>0.5</v>
      </c>
      <c r="F42" s="43">
        <f t="shared" si="0"/>
        <v>0.50000000000000011</v>
      </c>
      <c r="G42" s="49" t="s">
        <v>170</v>
      </c>
      <c r="H42" s="51">
        <v>0.9</v>
      </c>
      <c r="I42" s="41" t="s">
        <v>42</v>
      </c>
      <c r="J42" s="46" t="s">
        <v>75</v>
      </c>
      <c r="K42" s="47">
        <v>90</v>
      </c>
      <c r="L42" s="47">
        <v>80</v>
      </c>
      <c r="M42" s="47">
        <v>70</v>
      </c>
      <c r="N42" s="47">
        <v>50</v>
      </c>
      <c r="O42" s="47" t="s">
        <v>53</v>
      </c>
    </row>
    <row r="43" spans="1:15" s="48" customFormat="1" ht="246" customHeight="1" x14ac:dyDescent="0.25">
      <c r="A43" s="101"/>
      <c r="B43" s="94"/>
      <c r="C43" s="104"/>
      <c r="D43" s="94" t="s">
        <v>171</v>
      </c>
      <c r="E43" s="43">
        <v>0.5</v>
      </c>
      <c r="F43" s="43">
        <f t="shared" si="0"/>
        <v>0.50000000000000011</v>
      </c>
      <c r="G43" s="49" t="s">
        <v>172</v>
      </c>
      <c r="H43" s="51">
        <v>1</v>
      </c>
      <c r="I43" s="45" t="s">
        <v>42</v>
      </c>
      <c r="J43" s="46">
        <v>100</v>
      </c>
      <c r="K43" s="47">
        <v>95</v>
      </c>
      <c r="L43" s="47">
        <v>90</v>
      </c>
      <c r="M43" s="47">
        <v>85</v>
      </c>
      <c r="N43" s="47">
        <v>80</v>
      </c>
      <c r="O43" s="47" t="s">
        <v>43</v>
      </c>
    </row>
    <row r="44" spans="1:15" s="48" customFormat="1" ht="246" customHeight="1" x14ac:dyDescent="0.25">
      <c r="A44" s="101"/>
      <c r="B44" s="94"/>
      <c r="C44" s="104"/>
      <c r="D44" s="94"/>
      <c r="E44" s="43">
        <v>0.5</v>
      </c>
      <c r="F44" s="43">
        <f t="shared" si="0"/>
        <v>0.50000000000000011</v>
      </c>
      <c r="G44" s="49" t="s">
        <v>173</v>
      </c>
      <c r="H44" s="51">
        <v>0.9</v>
      </c>
      <c r="I44" s="41" t="s">
        <v>42</v>
      </c>
      <c r="J44" s="46" t="s">
        <v>75</v>
      </c>
      <c r="K44" s="47">
        <v>90</v>
      </c>
      <c r="L44" s="47">
        <v>80</v>
      </c>
      <c r="M44" s="47">
        <v>70</v>
      </c>
      <c r="N44" s="47">
        <v>50</v>
      </c>
      <c r="O44" s="47" t="s">
        <v>53</v>
      </c>
    </row>
    <row r="45" spans="1:15" s="48" customFormat="1" ht="246" customHeight="1" x14ac:dyDescent="0.25">
      <c r="A45" s="101"/>
      <c r="B45" s="94"/>
      <c r="C45" s="104"/>
      <c r="D45" s="94" t="s">
        <v>174</v>
      </c>
      <c r="E45" s="43">
        <v>1</v>
      </c>
      <c r="F45" s="43">
        <f t="shared" si="0"/>
        <v>1.0000000000000002</v>
      </c>
      <c r="G45" s="49" t="s">
        <v>175</v>
      </c>
      <c r="H45" s="41">
        <v>4</v>
      </c>
      <c r="I45" s="45" t="s">
        <v>57</v>
      </c>
      <c r="J45" s="46">
        <v>4</v>
      </c>
      <c r="K45" s="47">
        <v>3</v>
      </c>
      <c r="L45" s="47">
        <v>2</v>
      </c>
      <c r="M45" s="47">
        <v>1</v>
      </c>
      <c r="N45" s="47">
        <v>0</v>
      </c>
      <c r="O45" s="47"/>
    </row>
    <row r="46" spans="1:15" s="48" customFormat="1" ht="246" customHeight="1" x14ac:dyDescent="0.25">
      <c r="A46" s="101"/>
      <c r="B46" s="94"/>
      <c r="C46" s="104"/>
      <c r="D46" s="94"/>
      <c r="E46" s="43">
        <v>1</v>
      </c>
      <c r="F46" s="43">
        <f t="shared" si="0"/>
        <v>1.0000000000000002</v>
      </c>
      <c r="G46" s="49" t="s">
        <v>176</v>
      </c>
      <c r="H46" s="51">
        <v>0.9</v>
      </c>
      <c r="I46" s="41" t="s">
        <v>42</v>
      </c>
      <c r="J46" s="46" t="s">
        <v>75</v>
      </c>
      <c r="K46" s="47">
        <v>90</v>
      </c>
      <c r="L46" s="47">
        <v>80</v>
      </c>
      <c r="M46" s="47">
        <v>70</v>
      </c>
      <c r="N46" s="47">
        <v>50</v>
      </c>
      <c r="O46" s="47" t="s">
        <v>53</v>
      </c>
    </row>
    <row r="47" spans="1:15" s="48" customFormat="1" ht="246" customHeight="1" x14ac:dyDescent="0.25">
      <c r="A47" s="101"/>
      <c r="B47" s="94"/>
      <c r="C47" s="104"/>
      <c r="D47" s="94" t="s">
        <v>177</v>
      </c>
      <c r="E47" s="43">
        <v>1</v>
      </c>
      <c r="F47" s="43">
        <f t="shared" si="0"/>
        <v>1.0000000000000002</v>
      </c>
      <c r="G47" s="49" t="s">
        <v>178</v>
      </c>
      <c r="H47" s="41">
        <v>20</v>
      </c>
      <c r="I47" s="45" t="s">
        <v>96</v>
      </c>
      <c r="J47" s="46">
        <v>20</v>
      </c>
      <c r="K47" s="47">
        <v>15</v>
      </c>
      <c r="L47" s="47">
        <v>10</v>
      </c>
      <c r="M47" s="47">
        <v>5</v>
      </c>
      <c r="N47" s="47">
        <v>3</v>
      </c>
      <c r="O47" s="47" t="s">
        <v>179</v>
      </c>
    </row>
    <row r="48" spans="1:15" s="48" customFormat="1" ht="246" customHeight="1" x14ac:dyDescent="0.25">
      <c r="A48" s="101"/>
      <c r="B48" s="94"/>
      <c r="C48" s="104"/>
      <c r="D48" s="94"/>
      <c r="E48" s="43">
        <v>1</v>
      </c>
      <c r="F48" s="43">
        <f t="shared" si="0"/>
        <v>1.0000000000000002</v>
      </c>
      <c r="G48" s="49" t="s">
        <v>180</v>
      </c>
      <c r="H48" s="41">
        <v>80</v>
      </c>
      <c r="I48" s="41" t="s">
        <v>42</v>
      </c>
      <c r="J48" s="46" t="s">
        <v>64</v>
      </c>
      <c r="K48" s="47">
        <v>80</v>
      </c>
      <c r="L48" s="47">
        <v>75</v>
      </c>
      <c r="M48" s="47">
        <v>70</v>
      </c>
      <c r="N48" s="47">
        <v>50</v>
      </c>
      <c r="O48" s="47" t="s">
        <v>53</v>
      </c>
    </row>
    <row r="49" spans="1:15" s="48" customFormat="1" ht="223.5" customHeight="1" x14ac:dyDescent="0.25">
      <c r="A49" s="101"/>
      <c r="B49" s="94"/>
      <c r="C49" s="104"/>
      <c r="D49" s="94" t="s">
        <v>181</v>
      </c>
      <c r="E49" s="43">
        <v>0.5</v>
      </c>
      <c r="F49" s="43">
        <f t="shared" si="0"/>
        <v>0.50000000000000011</v>
      </c>
      <c r="G49" s="49" t="s">
        <v>182</v>
      </c>
      <c r="H49" s="41">
        <v>6</v>
      </c>
      <c r="I49" s="45" t="s">
        <v>183</v>
      </c>
      <c r="J49" s="46">
        <v>6</v>
      </c>
      <c r="K49" s="47">
        <v>5</v>
      </c>
      <c r="L49" s="47">
        <v>4</v>
      </c>
      <c r="M49" s="47">
        <v>2</v>
      </c>
      <c r="N49" s="47">
        <v>1</v>
      </c>
      <c r="O49" s="47">
        <v>0</v>
      </c>
    </row>
    <row r="50" spans="1:15" s="48" customFormat="1" ht="99" x14ac:dyDescent="0.25">
      <c r="A50" s="101"/>
      <c r="B50" s="94"/>
      <c r="C50" s="104"/>
      <c r="D50" s="94"/>
      <c r="E50" s="43">
        <v>0.5</v>
      </c>
      <c r="F50" s="43">
        <f t="shared" si="0"/>
        <v>0.50000000000000011</v>
      </c>
      <c r="G50" s="49" t="s">
        <v>184</v>
      </c>
      <c r="H50" s="51">
        <v>1</v>
      </c>
      <c r="I50" s="45" t="s">
        <v>42</v>
      </c>
      <c r="J50" s="46">
        <v>100</v>
      </c>
      <c r="K50" s="47">
        <v>95</v>
      </c>
      <c r="L50" s="47">
        <v>90</v>
      </c>
      <c r="M50" s="47">
        <v>85</v>
      </c>
      <c r="N50" s="47">
        <v>80</v>
      </c>
      <c r="O50" s="47" t="s">
        <v>43</v>
      </c>
    </row>
    <row r="51" spans="1:15" s="48" customFormat="1" ht="99" x14ac:dyDescent="0.25">
      <c r="A51" s="101"/>
      <c r="B51" s="94"/>
      <c r="C51" s="104"/>
      <c r="D51" s="94" t="s">
        <v>185</v>
      </c>
      <c r="E51" s="43">
        <v>0.75</v>
      </c>
      <c r="F51" s="43">
        <f t="shared" si="0"/>
        <v>0.75000000000000011</v>
      </c>
      <c r="G51" s="49" t="s">
        <v>186</v>
      </c>
      <c r="H51" s="51">
        <v>1</v>
      </c>
      <c r="I51" s="45" t="s">
        <v>42</v>
      </c>
      <c r="J51" s="46">
        <v>100</v>
      </c>
      <c r="K51" s="47">
        <v>95</v>
      </c>
      <c r="L51" s="47">
        <v>90</v>
      </c>
      <c r="M51" s="47">
        <v>85</v>
      </c>
      <c r="N51" s="47">
        <v>80</v>
      </c>
      <c r="O51" s="47" t="s">
        <v>43</v>
      </c>
    </row>
    <row r="52" spans="1:15" s="48" customFormat="1" ht="99" x14ac:dyDescent="0.25">
      <c r="A52" s="101"/>
      <c r="B52" s="94"/>
      <c r="C52" s="104"/>
      <c r="D52" s="94"/>
      <c r="E52" s="43">
        <v>0.75</v>
      </c>
      <c r="F52" s="43">
        <f t="shared" si="0"/>
        <v>0.75000000000000011</v>
      </c>
      <c r="G52" s="49" t="s">
        <v>187</v>
      </c>
      <c r="H52" s="51">
        <v>1</v>
      </c>
      <c r="I52" s="45" t="s">
        <v>42</v>
      </c>
      <c r="J52" s="46">
        <v>100</v>
      </c>
      <c r="K52" s="47">
        <v>95</v>
      </c>
      <c r="L52" s="47">
        <v>90</v>
      </c>
      <c r="M52" s="47">
        <v>85</v>
      </c>
      <c r="N52" s="47">
        <v>80</v>
      </c>
      <c r="O52" s="47" t="s">
        <v>43</v>
      </c>
    </row>
    <row r="53" spans="1:15" s="48" customFormat="1" ht="246" customHeight="1" x14ac:dyDescent="0.25">
      <c r="A53" s="101"/>
      <c r="B53" s="94"/>
      <c r="C53" s="105"/>
      <c r="D53" s="42" t="s">
        <v>188</v>
      </c>
      <c r="E53" s="43">
        <v>1</v>
      </c>
      <c r="F53" s="43">
        <f t="shared" si="0"/>
        <v>1.0000000000000002</v>
      </c>
      <c r="G53" s="42" t="s">
        <v>189</v>
      </c>
      <c r="H53" s="51">
        <v>0.9</v>
      </c>
      <c r="I53" s="41" t="s">
        <v>42</v>
      </c>
      <c r="J53" s="46" t="s">
        <v>75</v>
      </c>
      <c r="K53" s="47">
        <v>90</v>
      </c>
      <c r="L53" s="47">
        <v>80</v>
      </c>
      <c r="M53" s="47">
        <v>70</v>
      </c>
      <c r="N53" s="47">
        <v>50</v>
      </c>
      <c r="O53" s="47" t="s">
        <v>53</v>
      </c>
    </row>
    <row r="54" spans="1:15" s="48" customFormat="1" ht="246" customHeight="1" x14ac:dyDescent="0.25">
      <c r="A54" s="95">
        <v>4</v>
      </c>
      <c r="B54" s="94" t="s">
        <v>190</v>
      </c>
      <c r="C54" s="96">
        <f>SUM(E54:E61)</f>
        <v>2</v>
      </c>
      <c r="D54" s="94" t="s">
        <v>191</v>
      </c>
      <c r="E54" s="43">
        <v>0.25</v>
      </c>
      <c r="F54" s="43">
        <f t="shared" si="0"/>
        <v>0.25000000000000006</v>
      </c>
      <c r="G54" s="49" t="s">
        <v>192</v>
      </c>
      <c r="H54" s="51">
        <v>1</v>
      </c>
      <c r="I54" s="45" t="s">
        <v>42</v>
      </c>
      <c r="J54" s="46">
        <v>100</v>
      </c>
      <c r="K54" s="47">
        <v>95</v>
      </c>
      <c r="L54" s="47">
        <v>90</v>
      </c>
      <c r="M54" s="47">
        <v>85</v>
      </c>
      <c r="N54" s="47">
        <v>80</v>
      </c>
      <c r="O54" s="47" t="s">
        <v>43</v>
      </c>
    </row>
    <row r="55" spans="1:15" s="48" customFormat="1" ht="246" customHeight="1" x14ac:dyDescent="0.25">
      <c r="A55" s="95"/>
      <c r="B55" s="94"/>
      <c r="C55" s="96"/>
      <c r="D55" s="94"/>
      <c r="E55" s="43">
        <v>0.25</v>
      </c>
      <c r="F55" s="43">
        <f t="shared" si="0"/>
        <v>0.25000000000000006</v>
      </c>
      <c r="G55" s="49" t="s">
        <v>193</v>
      </c>
      <c r="H55" s="51">
        <v>1</v>
      </c>
      <c r="I55" s="45" t="s">
        <v>42</v>
      </c>
      <c r="J55" s="46">
        <v>100</v>
      </c>
      <c r="K55" s="47">
        <v>95</v>
      </c>
      <c r="L55" s="47">
        <v>90</v>
      </c>
      <c r="M55" s="47">
        <v>85</v>
      </c>
      <c r="N55" s="47">
        <v>80</v>
      </c>
      <c r="O55" s="47" t="s">
        <v>43</v>
      </c>
    </row>
    <row r="56" spans="1:15" s="48" customFormat="1" ht="246" customHeight="1" x14ac:dyDescent="0.25">
      <c r="A56" s="95"/>
      <c r="B56" s="94"/>
      <c r="C56" s="96"/>
      <c r="D56" s="94"/>
      <c r="E56" s="43">
        <v>0.25</v>
      </c>
      <c r="F56" s="43">
        <f t="shared" si="0"/>
        <v>0.25000000000000006</v>
      </c>
      <c r="G56" s="49" t="s">
        <v>194</v>
      </c>
      <c r="H56" s="51">
        <v>0.9</v>
      </c>
      <c r="I56" s="41" t="s">
        <v>42</v>
      </c>
      <c r="J56" s="46" t="s">
        <v>75</v>
      </c>
      <c r="K56" s="47">
        <v>90</v>
      </c>
      <c r="L56" s="47">
        <v>80</v>
      </c>
      <c r="M56" s="47">
        <v>70</v>
      </c>
      <c r="N56" s="47">
        <v>50</v>
      </c>
      <c r="O56" s="47" t="s">
        <v>53</v>
      </c>
    </row>
    <row r="57" spans="1:15" s="48" customFormat="1" ht="246" customHeight="1" x14ac:dyDescent="0.25">
      <c r="A57" s="95"/>
      <c r="B57" s="94"/>
      <c r="C57" s="96"/>
      <c r="D57" s="94"/>
      <c r="E57" s="43">
        <v>0.25</v>
      </c>
      <c r="F57" s="43">
        <f t="shared" si="0"/>
        <v>0.25000000000000006</v>
      </c>
      <c r="G57" s="49" t="s">
        <v>195</v>
      </c>
      <c r="H57" s="51">
        <v>0.9</v>
      </c>
      <c r="I57" s="41" t="s">
        <v>42</v>
      </c>
      <c r="J57" s="46" t="s">
        <v>75</v>
      </c>
      <c r="K57" s="47">
        <v>90</v>
      </c>
      <c r="L57" s="47">
        <v>80</v>
      </c>
      <c r="M57" s="47">
        <v>70</v>
      </c>
      <c r="N57" s="47">
        <v>50</v>
      </c>
      <c r="O57" s="47" t="s">
        <v>53</v>
      </c>
    </row>
    <row r="58" spans="1:15" s="48" customFormat="1" ht="246" customHeight="1" x14ac:dyDescent="0.25">
      <c r="A58" s="95"/>
      <c r="B58" s="94"/>
      <c r="C58" s="96"/>
      <c r="D58" s="94"/>
      <c r="E58" s="43">
        <v>0.25</v>
      </c>
      <c r="F58" s="43">
        <f t="shared" si="0"/>
        <v>0.25000000000000006</v>
      </c>
      <c r="G58" s="49" t="s">
        <v>196</v>
      </c>
      <c r="H58" s="51">
        <v>0.8</v>
      </c>
      <c r="I58" s="41" t="s">
        <v>42</v>
      </c>
      <c r="J58" s="46" t="s">
        <v>64</v>
      </c>
      <c r="K58" s="47">
        <v>80</v>
      </c>
      <c r="L58" s="47">
        <v>75</v>
      </c>
      <c r="M58" s="47">
        <v>70</v>
      </c>
      <c r="N58" s="47">
        <v>50</v>
      </c>
      <c r="O58" s="47" t="s">
        <v>53</v>
      </c>
    </row>
    <row r="59" spans="1:15" s="48" customFormat="1" ht="246" customHeight="1" x14ac:dyDescent="0.25">
      <c r="A59" s="95"/>
      <c r="B59" s="94"/>
      <c r="C59" s="96"/>
      <c r="D59" s="94"/>
      <c r="E59" s="43">
        <v>0.25</v>
      </c>
      <c r="F59" s="43">
        <f t="shared" si="0"/>
        <v>0.25000000000000006</v>
      </c>
      <c r="G59" s="49" t="s">
        <v>197</v>
      </c>
      <c r="H59" s="51">
        <v>1</v>
      </c>
      <c r="I59" s="45" t="s">
        <v>42</v>
      </c>
      <c r="J59" s="46">
        <v>100</v>
      </c>
      <c r="K59" s="47">
        <v>95</v>
      </c>
      <c r="L59" s="47">
        <v>90</v>
      </c>
      <c r="M59" s="47">
        <v>85</v>
      </c>
      <c r="N59" s="47">
        <v>80</v>
      </c>
      <c r="O59" s="47" t="s">
        <v>43</v>
      </c>
    </row>
    <row r="60" spans="1:15" s="48" customFormat="1" ht="246" customHeight="1" x14ac:dyDescent="0.25">
      <c r="A60" s="95"/>
      <c r="B60" s="94"/>
      <c r="C60" s="96"/>
      <c r="D60" s="94"/>
      <c r="E60" s="43">
        <v>0.25</v>
      </c>
      <c r="F60" s="43">
        <f t="shared" si="0"/>
        <v>0.25000000000000006</v>
      </c>
      <c r="G60" s="49" t="s">
        <v>198</v>
      </c>
      <c r="H60" s="51">
        <v>1</v>
      </c>
      <c r="I60" s="45" t="s">
        <v>42</v>
      </c>
      <c r="J60" s="46">
        <v>100</v>
      </c>
      <c r="K60" s="47">
        <v>95</v>
      </c>
      <c r="L60" s="47">
        <v>90</v>
      </c>
      <c r="M60" s="47">
        <v>85</v>
      </c>
      <c r="N60" s="47">
        <v>80</v>
      </c>
      <c r="O60" s="47" t="s">
        <v>43</v>
      </c>
    </row>
    <row r="61" spans="1:15" s="48" customFormat="1" ht="246" customHeight="1" x14ac:dyDescent="0.25">
      <c r="A61" s="95"/>
      <c r="B61" s="94"/>
      <c r="C61" s="96"/>
      <c r="D61" s="94"/>
      <c r="E61" s="43">
        <v>0.25</v>
      </c>
      <c r="F61" s="43">
        <f t="shared" si="0"/>
        <v>0.25000000000000006</v>
      </c>
      <c r="G61" s="49" t="s">
        <v>199</v>
      </c>
      <c r="H61" s="51">
        <v>1</v>
      </c>
      <c r="I61" s="45" t="s">
        <v>42</v>
      </c>
      <c r="J61" s="46">
        <v>100</v>
      </c>
      <c r="K61" s="47">
        <v>95</v>
      </c>
      <c r="L61" s="47">
        <v>90</v>
      </c>
      <c r="M61" s="47">
        <v>85</v>
      </c>
      <c r="N61" s="47">
        <v>80</v>
      </c>
      <c r="O61" s="47" t="s">
        <v>43</v>
      </c>
    </row>
    <row r="62" spans="1:15" s="48" customFormat="1" ht="246" customHeight="1" x14ac:dyDescent="0.25">
      <c r="A62" s="95">
        <v>5</v>
      </c>
      <c r="B62" s="94" t="s">
        <v>200</v>
      </c>
      <c r="C62" s="96">
        <f>SUM(E62:E69)</f>
        <v>3</v>
      </c>
      <c r="D62" s="94" t="s">
        <v>201</v>
      </c>
      <c r="E62" s="43">
        <v>0.375</v>
      </c>
      <c r="F62" s="43">
        <f t="shared" si="0"/>
        <v>0.37500000000000006</v>
      </c>
      <c r="G62" s="49" t="s">
        <v>202</v>
      </c>
      <c r="H62" s="51">
        <v>1</v>
      </c>
      <c r="I62" s="45" t="s">
        <v>42</v>
      </c>
      <c r="J62" s="46">
        <v>100</v>
      </c>
      <c r="K62" s="47">
        <v>95</v>
      </c>
      <c r="L62" s="47">
        <v>90</v>
      </c>
      <c r="M62" s="47">
        <v>85</v>
      </c>
      <c r="N62" s="47">
        <v>80</v>
      </c>
      <c r="O62" s="47" t="s">
        <v>43</v>
      </c>
    </row>
    <row r="63" spans="1:15" s="48" customFormat="1" ht="246" customHeight="1" x14ac:dyDescent="0.25">
      <c r="A63" s="95"/>
      <c r="B63" s="94"/>
      <c r="C63" s="96"/>
      <c r="D63" s="94"/>
      <c r="E63" s="43">
        <v>0.375</v>
      </c>
      <c r="F63" s="43">
        <f t="shared" si="0"/>
        <v>0.37500000000000006</v>
      </c>
      <c r="G63" s="49" t="s">
        <v>203</v>
      </c>
      <c r="H63" s="51">
        <v>1</v>
      </c>
      <c r="I63" s="45" t="s">
        <v>42</v>
      </c>
      <c r="J63" s="46">
        <v>100</v>
      </c>
      <c r="K63" s="47">
        <v>95</v>
      </c>
      <c r="L63" s="47">
        <v>90</v>
      </c>
      <c r="M63" s="47">
        <v>85</v>
      </c>
      <c r="N63" s="47">
        <v>80</v>
      </c>
      <c r="O63" s="47" t="s">
        <v>43</v>
      </c>
    </row>
    <row r="64" spans="1:15" s="48" customFormat="1" ht="246" customHeight="1" x14ac:dyDescent="0.25">
      <c r="A64" s="95"/>
      <c r="B64" s="94"/>
      <c r="C64" s="96"/>
      <c r="D64" s="94"/>
      <c r="E64" s="43">
        <v>0.375</v>
      </c>
      <c r="F64" s="43">
        <f t="shared" si="0"/>
        <v>0.37500000000000006</v>
      </c>
      <c r="G64" s="49" t="s">
        <v>204</v>
      </c>
      <c r="H64" s="51">
        <v>0.9</v>
      </c>
      <c r="I64" s="41" t="s">
        <v>42</v>
      </c>
      <c r="J64" s="46" t="s">
        <v>75</v>
      </c>
      <c r="K64" s="47">
        <v>90</v>
      </c>
      <c r="L64" s="47">
        <v>80</v>
      </c>
      <c r="M64" s="47">
        <v>70</v>
      </c>
      <c r="N64" s="47">
        <v>50</v>
      </c>
      <c r="O64" s="47" t="s">
        <v>53</v>
      </c>
    </row>
    <row r="65" spans="1:15" s="48" customFormat="1" ht="246" customHeight="1" x14ac:dyDescent="0.25">
      <c r="A65" s="95"/>
      <c r="B65" s="94"/>
      <c r="C65" s="96"/>
      <c r="D65" s="94"/>
      <c r="E65" s="43">
        <v>0.375</v>
      </c>
      <c r="F65" s="43">
        <f t="shared" si="0"/>
        <v>0.37500000000000006</v>
      </c>
      <c r="G65" s="49" t="s">
        <v>205</v>
      </c>
      <c r="H65" s="51">
        <v>0.9</v>
      </c>
      <c r="I65" s="41" t="s">
        <v>42</v>
      </c>
      <c r="J65" s="46" t="s">
        <v>75</v>
      </c>
      <c r="K65" s="47">
        <v>90</v>
      </c>
      <c r="L65" s="47">
        <v>80</v>
      </c>
      <c r="M65" s="47">
        <v>70</v>
      </c>
      <c r="N65" s="47">
        <v>50</v>
      </c>
      <c r="O65" s="47" t="s">
        <v>53</v>
      </c>
    </row>
    <row r="66" spans="1:15" s="48" customFormat="1" ht="246" customHeight="1" x14ac:dyDescent="0.25">
      <c r="A66" s="95"/>
      <c r="B66" s="94"/>
      <c r="C66" s="96"/>
      <c r="D66" s="94"/>
      <c r="E66" s="43">
        <v>0.375</v>
      </c>
      <c r="F66" s="43">
        <f t="shared" si="0"/>
        <v>0.37500000000000006</v>
      </c>
      <c r="G66" s="49" t="s">
        <v>206</v>
      </c>
      <c r="H66" s="51">
        <v>0.8</v>
      </c>
      <c r="I66" s="41" t="s">
        <v>42</v>
      </c>
      <c r="J66" s="46" t="s">
        <v>64</v>
      </c>
      <c r="K66" s="47">
        <v>80</v>
      </c>
      <c r="L66" s="47">
        <v>75</v>
      </c>
      <c r="M66" s="47">
        <v>70</v>
      </c>
      <c r="N66" s="47">
        <v>50</v>
      </c>
      <c r="O66" s="47" t="s">
        <v>53</v>
      </c>
    </row>
    <row r="67" spans="1:15" s="48" customFormat="1" ht="204.75" customHeight="1" x14ac:dyDescent="0.25">
      <c r="A67" s="95"/>
      <c r="B67" s="94"/>
      <c r="C67" s="96"/>
      <c r="D67" s="94"/>
      <c r="E67" s="43">
        <v>0.375</v>
      </c>
      <c r="F67" s="43">
        <f t="shared" si="0"/>
        <v>0.37500000000000006</v>
      </c>
      <c r="G67" s="49" t="s">
        <v>207</v>
      </c>
      <c r="H67" s="51">
        <v>1</v>
      </c>
      <c r="I67" s="45" t="s">
        <v>42</v>
      </c>
      <c r="J67" s="46">
        <v>100</v>
      </c>
      <c r="K67" s="47">
        <v>95</v>
      </c>
      <c r="L67" s="47">
        <v>90</v>
      </c>
      <c r="M67" s="47">
        <v>85</v>
      </c>
      <c r="N67" s="47">
        <v>80</v>
      </c>
      <c r="O67" s="47" t="s">
        <v>43</v>
      </c>
    </row>
    <row r="68" spans="1:15" s="48" customFormat="1" ht="246" customHeight="1" x14ac:dyDescent="0.25">
      <c r="A68" s="95"/>
      <c r="B68" s="94"/>
      <c r="C68" s="96"/>
      <c r="D68" s="94"/>
      <c r="E68" s="43">
        <v>0.375</v>
      </c>
      <c r="F68" s="43">
        <f t="shared" si="0"/>
        <v>0.37500000000000006</v>
      </c>
      <c r="G68" s="49" t="s">
        <v>208</v>
      </c>
      <c r="H68" s="51">
        <v>1</v>
      </c>
      <c r="I68" s="45" t="s">
        <v>42</v>
      </c>
      <c r="J68" s="46">
        <v>100</v>
      </c>
      <c r="K68" s="47">
        <v>95</v>
      </c>
      <c r="L68" s="47">
        <v>90</v>
      </c>
      <c r="M68" s="47">
        <v>85</v>
      </c>
      <c r="N68" s="47">
        <v>80</v>
      </c>
      <c r="O68" s="47" t="s">
        <v>43</v>
      </c>
    </row>
    <row r="69" spans="1:15" s="48" customFormat="1" ht="407.25" customHeight="1" x14ac:dyDescent="0.25">
      <c r="A69" s="95"/>
      <c r="B69" s="94"/>
      <c r="C69" s="96"/>
      <c r="D69" s="94"/>
      <c r="E69" s="90">
        <v>0.375</v>
      </c>
      <c r="F69" s="43">
        <f t="shared" si="0"/>
        <v>0.37500000000000006</v>
      </c>
      <c r="G69" s="49" t="s">
        <v>209</v>
      </c>
      <c r="H69" s="51">
        <v>1</v>
      </c>
      <c r="I69" s="45" t="s">
        <v>42</v>
      </c>
      <c r="J69" s="46">
        <v>100</v>
      </c>
      <c r="K69" s="47">
        <v>95</v>
      </c>
      <c r="L69" s="47">
        <v>90</v>
      </c>
      <c r="M69" s="47">
        <v>85</v>
      </c>
      <c r="N69" s="47">
        <v>80</v>
      </c>
      <c r="O69" s="47" t="s">
        <v>43</v>
      </c>
    </row>
    <row r="70" spans="1:15" s="48" customFormat="1" ht="407.25" customHeight="1" x14ac:dyDescent="0.25">
      <c r="A70" s="100">
        <v>6</v>
      </c>
      <c r="B70" s="97" t="s">
        <v>210</v>
      </c>
      <c r="C70" s="103">
        <v>5</v>
      </c>
      <c r="D70" s="97" t="s">
        <v>211</v>
      </c>
      <c r="E70" s="43">
        <v>0.5</v>
      </c>
      <c r="F70" s="43">
        <f t="shared" si="0"/>
        <v>0.50000000000000011</v>
      </c>
      <c r="G70" s="42" t="s">
        <v>212</v>
      </c>
      <c r="H70" s="51">
        <v>1</v>
      </c>
      <c r="I70" s="45" t="s">
        <v>42</v>
      </c>
      <c r="J70" s="46">
        <v>100</v>
      </c>
      <c r="K70" s="47">
        <v>95</v>
      </c>
      <c r="L70" s="47">
        <v>90</v>
      </c>
      <c r="M70" s="47">
        <v>85</v>
      </c>
      <c r="N70" s="47">
        <v>80</v>
      </c>
      <c r="O70" s="47" t="s">
        <v>43</v>
      </c>
    </row>
    <row r="71" spans="1:15" s="48" customFormat="1" ht="246" customHeight="1" x14ac:dyDescent="0.25">
      <c r="A71" s="101"/>
      <c r="B71" s="98"/>
      <c r="C71" s="104"/>
      <c r="D71" s="99"/>
      <c r="E71" s="43">
        <v>0.5</v>
      </c>
      <c r="F71" s="43">
        <f t="shared" si="0"/>
        <v>0.50000000000000011</v>
      </c>
      <c r="G71" s="42" t="s">
        <v>213</v>
      </c>
      <c r="H71" s="51">
        <v>1</v>
      </c>
      <c r="I71" s="45" t="s">
        <v>42</v>
      </c>
      <c r="J71" s="46">
        <v>100</v>
      </c>
      <c r="K71" s="47">
        <v>95</v>
      </c>
      <c r="L71" s="47">
        <v>90</v>
      </c>
      <c r="M71" s="47">
        <v>85</v>
      </c>
      <c r="N71" s="47">
        <v>80</v>
      </c>
      <c r="O71" s="47" t="s">
        <v>43</v>
      </c>
    </row>
    <row r="72" spans="1:15" s="48" customFormat="1" ht="246" customHeight="1" x14ac:dyDescent="0.25">
      <c r="A72" s="101"/>
      <c r="B72" s="98"/>
      <c r="C72" s="104"/>
      <c r="D72" s="97" t="s">
        <v>214</v>
      </c>
      <c r="E72" s="43">
        <v>0.5</v>
      </c>
      <c r="F72" s="43">
        <f t="shared" si="0"/>
        <v>0.50000000000000011</v>
      </c>
      <c r="G72" s="42" t="s">
        <v>215</v>
      </c>
      <c r="H72" s="51">
        <v>1</v>
      </c>
      <c r="I72" s="45" t="s">
        <v>42</v>
      </c>
      <c r="J72" s="46">
        <v>100</v>
      </c>
      <c r="K72" s="47">
        <v>95</v>
      </c>
      <c r="L72" s="47">
        <v>90</v>
      </c>
      <c r="M72" s="47">
        <v>85</v>
      </c>
      <c r="N72" s="47">
        <v>80</v>
      </c>
      <c r="O72" s="47" t="s">
        <v>43</v>
      </c>
    </row>
    <row r="73" spans="1:15" s="48" customFormat="1" ht="246" customHeight="1" x14ac:dyDescent="0.25">
      <c r="A73" s="101"/>
      <c r="B73" s="98"/>
      <c r="C73" s="104"/>
      <c r="D73" s="99"/>
      <c r="E73" s="43">
        <v>0.5</v>
      </c>
      <c r="F73" s="43">
        <f t="shared" si="0"/>
        <v>0.50000000000000011</v>
      </c>
      <c r="G73" s="42" t="s">
        <v>216</v>
      </c>
      <c r="H73" s="51">
        <v>1</v>
      </c>
      <c r="I73" s="45" t="s">
        <v>42</v>
      </c>
      <c r="J73" s="46">
        <v>100</v>
      </c>
      <c r="K73" s="47">
        <v>95</v>
      </c>
      <c r="L73" s="47">
        <v>90</v>
      </c>
      <c r="M73" s="47">
        <v>85</v>
      </c>
      <c r="N73" s="47">
        <v>80</v>
      </c>
      <c r="O73" s="47" t="s">
        <v>43</v>
      </c>
    </row>
    <row r="74" spans="1:15" s="48" customFormat="1" ht="246" customHeight="1" x14ac:dyDescent="0.25">
      <c r="A74" s="101"/>
      <c r="B74" s="98"/>
      <c r="C74" s="104"/>
      <c r="D74" s="97" t="s">
        <v>217</v>
      </c>
      <c r="E74" s="43">
        <v>0.3</v>
      </c>
      <c r="F74" s="43">
        <f t="shared" si="0"/>
        <v>0.30000000000000004</v>
      </c>
      <c r="G74" s="42" t="s">
        <v>218</v>
      </c>
      <c r="H74" s="51">
        <v>1</v>
      </c>
      <c r="I74" s="45" t="s">
        <v>42</v>
      </c>
      <c r="J74" s="46">
        <v>100</v>
      </c>
      <c r="K74" s="47">
        <v>95</v>
      </c>
      <c r="L74" s="47">
        <v>90</v>
      </c>
      <c r="M74" s="47">
        <v>85</v>
      </c>
      <c r="N74" s="47">
        <v>80</v>
      </c>
      <c r="O74" s="47" t="s">
        <v>43</v>
      </c>
    </row>
    <row r="75" spans="1:15" s="48" customFormat="1" ht="246" customHeight="1" x14ac:dyDescent="0.25">
      <c r="A75" s="101"/>
      <c r="B75" s="98"/>
      <c r="C75" s="104"/>
      <c r="D75" s="98"/>
      <c r="E75" s="43">
        <v>0.3</v>
      </c>
      <c r="F75" s="43">
        <f t="shared" si="0"/>
        <v>0.30000000000000004</v>
      </c>
      <c r="G75" s="42" t="s">
        <v>219</v>
      </c>
      <c r="H75" s="51">
        <v>1</v>
      </c>
      <c r="I75" s="45" t="s">
        <v>42</v>
      </c>
      <c r="J75" s="46">
        <v>100</v>
      </c>
      <c r="K75" s="47">
        <v>95</v>
      </c>
      <c r="L75" s="47">
        <v>90</v>
      </c>
      <c r="M75" s="47">
        <v>85</v>
      </c>
      <c r="N75" s="47">
        <v>80</v>
      </c>
      <c r="O75" s="47" t="s">
        <v>43</v>
      </c>
    </row>
    <row r="76" spans="1:15" s="48" customFormat="1" ht="246" customHeight="1" x14ac:dyDescent="0.25">
      <c r="A76" s="101"/>
      <c r="B76" s="98"/>
      <c r="C76" s="104"/>
      <c r="D76" s="99"/>
      <c r="E76" s="43">
        <v>0.4</v>
      </c>
      <c r="F76" s="43">
        <f t="shared" si="0"/>
        <v>0.40000000000000008</v>
      </c>
      <c r="G76" s="42" t="s">
        <v>220</v>
      </c>
      <c r="H76" s="51">
        <v>1</v>
      </c>
      <c r="I76" s="45" t="s">
        <v>42</v>
      </c>
      <c r="J76" s="46">
        <v>100</v>
      </c>
      <c r="K76" s="47">
        <v>95</v>
      </c>
      <c r="L76" s="47">
        <v>90</v>
      </c>
      <c r="M76" s="47">
        <v>85</v>
      </c>
      <c r="N76" s="47">
        <v>80</v>
      </c>
      <c r="O76" s="47" t="s">
        <v>43</v>
      </c>
    </row>
    <row r="77" spans="1:15" s="48" customFormat="1" ht="246" customHeight="1" x14ac:dyDescent="0.25">
      <c r="A77" s="101"/>
      <c r="B77" s="98"/>
      <c r="C77" s="104"/>
      <c r="D77" s="97" t="s">
        <v>221</v>
      </c>
      <c r="E77" s="43">
        <v>1</v>
      </c>
      <c r="F77" s="43">
        <f t="shared" si="0"/>
        <v>1.0000000000000002</v>
      </c>
      <c r="G77" s="42" t="s">
        <v>222</v>
      </c>
      <c r="H77" s="51">
        <v>1</v>
      </c>
      <c r="I77" s="45" t="s">
        <v>42</v>
      </c>
      <c r="J77" s="46">
        <v>100</v>
      </c>
      <c r="K77" s="47">
        <v>95</v>
      </c>
      <c r="L77" s="47">
        <v>90</v>
      </c>
      <c r="M77" s="47">
        <v>85</v>
      </c>
      <c r="N77" s="47">
        <v>80</v>
      </c>
      <c r="O77" s="47" t="s">
        <v>43</v>
      </c>
    </row>
    <row r="78" spans="1:15" s="48" customFormat="1" ht="246" customHeight="1" x14ac:dyDescent="0.25">
      <c r="A78" s="102"/>
      <c r="B78" s="99"/>
      <c r="C78" s="105"/>
      <c r="D78" s="99"/>
      <c r="E78" s="43">
        <v>1</v>
      </c>
      <c r="F78" s="43">
        <f t="shared" si="0"/>
        <v>1.0000000000000002</v>
      </c>
      <c r="G78" s="42" t="s">
        <v>223</v>
      </c>
      <c r="H78" s="51">
        <v>1</v>
      </c>
      <c r="I78" s="45" t="s">
        <v>42</v>
      </c>
      <c r="J78" s="46">
        <v>100</v>
      </c>
      <c r="K78" s="47">
        <v>95</v>
      </c>
      <c r="L78" s="47">
        <v>90</v>
      </c>
      <c r="M78" s="47">
        <v>85</v>
      </c>
      <c r="N78" s="47">
        <v>80</v>
      </c>
      <c r="O78" s="47" t="s">
        <v>43</v>
      </c>
    </row>
    <row r="79" spans="1:15" s="48" customFormat="1" ht="99" x14ac:dyDescent="0.25">
      <c r="A79" s="100">
        <v>7</v>
      </c>
      <c r="B79" s="97" t="s">
        <v>224</v>
      </c>
      <c r="C79" s="103">
        <v>3</v>
      </c>
      <c r="D79" s="97" t="s">
        <v>225</v>
      </c>
      <c r="E79" s="43">
        <v>0.3</v>
      </c>
      <c r="F79" s="43">
        <f t="shared" si="0"/>
        <v>0.30000000000000004</v>
      </c>
      <c r="G79" s="42" t="s">
        <v>226</v>
      </c>
      <c r="H79" s="51">
        <v>1</v>
      </c>
      <c r="I79" s="45" t="s">
        <v>42</v>
      </c>
      <c r="J79" s="46">
        <v>100</v>
      </c>
      <c r="K79" s="47">
        <v>95</v>
      </c>
      <c r="L79" s="47">
        <v>90</v>
      </c>
      <c r="M79" s="47">
        <v>85</v>
      </c>
      <c r="N79" s="47">
        <v>80</v>
      </c>
      <c r="O79" s="47" t="s">
        <v>43</v>
      </c>
    </row>
    <row r="80" spans="1:15" s="48" customFormat="1" ht="99" x14ac:dyDescent="0.25">
      <c r="A80" s="101"/>
      <c r="B80" s="98"/>
      <c r="C80" s="104"/>
      <c r="D80" s="98"/>
      <c r="E80" s="43">
        <v>0.3</v>
      </c>
      <c r="F80" s="43">
        <f t="shared" si="0"/>
        <v>0.30000000000000004</v>
      </c>
      <c r="G80" s="42" t="s">
        <v>227</v>
      </c>
      <c r="H80" s="51">
        <v>1</v>
      </c>
      <c r="I80" s="45" t="s">
        <v>42</v>
      </c>
      <c r="J80" s="46">
        <v>100</v>
      </c>
      <c r="K80" s="47">
        <v>95</v>
      </c>
      <c r="L80" s="47">
        <v>90</v>
      </c>
      <c r="M80" s="47">
        <v>85</v>
      </c>
      <c r="N80" s="47">
        <v>80</v>
      </c>
      <c r="O80" s="47" t="s">
        <v>43</v>
      </c>
    </row>
    <row r="81" spans="1:15" s="48" customFormat="1" ht="99" x14ac:dyDescent="0.25">
      <c r="A81" s="101"/>
      <c r="B81" s="98"/>
      <c r="C81" s="104"/>
      <c r="D81" s="99"/>
      <c r="E81" s="43">
        <v>0.4</v>
      </c>
      <c r="F81" s="43">
        <f t="shared" si="0"/>
        <v>0.40000000000000008</v>
      </c>
      <c r="G81" s="42" t="s">
        <v>228</v>
      </c>
      <c r="H81" s="51">
        <v>1</v>
      </c>
      <c r="I81" s="45" t="s">
        <v>42</v>
      </c>
      <c r="J81" s="46">
        <v>100</v>
      </c>
      <c r="K81" s="47">
        <v>95</v>
      </c>
      <c r="L81" s="47">
        <v>90</v>
      </c>
      <c r="M81" s="47">
        <v>85</v>
      </c>
      <c r="N81" s="47">
        <v>80</v>
      </c>
      <c r="O81" s="47" t="s">
        <v>43</v>
      </c>
    </row>
    <row r="82" spans="1:15" s="48" customFormat="1" ht="152.25" customHeight="1" x14ac:dyDescent="0.25">
      <c r="A82" s="101"/>
      <c r="B82" s="98"/>
      <c r="C82" s="104"/>
      <c r="D82" s="97" t="s">
        <v>229</v>
      </c>
      <c r="E82" s="43">
        <v>0.35</v>
      </c>
      <c r="F82" s="43">
        <f t="shared" si="0"/>
        <v>0.35000000000000003</v>
      </c>
      <c r="G82" s="42" t="s">
        <v>230</v>
      </c>
      <c r="H82" s="51">
        <v>1</v>
      </c>
      <c r="I82" s="45" t="s">
        <v>42</v>
      </c>
      <c r="J82" s="46">
        <v>100</v>
      </c>
      <c r="K82" s="47">
        <v>95</v>
      </c>
      <c r="L82" s="47">
        <v>90</v>
      </c>
      <c r="M82" s="47">
        <v>85</v>
      </c>
      <c r="N82" s="47">
        <v>80</v>
      </c>
      <c r="O82" s="47" t="s">
        <v>43</v>
      </c>
    </row>
    <row r="83" spans="1:15" s="48" customFormat="1" ht="99" x14ac:dyDescent="0.25">
      <c r="A83" s="101"/>
      <c r="B83" s="98"/>
      <c r="C83" s="104"/>
      <c r="D83" s="99"/>
      <c r="E83" s="43">
        <v>0.35</v>
      </c>
      <c r="F83" s="43">
        <f t="shared" si="0"/>
        <v>0.35000000000000003</v>
      </c>
      <c r="G83" s="42" t="s">
        <v>231</v>
      </c>
      <c r="H83" s="51">
        <v>1</v>
      </c>
      <c r="I83" s="45" t="s">
        <v>42</v>
      </c>
      <c r="J83" s="46">
        <v>100</v>
      </c>
      <c r="K83" s="47">
        <v>95</v>
      </c>
      <c r="L83" s="47">
        <v>90</v>
      </c>
      <c r="M83" s="47">
        <v>85</v>
      </c>
      <c r="N83" s="47">
        <v>80</v>
      </c>
      <c r="O83" s="47" t="s">
        <v>43</v>
      </c>
    </row>
    <row r="84" spans="1:15" s="48" customFormat="1" ht="246" customHeight="1" x14ac:dyDescent="0.25">
      <c r="A84" s="101"/>
      <c r="B84" s="98"/>
      <c r="C84" s="104"/>
      <c r="D84" s="97" t="s">
        <v>232</v>
      </c>
      <c r="E84" s="43">
        <v>0.2</v>
      </c>
      <c r="F84" s="43">
        <f t="shared" ref="F84:F147" si="1">E84/$E$148 * 100</f>
        <v>0.20000000000000004</v>
      </c>
      <c r="G84" s="42" t="s">
        <v>233</v>
      </c>
      <c r="H84" s="51">
        <v>1</v>
      </c>
      <c r="I84" s="45" t="s">
        <v>42</v>
      </c>
      <c r="J84" s="46">
        <v>100</v>
      </c>
      <c r="K84" s="47">
        <v>95</v>
      </c>
      <c r="L84" s="47">
        <v>90</v>
      </c>
      <c r="M84" s="47">
        <v>85</v>
      </c>
      <c r="N84" s="47">
        <v>80</v>
      </c>
      <c r="O84" s="47" t="s">
        <v>43</v>
      </c>
    </row>
    <row r="85" spans="1:15" s="48" customFormat="1" ht="246" customHeight="1" x14ac:dyDescent="0.25">
      <c r="A85" s="101"/>
      <c r="B85" s="98"/>
      <c r="C85" s="104"/>
      <c r="D85" s="99"/>
      <c r="E85" s="43">
        <v>0.3</v>
      </c>
      <c r="F85" s="43">
        <f t="shared" si="1"/>
        <v>0.30000000000000004</v>
      </c>
      <c r="G85" s="42" t="s">
        <v>234</v>
      </c>
      <c r="H85" s="41">
        <v>4</v>
      </c>
      <c r="I85" s="45" t="s">
        <v>57</v>
      </c>
      <c r="J85" s="46">
        <v>4</v>
      </c>
      <c r="K85" s="47">
        <v>3</v>
      </c>
      <c r="L85" s="47">
        <v>2</v>
      </c>
      <c r="M85" s="47">
        <v>1</v>
      </c>
      <c r="N85" s="47">
        <v>0</v>
      </c>
      <c r="O85" s="47">
        <v>0</v>
      </c>
    </row>
    <row r="86" spans="1:15" s="48" customFormat="1" ht="246" customHeight="1" x14ac:dyDescent="0.25">
      <c r="A86" s="101"/>
      <c r="B86" s="98"/>
      <c r="C86" s="104"/>
      <c r="D86" s="97" t="s">
        <v>235</v>
      </c>
      <c r="E86" s="43">
        <v>0.25</v>
      </c>
      <c r="F86" s="43">
        <f t="shared" si="1"/>
        <v>0.25000000000000006</v>
      </c>
      <c r="G86" s="42" t="s">
        <v>236</v>
      </c>
      <c r="H86" s="51">
        <v>1</v>
      </c>
      <c r="I86" s="45" t="s">
        <v>42</v>
      </c>
      <c r="J86" s="46">
        <v>100</v>
      </c>
      <c r="K86" s="47">
        <v>95</v>
      </c>
      <c r="L86" s="47">
        <v>90</v>
      </c>
      <c r="M86" s="47">
        <v>85</v>
      </c>
      <c r="N86" s="47">
        <v>80</v>
      </c>
      <c r="O86" s="47" t="s">
        <v>43</v>
      </c>
    </row>
    <row r="87" spans="1:15" s="48" customFormat="1" ht="246" customHeight="1" x14ac:dyDescent="0.25">
      <c r="A87" s="101"/>
      <c r="B87" s="98"/>
      <c r="C87" s="104"/>
      <c r="D87" s="99"/>
      <c r="E87" s="43">
        <v>0.25</v>
      </c>
      <c r="F87" s="43">
        <f t="shared" si="1"/>
        <v>0.25000000000000006</v>
      </c>
      <c r="G87" s="42" t="s">
        <v>237</v>
      </c>
      <c r="H87" s="51">
        <v>1</v>
      </c>
      <c r="I87" s="45" t="s">
        <v>42</v>
      </c>
      <c r="J87" s="46">
        <v>100</v>
      </c>
      <c r="K87" s="47">
        <v>95</v>
      </c>
      <c r="L87" s="47">
        <v>90</v>
      </c>
      <c r="M87" s="47">
        <v>85</v>
      </c>
      <c r="N87" s="47">
        <v>80</v>
      </c>
      <c r="O87" s="47" t="s">
        <v>43</v>
      </c>
    </row>
    <row r="88" spans="1:15" s="48" customFormat="1" ht="246" customHeight="1" x14ac:dyDescent="0.25">
      <c r="A88" s="101"/>
      <c r="B88" s="98"/>
      <c r="C88" s="104"/>
      <c r="D88" s="97" t="s">
        <v>238</v>
      </c>
      <c r="E88" s="43">
        <v>0.15</v>
      </c>
      <c r="F88" s="43">
        <f t="shared" si="1"/>
        <v>0.15000000000000002</v>
      </c>
      <c r="G88" s="42" t="s">
        <v>239</v>
      </c>
      <c r="H88" s="51">
        <v>1</v>
      </c>
      <c r="I88" s="45" t="s">
        <v>42</v>
      </c>
      <c r="J88" s="46">
        <v>100</v>
      </c>
      <c r="K88" s="47">
        <v>95</v>
      </c>
      <c r="L88" s="47">
        <v>90</v>
      </c>
      <c r="M88" s="47">
        <v>85</v>
      </c>
      <c r="N88" s="47">
        <v>80</v>
      </c>
      <c r="O88" s="47" t="s">
        <v>43</v>
      </c>
    </row>
    <row r="89" spans="1:15" s="48" customFormat="1" ht="246" customHeight="1" x14ac:dyDescent="0.25">
      <c r="A89" s="102"/>
      <c r="B89" s="99"/>
      <c r="C89" s="105"/>
      <c r="D89" s="99"/>
      <c r="E89" s="90">
        <v>0.15</v>
      </c>
      <c r="F89" s="43">
        <f t="shared" si="1"/>
        <v>0.15000000000000002</v>
      </c>
      <c r="G89" s="92" t="s">
        <v>240</v>
      </c>
      <c r="H89" s="51">
        <v>1</v>
      </c>
      <c r="I89" s="45" t="s">
        <v>42</v>
      </c>
      <c r="J89" s="46">
        <v>100</v>
      </c>
      <c r="K89" s="47">
        <v>95</v>
      </c>
      <c r="L89" s="47">
        <v>90</v>
      </c>
      <c r="M89" s="47">
        <v>85</v>
      </c>
      <c r="N89" s="47">
        <v>80</v>
      </c>
      <c r="O89" s="47" t="s">
        <v>43</v>
      </c>
    </row>
    <row r="90" spans="1:15" s="48" customFormat="1" ht="246" customHeight="1" x14ac:dyDescent="0.25">
      <c r="A90" s="100">
        <v>8</v>
      </c>
      <c r="B90" s="97" t="s">
        <v>241</v>
      </c>
      <c r="C90" s="103">
        <f>SUM(E90:E100)</f>
        <v>5</v>
      </c>
      <c r="D90" s="97" t="s">
        <v>242</v>
      </c>
      <c r="E90" s="43">
        <v>0.3</v>
      </c>
      <c r="F90" s="43">
        <f t="shared" si="1"/>
        <v>0.30000000000000004</v>
      </c>
      <c r="G90" s="42" t="s">
        <v>243</v>
      </c>
      <c r="H90" s="51">
        <v>1</v>
      </c>
      <c r="I90" s="45" t="s">
        <v>42</v>
      </c>
      <c r="J90" s="46">
        <v>100</v>
      </c>
      <c r="K90" s="47">
        <v>95</v>
      </c>
      <c r="L90" s="47">
        <v>90</v>
      </c>
      <c r="M90" s="47">
        <v>85</v>
      </c>
      <c r="N90" s="47">
        <v>80</v>
      </c>
      <c r="O90" s="47" t="s">
        <v>43</v>
      </c>
    </row>
    <row r="91" spans="1:15" s="48" customFormat="1" ht="246" customHeight="1" x14ac:dyDescent="0.25">
      <c r="A91" s="101"/>
      <c r="B91" s="98"/>
      <c r="C91" s="104"/>
      <c r="D91" s="98"/>
      <c r="E91" s="43">
        <v>0.3</v>
      </c>
      <c r="F91" s="43">
        <f t="shared" si="1"/>
        <v>0.30000000000000004</v>
      </c>
      <c r="G91" s="42" t="s">
        <v>244</v>
      </c>
      <c r="H91" s="51">
        <v>0.8</v>
      </c>
      <c r="I91" s="41" t="s">
        <v>42</v>
      </c>
      <c r="J91" s="46" t="s">
        <v>64</v>
      </c>
      <c r="K91" s="47">
        <v>80</v>
      </c>
      <c r="L91" s="47">
        <v>75</v>
      </c>
      <c r="M91" s="47">
        <v>70</v>
      </c>
      <c r="N91" s="47">
        <v>50</v>
      </c>
      <c r="O91" s="47" t="s">
        <v>53</v>
      </c>
    </row>
    <row r="92" spans="1:15" s="48" customFormat="1" ht="246" customHeight="1" x14ac:dyDescent="0.25">
      <c r="A92" s="101"/>
      <c r="B92" s="98"/>
      <c r="C92" s="104"/>
      <c r="D92" s="99"/>
      <c r="E92" s="43">
        <v>0.4</v>
      </c>
      <c r="F92" s="43">
        <f t="shared" si="1"/>
        <v>0.40000000000000008</v>
      </c>
      <c r="G92" s="42" t="s">
        <v>245</v>
      </c>
      <c r="H92" s="51">
        <v>0.9</v>
      </c>
      <c r="I92" s="41" t="s">
        <v>42</v>
      </c>
      <c r="J92" s="46" t="s">
        <v>75</v>
      </c>
      <c r="K92" s="47">
        <v>90</v>
      </c>
      <c r="L92" s="47">
        <v>80</v>
      </c>
      <c r="M92" s="47">
        <v>70</v>
      </c>
      <c r="N92" s="47">
        <v>50</v>
      </c>
      <c r="O92" s="47" t="s">
        <v>53</v>
      </c>
    </row>
    <row r="93" spans="1:15" s="48" customFormat="1" ht="246" customHeight="1" x14ac:dyDescent="0.25">
      <c r="A93" s="101"/>
      <c r="B93" s="98"/>
      <c r="C93" s="104"/>
      <c r="D93" s="97" t="s">
        <v>246</v>
      </c>
      <c r="E93" s="43">
        <v>0.5</v>
      </c>
      <c r="F93" s="43">
        <f t="shared" si="1"/>
        <v>0.50000000000000011</v>
      </c>
      <c r="G93" s="42" t="s">
        <v>247</v>
      </c>
      <c r="H93" s="51">
        <v>0.75</v>
      </c>
      <c r="I93" s="45" t="s">
        <v>42</v>
      </c>
      <c r="J93" s="46" t="s">
        <v>52</v>
      </c>
      <c r="K93" s="47">
        <v>75</v>
      </c>
      <c r="L93" s="47">
        <v>70</v>
      </c>
      <c r="M93" s="47">
        <v>60</v>
      </c>
      <c r="N93" s="47">
        <v>50</v>
      </c>
      <c r="O93" s="47" t="s">
        <v>53</v>
      </c>
    </row>
    <row r="94" spans="1:15" s="48" customFormat="1" ht="246" customHeight="1" x14ac:dyDescent="0.25">
      <c r="A94" s="101"/>
      <c r="B94" s="98"/>
      <c r="C94" s="104"/>
      <c r="D94" s="99"/>
      <c r="E94" s="43">
        <v>0.5</v>
      </c>
      <c r="F94" s="43">
        <f t="shared" si="1"/>
        <v>0.50000000000000011</v>
      </c>
      <c r="G94" s="42" t="s">
        <v>248</v>
      </c>
      <c r="H94" s="51">
        <v>0.9</v>
      </c>
      <c r="I94" s="41" t="s">
        <v>42</v>
      </c>
      <c r="J94" s="46" t="s">
        <v>75</v>
      </c>
      <c r="K94" s="47">
        <v>90</v>
      </c>
      <c r="L94" s="47">
        <v>80</v>
      </c>
      <c r="M94" s="47">
        <v>70</v>
      </c>
      <c r="N94" s="47">
        <v>50</v>
      </c>
      <c r="O94" s="47" t="s">
        <v>53</v>
      </c>
    </row>
    <row r="95" spans="1:15" s="48" customFormat="1" ht="246" customHeight="1" x14ac:dyDescent="0.25">
      <c r="A95" s="101"/>
      <c r="B95" s="98"/>
      <c r="C95" s="104"/>
      <c r="D95" s="97" t="s">
        <v>249</v>
      </c>
      <c r="E95" s="43">
        <v>0.5</v>
      </c>
      <c r="F95" s="43">
        <f t="shared" si="1"/>
        <v>0.50000000000000011</v>
      </c>
      <c r="G95" s="42" t="s">
        <v>250</v>
      </c>
      <c r="H95" s="51">
        <v>0.8</v>
      </c>
      <c r="I95" s="41" t="s">
        <v>42</v>
      </c>
      <c r="J95" s="46" t="s">
        <v>64</v>
      </c>
      <c r="K95" s="47">
        <v>80</v>
      </c>
      <c r="L95" s="47">
        <v>75</v>
      </c>
      <c r="M95" s="47">
        <v>70</v>
      </c>
      <c r="N95" s="47">
        <v>50</v>
      </c>
      <c r="O95" s="47" t="s">
        <v>53</v>
      </c>
    </row>
    <row r="96" spans="1:15" s="48" customFormat="1" ht="246" customHeight="1" x14ac:dyDescent="0.25">
      <c r="A96" s="101"/>
      <c r="B96" s="98"/>
      <c r="C96" s="104"/>
      <c r="D96" s="99"/>
      <c r="E96" s="43">
        <v>0.5</v>
      </c>
      <c r="F96" s="43">
        <f t="shared" si="1"/>
        <v>0.50000000000000011</v>
      </c>
      <c r="G96" s="42" t="s">
        <v>251</v>
      </c>
      <c r="H96" s="51">
        <v>0.9</v>
      </c>
      <c r="I96" s="41" t="s">
        <v>42</v>
      </c>
      <c r="J96" s="46" t="s">
        <v>75</v>
      </c>
      <c r="K96" s="47">
        <v>90</v>
      </c>
      <c r="L96" s="47">
        <v>80</v>
      </c>
      <c r="M96" s="47">
        <v>70</v>
      </c>
      <c r="N96" s="47">
        <v>50</v>
      </c>
      <c r="O96" s="47" t="s">
        <v>53</v>
      </c>
    </row>
    <row r="97" spans="1:15" s="48" customFormat="1" ht="246" customHeight="1" x14ac:dyDescent="0.25">
      <c r="A97" s="101"/>
      <c r="B97" s="98"/>
      <c r="C97" s="104"/>
      <c r="D97" s="97" t="s">
        <v>252</v>
      </c>
      <c r="E97" s="43">
        <v>0.5</v>
      </c>
      <c r="F97" s="43">
        <f t="shared" si="1"/>
        <v>0.50000000000000011</v>
      </c>
      <c r="G97" s="42" t="s">
        <v>253</v>
      </c>
      <c r="H97" s="51">
        <v>1</v>
      </c>
      <c r="I97" s="45" t="s">
        <v>42</v>
      </c>
      <c r="J97" s="46">
        <v>100</v>
      </c>
      <c r="K97" s="47">
        <v>95</v>
      </c>
      <c r="L97" s="47">
        <v>90</v>
      </c>
      <c r="M97" s="47">
        <v>85</v>
      </c>
      <c r="N97" s="47">
        <v>80</v>
      </c>
      <c r="O97" s="47" t="s">
        <v>43</v>
      </c>
    </row>
    <row r="98" spans="1:15" s="48" customFormat="1" ht="99" x14ac:dyDescent="0.25">
      <c r="A98" s="101"/>
      <c r="B98" s="98"/>
      <c r="C98" s="104"/>
      <c r="D98" s="99"/>
      <c r="E98" s="43">
        <v>0.5</v>
      </c>
      <c r="F98" s="43">
        <f t="shared" si="1"/>
        <v>0.50000000000000011</v>
      </c>
      <c r="G98" s="42" t="s">
        <v>254</v>
      </c>
      <c r="H98" s="51">
        <v>1</v>
      </c>
      <c r="I98" s="45" t="s">
        <v>42</v>
      </c>
      <c r="J98" s="46">
        <v>100</v>
      </c>
      <c r="K98" s="47">
        <v>95</v>
      </c>
      <c r="L98" s="47">
        <v>90</v>
      </c>
      <c r="M98" s="47">
        <v>85</v>
      </c>
      <c r="N98" s="47">
        <v>80</v>
      </c>
      <c r="O98" s="47" t="s">
        <v>43</v>
      </c>
    </row>
    <row r="99" spans="1:15" s="48" customFormat="1" ht="99" x14ac:dyDescent="0.25">
      <c r="A99" s="101"/>
      <c r="B99" s="98"/>
      <c r="C99" s="104"/>
      <c r="D99" s="97" t="s">
        <v>255</v>
      </c>
      <c r="E99" s="43">
        <v>0.5</v>
      </c>
      <c r="F99" s="43">
        <f t="shared" si="1"/>
        <v>0.50000000000000011</v>
      </c>
      <c r="G99" s="42" t="s">
        <v>256</v>
      </c>
      <c r="H99" s="51">
        <v>0.8</v>
      </c>
      <c r="I99" s="41" t="s">
        <v>42</v>
      </c>
      <c r="J99" s="46" t="s">
        <v>64</v>
      </c>
      <c r="K99" s="47">
        <v>80</v>
      </c>
      <c r="L99" s="47">
        <v>75</v>
      </c>
      <c r="M99" s="47">
        <v>70</v>
      </c>
      <c r="N99" s="47">
        <v>50</v>
      </c>
      <c r="O99" s="47" t="s">
        <v>53</v>
      </c>
    </row>
    <row r="100" spans="1:15" s="48" customFormat="1" ht="99" x14ac:dyDescent="0.25">
      <c r="A100" s="102"/>
      <c r="B100" s="99"/>
      <c r="C100" s="105"/>
      <c r="D100" s="99"/>
      <c r="E100" s="43">
        <v>0.5</v>
      </c>
      <c r="F100" s="43">
        <f t="shared" si="1"/>
        <v>0.50000000000000011</v>
      </c>
      <c r="G100" s="42" t="s">
        <v>257</v>
      </c>
      <c r="H100" s="44">
        <v>0.2</v>
      </c>
      <c r="I100" s="45" t="s">
        <v>42</v>
      </c>
      <c r="J100" s="46" t="s">
        <v>96</v>
      </c>
      <c r="K100" s="47">
        <v>20</v>
      </c>
      <c r="L100" s="47">
        <v>15</v>
      </c>
      <c r="M100" s="47">
        <v>10</v>
      </c>
      <c r="N100" s="47">
        <v>5</v>
      </c>
      <c r="O100" s="47" t="s">
        <v>87</v>
      </c>
    </row>
    <row r="101" spans="1:15" s="48" customFormat="1" ht="246" customHeight="1" x14ac:dyDescent="0.25">
      <c r="A101" s="100">
        <v>9</v>
      </c>
      <c r="B101" s="97" t="s">
        <v>258</v>
      </c>
      <c r="C101" s="103">
        <f>SUM(E101:E110)</f>
        <v>5</v>
      </c>
      <c r="D101" s="97" t="s">
        <v>304</v>
      </c>
      <c r="E101" s="43">
        <v>0.7</v>
      </c>
      <c r="F101" s="43">
        <f t="shared" si="1"/>
        <v>0.70000000000000007</v>
      </c>
      <c r="G101" s="42" t="s">
        <v>259</v>
      </c>
      <c r="H101" s="51">
        <v>0.8</v>
      </c>
      <c r="I101" s="41" t="s">
        <v>42</v>
      </c>
      <c r="J101" s="46" t="s">
        <v>64</v>
      </c>
      <c r="K101" s="47">
        <v>80</v>
      </c>
      <c r="L101" s="47">
        <v>75</v>
      </c>
      <c r="M101" s="47">
        <v>70</v>
      </c>
      <c r="N101" s="47">
        <v>50</v>
      </c>
      <c r="O101" s="47" t="s">
        <v>53</v>
      </c>
    </row>
    <row r="102" spans="1:15" s="48" customFormat="1" ht="246" customHeight="1" x14ac:dyDescent="0.25">
      <c r="A102" s="101"/>
      <c r="B102" s="98"/>
      <c r="C102" s="104"/>
      <c r="D102" s="99"/>
      <c r="E102" s="43">
        <v>0.3</v>
      </c>
      <c r="F102" s="43">
        <f t="shared" si="1"/>
        <v>0.30000000000000004</v>
      </c>
      <c r="G102" s="42" t="s">
        <v>260</v>
      </c>
      <c r="H102" s="51">
        <v>1</v>
      </c>
      <c r="I102" s="45" t="s">
        <v>42</v>
      </c>
      <c r="J102" s="46">
        <v>100</v>
      </c>
      <c r="K102" s="47">
        <v>95</v>
      </c>
      <c r="L102" s="47">
        <v>90</v>
      </c>
      <c r="M102" s="47">
        <v>85</v>
      </c>
      <c r="N102" s="47">
        <v>80</v>
      </c>
      <c r="O102" s="47" t="s">
        <v>43</v>
      </c>
    </row>
    <row r="103" spans="1:15" s="48" customFormat="1" ht="246" customHeight="1" x14ac:dyDescent="0.25">
      <c r="A103" s="101"/>
      <c r="B103" s="98"/>
      <c r="C103" s="104"/>
      <c r="D103" s="97" t="s">
        <v>261</v>
      </c>
      <c r="E103" s="43">
        <v>0.5</v>
      </c>
      <c r="F103" s="43">
        <f t="shared" si="1"/>
        <v>0.50000000000000011</v>
      </c>
      <c r="G103" s="42" t="s">
        <v>262</v>
      </c>
      <c r="H103" s="51">
        <v>1</v>
      </c>
      <c r="I103" s="45" t="s">
        <v>42</v>
      </c>
      <c r="J103" s="46">
        <v>100</v>
      </c>
      <c r="K103" s="47">
        <v>95</v>
      </c>
      <c r="L103" s="47">
        <v>90</v>
      </c>
      <c r="M103" s="47">
        <v>85</v>
      </c>
      <c r="N103" s="47">
        <v>80</v>
      </c>
      <c r="O103" s="47" t="s">
        <v>43</v>
      </c>
    </row>
    <row r="104" spans="1:15" s="48" customFormat="1" ht="246" customHeight="1" x14ac:dyDescent="0.25">
      <c r="A104" s="101"/>
      <c r="B104" s="98"/>
      <c r="C104" s="104"/>
      <c r="D104" s="99"/>
      <c r="E104" s="43">
        <v>0.5</v>
      </c>
      <c r="F104" s="43">
        <f t="shared" si="1"/>
        <v>0.50000000000000011</v>
      </c>
      <c r="G104" s="42" t="s">
        <v>263</v>
      </c>
      <c r="H104" s="51">
        <v>0.8</v>
      </c>
      <c r="I104" s="41" t="s">
        <v>42</v>
      </c>
      <c r="J104" s="46" t="s">
        <v>64</v>
      </c>
      <c r="K104" s="47">
        <v>80</v>
      </c>
      <c r="L104" s="47">
        <v>75</v>
      </c>
      <c r="M104" s="47">
        <v>70</v>
      </c>
      <c r="N104" s="47">
        <v>50</v>
      </c>
      <c r="O104" s="47" t="s">
        <v>53</v>
      </c>
    </row>
    <row r="105" spans="1:15" s="48" customFormat="1" ht="246" customHeight="1" x14ac:dyDescent="0.25">
      <c r="A105" s="101"/>
      <c r="B105" s="98"/>
      <c r="C105" s="104"/>
      <c r="D105" s="97" t="s">
        <v>264</v>
      </c>
      <c r="E105" s="43">
        <v>0.5</v>
      </c>
      <c r="F105" s="43">
        <f t="shared" si="1"/>
        <v>0.50000000000000011</v>
      </c>
      <c r="G105" s="42" t="s">
        <v>265</v>
      </c>
      <c r="H105" s="41">
        <v>10</v>
      </c>
      <c r="I105" s="45" t="s">
        <v>56</v>
      </c>
      <c r="J105" s="46" t="s">
        <v>86</v>
      </c>
      <c r="K105" s="47">
        <v>10</v>
      </c>
      <c r="L105" s="47">
        <v>8</v>
      </c>
      <c r="M105" s="47">
        <v>6</v>
      </c>
      <c r="N105" s="47">
        <v>5</v>
      </c>
      <c r="O105" s="47" t="s">
        <v>87</v>
      </c>
    </row>
    <row r="106" spans="1:15" s="48" customFormat="1" ht="99" x14ac:dyDescent="0.25">
      <c r="A106" s="101"/>
      <c r="B106" s="98"/>
      <c r="C106" s="104"/>
      <c r="D106" s="99"/>
      <c r="E106" s="43">
        <v>0.5</v>
      </c>
      <c r="F106" s="43">
        <f t="shared" si="1"/>
        <v>0.50000000000000011</v>
      </c>
      <c r="G106" s="42" t="s">
        <v>266</v>
      </c>
      <c r="H106" s="51">
        <v>0.8</v>
      </c>
      <c r="I106" s="41" t="s">
        <v>42</v>
      </c>
      <c r="J106" s="46" t="s">
        <v>64</v>
      </c>
      <c r="K106" s="47">
        <v>80</v>
      </c>
      <c r="L106" s="47">
        <v>75</v>
      </c>
      <c r="M106" s="47">
        <v>70</v>
      </c>
      <c r="N106" s="47">
        <v>50</v>
      </c>
      <c r="O106" s="47" t="s">
        <v>53</v>
      </c>
    </row>
    <row r="107" spans="1:15" s="48" customFormat="1" ht="246" customHeight="1" x14ac:dyDescent="0.25">
      <c r="A107" s="101"/>
      <c r="B107" s="98"/>
      <c r="C107" s="104"/>
      <c r="D107" s="97" t="s">
        <v>267</v>
      </c>
      <c r="E107" s="43">
        <v>0.5</v>
      </c>
      <c r="F107" s="43">
        <f t="shared" si="1"/>
        <v>0.50000000000000011</v>
      </c>
      <c r="G107" s="42" t="s">
        <v>268</v>
      </c>
      <c r="H107" s="41">
        <v>5</v>
      </c>
      <c r="I107" s="45" t="s">
        <v>56</v>
      </c>
      <c r="J107" s="46" t="s">
        <v>84</v>
      </c>
      <c r="K107" s="47">
        <v>5</v>
      </c>
      <c r="L107" s="47">
        <v>4</v>
      </c>
      <c r="M107" s="47">
        <v>3</v>
      </c>
      <c r="N107" s="47">
        <v>2</v>
      </c>
      <c r="O107" s="47">
        <v>1</v>
      </c>
    </row>
    <row r="108" spans="1:15" s="48" customFormat="1" ht="99" x14ac:dyDescent="0.25">
      <c r="A108" s="101"/>
      <c r="B108" s="98"/>
      <c r="C108" s="104"/>
      <c r="D108" s="99"/>
      <c r="E108" s="43">
        <v>0.5</v>
      </c>
      <c r="F108" s="43">
        <f t="shared" si="1"/>
        <v>0.50000000000000011</v>
      </c>
      <c r="G108" s="42" t="s">
        <v>269</v>
      </c>
      <c r="H108" s="41">
        <v>10</v>
      </c>
      <c r="I108" s="45" t="s">
        <v>56</v>
      </c>
      <c r="J108" s="46" t="s">
        <v>86</v>
      </c>
      <c r="K108" s="47">
        <v>10</v>
      </c>
      <c r="L108" s="47">
        <v>8</v>
      </c>
      <c r="M108" s="47">
        <v>6</v>
      </c>
      <c r="N108" s="47">
        <v>5</v>
      </c>
      <c r="O108" s="47" t="s">
        <v>87</v>
      </c>
    </row>
    <row r="109" spans="1:15" s="48" customFormat="1" ht="99" x14ac:dyDescent="0.25">
      <c r="A109" s="101"/>
      <c r="B109" s="98"/>
      <c r="C109" s="104"/>
      <c r="D109" s="97" t="s">
        <v>270</v>
      </c>
      <c r="E109" s="43">
        <v>0.8</v>
      </c>
      <c r="F109" s="43">
        <f t="shared" si="1"/>
        <v>0.80000000000000016</v>
      </c>
      <c r="G109" s="42" t="s">
        <v>271</v>
      </c>
      <c r="H109" s="51">
        <v>0.8</v>
      </c>
      <c r="I109" s="41" t="s">
        <v>42</v>
      </c>
      <c r="J109" s="46" t="s">
        <v>64</v>
      </c>
      <c r="K109" s="47">
        <v>80</v>
      </c>
      <c r="L109" s="47">
        <v>75</v>
      </c>
      <c r="M109" s="47">
        <v>70</v>
      </c>
      <c r="N109" s="47">
        <v>50</v>
      </c>
      <c r="O109" s="47" t="s">
        <v>53</v>
      </c>
    </row>
    <row r="110" spans="1:15" s="48" customFormat="1" ht="246" customHeight="1" x14ac:dyDescent="0.25">
      <c r="A110" s="102"/>
      <c r="B110" s="99"/>
      <c r="C110" s="105"/>
      <c r="D110" s="99"/>
      <c r="E110" s="90">
        <v>0.2</v>
      </c>
      <c r="F110" s="43">
        <f t="shared" si="1"/>
        <v>0.20000000000000004</v>
      </c>
      <c r="G110" s="92" t="s">
        <v>272</v>
      </c>
      <c r="H110" s="51">
        <v>0.2</v>
      </c>
      <c r="I110" s="45" t="s">
        <v>42</v>
      </c>
      <c r="J110" s="46" t="s">
        <v>96</v>
      </c>
      <c r="K110" s="47">
        <v>20</v>
      </c>
      <c r="L110" s="47">
        <v>15</v>
      </c>
      <c r="M110" s="47">
        <v>10</v>
      </c>
      <c r="N110" s="47">
        <v>5</v>
      </c>
      <c r="O110" s="47" t="s">
        <v>87</v>
      </c>
    </row>
    <row r="111" spans="1:15" s="48" customFormat="1" ht="246" customHeight="1" x14ac:dyDescent="0.25">
      <c r="A111" s="100">
        <v>10</v>
      </c>
      <c r="B111" s="97" t="s">
        <v>273</v>
      </c>
      <c r="C111" s="103">
        <v>7</v>
      </c>
      <c r="D111" s="97" t="s">
        <v>274</v>
      </c>
      <c r="E111" s="43">
        <v>1.5</v>
      </c>
      <c r="F111" s="43">
        <f t="shared" si="1"/>
        <v>1.5000000000000002</v>
      </c>
      <c r="G111" s="42" t="s">
        <v>275</v>
      </c>
      <c r="H111" s="41">
        <v>20</v>
      </c>
      <c r="I111" s="46" t="s">
        <v>56</v>
      </c>
      <c r="J111" s="46" t="s">
        <v>96</v>
      </c>
      <c r="K111" s="47">
        <v>20</v>
      </c>
      <c r="L111" s="47">
        <v>15</v>
      </c>
      <c r="M111" s="47">
        <v>10</v>
      </c>
      <c r="N111" s="47">
        <v>5</v>
      </c>
      <c r="O111" s="47" t="s">
        <v>87</v>
      </c>
    </row>
    <row r="112" spans="1:15" s="48" customFormat="1" ht="246" customHeight="1" x14ac:dyDescent="0.25">
      <c r="A112" s="101"/>
      <c r="B112" s="98"/>
      <c r="C112" s="104"/>
      <c r="D112" s="99"/>
      <c r="E112" s="43">
        <v>1</v>
      </c>
      <c r="F112" s="43">
        <f t="shared" si="1"/>
        <v>1.0000000000000002</v>
      </c>
      <c r="G112" s="42" t="s">
        <v>276</v>
      </c>
      <c r="H112" s="41">
        <v>5</v>
      </c>
      <c r="I112" s="45" t="s">
        <v>56</v>
      </c>
      <c r="J112" s="46" t="s">
        <v>84</v>
      </c>
      <c r="K112" s="47">
        <v>5</v>
      </c>
      <c r="L112" s="47">
        <v>4</v>
      </c>
      <c r="M112" s="47">
        <v>3</v>
      </c>
      <c r="N112" s="47">
        <v>2</v>
      </c>
      <c r="O112" s="47">
        <v>1</v>
      </c>
    </row>
    <row r="113" spans="1:15" s="48" customFormat="1" ht="246" customHeight="1" x14ac:dyDescent="0.25">
      <c r="A113" s="101"/>
      <c r="B113" s="98"/>
      <c r="C113" s="104"/>
      <c r="D113" s="106" t="s">
        <v>277</v>
      </c>
      <c r="E113" s="43">
        <v>0.5</v>
      </c>
      <c r="F113" s="43">
        <f t="shared" si="1"/>
        <v>0.50000000000000011</v>
      </c>
      <c r="G113" s="42" t="s">
        <v>278</v>
      </c>
      <c r="H113" s="51">
        <v>0.2</v>
      </c>
      <c r="I113" s="45" t="s">
        <v>42</v>
      </c>
      <c r="J113" s="46" t="s">
        <v>96</v>
      </c>
      <c r="K113" s="47">
        <v>20</v>
      </c>
      <c r="L113" s="47">
        <v>15</v>
      </c>
      <c r="M113" s="47">
        <v>10</v>
      </c>
      <c r="N113" s="47">
        <v>5</v>
      </c>
      <c r="O113" s="47" t="s">
        <v>87</v>
      </c>
    </row>
    <row r="114" spans="1:15" s="48" customFormat="1" ht="246" customHeight="1" x14ac:dyDescent="0.25">
      <c r="A114" s="101"/>
      <c r="B114" s="98"/>
      <c r="C114" s="104"/>
      <c r="D114" s="107"/>
      <c r="E114" s="43">
        <v>0.5</v>
      </c>
      <c r="F114" s="43">
        <f t="shared" si="1"/>
        <v>0.50000000000000011</v>
      </c>
      <c r="G114" s="42" t="s">
        <v>279</v>
      </c>
      <c r="H114" s="41">
        <v>20</v>
      </c>
      <c r="I114" s="45" t="s">
        <v>56</v>
      </c>
      <c r="J114" s="46" t="s">
        <v>96</v>
      </c>
      <c r="K114" s="47">
        <v>20</v>
      </c>
      <c r="L114" s="47">
        <v>15</v>
      </c>
      <c r="M114" s="47">
        <v>10</v>
      </c>
      <c r="N114" s="47">
        <v>5</v>
      </c>
      <c r="O114" s="47" t="s">
        <v>87</v>
      </c>
    </row>
    <row r="115" spans="1:15" s="48" customFormat="1" ht="246" customHeight="1" x14ac:dyDescent="0.25">
      <c r="A115" s="101"/>
      <c r="B115" s="98"/>
      <c r="C115" s="104"/>
      <c r="D115" s="97" t="s">
        <v>280</v>
      </c>
      <c r="E115" s="43">
        <v>0.5</v>
      </c>
      <c r="F115" s="43">
        <f t="shared" si="1"/>
        <v>0.50000000000000011</v>
      </c>
      <c r="G115" s="42" t="s">
        <v>281</v>
      </c>
      <c r="H115" s="41">
        <v>5</v>
      </c>
      <c r="I115" s="45" t="s">
        <v>56</v>
      </c>
      <c r="J115" s="46" t="s">
        <v>84</v>
      </c>
      <c r="K115" s="47">
        <v>5</v>
      </c>
      <c r="L115" s="47">
        <v>4</v>
      </c>
      <c r="M115" s="47">
        <v>3</v>
      </c>
      <c r="N115" s="47">
        <v>2</v>
      </c>
      <c r="O115" s="47">
        <v>1</v>
      </c>
    </row>
    <row r="116" spans="1:15" s="48" customFormat="1" ht="246" customHeight="1" x14ac:dyDescent="0.25">
      <c r="A116" s="101"/>
      <c r="B116" s="98"/>
      <c r="C116" s="104"/>
      <c r="D116" s="99"/>
      <c r="E116" s="43">
        <v>0.5</v>
      </c>
      <c r="F116" s="43">
        <f t="shared" si="1"/>
        <v>0.50000000000000011</v>
      </c>
      <c r="G116" s="42" t="s">
        <v>282</v>
      </c>
      <c r="H116" s="51">
        <v>1</v>
      </c>
      <c r="I116" s="45" t="s">
        <v>42</v>
      </c>
      <c r="J116" s="46">
        <v>100</v>
      </c>
      <c r="K116" s="47">
        <v>95</v>
      </c>
      <c r="L116" s="47">
        <v>90</v>
      </c>
      <c r="M116" s="47">
        <v>85</v>
      </c>
      <c r="N116" s="47">
        <v>80</v>
      </c>
      <c r="O116" s="47" t="s">
        <v>43</v>
      </c>
    </row>
    <row r="117" spans="1:15" s="48" customFormat="1" ht="246" customHeight="1" x14ac:dyDescent="0.25">
      <c r="A117" s="101"/>
      <c r="B117" s="98"/>
      <c r="C117" s="104"/>
      <c r="D117" s="106" t="s">
        <v>283</v>
      </c>
      <c r="E117" s="43">
        <v>1</v>
      </c>
      <c r="F117" s="43">
        <f t="shared" si="1"/>
        <v>1.0000000000000002</v>
      </c>
      <c r="G117" s="42" t="s">
        <v>284</v>
      </c>
      <c r="H117" s="51">
        <v>1</v>
      </c>
      <c r="I117" s="45" t="s">
        <v>42</v>
      </c>
      <c r="J117" s="46">
        <v>100</v>
      </c>
      <c r="K117" s="47">
        <v>95</v>
      </c>
      <c r="L117" s="47">
        <v>90</v>
      </c>
      <c r="M117" s="47">
        <v>85</v>
      </c>
      <c r="N117" s="47">
        <v>80</v>
      </c>
      <c r="O117" s="47" t="s">
        <v>43</v>
      </c>
    </row>
    <row r="118" spans="1:15" s="48" customFormat="1" ht="246" customHeight="1" x14ac:dyDescent="0.25">
      <c r="A118" s="101"/>
      <c r="B118" s="98"/>
      <c r="C118" s="104"/>
      <c r="D118" s="107"/>
      <c r="E118" s="43">
        <v>0.5</v>
      </c>
      <c r="F118" s="43">
        <f t="shared" si="1"/>
        <v>0.50000000000000011</v>
      </c>
      <c r="G118" s="42" t="s">
        <v>285</v>
      </c>
      <c r="H118" s="51">
        <v>0.8</v>
      </c>
      <c r="I118" s="41" t="s">
        <v>42</v>
      </c>
      <c r="J118" s="46" t="s">
        <v>64</v>
      </c>
      <c r="K118" s="47">
        <v>80</v>
      </c>
      <c r="L118" s="47">
        <v>75</v>
      </c>
      <c r="M118" s="47">
        <v>70</v>
      </c>
      <c r="N118" s="47">
        <v>50</v>
      </c>
      <c r="O118" s="47" t="s">
        <v>53</v>
      </c>
    </row>
    <row r="119" spans="1:15" s="48" customFormat="1" ht="246" customHeight="1" x14ac:dyDescent="0.25">
      <c r="A119" s="101"/>
      <c r="B119" s="98"/>
      <c r="C119" s="104"/>
      <c r="D119" s="106" t="s">
        <v>286</v>
      </c>
      <c r="E119" s="43">
        <v>0.5</v>
      </c>
      <c r="F119" s="43">
        <f t="shared" si="1"/>
        <v>0.50000000000000011</v>
      </c>
      <c r="G119" s="42" t="s">
        <v>287</v>
      </c>
      <c r="H119" s="51">
        <v>0.8</v>
      </c>
      <c r="I119" s="41" t="s">
        <v>42</v>
      </c>
      <c r="J119" s="46" t="s">
        <v>64</v>
      </c>
      <c r="K119" s="47">
        <v>80</v>
      </c>
      <c r="L119" s="47">
        <v>75</v>
      </c>
      <c r="M119" s="47">
        <v>70</v>
      </c>
      <c r="N119" s="47">
        <v>50</v>
      </c>
      <c r="O119" s="47" t="s">
        <v>53</v>
      </c>
    </row>
    <row r="120" spans="1:15" s="48" customFormat="1" ht="246" customHeight="1" x14ac:dyDescent="0.25">
      <c r="A120" s="102"/>
      <c r="B120" s="99"/>
      <c r="C120" s="105"/>
      <c r="D120" s="107"/>
      <c r="E120" s="91">
        <v>0.5</v>
      </c>
      <c r="F120" s="43">
        <f t="shared" si="1"/>
        <v>0.50000000000000011</v>
      </c>
      <c r="G120" s="93" t="s">
        <v>288</v>
      </c>
      <c r="H120" s="51">
        <v>0.3</v>
      </c>
      <c r="I120" s="41" t="s">
        <v>42</v>
      </c>
      <c r="J120" s="46" t="s">
        <v>167</v>
      </c>
      <c r="K120" s="47">
        <v>30</v>
      </c>
      <c r="L120" s="47">
        <v>25</v>
      </c>
      <c r="M120" s="47">
        <v>20</v>
      </c>
      <c r="N120" s="47">
        <v>10</v>
      </c>
      <c r="O120" s="47" t="s">
        <v>289</v>
      </c>
    </row>
    <row r="121" spans="1:15" s="48" customFormat="1" ht="246" customHeight="1" x14ac:dyDescent="0.25">
      <c r="A121" s="95">
        <v>11</v>
      </c>
      <c r="B121" s="94" t="s">
        <v>290</v>
      </c>
      <c r="C121" s="96">
        <f>SUM(E121:E128)</f>
        <v>3</v>
      </c>
      <c r="D121" s="97" t="s">
        <v>291</v>
      </c>
      <c r="E121" s="43">
        <v>0.5</v>
      </c>
      <c r="F121" s="43">
        <f t="shared" si="1"/>
        <v>0.50000000000000011</v>
      </c>
      <c r="G121" s="42" t="s">
        <v>292</v>
      </c>
      <c r="H121" s="51">
        <v>1</v>
      </c>
      <c r="I121" s="45" t="s">
        <v>42</v>
      </c>
      <c r="J121" s="46">
        <v>100</v>
      </c>
      <c r="K121" s="47">
        <v>95</v>
      </c>
      <c r="L121" s="47">
        <v>90</v>
      </c>
      <c r="M121" s="47">
        <v>85</v>
      </c>
      <c r="N121" s="47">
        <v>80</v>
      </c>
      <c r="O121" s="47" t="s">
        <v>43</v>
      </c>
    </row>
    <row r="122" spans="1:15" s="48" customFormat="1" ht="246" customHeight="1" x14ac:dyDescent="0.25">
      <c r="A122" s="95"/>
      <c r="B122" s="94"/>
      <c r="C122" s="96"/>
      <c r="D122" s="99"/>
      <c r="E122" s="43">
        <v>0.5</v>
      </c>
      <c r="F122" s="43">
        <f t="shared" si="1"/>
        <v>0.50000000000000011</v>
      </c>
      <c r="G122" s="42" t="s">
        <v>293</v>
      </c>
      <c r="H122" s="51">
        <v>1</v>
      </c>
      <c r="I122" s="45" t="s">
        <v>42</v>
      </c>
      <c r="J122" s="46">
        <v>100</v>
      </c>
      <c r="K122" s="47">
        <v>95</v>
      </c>
      <c r="L122" s="47">
        <v>90</v>
      </c>
      <c r="M122" s="47">
        <v>85</v>
      </c>
      <c r="N122" s="47">
        <v>80</v>
      </c>
      <c r="O122" s="47" t="s">
        <v>43</v>
      </c>
    </row>
    <row r="123" spans="1:15" s="48" customFormat="1" ht="246" customHeight="1" x14ac:dyDescent="0.25">
      <c r="A123" s="95"/>
      <c r="B123" s="94"/>
      <c r="C123" s="96"/>
      <c r="D123" s="97" t="s">
        <v>294</v>
      </c>
      <c r="E123" s="43">
        <v>0.35</v>
      </c>
      <c r="F123" s="43">
        <f t="shared" si="1"/>
        <v>0.35000000000000003</v>
      </c>
      <c r="G123" s="42" t="s">
        <v>295</v>
      </c>
      <c r="H123" s="51">
        <v>1</v>
      </c>
      <c r="I123" s="45" t="s">
        <v>42</v>
      </c>
      <c r="J123" s="46">
        <v>100</v>
      </c>
      <c r="K123" s="47">
        <v>95</v>
      </c>
      <c r="L123" s="47">
        <v>90</v>
      </c>
      <c r="M123" s="47">
        <v>85</v>
      </c>
      <c r="N123" s="47">
        <v>80</v>
      </c>
      <c r="O123" s="47" t="s">
        <v>43</v>
      </c>
    </row>
    <row r="124" spans="1:15" s="48" customFormat="1" ht="246" customHeight="1" x14ac:dyDescent="0.25">
      <c r="A124" s="95"/>
      <c r="B124" s="94"/>
      <c r="C124" s="96"/>
      <c r="D124" s="99"/>
      <c r="E124" s="43">
        <v>0.35</v>
      </c>
      <c r="F124" s="43">
        <f t="shared" si="1"/>
        <v>0.35000000000000003</v>
      </c>
      <c r="G124" s="42" t="s">
        <v>296</v>
      </c>
      <c r="H124" s="51">
        <v>1</v>
      </c>
      <c r="I124" s="45" t="s">
        <v>42</v>
      </c>
      <c r="J124" s="46">
        <v>100</v>
      </c>
      <c r="K124" s="47">
        <v>95</v>
      </c>
      <c r="L124" s="47">
        <v>90</v>
      </c>
      <c r="M124" s="47">
        <v>85</v>
      </c>
      <c r="N124" s="47">
        <v>80</v>
      </c>
      <c r="O124" s="47" t="s">
        <v>43</v>
      </c>
    </row>
    <row r="125" spans="1:15" s="48" customFormat="1" ht="246" customHeight="1" x14ac:dyDescent="0.25">
      <c r="A125" s="95"/>
      <c r="B125" s="94"/>
      <c r="C125" s="96"/>
      <c r="D125" s="94" t="s">
        <v>297</v>
      </c>
      <c r="E125" s="43">
        <v>0.2</v>
      </c>
      <c r="F125" s="43">
        <f t="shared" si="1"/>
        <v>0.20000000000000004</v>
      </c>
      <c r="G125" s="42" t="s">
        <v>298</v>
      </c>
      <c r="H125" s="51">
        <v>1</v>
      </c>
      <c r="I125" s="45" t="s">
        <v>42</v>
      </c>
      <c r="J125" s="46">
        <v>100</v>
      </c>
      <c r="K125" s="47">
        <v>95</v>
      </c>
      <c r="L125" s="47">
        <v>90</v>
      </c>
      <c r="M125" s="47">
        <v>85</v>
      </c>
      <c r="N125" s="47">
        <v>80</v>
      </c>
      <c r="O125" s="47" t="s">
        <v>43</v>
      </c>
    </row>
    <row r="126" spans="1:15" s="48" customFormat="1" ht="246" customHeight="1" x14ac:dyDescent="0.25">
      <c r="A126" s="95"/>
      <c r="B126" s="94"/>
      <c r="C126" s="96"/>
      <c r="D126" s="94"/>
      <c r="E126" s="43">
        <v>0.1</v>
      </c>
      <c r="F126" s="43">
        <f t="shared" si="1"/>
        <v>0.10000000000000002</v>
      </c>
      <c r="G126" s="42" t="s">
        <v>299</v>
      </c>
      <c r="H126" s="51">
        <v>1</v>
      </c>
      <c r="I126" s="45" t="s">
        <v>42</v>
      </c>
      <c r="J126" s="46">
        <v>100</v>
      </c>
      <c r="K126" s="47">
        <v>95</v>
      </c>
      <c r="L126" s="47">
        <v>90</v>
      </c>
      <c r="M126" s="47">
        <v>85</v>
      </c>
      <c r="N126" s="47">
        <v>80</v>
      </c>
      <c r="O126" s="47" t="s">
        <v>43</v>
      </c>
    </row>
    <row r="127" spans="1:15" s="48" customFormat="1" ht="246" customHeight="1" x14ac:dyDescent="0.25">
      <c r="A127" s="95"/>
      <c r="B127" s="94"/>
      <c r="C127" s="96"/>
      <c r="D127" s="49" t="s">
        <v>300</v>
      </c>
      <c r="E127" s="43">
        <v>0.5</v>
      </c>
      <c r="F127" s="43">
        <f t="shared" si="1"/>
        <v>0.50000000000000011</v>
      </c>
      <c r="G127" s="42" t="s">
        <v>301</v>
      </c>
      <c r="H127" s="51">
        <v>1</v>
      </c>
      <c r="I127" s="45" t="s">
        <v>42</v>
      </c>
      <c r="J127" s="46">
        <v>100</v>
      </c>
      <c r="K127" s="47">
        <v>95</v>
      </c>
      <c r="L127" s="47">
        <v>90</v>
      </c>
      <c r="M127" s="47">
        <v>85</v>
      </c>
      <c r="N127" s="47">
        <v>80</v>
      </c>
      <c r="O127" s="47" t="s">
        <v>43</v>
      </c>
    </row>
    <row r="128" spans="1:15" s="48" customFormat="1" ht="246" customHeight="1" x14ac:dyDescent="0.25">
      <c r="A128" s="95"/>
      <c r="B128" s="94"/>
      <c r="C128" s="96"/>
      <c r="D128" s="49" t="s">
        <v>302</v>
      </c>
      <c r="E128" s="90">
        <v>0.5</v>
      </c>
      <c r="F128" s="43">
        <f t="shared" si="1"/>
        <v>0.50000000000000011</v>
      </c>
      <c r="G128" s="92" t="s">
        <v>303</v>
      </c>
      <c r="H128" s="51">
        <v>1</v>
      </c>
      <c r="I128" s="45" t="s">
        <v>42</v>
      </c>
      <c r="J128" s="46">
        <v>100</v>
      </c>
      <c r="K128" s="47">
        <v>95</v>
      </c>
      <c r="L128" s="47">
        <v>90</v>
      </c>
      <c r="M128" s="47">
        <v>85</v>
      </c>
      <c r="N128" s="47">
        <v>80</v>
      </c>
      <c r="O128" s="47" t="s">
        <v>43</v>
      </c>
    </row>
    <row r="129" spans="1:15" s="48" customFormat="1" ht="246" customHeight="1" x14ac:dyDescent="0.25">
      <c r="A129" s="95">
        <v>12</v>
      </c>
      <c r="B129" s="94" t="s">
        <v>81</v>
      </c>
      <c r="C129" s="111">
        <f>SUM(E129:E131)</f>
        <v>5</v>
      </c>
      <c r="D129" s="94" t="s">
        <v>82</v>
      </c>
      <c r="E129" s="43">
        <v>2</v>
      </c>
      <c r="F129" s="43">
        <f t="shared" si="1"/>
        <v>2.0000000000000004</v>
      </c>
      <c r="G129" s="42" t="s">
        <v>83</v>
      </c>
      <c r="H129" s="41">
        <v>5</v>
      </c>
      <c r="I129" s="45" t="s">
        <v>56</v>
      </c>
      <c r="J129" s="46" t="s">
        <v>84</v>
      </c>
      <c r="K129" s="47">
        <v>5</v>
      </c>
      <c r="L129" s="47">
        <v>4</v>
      </c>
      <c r="M129" s="47">
        <v>3</v>
      </c>
      <c r="N129" s="47">
        <v>2</v>
      </c>
      <c r="O129" s="47">
        <v>1</v>
      </c>
    </row>
    <row r="130" spans="1:15" s="48" customFormat="1" ht="246" customHeight="1" x14ac:dyDescent="0.25">
      <c r="A130" s="95"/>
      <c r="B130" s="94"/>
      <c r="C130" s="111"/>
      <c r="D130" s="94"/>
      <c r="E130" s="43">
        <v>2</v>
      </c>
      <c r="F130" s="43">
        <f t="shared" si="1"/>
        <v>2.0000000000000004</v>
      </c>
      <c r="G130" s="42" t="s">
        <v>85</v>
      </c>
      <c r="H130" s="51">
        <v>0.1</v>
      </c>
      <c r="I130" s="41" t="s">
        <v>42</v>
      </c>
      <c r="J130" s="46" t="s">
        <v>86</v>
      </c>
      <c r="K130" s="47">
        <v>10</v>
      </c>
      <c r="L130" s="47">
        <v>7</v>
      </c>
      <c r="M130" s="47">
        <v>6</v>
      </c>
      <c r="N130" s="47">
        <v>5</v>
      </c>
      <c r="O130" s="47" t="s">
        <v>87</v>
      </c>
    </row>
    <row r="131" spans="1:15" s="48" customFormat="1" ht="358.5" customHeight="1" x14ac:dyDescent="0.25">
      <c r="A131" s="95"/>
      <c r="B131" s="94"/>
      <c r="C131" s="111"/>
      <c r="D131" s="94"/>
      <c r="E131" s="43">
        <v>1</v>
      </c>
      <c r="F131" s="43">
        <f t="shared" si="1"/>
        <v>1.0000000000000002</v>
      </c>
      <c r="G131" s="42" t="s">
        <v>88</v>
      </c>
      <c r="H131" s="41">
        <v>2</v>
      </c>
      <c r="I131" s="45" t="s">
        <v>56</v>
      </c>
      <c r="J131" s="46" t="s">
        <v>89</v>
      </c>
      <c r="K131" s="47">
        <v>2</v>
      </c>
      <c r="L131" s="47">
        <v>1</v>
      </c>
      <c r="M131" s="47">
        <v>0</v>
      </c>
      <c r="N131" s="47"/>
      <c r="O131" s="47"/>
    </row>
    <row r="132" spans="1:15" s="48" customFormat="1" ht="358.5" customHeight="1" x14ac:dyDescent="0.25">
      <c r="A132" s="95">
        <v>13</v>
      </c>
      <c r="B132" s="94" t="s">
        <v>306</v>
      </c>
      <c r="C132" s="111">
        <f>SUM(E132:E133)</f>
        <v>5</v>
      </c>
      <c r="D132" s="94" t="s">
        <v>305</v>
      </c>
      <c r="E132" s="43">
        <v>3</v>
      </c>
      <c r="F132" s="43">
        <f t="shared" si="1"/>
        <v>3.0000000000000004</v>
      </c>
      <c r="G132" s="42" t="s">
        <v>90</v>
      </c>
      <c r="H132" s="41">
        <v>5</v>
      </c>
      <c r="I132" s="41" t="s">
        <v>56</v>
      </c>
      <c r="J132" s="46" t="s">
        <v>84</v>
      </c>
      <c r="K132" s="47">
        <v>5</v>
      </c>
      <c r="L132" s="47">
        <v>4</v>
      </c>
      <c r="M132" s="47">
        <v>3</v>
      </c>
      <c r="N132" s="47">
        <v>2</v>
      </c>
      <c r="O132" s="47">
        <v>1</v>
      </c>
    </row>
    <row r="133" spans="1:15" s="48" customFormat="1" ht="246" customHeight="1" x14ac:dyDescent="0.25">
      <c r="A133" s="95"/>
      <c r="B133" s="94"/>
      <c r="C133" s="111"/>
      <c r="D133" s="94"/>
      <c r="E133" s="43">
        <v>2</v>
      </c>
      <c r="F133" s="43">
        <f t="shared" si="1"/>
        <v>2.0000000000000004</v>
      </c>
      <c r="G133" s="42" t="s">
        <v>91</v>
      </c>
      <c r="H133" s="41">
        <v>5</v>
      </c>
      <c r="I133" s="41" t="s">
        <v>56</v>
      </c>
      <c r="J133" s="46" t="s">
        <v>84</v>
      </c>
      <c r="K133" s="47">
        <v>5</v>
      </c>
      <c r="L133" s="47">
        <v>4</v>
      </c>
      <c r="M133" s="47">
        <v>3</v>
      </c>
      <c r="N133" s="47">
        <v>2</v>
      </c>
      <c r="O133" s="47">
        <v>1</v>
      </c>
    </row>
    <row r="134" spans="1:15" s="48" customFormat="1" ht="246" customHeight="1" x14ac:dyDescent="0.25">
      <c r="A134" s="100">
        <v>14</v>
      </c>
      <c r="B134" s="97" t="s">
        <v>92</v>
      </c>
      <c r="C134" s="108">
        <f>SUM(E134:E136)</f>
        <v>5</v>
      </c>
      <c r="D134" s="97" t="s">
        <v>93</v>
      </c>
      <c r="E134" s="43">
        <v>1</v>
      </c>
      <c r="F134" s="43">
        <f t="shared" si="1"/>
        <v>1.0000000000000002</v>
      </c>
      <c r="G134" s="42" t="s">
        <v>94</v>
      </c>
      <c r="H134" s="41">
        <v>5</v>
      </c>
      <c r="I134" s="41" t="s">
        <v>56</v>
      </c>
      <c r="J134" s="46" t="s">
        <v>84</v>
      </c>
      <c r="K134" s="47">
        <v>5</v>
      </c>
      <c r="L134" s="47">
        <v>4</v>
      </c>
      <c r="M134" s="47">
        <v>3</v>
      </c>
      <c r="N134" s="47">
        <v>2</v>
      </c>
      <c r="O134" s="47">
        <v>1</v>
      </c>
    </row>
    <row r="135" spans="1:15" s="48" customFormat="1" ht="246" customHeight="1" x14ac:dyDescent="0.25">
      <c r="A135" s="101"/>
      <c r="B135" s="98"/>
      <c r="C135" s="109"/>
      <c r="D135" s="98"/>
      <c r="E135" s="43">
        <v>2</v>
      </c>
      <c r="F135" s="43">
        <f t="shared" si="1"/>
        <v>2.0000000000000004</v>
      </c>
      <c r="G135" s="42" t="s">
        <v>95</v>
      </c>
      <c r="H135" s="51">
        <v>0.2</v>
      </c>
      <c r="I135" s="45" t="s">
        <v>42</v>
      </c>
      <c r="J135" s="46" t="s">
        <v>96</v>
      </c>
      <c r="K135" s="47">
        <v>20</v>
      </c>
      <c r="L135" s="47">
        <v>15</v>
      </c>
      <c r="M135" s="47">
        <v>10</v>
      </c>
      <c r="N135" s="47">
        <v>5</v>
      </c>
      <c r="O135" s="47" t="s">
        <v>87</v>
      </c>
    </row>
    <row r="136" spans="1:15" s="48" customFormat="1" ht="246" customHeight="1" x14ac:dyDescent="0.25">
      <c r="A136" s="102"/>
      <c r="B136" s="99"/>
      <c r="C136" s="110"/>
      <c r="D136" s="99"/>
      <c r="E136" s="43">
        <v>2</v>
      </c>
      <c r="F136" s="43">
        <f t="shared" si="1"/>
        <v>2.0000000000000004</v>
      </c>
      <c r="G136" s="42" t="s">
        <v>97</v>
      </c>
      <c r="H136" s="51">
        <v>0.8</v>
      </c>
      <c r="I136" s="41" t="s">
        <v>42</v>
      </c>
      <c r="J136" s="46" t="s">
        <v>64</v>
      </c>
      <c r="K136" s="47">
        <v>80</v>
      </c>
      <c r="L136" s="47">
        <v>75</v>
      </c>
      <c r="M136" s="47">
        <v>70</v>
      </c>
      <c r="N136" s="47">
        <v>50</v>
      </c>
      <c r="O136" s="47" t="s">
        <v>53</v>
      </c>
    </row>
    <row r="137" spans="1:15" s="48" customFormat="1" ht="246" customHeight="1" x14ac:dyDescent="0.25">
      <c r="A137" s="95">
        <v>15</v>
      </c>
      <c r="B137" s="94" t="s">
        <v>98</v>
      </c>
      <c r="C137" s="111">
        <f>SUM(E137:E138)</f>
        <v>5</v>
      </c>
      <c r="D137" s="94" t="s">
        <v>99</v>
      </c>
      <c r="E137" s="43">
        <v>3</v>
      </c>
      <c r="F137" s="43">
        <f t="shared" si="1"/>
        <v>3.0000000000000004</v>
      </c>
      <c r="G137" s="42" t="s">
        <v>100</v>
      </c>
      <c r="H137" s="51">
        <v>0.8</v>
      </c>
      <c r="I137" s="41" t="s">
        <v>42</v>
      </c>
      <c r="J137" s="46" t="s">
        <v>64</v>
      </c>
      <c r="K137" s="47">
        <v>80</v>
      </c>
      <c r="L137" s="47">
        <v>75</v>
      </c>
      <c r="M137" s="47">
        <v>70</v>
      </c>
      <c r="N137" s="47">
        <v>50</v>
      </c>
      <c r="O137" s="47" t="s">
        <v>53</v>
      </c>
    </row>
    <row r="138" spans="1:15" s="48" customFormat="1" ht="246" customHeight="1" x14ac:dyDescent="0.25">
      <c r="A138" s="95"/>
      <c r="B138" s="94"/>
      <c r="C138" s="111"/>
      <c r="D138" s="94"/>
      <c r="E138" s="43">
        <v>2</v>
      </c>
      <c r="F138" s="43">
        <f t="shared" si="1"/>
        <v>2.0000000000000004</v>
      </c>
      <c r="G138" s="42" t="s">
        <v>101</v>
      </c>
      <c r="H138" s="51">
        <v>0.8</v>
      </c>
      <c r="I138" s="41" t="s">
        <v>42</v>
      </c>
      <c r="J138" s="46" t="s">
        <v>64</v>
      </c>
      <c r="K138" s="47">
        <v>80</v>
      </c>
      <c r="L138" s="47">
        <v>75</v>
      </c>
      <c r="M138" s="47">
        <v>70</v>
      </c>
      <c r="N138" s="47">
        <v>50</v>
      </c>
      <c r="O138" s="47" t="s">
        <v>53</v>
      </c>
    </row>
    <row r="139" spans="1:15" s="48" customFormat="1" ht="382.5" customHeight="1" x14ac:dyDescent="0.25">
      <c r="A139" s="100">
        <v>16</v>
      </c>
      <c r="B139" s="106" t="s">
        <v>102</v>
      </c>
      <c r="C139" s="108">
        <v>7</v>
      </c>
      <c r="D139" s="97" t="s">
        <v>307</v>
      </c>
      <c r="E139" s="43">
        <v>2</v>
      </c>
      <c r="F139" s="43">
        <f t="shared" si="1"/>
        <v>2.0000000000000004</v>
      </c>
      <c r="G139" s="42" t="s">
        <v>103</v>
      </c>
      <c r="H139" s="51">
        <v>1</v>
      </c>
      <c r="I139" s="45" t="s">
        <v>42</v>
      </c>
      <c r="J139" s="46">
        <v>100</v>
      </c>
      <c r="K139" s="47">
        <v>95</v>
      </c>
      <c r="L139" s="47">
        <v>90</v>
      </c>
      <c r="M139" s="47">
        <v>85</v>
      </c>
      <c r="N139" s="47">
        <v>80</v>
      </c>
      <c r="O139" s="47" t="s">
        <v>43</v>
      </c>
    </row>
    <row r="140" spans="1:15" s="48" customFormat="1" ht="382.5" customHeight="1" x14ac:dyDescent="0.25">
      <c r="A140" s="101"/>
      <c r="B140" s="112"/>
      <c r="C140" s="109"/>
      <c r="D140" s="98"/>
      <c r="E140" s="43">
        <v>2</v>
      </c>
      <c r="F140" s="43">
        <f t="shared" si="1"/>
        <v>2.0000000000000004</v>
      </c>
      <c r="G140" s="42" t="s">
        <v>104</v>
      </c>
      <c r="H140" s="51">
        <v>1</v>
      </c>
      <c r="I140" s="45" t="s">
        <v>42</v>
      </c>
      <c r="J140" s="46">
        <v>100</v>
      </c>
      <c r="K140" s="47">
        <v>95</v>
      </c>
      <c r="L140" s="47">
        <v>90</v>
      </c>
      <c r="M140" s="47">
        <v>85</v>
      </c>
      <c r="N140" s="47">
        <v>80</v>
      </c>
      <c r="O140" s="47" t="s">
        <v>43</v>
      </c>
    </row>
    <row r="141" spans="1:15" s="48" customFormat="1" ht="382.5" customHeight="1" x14ac:dyDescent="0.25">
      <c r="A141" s="102"/>
      <c r="B141" s="107"/>
      <c r="C141" s="110"/>
      <c r="D141" s="99"/>
      <c r="E141" s="43">
        <v>3</v>
      </c>
      <c r="F141" s="43">
        <f t="shared" si="1"/>
        <v>3.0000000000000004</v>
      </c>
      <c r="G141" s="42" t="s">
        <v>103</v>
      </c>
      <c r="H141" s="51">
        <v>1</v>
      </c>
      <c r="I141" s="45" t="s">
        <v>42</v>
      </c>
      <c r="J141" s="46">
        <v>100</v>
      </c>
      <c r="K141" s="47">
        <v>95</v>
      </c>
      <c r="L141" s="47">
        <v>90</v>
      </c>
      <c r="M141" s="47">
        <v>85</v>
      </c>
      <c r="N141" s="47">
        <v>80</v>
      </c>
      <c r="O141" s="47" t="s">
        <v>43</v>
      </c>
    </row>
    <row r="142" spans="1:15" s="48" customFormat="1" ht="246" customHeight="1" x14ac:dyDescent="0.25">
      <c r="A142" s="95">
        <v>17</v>
      </c>
      <c r="B142" s="94" t="s">
        <v>105</v>
      </c>
      <c r="C142" s="111">
        <f>SUM(E142:E147)</f>
        <v>10</v>
      </c>
      <c r="D142" s="94" t="s">
        <v>106</v>
      </c>
      <c r="E142" s="43">
        <v>2</v>
      </c>
      <c r="F142" s="43">
        <f t="shared" si="1"/>
        <v>2.0000000000000004</v>
      </c>
      <c r="G142" s="42" t="s">
        <v>107</v>
      </c>
      <c r="H142" s="44">
        <v>0.8</v>
      </c>
      <c r="I142" s="41" t="s">
        <v>42</v>
      </c>
      <c r="J142" s="46" t="s">
        <v>64</v>
      </c>
      <c r="K142" s="47">
        <v>80</v>
      </c>
      <c r="L142" s="47">
        <v>75</v>
      </c>
      <c r="M142" s="47">
        <v>70</v>
      </c>
      <c r="N142" s="47">
        <v>50</v>
      </c>
      <c r="O142" s="47" t="s">
        <v>53</v>
      </c>
    </row>
    <row r="143" spans="1:15" s="48" customFormat="1" ht="246" customHeight="1" x14ac:dyDescent="0.25">
      <c r="A143" s="95"/>
      <c r="B143" s="94"/>
      <c r="C143" s="111"/>
      <c r="D143" s="94"/>
      <c r="E143" s="43">
        <v>1</v>
      </c>
      <c r="F143" s="43">
        <f t="shared" si="1"/>
        <v>1.0000000000000002</v>
      </c>
      <c r="G143" s="42" t="s">
        <v>108</v>
      </c>
      <c r="H143" s="44">
        <v>0.8</v>
      </c>
      <c r="I143" s="41" t="s">
        <v>42</v>
      </c>
      <c r="J143" s="46" t="s">
        <v>64</v>
      </c>
      <c r="K143" s="47">
        <v>80</v>
      </c>
      <c r="L143" s="47">
        <v>75</v>
      </c>
      <c r="M143" s="47">
        <v>70</v>
      </c>
      <c r="N143" s="47">
        <v>50</v>
      </c>
      <c r="O143" s="47" t="s">
        <v>53</v>
      </c>
    </row>
    <row r="144" spans="1:15" s="48" customFormat="1" ht="246" customHeight="1" x14ac:dyDescent="0.25">
      <c r="A144" s="95"/>
      <c r="B144" s="94"/>
      <c r="C144" s="111"/>
      <c r="D144" s="94"/>
      <c r="E144" s="43">
        <v>1</v>
      </c>
      <c r="F144" s="43">
        <f t="shared" si="1"/>
        <v>1.0000000000000002</v>
      </c>
      <c r="G144" s="42" t="s">
        <v>109</v>
      </c>
      <c r="H144" s="41">
        <v>5</v>
      </c>
      <c r="I144" s="41" t="s">
        <v>56</v>
      </c>
      <c r="J144" s="46" t="s">
        <v>84</v>
      </c>
      <c r="K144" s="47">
        <v>5</v>
      </c>
      <c r="L144" s="47">
        <v>4</v>
      </c>
      <c r="M144" s="47">
        <v>3</v>
      </c>
      <c r="N144" s="47">
        <v>2</v>
      </c>
      <c r="O144" s="47">
        <v>1</v>
      </c>
    </row>
    <row r="145" spans="1:15" s="48" customFormat="1" ht="246" customHeight="1" x14ac:dyDescent="0.25">
      <c r="A145" s="95"/>
      <c r="B145" s="94"/>
      <c r="C145" s="111"/>
      <c r="D145" s="94"/>
      <c r="E145" s="43">
        <v>2</v>
      </c>
      <c r="F145" s="43">
        <f t="shared" si="1"/>
        <v>2.0000000000000004</v>
      </c>
      <c r="G145" s="42" t="s">
        <v>110</v>
      </c>
      <c r="H145" s="44">
        <v>0.7</v>
      </c>
      <c r="I145" s="45" t="s">
        <v>42</v>
      </c>
      <c r="J145" s="46" t="s">
        <v>111</v>
      </c>
      <c r="K145" s="47">
        <v>70</v>
      </c>
      <c r="L145" s="47">
        <v>60</v>
      </c>
      <c r="M145" s="47">
        <v>50</v>
      </c>
      <c r="N145" s="47">
        <v>40</v>
      </c>
      <c r="O145" s="47" t="s">
        <v>112</v>
      </c>
    </row>
    <row r="146" spans="1:15" s="48" customFormat="1" ht="246" customHeight="1" x14ac:dyDescent="0.25">
      <c r="A146" s="95"/>
      <c r="B146" s="94"/>
      <c r="C146" s="111"/>
      <c r="D146" s="94" t="s">
        <v>113</v>
      </c>
      <c r="E146" s="43">
        <v>2</v>
      </c>
      <c r="F146" s="43">
        <f t="shared" si="1"/>
        <v>2.0000000000000004</v>
      </c>
      <c r="G146" s="42" t="s">
        <v>114</v>
      </c>
      <c r="H146" s="44">
        <v>0.5</v>
      </c>
      <c r="I146" s="45" t="s">
        <v>42</v>
      </c>
      <c r="J146" s="46" t="s">
        <v>48</v>
      </c>
      <c r="K146" s="47">
        <v>50</v>
      </c>
      <c r="L146" s="47">
        <v>45</v>
      </c>
      <c r="M146" s="47">
        <v>40</v>
      </c>
      <c r="N146" s="47">
        <v>25</v>
      </c>
      <c r="O146" s="47" t="s">
        <v>49</v>
      </c>
    </row>
    <row r="147" spans="1:15" ht="209.25" customHeight="1" x14ac:dyDescent="0.25">
      <c r="A147" s="95"/>
      <c r="B147" s="94"/>
      <c r="C147" s="111"/>
      <c r="D147" s="94"/>
      <c r="E147" s="43">
        <v>2</v>
      </c>
      <c r="F147" s="43">
        <f t="shared" si="1"/>
        <v>2.0000000000000004</v>
      </c>
      <c r="G147" s="42" t="s">
        <v>115</v>
      </c>
      <c r="H147" s="52">
        <v>5</v>
      </c>
      <c r="I147" s="41" t="s">
        <v>56</v>
      </c>
      <c r="J147" s="46" t="s">
        <v>84</v>
      </c>
      <c r="K147" s="47">
        <v>5</v>
      </c>
      <c r="L147" s="47">
        <v>4</v>
      </c>
      <c r="M147" s="47">
        <v>3</v>
      </c>
      <c r="N147" s="47">
        <v>2</v>
      </c>
      <c r="O147" s="47">
        <v>1</v>
      </c>
    </row>
    <row r="148" spans="1:15" ht="82.5" customHeight="1" x14ac:dyDescent="0.45">
      <c r="A148" s="53"/>
      <c r="B148" s="54" t="s">
        <v>116</v>
      </c>
      <c r="C148" s="55">
        <f>SUM(C19:C147)</f>
        <v>100</v>
      </c>
      <c r="D148" s="55"/>
      <c r="E148" s="55">
        <f>SUM(E19:E147)</f>
        <v>99.999999999999986</v>
      </c>
      <c r="F148" s="55">
        <f>SUM(F19:F147)</f>
        <v>100</v>
      </c>
      <c r="G148" s="56"/>
      <c r="H148" s="57"/>
      <c r="I148" s="58"/>
      <c r="J148" s="59"/>
      <c r="K148" s="60"/>
      <c r="L148" s="60"/>
      <c r="M148" s="60"/>
      <c r="N148" s="60"/>
      <c r="O148" s="60"/>
    </row>
    <row r="149" spans="1:15" ht="32.25" x14ac:dyDescent="0.25">
      <c r="A149" s="157" t="s">
        <v>117</v>
      </c>
      <c r="B149" s="157"/>
      <c r="C149" s="157"/>
      <c r="D149" s="157"/>
      <c r="E149" s="157"/>
      <c r="F149" s="157"/>
      <c r="G149" s="157"/>
      <c r="H149" s="158"/>
      <c r="I149" s="158"/>
      <c r="J149" s="159"/>
      <c r="K149" s="160" t="s">
        <v>118</v>
      </c>
      <c r="L149" s="160"/>
      <c r="M149" s="160"/>
      <c r="N149" s="160"/>
      <c r="O149" s="160"/>
    </row>
    <row r="150" spans="1:15" ht="33" x14ac:dyDescent="0.45">
      <c r="A150" s="61"/>
      <c r="B150" s="62"/>
      <c r="C150" s="161" t="s">
        <v>119</v>
      </c>
      <c r="D150" s="161"/>
      <c r="E150" s="161"/>
      <c r="F150" s="161"/>
      <c r="G150" s="161"/>
      <c r="H150" s="63" t="s">
        <v>120</v>
      </c>
      <c r="I150" s="63" t="s">
        <v>121</v>
      </c>
      <c r="J150" s="63" t="s">
        <v>122</v>
      </c>
      <c r="K150" s="160"/>
      <c r="L150" s="160"/>
      <c r="M150" s="160"/>
      <c r="N150" s="160"/>
      <c r="O150" s="160"/>
    </row>
    <row r="151" spans="1:15" ht="49.5" x14ac:dyDescent="0.6">
      <c r="A151" s="64">
        <v>1</v>
      </c>
      <c r="B151" s="65" t="s">
        <v>123</v>
      </c>
      <c r="C151" s="162"/>
      <c r="D151" s="163"/>
      <c r="E151" s="163"/>
      <c r="F151" s="163"/>
      <c r="G151" s="164"/>
      <c r="H151" s="66"/>
      <c r="I151" s="66"/>
      <c r="J151" s="67"/>
      <c r="K151" s="68"/>
      <c r="L151" s="69" t="s">
        <v>33</v>
      </c>
      <c r="M151" s="156" t="s">
        <v>124</v>
      </c>
      <c r="N151" s="156"/>
      <c r="O151" s="156"/>
    </row>
    <row r="152" spans="1:15" ht="89.25" customHeight="1" x14ac:dyDescent="0.45">
      <c r="A152" s="71" t="s">
        <v>125</v>
      </c>
      <c r="B152" s="72" t="s">
        <v>126</v>
      </c>
      <c r="C152" s="153"/>
      <c r="D152" s="154"/>
      <c r="E152" s="154"/>
      <c r="F152" s="154"/>
      <c r="G152" s="155"/>
      <c r="H152" s="60">
        <v>3</v>
      </c>
      <c r="I152" s="60">
        <v>3</v>
      </c>
      <c r="J152" s="73"/>
      <c r="K152" s="68"/>
      <c r="L152" s="69" t="s">
        <v>34</v>
      </c>
      <c r="M152" s="156" t="s">
        <v>127</v>
      </c>
      <c r="N152" s="156"/>
      <c r="O152" s="156"/>
    </row>
    <row r="153" spans="1:15" ht="86.25" customHeight="1" x14ac:dyDescent="0.45">
      <c r="A153" s="71" t="s">
        <v>128</v>
      </c>
      <c r="B153" s="72" t="s">
        <v>129</v>
      </c>
      <c r="C153" s="153"/>
      <c r="D153" s="154"/>
      <c r="E153" s="154"/>
      <c r="F153" s="154"/>
      <c r="G153" s="155"/>
      <c r="H153" s="60">
        <v>3</v>
      </c>
      <c r="I153" s="60">
        <v>3</v>
      </c>
      <c r="J153" s="73"/>
      <c r="K153" s="68"/>
      <c r="L153" s="69" t="s">
        <v>35</v>
      </c>
      <c r="M153" s="156" t="s">
        <v>130</v>
      </c>
      <c r="N153" s="156"/>
      <c r="O153" s="156"/>
    </row>
    <row r="154" spans="1:15" ht="79.5" customHeight="1" x14ac:dyDescent="0.45">
      <c r="A154" s="71" t="s">
        <v>131</v>
      </c>
      <c r="B154" s="72" t="s">
        <v>132</v>
      </c>
      <c r="C154" s="153"/>
      <c r="D154" s="154"/>
      <c r="E154" s="154"/>
      <c r="F154" s="154"/>
      <c r="G154" s="155"/>
      <c r="H154" s="60">
        <v>3</v>
      </c>
      <c r="I154" s="60">
        <v>3</v>
      </c>
      <c r="J154" s="73"/>
      <c r="K154" s="68"/>
      <c r="L154" s="69" t="s">
        <v>36</v>
      </c>
      <c r="M154" s="156" t="s">
        <v>133</v>
      </c>
      <c r="N154" s="156"/>
      <c r="O154" s="156"/>
    </row>
    <row r="155" spans="1:15" ht="79.5" customHeight="1" x14ac:dyDescent="0.6">
      <c r="A155" s="74">
        <v>2</v>
      </c>
      <c r="B155" s="75" t="s">
        <v>134</v>
      </c>
      <c r="C155" s="169"/>
      <c r="D155" s="170"/>
      <c r="E155" s="170"/>
      <c r="F155" s="170"/>
      <c r="G155" s="171"/>
      <c r="H155" s="60"/>
      <c r="I155" s="60"/>
      <c r="J155" s="73"/>
      <c r="K155" s="68"/>
      <c r="L155" s="69" t="s">
        <v>37</v>
      </c>
      <c r="M155" s="156" t="s">
        <v>135</v>
      </c>
      <c r="N155" s="156"/>
      <c r="O155" s="156"/>
    </row>
    <row r="156" spans="1:15" ht="96.75" customHeight="1" x14ac:dyDescent="0.45">
      <c r="A156" s="71" t="s">
        <v>125</v>
      </c>
      <c r="B156" s="76" t="s">
        <v>136</v>
      </c>
      <c r="C156" s="165"/>
      <c r="D156" s="166"/>
      <c r="E156" s="166"/>
      <c r="F156" s="166"/>
      <c r="G156" s="167"/>
      <c r="H156" s="60">
        <v>3</v>
      </c>
      <c r="I156" s="60">
        <v>3</v>
      </c>
      <c r="J156" s="73"/>
      <c r="K156" s="68"/>
      <c r="L156" s="69" t="s">
        <v>38</v>
      </c>
      <c r="M156" s="156" t="s">
        <v>137</v>
      </c>
      <c r="N156" s="156"/>
      <c r="O156" s="156"/>
    </row>
    <row r="157" spans="1:15" ht="84.75" customHeight="1" x14ac:dyDescent="0.45">
      <c r="A157" s="71" t="s">
        <v>128</v>
      </c>
      <c r="B157" s="76" t="s">
        <v>138</v>
      </c>
      <c r="C157" s="165"/>
      <c r="D157" s="166"/>
      <c r="E157" s="166"/>
      <c r="F157" s="166"/>
      <c r="G157" s="167"/>
      <c r="H157" s="60">
        <v>2</v>
      </c>
      <c r="I157" s="60">
        <v>2</v>
      </c>
      <c r="J157" s="73"/>
      <c r="K157" s="68"/>
      <c r="L157" s="70" t="s">
        <v>122</v>
      </c>
      <c r="M157" s="70" t="s">
        <v>139</v>
      </c>
      <c r="N157" s="77"/>
      <c r="O157" s="77"/>
    </row>
    <row r="158" spans="1:15" ht="96" customHeight="1" x14ac:dyDescent="0.45">
      <c r="A158" s="71" t="s">
        <v>131</v>
      </c>
      <c r="B158" s="78" t="s">
        <v>140</v>
      </c>
      <c r="C158" s="165"/>
      <c r="D158" s="166"/>
      <c r="E158" s="166"/>
      <c r="F158" s="166"/>
      <c r="G158" s="167"/>
      <c r="H158" s="60">
        <v>2</v>
      </c>
      <c r="I158" s="60">
        <v>2</v>
      </c>
      <c r="J158" s="73"/>
      <c r="K158" s="68"/>
      <c r="L158" s="70" t="s">
        <v>141</v>
      </c>
      <c r="M158" s="156" t="s">
        <v>142</v>
      </c>
      <c r="N158" s="156"/>
      <c r="O158" s="156"/>
    </row>
    <row r="159" spans="1:15" ht="49.5" x14ac:dyDescent="0.6">
      <c r="A159" s="74">
        <v>3</v>
      </c>
      <c r="B159" s="75" t="s">
        <v>143</v>
      </c>
      <c r="C159" s="169"/>
      <c r="D159" s="170"/>
      <c r="E159" s="170"/>
      <c r="F159" s="170"/>
      <c r="G159" s="171"/>
      <c r="H159" s="60"/>
      <c r="I159" s="60"/>
      <c r="J159" s="73"/>
      <c r="K159" s="68"/>
      <c r="L159" s="70" t="s">
        <v>120</v>
      </c>
      <c r="M159" s="156" t="s">
        <v>144</v>
      </c>
      <c r="N159" s="156"/>
      <c r="O159" s="156"/>
    </row>
    <row r="160" spans="1:15" ht="81.75" customHeight="1" x14ac:dyDescent="0.45">
      <c r="A160" s="71" t="s">
        <v>125</v>
      </c>
      <c r="B160" s="76" t="s">
        <v>145</v>
      </c>
      <c r="C160" s="172"/>
      <c r="D160" s="173"/>
      <c r="E160" s="173"/>
      <c r="F160" s="173"/>
      <c r="G160" s="174"/>
      <c r="H160" s="60">
        <v>2</v>
      </c>
      <c r="I160" s="60">
        <v>2</v>
      </c>
      <c r="J160" s="73"/>
      <c r="K160" s="68"/>
      <c r="L160" s="70" t="s">
        <v>121</v>
      </c>
      <c r="M160" s="156" t="s">
        <v>146</v>
      </c>
      <c r="N160" s="156"/>
      <c r="O160" s="156"/>
    </row>
    <row r="161" spans="1:15" ht="72" customHeight="1" x14ac:dyDescent="0.45">
      <c r="A161" s="71" t="s">
        <v>128</v>
      </c>
      <c r="B161" s="76" t="s">
        <v>147</v>
      </c>
      <c r="C161" s="172"/>
      <c r="D161" s="173"/>
      <c r="E161" s="173"/>
      <c r="F161" s="173"/>
      <c r="G161" s="174"/>
      <c r="H161" s="60">
        <v>1</v>
      </c>
      <c r="I161" s="60">
        <v>1</v>
      </c>
      <c r="J161" s="73"/>
      <c r="K161" s="68"/>
      <c r="L161" s="70" t="s">
        <v>148</v>
      </c>
      <c r="M161" s="156" t="s">
        <v>149</v>
      </c>
      <c r="N161" s="156"/>
      <c r="O161" s="156"/>
    </row>
    <row r="162" spans="1:15" ht="78" customHeight="1" x14ac:dyDescent="0.45">
      <c r="A162" s="71" t="s">
        <v>131</v>
      </c>
      <c r="B162" s="76" t="s">
        <v>150</v>
      </c>
      <c r="C162" s="172"/>
      <c r="D162" s="173"/>
      <c r="E162" s="173"/>
      <c r="F162" s="173"/>
      <c r="G162" s="174"/>
      <c r="H162" s="60">
        <v>1</v>
      </c>
      <c r="I162" s="60">
        <v>1</v>
      </c>
      <c r="J162" s="73"/>
      <c r="K162" s="68"/>
      <c r="L162" s="77"/>
      <c r="M162" s="77"/>
      <c r="N162" s="77"/>
      <c r="O162" s="77"/>
    </row>
    <row r="163" spans="1:15" ht="33" x14ac:dyDescent="0.45">
      <c r="A163" s="202" t="s">
        <v>151</v>
      </c>
      <c r="B163" s="203"/>
      <c r="C163" s="203"/>
      <c r="D163" s="203"/>
      <c r="E163" s="203"/>
      <c r="F163" s="203"/>
      <c r="G163" s="203"/>
      <c r="H163" s="79"/>
      <c r="I163" s="79"/>
      <c r="J163" s="79"/>
      <c r="K163" s="68"/>
      <c r="L163" s="77"/>
      <c r="M163" s="77"/>
      <c r="N163" s="77"/>
      <c r="O163" s="77"/>
    </row>
    <row r="164" spans="1:15" ht="49.5" x14ac:dyDescent="0.6">
      <c r="A164" s="71" t="s">
        <v>125</v>
      </c>
      <c r="B164" s="80" t="s">
        <v>152</v>
      </c>
      <c r="C164" s="165" t="s">
        <v>153</v>
      </c>
      <c r="D164" s="166"/>
      <c r="E164" s="166"/>
      <c r="F164" s="166"/>
      <c r="G164" s="167"/>
      <c r="H164" s="81">
        <v>4</v>
      </c>
      <c r="I164" s="82">
        <v>4</v>
      </c>
      <c r="J164" s="83"/>
      <c r="K164" s="68"/>
      <c r="L164" s="77"/>
      <c r="M164" s="77"/>
      <c r="N164" s="77"/>
      <c r="O164" s="77"/>
    </row>
    <row r="165" spans="1:15" ht="49.5" x14ac:dyDescent="0.6">
      <c r="A165" s="71" t="s">
        <v>128</v>
      </c>
      <c r="B165" s="80" t="s">
        <v>154</v>
      </c>
      <c r="C165" s="165" t="s">
        <v>155</v>
      </c>
      <c r="D165" s="166"/>
      <c r="E165" s="166"/>
      <c r="F165" s="166"/>
      <c r="G165" s="167"/>
      <c r="H165" s="81">
        <v>4</v>
      </c>
      <c r="I165" s="82">
        <v>4</v>
      </c>
      <c r="J165" s="83"/>
      <c r="K165" s="68"/>
      <c r="L165" s="77"/>
      <c r="M165" s="77"/>
      <c r="N165" s="77"/>
      <c r="O165" s="77"/>
    </row>
    <row r="166" spans="1:15" ht="49.5" x14ac:dyDescent="0.6">
      <c r="A166" s="71" t="s">
        <v>128</v>
      </c>
      <c r="B166" s="80" t="s">
        <v>156</v>
      </c>
      <c r="C166" s="165" t="s">
        <v>157</v>
      </c>
      <c r="D166" s="166"/>
      <c r="E166" s="166"/>
      <c r="F166" s="166"/>
      <c r="G166" s="167"/>
      <c r="H166" s="81">
        <v>2</v>
      </c>
      <c r="I166" s="82">
        <v>2</v>
      </c>
      <c r="J166" s="83"/>
      <c r="K166" s="68"/>
      <c r="L166" s="77"/>
      <c r="M166" s="77"/>
      <c r="N166" s="77"/>
      <c r="O166" s="77"/>
    </row>
    <row r="167" spans="1:15" ht="33" x14ac:dyDescent="0.45">
      <c r="A167" s="168" t="s">
        <v>158</v>
      </c>
      <c r="B167" s="168"/>
      <c r="C167" s="168"/>
      <c r="D167" s="168"/>
      <c r="E167" s="168"/>
      <c r="F167" s="168"/>
      <c r="G167" s="168"/>
      <c r="H167" s="168"/>
      <c r="I167" s="168"/>
      <c r="J167" s="84"/>
      <c r="K167" s="77"/>
      <c r="L167" s="77"/>
      <c r="M167" s="77"/>
      <c r="N167" s="77"/>
      <c r="O167" s="77"/>
    </row>
    <row r="168" spans="1:15" ht="15" customHeight="1" x14ac:dyDescent="0.45">
      <c r="A168" s="182" t="s">
        <v>159</v>
      </c>
      <c r="B168" s="182"/>
      <c r="C168" s="183"/>
      <c r="D168" s="184"/>
      <c r="E168" s="187" t="s">
        <v>160</v>
      </c>
      <c r="F168" s="177"/>
      <c r="G168" s="191" t="s">
        <v>161</v>
      </c>
      <c r="H168" s="85"/>
      <c r="I168" s="85"/>
      <c r="J168" s="86"/>
      <c r="K168" s="68"/>
      <c r="L168" s="68"/>
      <c r="M168" s="68"/>
      <c r="N168" s="68"/>
      <c r="O168" s="68"/>
    </row>
    <row r="169" spans="1:15" ht="33" customHeight="1" x14ac:dyDescent="0.45">
      <c r="A169" s="182"/>
      <c r="B169" s="182"/>
      <c r="C169" s="183"/>
      <c r="D169" s="184"/>
      <c r="E169" s="188"/>
      <c r="F169" s="190"/>
      <c r="G169" s="192"/>
      <c r="H169" s="87"/>
      <c r="I169" s="87"/>
      <c r="J169" s="86"/>
      <c r="K169" s="68"/>
      <c r="L169" s="68"/>
      <c r="M169" s="68"/>
      <c r="N169" s="68"/>
      <c r="O169" s="68"/>
    </row>
    <row r="170" spans="1:15" ht="33" customHeight="1" x14ac:dyDescent="0.45">
      <c r="A170" s="182"/>
      <c r="B170" s="182"/>
      <c r="C170" s="183"/>
      <c r="D170" s="184"/>
      <c r="E170" s="188"/>
      <c r="F170" s="190"/>
      <c r="G170" s="192"/>
      <c r="H170" s="87"/>
      <c r="I170" s="87"/>
      <c r="J170" s="86"/>
      <c r="K170" s="68"/>
      <c r="L170" s="68"/>
      <c r="M170" s="68"/>
      <c r="N170" s="68"/>
      <c r="O170" s="68"/>
    </row>
    <row r="171" spans="1:15" ht="27.75" customHeight="1" x14ac:dyDescent="0.45">
      <c r="A171" s="182"/>
      <c r="B171" s="182"/>
      <c r="C171" s="183"/>
      <c r="D171" s="184"/>
      <c r="E171" s="189"/>
      <c r="F171" s="178"/>
      <c r="G171" s="193"/>
      <c r="H171" s="87"/>
      <c r="I171" s="87"/>
      <c r="J171" s="86"/>
      <c r="K171" s="68"/>
      <c r="L171" s="68"/>
      <c r="M171" s="68"/>
      <c r="N171" s="68"/>
      <c r="O171" s="68"/>
    </row>
    <row r="172" spans="1:15" ht="33" customHeight="1" x14ac:dyDescent="0.45">
      <c r="A172" s="194" t="s">
        <v>162</v>
      </c>
      <c r="B172" s="195"/>
      <c r="C172" s="183"/>
      <c r="D172" s="184"/>
      <c r="E172" s="196" t="s">
        <v>162</v>
      </c>
      <c r="F172" s="177"/>
      <c r="G172" s="199" t="s">
        <v>162</v>
      </c>
      <c r="H172" s="87"/>
      <c r="I172" s="87"/>
      <c r="J172" s="86"/>
      <c r="K172" s="68"/>
      <c r="L172" s="68"/>
      <c r="M172" s="68"/>
      <c r="N172" s="68"/>
      <c r="O172" s="68"/>
    </row>
    <row r="173" spans="1:15" ht="30.75" customHeight="1" x14ac:dyDescent="0.45">
      <c r="A173" s="194"/>
      <c r="B173" s="195"/>
      <c r="C173" s="183"/>
      <c r="D173" s="184"/>
      <c r="E173" s="197"/>
      <c r="F173" s="190"/>
      <c r="G173" s="200"/>
      <c r="H173" s="87"/>
      <c r="I173" s="87"/>
      <c r="J173" s="86"/>
      <c r="K173" s="68"/>
      <c r="L173" s="68"/>
      <c r="M173" s="68"/>
      <c r="N173" s="68"/>
      <c r="O173" s="68"/>
    </row>
    <row r="174" spans="1:15" ht="17.25" hidden="1" customHeight="1" x14ac:dyDescent="0.45">
      <c r="A174" s="194"/>
      <c r="B174" s="195"/>
      <c r="C174" s="183"/>
      <c r="D174" s="184"/>
      <c r="E174" s="198"/>
      <c r="F174" s="178"/>
      <c r="G174" s="201"/>
      <c r="H174" s="87"/>
      <c r="I174" s="87"/>
      <c r="J174" s="86"/>
      <c r="K174" s="68"/>
      <c r="L174" s="68"/>
      <c r="M174" s="68"/>
      <c r="N174" s="68"/>
      <c r="O174" s="68"/>
    </row>
    <row r="175" spans="1:15" ht="33" customHeight="1" x14ac:dyDescent="0.45">
      <c r="A175" s="122" t="s">
        <v>163</v>
      </c>
      <c r="B175" s="192"/>
      <c r="C175" s="183"/>
      <c r="D175" s="184"/>
      <c r="E175" s="175" t="s">
        <v>163</v>
      </c>
      <c r="F175" s="177"/>
      <c r="G175" s="179" t="s">
        <v>163</v>
      </c>
      <c r="H175" s="87"/>
      <c r="I175" s="87"/>
      <c r="J175" s="86"/>
      <c r="K175" s="68"/>
      <c r="L175" s="68"/>
      <c r="M175" s="68"/>
      <c r="N175" s="68"/>
      <c r="O175" s="68"/>
    </row>
    <row r="176" spans="1:15" ht="33" customHeight="1" x14ac:dyDescent="0.45">
      <c r="A176" s="122"/>
      <c r="B176" s="192"/>
      <c r="C176" s="185"/>
      <c r="D176" s="186"/>
      <c r="E176" s="176"/>
      <c r="F176" s="178"/>
      <c r="G176" s="180"/>
      <c r="H176" s="87"/>
      <c r="I176" s="87"/>
      <c r="J176" s="86"/>
      <c r="K176" s="68"/>
      <c r="L176" s="68"/>
      <c r="M176" s="68"/>
      <c r="N176" s="68"/>
      <c r="O176" s="68"/>
    </row>
    <row r="177" spans="1:15" ht="19.5" x14ac:dyDescent="0.25">
      <c r="A177" s="181"/>
      <c r="B177" s="181"/>
      <c r="C177" s="181"/>
      <c r="D177" s="181"/>
      <c r="E177" s="181"/>
      <c r="F177" s="181"/>
      <c r="G177" s="181"/>
      <c r="H177" s="181"/>
      <c r="I177" s="181"/>
      <c r="J177" s="88"/>
      <c r="K177" s="89"/>
      <c r="L177" s="89"/>
      <c r="M177" s="89"/>
      <c r="N177" s="89"/>
      <c r="O177" s="89"/>
    </row>
  </sheetData>
  <mergeCells count="176">
    <mergeCell ref="A121:A128"/>
    <mergeCell ref="B121:B128"/>
    <mergeCell ref="C121:C128"/>
    <mergeCell ref="D121:D122"/>
    <mergeCell ref="D123:D124"/>
    <mergeCell ref="D125:D126"/>
    <mergeCell ref="A111:A120"/>
    <mergeCell ref="B111:B120"/>
    <mergeCell ref="C111:C120"/>
    <mergeCell ref="D111:D112"/>
    <mergeCell ref="D113:D114"/>
    <mergeCell ref="D115:D116"/>
    <mergeCell ref="D117:D118"/>
    <mergeCell ref="D119:D120"/>
    <mergeCell ref="A101:A110"/>
    <mergeCell ref="B101:B110"/>
    <mergeCell ref="C101:C110"/>
    <mergeCell ref="D101:D102"/>
    <mergeCell ref="D103:D104"/>
    <mergeCell ref="D105:D106"/>
    <mergeCell ref="D107:D108"/>
    <mergeCell ref="D109:D110"/>
    <mergeCell ref="A90:A100"/>
    <mergeCell ref="B90:B100"/>
    <mergeCell ref="C90:C100"/>
    <mergeCell ref="D90:D92"/>
    <mergeCell ref="D93:D94"/>
    <mergeCell ref="D95:D96"/>
    <mergeCell ref="D97:D98"/>
    <mergeCell ref="D99:D100"/>
    <mergeCell ref="A70:A78"/>
    <mergeCell ref="A79:A89"/>
    <mergeCell ref="B79:B89"/>
    <mergeCell ref="C79:C89"/>
    <mergeCell ref="D79:D81"/>
    <mergeCell ref="D82:D83"/>
    <mergeCell ref="D84:D85"/>
    <mergeCell ref="D86:D87"/>
    <mergeCell ref="D88:D89"/>
    <mergeCell ref="D77:D78"/>
    <mergeCell ref="D74:D76"/>
    <mergeCell ref="D72:D73"/>
    <mergeCell ref="D70:D71"/>
    <mergeCell ref="C70:C78"/>
    <mergeCell ref="B70:B78"/>
    <mergeCell ref="A62:A69"/>
    <mergeCell ref="B62:B69"/>
    <mergeCell ref="C62:C69"/>
    <mergeCell ref="D62:D69"/>
    <mergeCell ref="D47:D48"/>
    <mergeCell ref="D49:D50"/>
    <mergeCell ref="D51:D52"/>
    <mergeCell ref="A54:A61"/>
    <mergeCell ref="B54:B61"/>
    <mergeCell ref="C54:C61"/>
    <mergeCell ref="D54:D61"/>
    <mergeCell ref="E175:E176"/>
    <mergeCell ref="F175:F176"/>
    <mergeCell ref="G175:G176"/>
    <mergeCell ref="A177:I177"/>
    <mergeCell ref="A40:A53"/>
    <mergeCell ref="B40:B53"/>
    <mergeCell ref="C40:C53"/>
    <mergeCell ref="D40:D42"/>
    <mergeCell ref="D43:D44"/>
    <mergeCell ref="D45:D46"/>
    <mergeCell ref="A168:B171"/>
    <mergeCell ref="C168:D176"/>
    <mergeCell ref="E168:E171"/>
    <mergeCell ref="F168:F171"/>
    <mergeCell ref="G168:G171"/>
    <mergeCell ref="A172:B174"/>
    <mergeCell ref="E172:E174"/>
    <mergeCell ref="F172:F174"/>
    <mergeCell ref="G172:G174"/>
    <mergeCell ref="A175:B176"/>
    <mergeCell ref="C162:G162"/>
    <mergeCell ref="A163:G163"/>
    <mergeCell ref="C164:G164"/>
    <mergeCell ref="C165:G165"/>
    <mergeCell ref="C166:G166"/>
    <mergeCell ref="A167:I167"/>
    <mergeCell ref="C159:G159"/>
    <mergeCell ref="M159:O159"/>
    <mergeCell ref="C160:G160"/>
    <mergeCell ref="M160:O160"/>
    <mergeCell ref="C161:G161"/>
    <mergeCell ref="M161:O161"/>
    <mergeCell ref="C155:G155"/>
    <mergeCell ref="M155:O155"/>
    <mergeCell ref="C156:G156"/>
    <mergeCell ref="M156:O156"/>
    <mergeCell ref="C157:G157"/>
    <mergeCell ref="C158:G158"/>
    <mergeCell ref="M158:O158"/>
    <mergeCell ref="C152:G152"/>
    <mergeCell ref="M152:O152"/>
    <mergeCell ref="C153:G153"/>
    <mergeCell ref="M153:O153"/>
    <mergeCell ref="C154:G154"/>
    <mergeCell ref="M154:O154"/>
    <mergeCell ref="A149:G149"/>
    <mergeCell ref="H149:J149"/>
    <mergeCell ref="K149:O150"/>
    <mergeCell ref="C150:G150"/>
    <mergeCell ref="C151:G151"/>
    <mergeCell ref="M151:O151"/>
    <mergeCell ref="A139:A141"/>
    <mergeCell ref="B139:B141"/>
    <mergeCell ref="C139:C141"/>
    <mergeCell ref="D139:D141"/>
    <mergeCell ref="A142:A147"/>
    <mergeCell ref="B142:B147"/>
    <mergeCell ref="C142:C147"/>
    <mergeCell ref="D142:D145"/>
    <mergeCell ref="D146:D147"/>
    <mergeCell ref="A134:A136"/>
    <mergeCell ref="B134:B136"/>
    <mergeCell ref="C134:C136"/>
    <mergeCell ref="D134:D136"/>
    <mergeCell ref="A137:A138"/>
    <mergeCell ref="B137:B138"/>
    <mergeCell ref="C137:C138"/>
    <mergeCell ref="D137:D138"/>
    <mergeCell ref="A129:A131"/>
    <mergeCell ref="B129:B131"/>
    <mergeCell ref="C129:C131"/>
    <mergeCell ref="D129:D131"/>
    <mergeCell ref="A132:A133"/>
    <mergeCell ref="B132:B133"/>
    <mergeCell ref="C132:C133"/>
    <mergeCell ref="D132:D133"/>
    <mergeCell ref="A28:A39"/>
    <mergeCell ref="B28:B39"/>
    <mergeCell ref="C28:C39"/>
    <mergeCell ref="D28:D29"/>
    <mergeCell ref="D30:D32"/>
    <mergeCell ref="D33:D34"/>
    <mergeCell ref="D35:D36"/>
    <mergeCell ref="D37:D39"/>
    <mergeCell ref="J17:O17"/>
    <mergeCell ref="A19:A27"/>
    <mergeCell ref="B19:B27"/>
    <mergeCell ref="C19:C27"/>
    <mergeCell ref="D19:D21"/>
    <mergeCell ref="D22:D24"/>
    <mergeCell ref="D26:D27"/>
    <mergeCell ref="A16:I16"/>
    <mergeCell ref="A17:A18"/>
    <mergeCell ref="B17:B18"/>
    <mergeCell ref="C17:C18"/>
    <mergeCell ref="D17:D18"/>
    <mergeCell ref="E17:E18"/>
    <mergeCell ref="F17:F18"/>
    <mergeCell ref="G17:G18"/>
    <mergeCell ref="H17:H18"/>
    <mergeCell ref="I17:I18"/>
    <mergeCell ref="A14:B14"/>
    <mergeCell ref="I14:J14"/>
    <mergeCell ref="A15:I15"/>
    <mergeCell ref="A8:B8"/>
    <mergeCell ref="I8:J8"/>
    <mergeCell ref="A9:I9"/>
    <mergeCell ref="A10:B10"/>
    <mergeCell ref="I10:J10"/>
    <mergeCell ref="A11:B11"/>
    <mergeCell ref="I11:J11"/>
    <mergeCell ref="A1:O3"/>
    <mergeCell ref="A4:I4"/>
    <mergeCell ref="E5:I5"/>
    <mergeCell ref="A6:I6"/>
    <mergeCell ref="A7:B7"/>
    <mergeCell ref="I7:J7"/>
    <mergeCell ref="A12:I12"/>
    <mergeCell ref="A13:B13"/>
    <mergeCell ref="I13:J13"/>
  </mergeCells>
  <pageMargins left="0.45" right="0.2" top="0.25" bottom="0.25" header="0.3" footer="0.3"/>
  <pageSetup paperSize="9" scale="13"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NC</vt:lpstr>
      <vt:lpstr>NC!Print_Area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2026-03-02T23:19:15Z</cp:lastPrinted>
  <dcterms:created xsi:type="dcterms:W3CDTF">2026-03-02T12:37:00Z</dcterms:created>
  <dcterms:modified xsi:type="dcterms:W3CDTF">2026-04-10T03:43:54Z</dcterms:modified>
</cp:coreProperties>
</file>